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firstSheet="4" activeTab="5"/>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bestimmen'!$B$17:$B$48</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1</definedName>
    <definedName name="solver_nod" localSheetId="5" hidden="1">2147483647</definedName>
    <definedName name="solver_num" localSheetId="5" hidden="1">0</definedName>
    <definedName name="solver_nwt" localSheetId="5" hidden="1">1</definedName>
    <definedName name="solver_opt" localSheetId="5" hidden="1">'Mastercurve bestimmen'!$G$53</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C403" i="43"/>
  <c r="C406" i="43" s="1"/>
  <c r="D403" i="43"/>
  <c r="E403" i="43"/>
  <c r="E405" i="43" s="1"/>
  <c r="F403" i="43"/>
  <c r="F415" i="43" s="1"/>
  <c r="G403" i="43"/>
  <c r="G410" i="43" s="1"/>
  <c r="H403" i="43"/>
  <c r="H434" i="43" s="1"/>
  <c r="B403" i="43"/>
  <c r="B405" i="43" s="1"/>
  <c r="C405" i="43"/>
  <c r="D405" i="43"/>
  <c r="D406" i="43"/>
  <c r="E406" i="43"/>
  <c r="C407" i="43"/>
  <c r="D407" i="43"/>
  <c r="C408" i="43"/>
  <c r="D408" i="43"/>
  <c r="E408" i="43"/>
  <c r="C409" i="43"/>
  <c r="D409" i="43"/>
  <c r="C410" i="43"/>
  <c r="D410" i="43"/>
  <c r="E410" i="43"/>
  <c r="F410" i="43"/>
  <c r="D411" i="43"/>
  <c r="E411" i="43"/>
  <c r="C412" i="43"/>
  <c r="D412" i="43"/>
  <c r="D413" i="43"/>
  <c r="E413" i="43"/>
  <c r="G413" i="43"/>
  <c r="C414" i="43"/>
  <c r="D414" i="43"/>
  <c r="C415" i="43"/>
  <c r="D415" i="43"/>
  <c r="E415" i="43"/>
  <c r="D416" i="43"/>
  <c r="E416" i="43"/>
  <c r="F416" i="43"/>
  <c r="G416" i="43"/>
  <c r="C417" i="43"/>
  <c r="D417" i="43"/>
  <c r="E417" i="43"/>
  <c r="C418" i="43"/>
  <c r="D418" i="43"/>
  <c r="E418" i="43"/>
  <c r="C419" i="43"/>
  <c r="D419" i="43"/>
  <c r="E419" i="43"/>
  <c r="F419" i="43"/>
  <c r="C420" i="43"/>
  <c r="D420" i="43"/>
  <c r="E420" i="43"/>
  <c r="F420" i="43"/>
  <c r="C421" i="43"/>
  <c r="D421" i="43"/>
  <c r="C422" i="43"/>
  <c r="D422" i="43"/>
  <c r="E422" i="43"/>
  <c r="C423" i="43"/>
  <c r="D423" i="43"/>
  <c r="E423" i="43"/>
  <c r="F423" i="43"/>
  <c r="C424" i="43"/>
  <c r="D424" i="43"/>
  <c r="E424" i="43"/>
  <c r="F424" i="43"/>
  <c r="C425" i="43"/>
  <c r="D425" i="43"/>
  <c r="E425" i="43"/>
  <c r="C426" i="43"/>
  <c r="D426" i="43"/>
  <c r="E426" i="43"/>
  <c r="C427" i="43"/>
  <c r="D427" i="43"/>
  <c r="E427" i="43"/>
  <c r="F427" i="43"/>
  <c r="C428" i="43"/>
  <c r="D428" i="43"/>
  <c r="C429" i="43"/>
  <c r="D429" i="43"/>
  <c r="E429" i="43"/>
  <c r="C430" i="43"/>
  <c r="D430" i="43"/>
  <c r="E430" i="43"/>
  <c r="F430" i="43"/>
  <c r="C431" i="43"/>
  <c r="D431" i="43"/>
  <c r="E431" i="43"/>
  <c r="F431" i="43"/>
  <c r="G431" i="43"/>
  <c r="C432" i="43"/>
  <c r="D432" i="43"/>
  <c r="C433" i="43"/>
  <c r="D433" i="43"/>
  <c r="E433" i="43"/>
  <c r="C434" i="43"/>
  <c r="D434" i="43"/>
  <c r="E434" i="43"/>
  <c r="F434" i="43"/>
  <c r="G434" i="43"/>
  <c r="C404" i="43"/>
  <c r="D404" i="43"/>
  <c r="E404" i="43"/>
  <c r="F404" i="43"/>
  <c r="B65" i="43"/>
  <c r="A65" i="43"/>
  <c r="A67" i="43"/>
  <c r="G428" i="43" l="1"/>
  <c r="F417" i="43"/>
  <c r="G406" i="43"/>
  <c r="F432" i="43"/>
  <c r="F428" i="43"/>
  <c r="G425" i="43"/>
  <c r="F421" i="43"/>
  <c r="F414" i="43"/>
  <c r="H416" i="43"/>
  <c r="E432" i="43"/>
  <c r="F429" i="43"/>
  <c r="E428" i="43"/>
  <c r="F425" i="43"/>
  <c r="G422" i="43"/>
  <c r="E421" i="43"/>
  <c r="F418" i="43"/>
  <c r="C416" i="43"/>
  <c r="E414" i="43"/>
  <c r="C413" i="43"/>
  <c r="C411" i="43"/>
  <c r="E409" i="43"/>
  <c r="G407" i="43"/>
  <c r="F406" i="43"/>
  <c r="F433" i="43"/>
  <c r="F426" i="43"/>
  <c r="F422" i="43"/>
  <c r="G419" i="43"/>
  <c r="E412" i="43"/>
  <c r="E407" i="43"/>
  <c r="B433" i="43"/>
  <c r="B424" i="43"/>
  <c r="B415" i="43"/>
  <c r="B411" i="43"/>
  <c r="B410" i="43"/>
  <c r="B434" i="43"/>
  <c r="B426" i="43"/>
  <c r="B425" i="43"/>
  <c r="B417" i="43"/>
  <c r="B416" i="43"/>
  <c r="B407" i="43"/>
  <c r="B430" i="43"/>
  <c r="B421" i="43"/>
  <c r="B413" i="43"/>
  <c r="B409" i="43"/>
  <c r="B432" i="43"/>
  <c r="B431" i="43"/>
  <c r="B423" i="43"/>
  <c r="B422" i="43"/>
  <c r="B414" i="43"/>
  <c r="B406" i="43"/>
  <c r="B404" i="43"/>
  <c r="B427" i="43"/>
  <c r="B418" i="43"/>
  <c r="B412" i="43"/>
  <c r="B408" i="43"/>
  <c r="B429" i="43"/>
  <c r="B428" i="43"/>
  <c r="B420" i="43"/>
  <c r="B419" i="43"/>
  <c r="H419" i="43"/>
  <c r="H418" i="43"/>
  <c r="H417" i="43"/>
  <c r="H404" i="43"/>
  <c r="H433" i="43"/>
  <c r="H432" i="43"/>
  <c r="H431" i="43"/>
  <c r="H415" i="43"/>
  <c r="H414" i="43"/>
  <c r="H413" i="43"/>
  <c r="H428" i="43"/>
  <c r="H412" i="43"/>
  <c r="H411" i="43"/>
  <c r="H410" i="43"/>
  <c r="H430" i="43"/>
  <c r="H427" i="43"/>
  <c r="H426" i="43"/>
  <c r="H425" i="43"/>
  <c r="F413" i="43"/>
  <c r="F412" i="43"/>
  <c r="F411" i="43"/>
  <c r="H409" i="43"/>
  <c r="H408" i="43"/>
  <c r="H407" i="43"/>
  <c r="H429" i="43"/>
  <c r="H424" i="43"/>
  <c r="H423" i="43"/>
  <c r="H422" i="43"/>
  <c r="F409" i="43"/>
  <c r="F408" i="43"/>
  <c r="H406" i="43"/>
  <c r="H405" i="43"/>
  <c r="F405" i="43"/>
  <c r="H421" i="43"/>
  <c r="H420" i="43"/>
  <c r="F407" i="43"/>
  <c r="G432" i="43"/>
  <c r="G429" i="43"/>
  <c r="G426" i="43"/>
  <c r="G423" i="43"/>
  <c r="G420" i="43"/>
  <c r="G417" i="43"/>
  <c r="G414" i="43"/>
  <c r="G411" i="43"/>
  <c r="G408" i="43"/>
  <c r="G405" i="43"/>
  <c r="G404" i="43"/>
  <c r="G433" i="43"/>
  <c r="G430" i="43"/>
  <c r="G427" i="43"/>
  <c r="G424" i="43"/>
  <c r="G421" i="43"/>
  <c r="G418" i="43"/>
  <c r="G415" i="43"/>
  <c r="G412" i="43"/>
  <c r="G409" i="43"/>
  <c r="N122" i="43"/>
  <c r="O33" i="11"/>
  <c r="N33" i="11"/>
  <c r="P33" i="11" s="1"/>
  <c r="O32" i="11"/>
  <c r="N32" i="11"/>
  <c r="O31" i="11"/>
  <c r="N31" i="11"/>
  <c r="P31" i="11" s="1"/>
  <c r="O30" i="11"/>
  <c r="N30" i="11"/>
  <c r="P30" i="11" s="1"/>
  <c r="O29" i="11"/>
  <c r="N29" i="11"/>
  <c r="P29" i="11" s="1"/>
  <c r="O28" i="11"/>
  <c r="N28" i="11"/>
  <c r="P27" i="11"/>
  <c r="O27" i="11"/>
  <c r="N27" i="11"/>
  <c r="O26" i="11"/>
  <c r="N26" i="11"/>
  <c r="P26" i="11" s="1"/>
  <c r="O25" i="11"/>
  <c r="P25" i="11" s="1"/>
  <c r="N25" i="11"/>
  <c r="O24" i="11"/>
  <c r="N24" i="11"/>
  <c r="P24" i="11" s="1"/>
  <c r="O23" i="11"/>
  <c r="N23" i="11"/>
  <c r="P23" i="11" s="1"/>
  <c r="O22" i="11"/>
  <c r="N22" i="11"/>
  <c r="P22" i="11" s="1"/>
  <c r="O21" i="11"/>
  <c r="N21" i="11"/>
  <c r="P21" i="11" s="1"/>
  <c r="O20" i="11"/>
  <c r="N20" i="11"/>
  <c r="O19" i="11"/>
  <c r="N19" i="11"/>
  <c r="P19" i="11" s="1"/>
  <c r="O18" i="11"/>
  <c r="N18" i="11"/>
  <c r="P18" i="11" s="1"/>
  <c r="O17" i="11"/>
  <c r="N17" i="11"/>
  <c r="P17" i="11" s="1"/>
  <c r="O16" i="11"/>
  <c r="N16" i="11"/>
  <c r="P15" i="11"/>
  <c r="O15" i="11"/>
  <c r="N15" i="11"/>
  <c r="O14" i="11"/>
  <c r="N14" i="11"/>
  <c r="P14" i="11" s="1"/>
  <c r="O13" i="11"/>
  <c r="P13" i="11" s="1"/>
  <c r="N13" i="11"/>
  <c r="O12" i="11"/>
  <c r="N12" i="11"/>
  <c r="P12" i="11" s="1"/>
  <c r="O11" i="11"/>
  <c r="N11" i="11"/>
  <c r="P11" i="11" s="1"/>
  <c r="O10" i="11"/>
  <c r="N10" i="11"/>
  <c r="P10" i="11" s="1"/>
  <c r="O9" i="11"/>
  <c r="N9" i="11"/>
  <c r="P9" i="11" s="1"/>
  <c r="O8" i="11"/>
  <c r="N8" i="11"/>
  <c r="O7" i="11"/>
  <c r="N7" i="11"/>
  <c r="P7" i="11" s="1"/>
  <c r="O6" i="11"/>
  <c r="N6" i="11"/>
  <c r="P6" i="11" s="1"/>
  <c r="O5" i="11"/>
  <c r="N5" i="11"/>
  <c r="P5" i="11" s="1"/>
  <c r="O4" i="11"/>
  <c r="N4" i="11"/>
  <c r="P4" i="11" s="1"/>
  <c r="P3" i="11"/>
  <c r="O3" i="11"/>
  <c r="N3" i="11"/>
  <c r="P16" i="11" l="1"/>
  <c r="P28"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P6" i="37" s="1"/>
  <c r="B31" i="39" s="1"/>
  <c r="R8" i="37"/>
  <c r="R9" i="37"/>
  <c r="P7" i="37" s="1"/>
  <c r="R10" i="37"/>
  <c r="R11" i="37"/>
  <c r="R12" i="37"/>
  <c r="R13" i="37"/>
  <c r="P9" i="37" s="1"/>
  <c r="B33" i="39" s="1"/>
  <c r="R14" i="37"/>
  <c r="R3" i="37"/>
  <c r="L4" i="37"/>
  <c r="L5" i="37"/>
  <c r="L6" i="37"/>
  <c r="L7" i="37"/>
  <c r="L8" i="37"/>
  <c r="L9" i="37"/>
  <c r="L10" i="37"/>
  <c r="L11" i="37"/>
  <c r="L12" i="37"/>
  <c r="L13" i="37"/>
  <c r="L14" i="37"/>
  <c r="L3" i="37"/>
  <c r="B7" i="44" l="1"/>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B42" i="39" l="1"/>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I175" i="44" l="1"/>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BE31" i="8"/>
  <c r="BE30" i="8"/>
  <c r="AS29" i="8"/>
  <c r="P430" i="43" s="1"/>
  <c r="BE28" i="8"/>
  <c r="BE27" i="8"/>
  <c r="AS26" i="8"/>
  <c r="P427" i="43" s="1"/>
  <c r="BE25" i="8"/>
  <c r="BE24" i="8"/>
  <c r="BE23" i="8"/>
  <c r="BE22" i="8"/>
  <c r="BE21" i="8"/>
  <c r="AS20" i="8"/>
  <c r="P421" i="43" s="1"/>
  <c r="BE19" i="8"/>
  <c r="BE18" i="8"/>
  <c r="AS17" i="8"/>
  <c r="P418" i="43" s="1"/>
  <c r="BE16" i="8"/>
  <c r="BE15" i="8"/>
  <c r="AS14" i="8"/>
  <c r="P415" i="43"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S32" i="8"/>
  <c r="AQ32" i="8" s="1"/>
  <c r="N433" i="43" s="1"/>
  <c r="S31" i="8"/>
  <c r="AQ31" i="8" s="1"/>
  <c r="N432" i="43" s="1"/>
  <c r="S30" i="8"/>
  <c r="AQ30" i="8" s="1"/>
  <c r="N431" i="43" s="1"/>
  <c r="S29" i="8"/>
  <c r="AQ29" i="8" s="1"/>
  <c r="N430" i="43" s="1"/>
  <c r="S28" i="8"/>
  <c r="AQ28" i="8" s="1"/>
  <c r="N429" i="43" s="1"/>
  <c r="S27" i="8"/>
  <c r="AQ27" i="8" s="1"/>
  <c r="N428" i="43" s="1"/>
  <c r="S26" i="8"/>
  <c r="AQ26" i="8" s="1"/>
  <c r="N427" i="43" s="1"/>
  <c r="S25" i="8"/>
  <c r="AQ25" i="8" s="1"/>
  <c r="N426" i="43" s="1"/>
  <c r="S24" i="8"/>
  <c r="AQ24" i="8" s="1"/>
  <c r="N425" i="43" s="1"/>
  <c r="S23" i="8"/>
  <c r="AQ23" i="8" s="1"/>
  <c r="N424" i="43" s="1"/>
  <c r="S22" i="8"/>
  <c r="AQ22" i="8" s="1"/>
  <c r="N423" i="43" s="1"/>
  <c r="S21" i="8"/>
  <c r="AQ21" i="8" s="1"/>
  <c r="N422" i="43" s="1"/>
  <c r="S20" i="8"/>
  <c r="AQ20" i="8" s="1"/>
  <c r="N421" i="43" s="1"/>
  <c r="S19" i="8"/>
  <c r="AQ19" i="8" s="1"/>
  <c r="N420" i="43" s="1"/>
  <c r="S18" i="8"/>
  <c r="AQ18" i="8" s="1"/>
  <c r="N419" i="43" s="1"/>
  <c r="S17" i="8"/>
  <c r="AQ17" i="8" s="1"/>
  <c r="N418" i="43" s="1"/>
  <c r="S16" i="8"/>
  <c r="AQ16" i="8" s="1"/>
  <c r="N417" i="43" s="1"/>
  <c r="S15" i="8"/>
  <c r="AQ15" i="8" s="1"/>
  <c r="N416" i="43" s="1"/>
  <c r="S14" i="8"/>
  <c r="AQ14" i="8" s="1"/>
  <c r="N415" i="43" s="1"/>
  <c r="S13" i="8"/>
  <c r="AQ13" i="8" s="1"/>
  <c r="N414" i="43"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AS23" i="8"/>
  <c r="P424" i="43" s="1"/>
  <c r="AO4" i="8"/>
  <c r="L405" i="43" s="1"/>
  <c r="AO6" i="8"/>
  <c r="L407" i="43" s="1"/>
  <c r="AO10" i="8"/>
  <c r="L411" i="43" s="1"/>
  <c r="AO30" i="8"/>
  <c r="L431" i="43" s="1"/>
  <c r="BA13" i="8"/>
  <c r="BA15" i="8"/>
  <c r="BA19" i="8"/>
  <c r="AS28" i="8"/>
  <c r="P429" i="43" s="1"/>
  <c r="AS9" i="8"/>
  <c r="P410" i="43" s="1"/>
  <c r="AS5" i="8"/>
  <c r="P406" i="43" s="1"/>
  <c r="BE32" i="8"/>
  <c r="AS18" i="8"/>
  <c r="P419" i="43" s="1"/>
  <c r="AS7" i="8"/>
  <c r="P408" i="43" s="1"/>
  <c r="BA12" i="8"/>
  <c r="BA16" i="8"/>
  <c r="BA18" i="8"/>
  <c r="BA22" i="8"/>
  <c r="BA24" i="8"/>
  <c r="BA28" i="8"/>
  <c r="AO7" i="8"/>
  <c r="L408" i="43" s="1"/>
  <c r="AO9" i="8"/>
  <c r="L410" i="43" s="1"/>
  <c r="AO21" i="8"/>
  <c r="L422" i="43" s="1"/>
  <c r="AO25" i="8"/>
  <c r="L426" i="43" s="1"/>
  <c r="AO27" i="8"/>
  <c r="L428" i="43" s="1"/>
  <c r="AO31" i="8"/>
  <c r="L432" i="43" s="1"/>
  <c r="AO33" i="8"/>
  <c r="L434" i="43" s="1"/>
  <c r="AS15" i="8"/>
  <c r="P416" i="43" s="1"/>
  <c r="BE11" i="8"/>
  <c r="BE29" i="8"/>
  <c r="AS24" i="8"/>
  <c r="P425" i="43" s="1"/>
  <c r="AS13" i="8"/>
  <c r="P414" i="43" s="1"/>
  <c r="AS21" i="8"/>
  <c r="P422" i="43" s="1"/>
  <c r="AS30" i="8"/>
  <c r="P431" i="43" s="1"/>
  <c r="BE8" i="8"/>
  <c r="AS19" i="8"/>
  <c r="P420" i="43" s="1"/>
  <c r="AS27" i="8"/>
  <c r="P428" i="43" s="1"/>
  <c r="AS4" i="8"/>
  <c r="P405" i="43" s="1"/>
  <c r="BE20" i="8"/>
  <c r="BE17" i="8"/>
  <c r="AS31" i="8"/>
  <c r="P432" i="43" s="1"/>
  <c r="AS25" i="8"/>
  <c r="P426" i="43" s="1"/>
  <c r="AS33" i="8"/>
  <c r="P434" i="43" s="1"/>
  <c r="AS10" i="8"/>
  <c r="P411" i="43" s="1"/>
  <c r="AS6" i="8"/>
  <c r="P407" i="43" s="1"/>
  <c r="BE26" i="8"/>
  <c r="BE14" i="8"/>
  <c r="AS16" i="8"/>
  <c r="P417" i="43" s="1"/>
  <c r="AS12" i="8"/>
  <c r="P413" i="43" s="1"/>
  <c r="AR3" i="8"/>
  <c r="O404" i="43" s="1"/>
  <c r="BD3" i="8"/>
  <c r="T5" i="8"/>
  <c r="AR7" i="8"/>
  <c r="O408" i="43" s="1"/>
  <c r="BD7" i="8"/>
  <c r="AR9" i="8"/>
  <c r="O410" i="43" s="1"/>
  <c r="BD9" i="8"/>
  <c r="T11" i="8"/>
  <c r="AR13" i="8"/>
  <c r="O414" i="43" s="1"/>
  <c r="BD13" i="8"/>
  <c r="AR15" i="8"/>
  <c r="O416" i="43" s="1"/>
  <c r="BD15" i="8"/>
  <c r="T17" i="8"/>
  <c r="AR19" i="8"/>
  <c r="O420" i="43" s="1"/>
  <c r="BD19" i="8"/>
  <c r="AR21" i="8"/>
  <c r="O422" i="43" s="1"/>
  <c r="BD21" i="8"/>
  <c r="T23" i="8"/>
  <c r="AR25" i="8"/>
  <c r="O426" i="43" s="1"/>
  <c r="BD25" i="8"/>
  <c r="AR27" i="8"/>
  <c r="O428" i="43" s="1"/>
  <c r="BD27" i="8"/>
  <c r="T29" i="8"/>
  <c r="AR31" i="8"/>
  <c r="O432" i="43" s="1"/>
  <c r="BD31" i="8"/>
  <c r="AR33" i="8"/>
  <c r="O434" i="43" s="1"/>
  <c r="BD33" i="8"/>
  <c r="AR4" i="8"/>
  <c r="O405" i="43" s="1"/>
  <c r="BD4" i="8"/>
  <c r="AR6" i="8"/>
  <c r="O407" i="43" s="1"/>
  <c r="BD6" i="8"/>
  <c r="T8" i="8"/>
  <c r="AR10" i="8"/>
  <c r="O411" i="43" s="1"/>
  <c r="BD10" i="8"/>
  <c r="AR12" i="8"/>
  <c r="O413" i="43" s="1"/>
  <c r="BD12" i="8"/>
  <c r="T14" i="8"/>
  <c r="AR16" i="8"/>
  <c r="O417" i="43" s="1"/>
  <c r="BD16" i="8"/>
  <c r="AR18" i="8"/>
  <c r="O419" i="43" s="1"/>
  <c r="BD18" i="8"/>
  <c r="T20" i="8"/>
  <c r="AR22" i="8"/>
  <c r="O423" i="43" s="1"/>
  <c r="BD22" i="8"/>
  <c r="AR24" i="8"/>
  <c r="O425" i="43" s="1"/>
  <c r="BD24" i="8"/>
  <c r="T26" i="8"/>
  <c r="AR28" i="8"/>
  <c r="O429" i="43" s="1"/>
  <c r="BD28" i="8"/>
  <c r="AR30" i="8"/>
  <c r="O431" i="43"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BB21" i="8"/>
  <c r="AP4" i="8"/>
  <c r="M405" i="43" s="1"/>
  <c r="BB4" i="8"/>
  <c r="AP6" i="8"/>
  <c r="M407" i="43" s="1"/>
  <c r="BB6" i="8"/>
  <c r="AP8" i="8"/>
  <c r="M409" i="43" s="1"/>
  <c r="BB8" i="8"/>
  <c r="AP29" i="8"/>
  <c r="M430" i="43" s="1"/>
  <c r="BB29" i="8"/>
  <c r="AP31" i="8"/>
  <c r="M432" i="43" s="1"/>
  <c r="BB31" i="8"/>
  <c r="AP33" i="8"/>
  <c r="BB33" i="8"/>
  <c r="AP23" i="8"/>
  <c r="M424" i="43" s="1"/>
  <c r="BB23" i="8"/>
  <c r="AP10" i="8"/>
  <c r="M411" i="43" s="1"/>
  <c r="BB10" i="8"/>
  <c r="AP12" i="8"/>
  <c r="M413" i="43" s="1"/>
  <c r="BB12" i="8"/>
  <c r="AP14" i="8"/>
  <c r="M415" i="43" s="1"/>
  <c r="BB14" i="8"/>
  <c r="AP16" i="8"/>
  <c r="M417" i="43" s="1"/>
  <c r="BB16" i="8"/>
  <c r="AP18" i="8"/>
  <c r="M419" i="43" s="1"/>
  <c r="BB18" i="8"/>
  <c r="AP25" i="8"/>
  <c r="M426" i="43" s="1"/>
  <c r="BB25" i="8"/>
  <c r="AP20" i="8"/>
  <c r="M421" i="43" s="1"/>
  <c r="BB20" i="8"/>
  <c r="AP22" i="8"/>
  <c r="M423" i="43" s="1"/>
  <c r="BB22" i="8"/>
  <c r="AP24" i="8"/>
  <c r="M425" i="43" s="1"/>
  <c r="BB24" i="8"/>
  <c r="AP26" i="8"/>
  <c r="BB26" i="8"/>
  <c r="AP27" i="8"/>
  <c r="M428" i="43" s="1"/>
  <c r="BB27" i="8"/>
  <c r="AP3" i="8"/>
  <c r="M404" i="43" s="1"/>
  <c r="BB3" i="8"/>
  <c r="AP5" i="8"/>
  <c r="M406" i="43" s="1"/>
  <c r="BB5" i="8"/>
  <c r="AP7" i="8"/>
  <c r="M408" i="43" s="1"/>
  <c r="BB7" i="8"/>
  <c r="AP9" i="8"/>
  <c r="M410" i="43" s="1"/>
  <c r="BB9" i="8"/>
  <c r="AP28" i="8"/>
  <c r="M429" i="43" s="1"/>
  <c r="BB28" i="8"/>
  <c r="AP30" i="8"/>
  <c r="M431" i="43" s="1"/>
  <c r="BB30" i="8"/>
  <c r="AP32" i="8"/>
  <c r="M433" i="43" s="1"/>
  <c r="BB32" i="8"/>
  <c r="AP19" i="8"/>
  <c r="BB19" i="8"/>
  <c r="AP11" i="8"/>
  <c r="M412" i="43" s="1"/>
  <c r="BB11" i="8"/>
  <c r="AP13" i="8"/>
  <c r="M414" i="43" s="1"/>
  <c r="BB13" i="8"/>
  <c r="AP15" i="8"/>
  <c r="M416" i="43" s="1"/>
  <c r="BB15" i="8"/>
  <c r="AP17" i="8"/>
  <c r="M418" i="43" s="1"/>
  <c r="BB17" i="8"/>
  <c r="AO8" i="8"/>
  <c r="L409" i="43" s="1"/>
  <c r="BA8" i="8"/>
  <c r="BA7" i="8"/>
  <c r="BA9" i="8"/>
  <c r="AO12" i="8"/>
  <c r="L413" i="43" s="1"/>
  <c r="Q14" i="8"/>
  <c r="AO16" i="8"/>
  <c r="L417" i="43" s="1"/>
  <c r="AO18" i="8"/>
  <c r="L419" i="43" s="1"/>
  <c r="AO20" i="8"/>
  <c r="L421" i="43" s="1"/>
  <c r="BA20" i="8"/>
  <c r="BA30" i="8"/>
  <c r="Q23" i="8"/>
  <c r="AO22" i="8"/>
  <c r="L423" i="43" s="1"/>
  <c r="AO24" i="8"/>
  <c r="L425" i="43" s="1"/>
  <c r="AO26" i="8"/>
  <c r="BA26" i="8"/>
  <c r="AO28" i="8"/>
  <c r="L429" i="43" s="1"/>
  <c r="AO3" i="8"/>
  <c r="L404" i="43" s="1"/>
  <c r="BA3" i="8"/>
  <c r="AO11" i="8"/>
  <c r="L412" i="43" s="1"/>
  <c r="BA11" i="8"/>
  <c r="BA21" i="8"/>
  <c r="BA25" i="8"/>
  <c r="BA27" i="8"/>
  <c r="Q32" i="8"/>
  <c r="AO29" i="8"/>
  <c r="L430" i="43" s="1"/>
  <c r="BA29" i="8"/>
  <c r="Q5" i="8"/>
  <c r="BA4" i="8"/>
  <c r="BA6" i="8"/>
  <c r="BA10" i="8"/>
  <c r="AO13" i="8"/>
  <c r="L414" i="43" s="1"/>
  <c r="AO15" i="8"/>
  <c r="AO17" i="8"/>
  <c r="L418" i="43" s="1"/>
  <c r="BA17" i="8"/>
  <c r="AO19" i="8"/>
  <c r="L420" i="43" s="1"/>
  <c r="BA31" i="8"/>
  <c r="BA33" i="8"/>
  <c r="AN3" i="8"/>
  <c r="K404" i="43" s="1"/>
  <c r="AZ3" i="8"/>
  <c r="AN7" i="8"/>
  <c r="AZ7" i="8"/>
  <c r="AN9" i="8"/>
  <c r="AZ9" i="8"/>
  <c r="AN11" i="8"/>
  <c r="K412" i="43" s="1"/>
  <c r="AZ11" i="8"/>
  <c r="AN13" i="8"/>
  <c r="AZ13" i="8"/>
  <c r="AN15" i="8"/>
  <c r="AZ15" i="8"/>
  <c r="AN17" i="8"/>
  <c r="K418" i="43" s="1"/>
  <c r="AZ17" i="8"/>
  <c r="AN19" i="8"/>
  <c r="AZ19" i="8"/>
  <c r="AN21" i="8"/>
  <c r="K422" i="43" s="1"/>
  <c r="AZ21" i="8"/>
  <c r="AN23" i="8"/>
  <c r="K424" i="43" s="1"/>
  <c r="AZ23" i="8"/>
  <c r="AN25" i="8"/>
  <c r="K426" i="43" s="1"/>
  <c r="AZ25" i="8"/>
  <c r="AN27" i="8"/>
  <c r="AZ27" i="8"/>
  <c r="AN29" i="8"/>
  <c r="K430" i="43" s="1"/>
  <c r="AZ29" i="8"/>
  <c r="AN31" i="8"/>
  <c r="AZ31" i="8"/>
  <c r="AN33" i="8"/>
  <c r="K434" i="43" s="1"/>
  <c r="AZ33" i="8"/>
  <c r="AN5" i="8"/>
  <c r="AZ5" i="8"/>
  <c r="AN4" i="8"/>
  <c r="K405" i="43" s="1"/>
  <c r="AZ4" i="8"/>
  <c r="AN8" i="8"/>
  <c r="AZ8" i="8"/>
  <c r="AN10" i="8"/>
  <c r="K411" i="43" s="1"/>
  <c r="AZ10" i="8"/>
  <c r="AN12" i="8"/>
  <c r="AZ12" i="8"/>
  <c r="AN14" i="8"/>
  <c r="K415" i="43" s="1"/>
  <c r="AZ14" i="8"/>
  <c r="AN16" i="8"/>
  <c r="K417" i="43" s="1"/>
  <c r="AZ16" i="8"/>
  <c r="AN18" i="8"/>
  <c r="K419" i="43" s="1"/>
  <c r="AZ18" i="8"/>
  <c r="AN20" i="8"/>
  <c r="K421" i="43" s="1"/>
  <c r="AZ20" i="8"/>
  <c r="AN22" i="8"/>
  <c r="K423" i="43" s="1"/>
  <c r="AZ22" i="8"/>
  <c r="AN24" i="8"/>
  <c r="K425" i="43" s="1"/>
  <c r="AZ24" i="8"/>
  <c r="AN26" i="8"/>
  <c r="AZ26" i="8"/>
  <c r="AN28" i="8"/>
  <c r="K429" i="43" s="1"/>
  <c r="AZ28" i="8"/>
  <c r="AN30" i="8"/>
  <c r="K431" i="43" s="1"/>
  <c r="AZ30" i="8"/>
  <c r="AN32" i="8"/>
  <c r="K433" i="43" s="1"/>
  <c r="AZ32" i="8"/>
  <c r="AN6" i="8"/>
  <c r="K407" i="43" s="1"/>
  <c r="AZ6" i="8"/>
  <c r="C169" i="43"/>
  <c r="R286" i="43" l="1"/>
  <c r="M420" i="43"/>
  <c r="Y286" i="43"/>
  <c r="M427" i="43"/>
  <c r="AF286" i="43"/>
  <c r="M434" i="43"/>
  <c r="N247" i="43"/>
  <c r="L416" i="43"/>
  <c r="Y247" i="43"/>
  <c r="L427" i="43"/>
  <c r="Y169" i="43"/>
  <c r="K427" i="43"/>
  <c r="G208" i="43"/>
  <c r="K409" i="43"/>
  <c r="Z169" i="43"/>
  <c r="K428" i="43"/>
  <c r="N169" i="43"/>
  <c r="K416" i="43"/>
  <c r="H169" i="43"/>
  <c r="K410" i="43"/>
  <c r="D169" i="43"/>
  <c r="K406" i="43"/>
  <c r="R169" i="43"/>
  <c r="K420" i="43"/>
  <c r="L169" i="43"/>
  <c r="K414" i="43"/>
  <c r="F169" i="43"/>
  <c r="K408" i="43"/>
  <c r="K208" i="43"/>
  <c r="K413" i="43"/>
  <c r="AD169" i="43"/>
  <c r="K432" i="43"/>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BD29" i="8"/>
  <c r="AR23" i="8"/>
  <c r="O424" i="43" s="1"/>
  <c r="BD23" i="8"/>
  <c r="AR17" i="8"/>
  <c r="O418" i="43" s="1"/>
  <c r="BD17" i="8"/>
  <c r="AR11" i="8"/>
  <c r="O412" i="43" s="1"/>
  <c r="BD11" i="8"/>
  <c r="AR5" i="8"/>
  <c r="O406" i="43" s="1"/>
  <c r="BD5" i="8"/>
  <c r="AR32" i="8"/>
  <c r="O433" i="43" s="1"/>
  <c r="BD32" i="8"/>
  <c r="AR26" i="8"/>
  <c r="O427" i="43" s="1"/>
  <c r="BD26" i="8"/>
  <c r="AR20" i="8"/>
  <c r="BD20" i="8"/>
  <c r="AR14" i="8"/>
  <c r="O415" i="43" s="1"/>
  <c r="BD14" i="8"/>
  <c r="AR8" i="8"/>
  <c r="O409" i="43" s="1"/>
  <c r="BD8" i="8"/>
  <c r="AO5" i="8"/>
  <c r="BA5" i="8"/>
  <c r="AO23" i="8"/>
  <c r="BA23" i="8"/>
  <c r="AO32" i="8"/>
  <c r="BA32" i="8"/>
  <c r="AO14" i="8"/>
  <c r="BA14" i="8"/>
  <c r="W16" i="43" l="1"/>
  <c r="O421" i="43"/>
  <c r="V247" i="43"/>
  <c r="L424" i="43"/>
  <c r="M247" i="43"/>
  <c r="L415" i="43"/>
  <c r="D247" i="43"/>
  <c r="L406" i="43"/>
  <c r="AE247" i="43"/>
  <c r="L433" i="43"/>
  <c r="G130" i="43"/>
  <c r="J409" i="43"/>
  <c r="T130" i="43"/>
  <c r="J422" i="43"/>
  <c r="I130" i="43"/>
  <c r="J411" i="43"/>
  <c r="X130" i="43"/>
  <c r="J426" i="43"/>
  <c r="M130" i="43"/>
  <c r="J415" i="43"/>
  <c r="AE130" i="43"/>
  <c r="J433" i="43"/>
  <c r="AC130" i="43"/>
  <c r="J431" i="43"/>
  <c r="J130" i="43"/>
  <c r="J412" i="43"/>
  <c r="AB130" i="43"/>
  <c r="J430" i="43"/>
  <c r="P130" i="43"/>
  <c r="J418" i="43"/>
  <c r="O130" i="43"/>
  <c r="J417" i="43"/>
  <c r="F130" i="43"/>
  <c r="J408" i="43"/>
  <c r="R130" i="43"/>
  <c r="J420" i="43"/>
  <c r="N130" i="43"/>
  <c r="J416" i="43"/>
  <c r="Z130" i="43"/>
  <c r="J428" i="43"/>
  <c r="E130" i="43"/>
  <c r="J407" i="43"/>
  <c r="S130" i="43"/>
  <c r="J421" i="43"/>
  <c r="W130" i="43"/>
  <c r="J425" i="43"/>
  <c r="D130" i="43"/>
  <c r="J406" i="43"/>
  <c r="AF130" i="43"/>
  <c r="J434" i="43"/>
  <c r="AD130" i="43"/>
  <c r="J432" i="43"/>
  <c r="V130" i="43"/>
  <c r="J424" i="43"/>
  <c r="C130" i="43"/>
  <c r="J405" i="43"/>
  <c r="K130" i="43"/>
  <c r="J413" i="43"/>
  <c r="Q130" i="43"/>
  <c r="J419" i="43"/>
  <c r="L130" i="43"/>
  <c r="J414" i="43"/>
  <c r="Y130" i="43"/>
  <c r="J427" i="43"/>
  <c r="AA130" i="43"/>
  <c r="J429" i="43"/>
  <c r="H130" i="43"/>
  <c r="J410" i="43"/>
  <c r="U130" i="43"/>
  <c r="J423" i="43"/>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<sst xmlns="http://schemas.openxmlformats.org/spreadsheetml/2006/main" count="311" uniqueCount="164">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</sst>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-5.5892037142857146E-4</c:v>
                </c:pt>
                <c:pt idx="1">
                  <c:v>-5.5890980000000007E-4</c:v>
                </c:pt>
                <c:pt idx="2">
                  <c:v>-5.5891268571428576E-4</c:v>
                </c:pt>
                <c:pt idx="3">
                  <c:v>-5.5891354285714288E-4</c:v>
                </c:pt>
                <c:pt idx="4">
                  <c:v>-5.5891380000000002E-4</c:v>
                </c:pt>
                <c:pt idx="5">
                  <c:v>-5.5891388571428573E-4</c:v>
                </c:pt>
                <c:pt idx="6">
                  <c:v>-5.5891391428571438E-4</c:v>
                </c:pt>
                <c:pt idx="7">
                  <c:v>-5.5891391428571438E-4</c:v>
                </c:pt>
                <c:pt idx="8">
                  <c:v>-5.5891391428571438E-4</c:v>
                </c:pt>
                <c:pt idx="9">
                  <c:v>-5.5891391428571438E-4</c:v>
                </c:pt>
                <c:pt idx="10">
                  <c:v>-5.5891391428571438E-4</c:v>
                </c:pt>
                <c:pt idx="11">
                  <c:v>-5.5891394285714291E-4</c:v>
                </c:pt>
                <c:pt idx="12">
                  <c:v>-5.5891397142857145E-4</c:v>
                </c:pt>
                <c:pt idx="13">
                  <c:v>-5.5891448571428572E-4</c:v>
                </c:pt>
                <c:pt idx="14">
                  <c:v>-5.5891965714285712E-4</c:v>
                </c:pt>
                <c:pt idx="15">
                  <c:v>-5.5897102857142866E-4</c:v>
                </c:pt>
                <c:pt idx="16">
                  <c:v>-5.5947377142857152E-4</c:v>
                </c:pt>
                <c:pt idx="17">
                  <c:v>-5.6355397142857143E-4</c:v>
                </c:pt>
                <c:pt idx="18">
                  <c:v>-5.7474800000000003E-4</c:v>
                </c:pt>
                <c:pt idx="19">
                  <c:v>-5.8737985714285719E-4</c:v>
                </c:pt>
                <c:pt idx="20">
                  <c:v>-6.0804631428571431E-4</c:v>
                </c:pt>
                <c:pt idx="21">
                  <c:v>-6.5085985714285718E-4</c:v>
                </c:pt>
                <c:pt idx="22">
                  <c:v>-7.1475934285714299E-4</c:v>
                </c:pt>
                <c:pt idx="23">
                  <c:v>-7.9079345714285724E-4</c:v>
                </c:pt>
                <c:pt idx="24">
                  <c:v>-8.6991351428571432E-4</c:v>
                </c:pt>
                <c:pt idx="25">
                  <c:v>-9.4754371428571436E-4</c:v>
                </c:pt>
                <c:pt idx="26">
                  <c:v>-1.0310119428571429E-3</c:v>
                </c:pt>
                <c:pt idx="27">
                  <c:v>-1.1241460285714286E-3</c:v>
                </c:pt>
                <c:pt idx="28">
                  <c:v>-1.2562818285714286E-3</c:v>
                </c:pt>
                <c:pt idx="29">
                  <c:v>-1.4614530285714286E-3</c:v>
                </c:pt>
                <c:pt idx="30">
                  <c:v>-1.802786285714286E-3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-5.6168965714285715E-4</c:v>
                </c:pt>
                <c:pt idx="1">
                  <c:v>-5.6167891428571433E-4</c:v>
                </c:pt>
                <c:pt idx="2">
                  <c:v>-5.6168177142857149E-4</c:v>
                </c:pt>
                <c:pt idx="3">
                  <c:v>-5.6168260000000008E-4</c:v>
                </c:pt>
                <c:pt idx="4">
                  <c:v>-5.6168285714285721E-4</c:v>
                </c:pt>
                <c:pt idx="5">
                  <c:v>-5.6168294285714293E-4</c:v>
                </c:pt>
                <c:pt idx="6">
                  <c:v>-5.6168297142857146E-4</c:v>
                </c:pt>
                <c:pt idx="7">
                  <c:v>-5.6168297142857146E-4</c:v>
                </c:pt>
                <c:pt idx="8">
                  <c:v>-5.61683E-4</c:v>
                </c:pt>
                <c:pt idx="9">
                  <c:v>-5.61683E-4</c:v>
                </c:pt>
                <c:pt idx="10">
                  <c:v>-5.61683E-4</c:v>
                </c:pt>
                <c:pt idx="11">
                  <c:v>-5.6168320000000006E-4</c:v>
                </c:pt>
                <c:pt idx="12">
                  <c:v>-5.6168508571428574E-4</c:v>
                </c:pt>
                <c:pt idx="13">
                  <c:v>-5.617039142857144E-4</c:v>
                </c:pt>
                <c:pt idx="14">
                  <c:v>-5.6189088571428577E-4</c:v>
                </c:pt>
                <c:pt idx="15">
                  <c:v>-5.6361988571428567E-4</c:v>
                </c:pt>
                <c:pt idx="16">
                  <c:v>-5.7295888571428581E-4</c:v>
                </c:pt>
                <c:pt idx="17">
                  <c:v>-5.846362000000001E-4</c:v>
                </c:pt>
                <c:pt idx="18">
                  <c:v>-6.0134048571428575E-4</c:v>
                </c:pt>
                <c:pt idx="19">
                  <c:v>-6.3636051428571437E-4</c:v>
                </c:pt>
                <c:pt idx="20">
                  <c:v>-6.9439380000000002E-4</c:v>
                </c:pt>
                <c:pt idx="21">
                  <c:v>-7.6528542857142866E-4</c:v>
                </c:pt>
                <c:pt idx="22">
                  <c:v>-8.4155414285714278E-4</c:v>
                </c:pt>
                <c:pt idx="23">
                  <c:v>-9.1760622857142856E-4</c:v>
                </c:pt>
                <c:pt idx="24">
                  <c:v>-9.9569642857142869E-4</c:v>
                </c:pt>
                <c:pt idx="25">
                  <c:v>-1.0819888857142856E-3</c:v>
                </c:pt>
                <c:pt idx="26">
                  <c:v>-1.1905131142857144E-3</c:v>
                </c:pt>
                <c:pt idx="27">
                  <c:v>-1.357037342857143E-3</c:v>
                </c:pt>
                <c:pt idx="28">
                  <c:v>-1.6271212571428572E-3</c:v>
                </c:pt>
                <c:pt idx="29">
                  <c:v>-2.1151075142857145E-3</c:v>
                </c:pt>
                <c:pt idx="30">
                  <c:v>-3.1498225714285716E-3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-5.6348934285714288E-4</c:v>
                </c:pt>
                <c:pt idx="1">
                  <c:v>-5.6347848571428581E-4</c:v>
                </c:pt>
                <c:pt idx="2">
                  <c:v>-5.6348131428571432E-4</c:v>
                </c:pt>
                <c:pt idx="3">
                  <c:v>-5.6348214285714291E-4</c:v>
                </c:pt>
                <c:pt idx="4">
                  <c:v>-5.6348240000000005E-4</c:v>
                </c:pt>
                <c:pt idx="5">
                  <c:v>-5.6348248571428576E-4</c:v>
                </c:pt>
                <c:pt idx="6">
                  <c:v>-5.634825142857143E-4</c:v>
                </c:pt>
                <c:pt idx="7">
                  <c:v>-5.634825142857143E-4</c:v>
                </c:pt>
                <c:pt idx="8">
                  <c:v>-5.6348254285714294E-4</c:v>
                </c:pt>
                <c:pt idx="9">
                  <c:v>-5.6348271428571437E-4</c:v>
                </c:pt>
                <c:pt idx="10">
                  <c:v>-5.6348448571428569E-4</c:v>
                </c:pt>
                <c:pt idx="11">
                  <c:v>-5.6350217142857144E-4</c:v>
                </c:pt>
                <c:pt idx="12">
                  <c:v>-5.6367762857142858E-4</c:v>
                </c:pt>
                <c:pt idx="13">
                  <c:v>-5.6530822857142854E-4</c:v>
                </c:pt>
                <c:pt idx="14">
                  <c:v>-5.7441494285714293E-4</c:v>
                </c:pt>
                <c:pt idx="15">
                  <c:v>-5.8573588571428576E-4</c:v>
                </c:pt>
                <c:pt idx="16">
                  <c:v>-5.9907651428571431E-4</c:v>
                </c:pt>
                <c:pt idx="17">
                  <c:v>-6.1825137142857149E-4</c:v>
                </c:pt>
                <c:pt idx="18">
                  <c:v>-6.5297140000000005E-4</c:v>
                </c:pt>
                <c:pt idx="19">
                  <c:v>-7.1575365714285713E-4</c:v>
                </c:pt>
                <c:pt idx="20">
                  <c:v>-7.9640562857142866E-4</c:v>
                </c:pt>
                <c:pt idx="21">
                  <c:v>-8.8083740000000001E-4</c:v>
                </c:pt>
                <c:pt idx="22">
                  <c:v>-9.6669668571428577E-4</c:v>
                </c:pt>
                <c:pt idx="23">
                  <c:v>-1.0590879428571428E-3</c:v>
                </c:pt>
                <c:pt idx="24">
                  <c:v>-1.1709494857142858E-3</c:v>
                </c:pt>
                <c:pt idx="25">
                  <c:v>-1.338241142857143E-3</c:v>
                </c:pt>
                <c:pt idx="26">
                  <c:v>-1.6058572285714287E-3</c:v>
                </c:pt>
                <c:pt idx="27">
                  <c:v>-2.0846555428571428E-3</c:v>
                </c:pt>
                <c:pt idx="28">
                  <c:v>-3.0967014285714287E-3</c:v>
                </c:pt>
                <c:pt idx="29">
                  <c:v>-5.1020828571428575E-3</c:v>
                </c:pt>
                <c:pt idx="30">
                  <c:v>-8.8143111428571428E-3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-5.6534522857142858E-4</c:v>
                </c:pt>
                <c:pt idx="1">
                  <c:v>-5.6533422857142862E-4</c:v>
                </c:pt>
                <c:pt idx="2">
                  <c:v>-5.6533705714285724E-4</c:v>
                </c:pt>
                <c:pt idx="3">
                  <c:v>-5.6533788571428573E-4</c:v>
                </c:pt>
                <c:pt idx="4">
                  <c:v>-5.6533814285714286E-4</c:v>
                </c:pt>
                <c:pt idx="5">
                  <c:v>-5.6533822857142858E-4</c:v>
                </c:pt>
                <c:pt idx="6">
                  <c:v>-5.6533842857142854E-4</c:v>
                </c:pt>
                <c:pt idx="7">
                  <c:v>-5.6534002857142865E-4</c:v>
                </c:pt>
                <c:pt idx="8">
                  <c:v>-5.6535597142857151E-4</c:v>
                </c:pt>
                <c:pt idx="9">
                  <c:v>-5.6551417142857146E-4</c:v>
                </c:pt>
                <c:pt idx="10">
                  <c:v>-5.6699531428571425E-4</c:v>
                </c:pt>
                <c:pt idx="11">
                  <c:v>-5.7573442857142862E-4</c:v>
                </c:pt>
                <c:pt idx="12">
                  <c:v>-5.8701614285714288E-4</c:v>
                </c:pt>
                <c:pt idx="13">
                  <c:v>-5.9998348571428575E-4</c:v>
                </c:pt>
                <c:pt idx="14">
                  <c:v>-6.1619954285714292E-4</c:v>
                </c:pt>
                <c:pt idx="15">
                  <c:v>-6.345624E-4</c:v>
                </c:pt>
                <c:pt idx="16">
                  <c:v>-6.5908922857142857E-4</c:v>
                </c:pt>
                <c:pt idx="17">
                  <c:v>-7.0183665714285723E-4</c:v>
                </c:pt>
                <c:pt idx="18">
                  <c:v>-7.7553539999999997E-4</c:v>
                </c:pt>
                <c:pt idx="19">
                  <c:v>-8.7162931428571438E-4</c:v>
                </c:pt>
                <c:pt idx="20">
                  <c:v>-9.803556571428573E-4</c:v>
                </c:pt>
                <c:pt idx="21">
                  <c:v>-1.1055107142857144E-3</c:v>
                </c:pt>
                <c:pt idx="22">
                  <c:v>-1.2797674857142859E-3</c:v>
                </c:pt>
                <c:pt idx="23">
                  <c:v>-1.5468386571428571E-3</c:v>
                </c:pt>
                <c:pt idx="24">
                  <c:v>-2.0103361428571429E-3</c:v>
                </c:pt>
                <c:pt idx="25">
                  <c:v>-2.9789217142857146E-3</c:v>
                </c:pt>
                <c:pt idx="26">
                  <c:v>-4.8967757142857147E-3</c:v>
                </c:pt>
                <c:pt idx="27">
                  <c:v>-8.4642999999999993E-3</c:v>
                </c:pt>
                <c:pt idx="28">
                  <c:v>-1.4895274571428573E-2</c:v>
                </c:pt>
                <c:pt idx="29">
                  <c:v>-2.1472374571428574E-2</c:v>
                </c:pt>
                <c:pt idx="30">
                  <c:v>-2.4615299714285718E-2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-5.6765062857142858E-4</c:v>
                </c:pt>
                <c:pt idx="1">
                  <c:v>-5.6763991428571429E-4</c:v>
                </c:pt>
                <c:pt idx="2">
                  <c:v>-5.6764697142857147E-4</c:v>
                </c:pt>
                <c:pt idx="3">
                  <c:v>-5.6769022857142864E-4</c:v>
                </c:pt>
                <c:pt idx="4">
                  <c:v>-5.6810754285714291E-4</c:v>
                </c:pt>
                <c:pt idx="5">
                  <c:v>-5.7162008571428572E-4</c:v>
                </c:pt>
                <c:pt idx="6">
                  <c:v>-5.8276582857142865E-4</c:v>
                </c:pt>
                <c:pt idx="7">
                  <c:v>-5.9470314285714281E-4</c:v>
                </c:pt>
                <c:pt idx="8">
                  <c:v>-6.0905660000000006E-4</c:v>
                </c:pt>
                <c:pt idx="9">
                  <c:v>-6.2686451428571436E-4</c:v>
                </c:pt>
                <c:pt idx="10">
                  <c:v>-6.4622380000000008E-4</c:v>
                </c:pt>
                <c:pt idx="11">
                  <c:v>-6.724639142857144E-4</c:v>
                </c:pt>
                <c:pt idx="12">
                  <c:v>-7.0394182857142862E-4</c:v>
                </c:pt>
                <c:pt idx="13">
                  <c:v>-7.3808877142857144E-4</c:v>
                </c:pt>
                <c:pt idx="14">
                  <c:v>-7.7937257142857153E-4</c:v>
                </c:pt>
                <c:pt idx="15">
                  <c:v>-8.3077111428571425E-4</c:v>
                </c:pt>
                <c:pt idx="16">
                  <c:v>-9.2215834285714292E-4</c:v>
                </c:pt>
                <c:pt idx="17">
                  <c:v>-1.1030462571428572E-3</c:v>
                </c:pt>
                <c:pt idx="18">
                  <c:v>-1.4169130571428574E-3</c:v>
                </c:pt>
                <c:pt idx="19">
                  <c:v>-1.989220685714286E-3</c:v>
                </c:pt>
                <c:pt idx="20">
                  <c:v>-3.1422751428571431E-3</c:v>
                </c:pt>
                <c:pt idx="21">
                  <c:v>-5.4349865714285722E-3</c:v>
                </c:pt>
                <c:pt idx="22">
                  <c:v>-9.7543965714285731E-3</c:v>
                </c:pt>
                <c:pt idx="23">
                  <c:v>-1.6865644857142859E-2</c:v>
                </c:pt>
                <c:pt idx="24">
                  <c:v>-2.2093246E-2</c:v>
                </c:pt>
                <c:pt idx="25">
                  <c:v>-2.4779278857142862E-2</c:v>
                </c:pt>
                <c:pt idx="26">
                  <c:v>-2.6766490571428572E-2</c:v>
                </c:pt>
                <c:pt idx="27">
                  <c:v>-2.6868412571428572E-2</c:v>
                </c:pt>
                <c:pt idx="28">
                  <c:v>-2.7191233999999998E-2</c:v>
                </c:pt>
                <c:pt idx="29">
                  <c:v>-2.7195999142857145E-2</c:v>
                </c:pt>
                <c:pt idx="30">
                  <c:v>-2.7336072000000003E-2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-6.1840197142857146E-4</c:v>
                </c:pt>
                <c:pt idx="1">
                  <c:v>-6.4192477142857151E-4</c:v>
                </c:pt>
                <c:pt idx="2">
                  <c:v>-6.6578565714285718E-4</c:v>
                </c:pt>
                <c:pt idx="3">
                  <c:v>-6.9553491428571434E-4</c:v>
                </c:pt>
                <c:pt idx="4">
                  <c:v>-7.2880822857142866E-4</c:v>
                </c:pt>
                <c:pt idx="5">
                  <c:v>-7.6696551428571426E-4</c:v>
                </c:pt>
                <c:pt idx="6">
                  <c:v>-8.1310145714285709E-4</c:v>
                </c:pt>
                <c:pt idx="7">
                  <c:v>-8.7520179999999999E-4</c:v>
                </c:pt>
                <c:pt idx="8">
                  <c:v>-9.7467042857142863E-4</c:v>
                </c:pt>
                <c:pt idx="9">
                  <c:v>-1.1375140571428571E-3</c:v>
                </c:pt>
                <c:pt idx="10">
                  <c:v>-1.4322549714285717E-3</c:v>
                </c:pt>
                <c:pt idx="11">
                  <c:v>-2.0606296285714289E-3</c:v>
                </c:pt>
                <c:pt idx="12">
                  <c:v>-3.3242445714285712E-3</c:v>
                </c:pt>
                <c:pt idx="13">
                  <c:v>-5.6982420000000001E-3</c:v>
                </c:pt>
                <c:pt idx="14">
                  <c:v>-1.0000507142857143E-2</c:v>
                </c:pt>
                <c:pt idx="15">
                  <c:v>-1.4185493714285716E-2</c:v>
                </c:pt>
                <c:pt idx="16">
                  <c:v>-1.6304024571428571E-2</c:v>
                </c:pt>
                <c:pt idx="17">
                  <c:v>-1.8261522000000002E-2</c:v>
                </c:pt>
                <c:pt idx="18">
                  <c:v>-1.960208028571429E-2</c:v>
                </c:pt>
                <c:pt idx="19">
                  <c:v>-2.1330320857142857E-2</c:v>
                </c:pt>
                <c:pt idx="20">
                  <c:v>-2.3068337428571433E-2</c:v>
                </c:pt>
                <c:pt idx="21">
                  <c:v>-2.4452565714285716E-2</c:v>
                </c:pt>
                <c:pt idx="22">
                  <c:v>-2.5445066857142859E-2</c:v>
                </c:pt>
                <c:pt idx="23">
                  <c:v>-2.6120219142857143E-2</c:v>
                </c:pt>
                <c:pt idx="24">
                  <c:v>-2.6581952857142859E-2</c:v>
                </c:pt>
                <c:pt idx="25">
                  <c:v>-2.6895848857142857E-2</c:v>
                </c:pt>
                <c:pt idx="26">
                  <c:v>-2.6954494571428574E-2</c:v>
                </c:pt>
                <c:pt idx="27">
                  <c:v>-2.7217686571428569E-2</c:v>
                </c:pt>
                <c:pt idx="28">
                  <c:v>-2.7221723714285714E-2</c:v>
                </c:pt>
                <c:pt idx="29">
                  <c:v>-2.7305871714285716E-2</c:v>
                </c:pt>
                <c:pt idx="30">
                  <c:v>-2.7309677428571429E-2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-6.5662397142857143E-4</c:v>
                </c:pt>
                <c:pt idx="1">
                  <c:v>-6.9128320000000007E-4</c:v>
                </c:pt>
                <c:pt idx="2">
                  <c:v>-7.2510685714285712E-4</c:v>
                </c:pt>
                <c:pt idx="3">
                  <c:v>-7.6208288571428585E-4</c:v>
                </c:pt>
                <c:pt idx="4">
                  <c:v>-8.0717060000000005E-4</c:v>
                </c:pt>
                <c:pt idx="5">
                  <c:v>-8.6432000000000013E-4</c:v>
                </c:pt>
                <c:pt idx="6">
                  <c:v>-9.5559037142857147E-4</c:v>
                </c:pt>
                <c:pt idx="7">
                  <c:v>-1.1032781142857142E-3</c:v>
                </c:pt>
                <c:pt idx="8">
                  <c:v>-1.3608547142857144E-3</c:v>
                </c:pt>
                <c:pt idx="9">
                  <c:v>-1.8943430571428572E-3</c:v>
                </c:pt>
                <c:pt idx="10">
                  <c:v>-2.9633485714285718E-3</c:v>
                </c:pt>
                <c:pt idx="11">
                  <c:v>-5.0025814285714291E-3</c:v>
                </c:pt>
                <c:pt idx="12">
                  <c:v>-8.7717962857142857E-3</c:v>
                </c:pt>
                <c:pt idx="13">
                  <c:v>-1.3274090285714286E-2</c:v>
                </c:pt>
                <c:pt idx="14">
                  <c:v>-1.5647893142857142E-2</c:v>
                </c:pt>
                <c:pt idx="15">
                  <c:v>-1.7303699142857145E-2</c:v>
                </c:pt>
                <c:pt idx="16">
                  <c:v>-1.8197246571428575E-2</c:v>
                </c:pt>
                <c:pt idx="17">
                  <c:v>-1.9020716E-2</c:v>
                </c:pt>
                <c:pt idx="18">
                  <c:v>-2.0558336000000003E-2</c:v>
                </c:pt>
                <c:pt idx="19">
                  <c:v>-2.2364219142857147E-2</c:v>
                </c:pt>
                <c:pt idx="20">
                  <c:v>-2.3917288000000002E-2</c:v>
                </c:pt>
                <c:pt idx="21">
                  <c:v>-2.5069089428571428E-2</c:v>
                </c:pt>
                <c:pt idx="22">
                  <c:v>-2.5863646571428575E-2</c:v>
                </c:pt>
                <c:pt idx="23">
                  <c:v>-2.6408451142857142E-2</c:v>
                </c:pt>
                <c:pt idx="24">
                  <c:v>-2.6778495142857142E-2</c:v>
                </c:pt>
                <c:pt idx="25">
                  <c:v>-2.6843666571428573E-2</c:v>
                </c:pt>
                <c:pt idx="26">
                  <c:v>-2.693226342857143E-2</c:v>
                </c:pt>
                <c:pt idx="27">
                  <c:v>-2.7235974857142856E-2</c:v>
                </c:pt>
                <c:pt idx="28">
                  <c:v>-2.7240321142857141E-2</c:v>
                </c:pt>
                <c:pt idx="29">
                  <c:v>-2.7359462000000005E-2</c:v>
                </c:pt>
                <c:pt idx="30">
                  <c:v>-2.7362212285714289E-2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551995320"/>
        <c:axId val="55199571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5199532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1995712"/>
        <c:crossesAt val="-8.0000000000000019E-3"/>
        <c:crossBetween val="midCat"/>
      </c:valAx>
      <c:valAx>
        <c:axId val="5519957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19953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17891.636288798203</c:v>
                </c:pt>
                <c:pt idx="1">
                  <c:v>17891.97469788506</c:v>
                </c:pt>
                <c:pt idx="2">
                  <c:v>17891.882320080251</c:v>
                </c:pt>
                <c:pt idx="3">
                  <c:v>17891.85488131208</c:v>
                </c:pt>
                <c:pt idx="4">
                  <c:v>17891.84664969804</c:v>
                </c:pt>
                <c:pt idx="5">
                  <c:v>17891.843905828377</c:v>
                </c:pt>
                <c:pt idx="6">
                  <c:v>17891.84299120534</c:v>
                </c:pt>
                <c:pt idx="7">
                  <c:v>17891.84299120534</c:v>
                </c:pt>
                <c:pt idx="8">
                  <c:v>17891.84299120534</c:v>
                </c:pt>
                <c:pt idx="9">
                  <c:v>17891.84299120534</c:v>
                </c:pt>
                <c:pt idx="10">
                  <c:v>17891.84299120534</c:v>
                </c:pt>
                <c:pt idx="11">
                  <c:v>17891.842076582398</c:v>
                </c:pt>
                <c:pt idx="12">
                  <c:v>17891.841161959554</c:v>
                </c:pt>
                <c:pt idx="13">
                  <c:v>17891.824698764292</c:v>
                </c:pt>
                <c:pt idx="14">
                  <c:v>17891.659153873792</c:v>
                </c:pt>
                <c:pt idx="15">
                  <c:v>17890.014846667746</c:v>
                </c:pt>
                <c:pt idx="16">
                  <c:v>17873.938888083707</c:v>
                </c:pt>
                <c:pt idx="17">
                  <c:v>17744.529374268575</c:v>
                </c:pt>
                <c:pt idx="18">
                  <c:v>17398.92961784991</c:v>
                </c:pt>
                <c:pt idx="19">
                  <c:v>17024.758132909366</c:v>
                </c:pt>
                <c:pt idx="20">
                  <c:v>16446.115641285032</c:v>
                </c:pt>
                <c:pt idx="21">
                  <c:v>15364.29062301979</c:v>
                </c:pt>
                <c:pt idx="22">
                  <c:v>13990.723031372356</c:v>
                </c:pt>
                <c:pt idx="23">
                  <c:v>12645.526982646108</c:v>
                </c:pt>
                <c:pt idx="24">
                  <c:v>11495.395617817245</c:v>
                </c:pt>
                <c:pt idx="25">
                  <c:v>10553.602804001805</c:v>
                </c:pt>
                <c:pt idx="26">
                  <c:v>9699.2086942154856</c:v>
                </c:pt>
                <c:pt idx="27">
                  <c:v>8895.6414432278507</c:v>
                </c:pt>
                <c:pt idx="28">
                  <c:v>7959.9973290797534</c:v>
                </c:pt>
                <c:pt idx="29">
                  <c:v>6842.5052358850062</c:v>
                </c:pt>
                <c:pt idx="30">
                  <c:v>5546.9691994233681</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17803.425562199114</c:v>
                </c:pt>
                <c:pt idx="1">
                  <c:v>17803.766076419255</c:v>
                </c:pt>
                <c:pt idx="2">
                  <c:v>17803.675512855218</c:v>
                </c:pt>
                <c:pt idx="3">
                  <c:v>17803.649249593986</c:v>
                </c:pt>
                <c:pt idx="4">
                  <c:v>17803.641098942462</c:v>
                </c:pt>
                <c:pt idx="5">
                  <c:v>17803.638382060279</c:v>
                </c:pt>
                <c:pt idx="6">
                  <c:v>17803.637476433069</c:v>
                </c:pt>
                <c:pt idx="7">
                  <c:v>17803.637476433069</c:v>
                </c:pt>
                <c:pt idx="8">
                  <c:v>17803.636570805953</c:v>
                </c:pt>
                <c:pt idx="9">
                  <c:v>17803.636570805953</c:v>
                </c:pt>
                <c:pt idx="10">
                  <c:v>17803.636570805953</c:v>
                </c:pt>
                <c:pt idx="11">
                  <c:v>17803.630231418705</c:v>
                </c:pt>
                <c:pt idx="12">
                  <c:v>17803.570460275198</c:v>
                </c:pt>
                <c:pt idx="13">
                  <c:v>17802.973676472251</c:v>
                </c:pt>
                <c:pt idx="14">
                  <c:v>17797.049666124803</c:v>
                </c:pt>
                <c:pt idx="15">
                  <c:v>17742.454184927879</c:v>
                </c:pt>
                <c:pt idx="16">
                  <c:v>17453.259298934485</c:v>
                </c:pt>
                <c:pt idx="17">
                  <c:v>17104.654142182775</c:v>
                </c:pt>
                <c:pt idx="18">
                  <c:v>16629.513956842227</c:v>
                </c:pt>
                <c:pt idx="19">
                  <c:v>15714.36281087387</c:v>
                </c:pt>
                <c:pt idx="20">
                  <c:v>14401.050239791886</c:v>
                </c:pt>
                <c:pt idx="21">
                  <c:v>13067.019998887436</c:v>
                </c:pt>
                <c:pt idx="22">
                  <c:v>11882.776746899743</c:v>
                </c:pt>
                <c:pt idx="23">
                  <c:v>10897.920795032591</c:v>
                </c:pt>
                <c:pt idx="24">
                  <c:v>10043.221722053837</c:v>
                </c:pt>
                <c:pt idx="25">
                  <c:v>9242.2391135731505</c:v>
                </c:pt>
                <c:pt idx="26">
                  <c:v>8399.7394736804836</c:v>
                </c:pt>
                <c:pt idx="27">
                  <c:v>7368.9939725208524</c:v>
                </c:pt>
                <c:pt idx="28">
                  <c:v>6145.8234634335095</c:v>
                </c:pt>
                <c:pt idx="29">
                  <c:v>4727.8920492025509</c:v>
                </c:pt>
                <c:pt idx="30">
                  <c:v>3174.7819990586318</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17746.564556652535</c:v>
                </c:pt>
                <c:pt idx="1">
                  <c:v>17746.906498699122</c:v>
                </c:pt>
                <c:pt idx="2">
                  <c:v>17746.817412528217</c:v>
                </c:pt>
                <c:pt idx="3">
                  <c:v>17746.791316748531</c:v>
                </c:pt>
                <c:pt idx="4">
                  <c:v>17746.783218073891</c:v>
                </c:pt>
                <c:pt idx="5">
                  <c:v>17746.78051851732</c:v>
                </c:pt>
                <c:pt idx="6">
                  <c:v>17746.77961866531</c:v>
                </c:pt>
                <c:pt idx="7">
                  <c:v>17746.77961866531</c:v>
                </c:pt>
                <c:pt idx="8">
                  <c:v>17746.778718813392</c:v>
                </c:pt>
                <c:pt idx="9">
                  <c:v>17746.773319703811</c:v>
                </c:pt>
                <c:pt idx="10">
                  <c:v>17746.717529097139</c:v>
                </c:pt>
                <c:pt idx="11">
                  <c:v>17746.160542111738</c:v>
                </c:pt>
                <c:pt idx="12">
                  <c:v>17740.636656707073</c:v>
                </c:pt>
                <c:pt idx="13">
                  <c:v>17689.464781488612</c:v>
                </c:pt>
                <c:pt idx="14">
                  <c:v>17409.017861304143</c:v>
                </c:pt>
                <c:pt idx="15">
                  <c:v>17072.541129702728</c:v>
                </c:pt>
                <c:pt idx="16">
                  <c:v>16692.358591161119</c:v>
                </c:pt>
                <c:pt idx="17">
                  <c:v>16174.650736145324</c:v>
                </c:pt>
                <c:pt idx="18">
                  <c:v>15314.606428397934</c:v>
                </c:pt>
                <c:pt idx="19">
                  <c:v>13971.287327986509</c:v>
                </c:pt>
                <c:pt idx="20">
                  <c:v>12556.415526517228</c:v>
                </c:pt>
                <c:pt idx="21">
                  <c:v>11352.833110855647</c:v>
                </c:pt>
                <c:pt idx="22">
                  <c:v>10344.506345970418</c:v>
                </c:pt>
                <c:pt idx="23">
                  <c:v>9442.0865306261639</c:v>
                </c:pt>
                <c:pt idx="24">
                  <c:v>8540.0780494813098</c:v>
                </c:pt>
                <c:pt idx="25">
                  <c:v>7472.4948140885981</c:v>
                </c:pt>
                <c:pt idx="26">
                  <c:v>6227.2036530271153</c:v>
                </c:pt>
                <c:pt idx="27">
                  <c:v>4796.9555614422579</c:v>
                </c:pt>
                <c:pt idx="28">
                  <c:v>3229.2425442556155</c:v>
                </c:pt>
                <c:pt idx="29">
                  <c:v>1959.9838497330782</c:v>
                </c:pt>
                <c:pt idx="30">
                  <c:v>1134.5186070613929</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17688.307063754673</c:v>
                </c:pt>
                <c:pt idx="1">
                  <c:v>17688.651234278703</c:v>
                </c:pt>
                <c:pt idx="2">
                  <c:v>17688.562732007609</c:v>
                </c:pt>
                <c:pt idx="3">
                  <c:v>17688.536807267625</c:v>
                </c:pt>
                <c:pt idx="4">
                  <c:v>17688.528761674112</c:v>
                </c:pt>
                <c:pt idx="5">
                  <c:v>17688.526079811236</c:v>
                </c:pt>
                <c:pt idx="6">
                  <c:v>17688.519822134353</c:v>
                </c:pt>
                <c:pt idx="7">
                  <c:v>17688.46976087867</c:v>
                </c:pt>
                <c:pt idx="8">
                  <c:v>17687.970951702286</c:v>
                </c:pt>
                <c:pt idx="9">
                  <c:v>17683.02282282076</c:v>
                </c:pt>
                <c:pt idx="10">
                  <c:v>17636.830054932176</c:v>
                </c:pt>
                <c:pt idx="11">
                  <c:v>17369.119343467137</c:v>
                </c:pt>
                <c:pt idx="12">
                  <c:v>17035.306646470905</c:v>
                </c:pt>
                <c:pt idx="13">
                  <c:v>16667.125409451746</c:v>
                </c:pt>
                <c:pt idx="14">
                  <c:v>16228.509280667151</c:v>
                </c:pt>
                <c:pt idx="15">
                  <c:v>15758.891481751834</c:v>
                </c:pt>
                <c:pt idx="16">
                  <c:v>15172.452479120213</c:v>
                </c:pt>
                <c:pt idx="17">
                  <c:v>14248.329576727314</c:v>
                </c:pt>
                <c:pt idx="18">
                  <c:v>12894.317912502769</c:v>
                </c:pt>
                <c:pt idx="19">
                  <c:v>11472.766961945093</c:v>
                </c:pt>
                <c:pt idx="20">
                  <c:v>10200.379757223965</c:v>
                </c:pt>
                <c:pt idx="21">
                  <c:v>9045.5930193866425</c:v>
                </c:pt>
                <c:pt idx="22">
                  <c:v>7813.9194124146916</c:v>
                </c:pt>
                <c:pt idx="23">
                  <c:v>6464.7983510257318</c:v>
                </c:pt>
                <c:pt idx="24">
                  <c:v>4974.2925010479767</c:v>
                </c:pt>
                <c:pt idx="25">
                  <c:v>3356.9193685231835</c:v>
                </c:pt>
                <c:pt idx="26">
                  <c:v>2042.1601036016993</c:v>
                </c:pt>
                <c:pt idx="27">
                  <c:v>1181.4326051770379</c:v>
                </c:pt>
                <c:pt idx="28">
                  <c:v>671.35385467694152</c:v>
                </c:pt>
                <c:pt idx="29">
                  <c:v>465.71467756091272</c:v>
                </c:pt>
                <c:pt idx="30">
                  <c:v>406.25140120460964</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17616.469526628349</c:v>
                </c:pt>
                <c:pt idx="1">
                  <c:v>17616.802040045808</c:v>
                </c:pt>
                <c:pt idx="2">
                  <c:v>17616.583023130472</c:v>
                </c:pt>
                <c:pt idx="3">
                  <c:v>17615.24066596078</c:v>
                </c:pt>
                <c:pt idx="4">
                  <c:v>17602.301053261344</c:v>
                </c:pt>
                <c:pt idx="5">
                  <c:v>17494.13684003806</c:v>
                </c:pt>
                <c:pt idx="6">
                  <c:v>17159.551074766416</c:v>
                </c:pt>
                <c:pt idx="7">
                  <c:v>16815.112077526315</c:v>
                </c:pt>
                <c:pt idx="8">
                  <c:v>16418.835293796994</c:v>
                </c:pt>
                <c:pt idx="9">
                  <c:v>15952.410404654309</c:v>
                </c:pt>
                <c:pt idx="10">
                  <c:v>15474.515175702285</c:v>
                </c:pt>
                <c:pt idx="11">
                  <c:v>14870.686422812616</c:v>
                </c:pt>
                <c:pt idx="12">
                  <c:v>14205.719271283941</c:v>
                </c:pt>
                <c:pt idx="13">
                  <c:v>13548.505799166936</c:v>
                </c:pt>
                <c:pt idx="14">
                  <c:v>12830.833886892166</c:v>
                </c:pt>
                <c:pt idx="15">
                  <c:v>12037.009746779489</c:v>
                </c:pt>
                <c:pt idx="16">
                  <c:v>10844.124631586357</c:v>
                </c:pt>
                <c:pt idx="17">
                  <c:v>9065.8029391281325</c:v>
                </c:pt>
                <c:pt idx="18">
                  <c:v>7057.5960533277594</c:v>
                </c:pt>
                <c:pt idx="19">
                  <c:v>5027.0943147814778</c:v>
                </c:pt>
                <c:pt idx="20">
                  <c:v>3182.4075058263061</c:v>
                </c:pt>
                <c:pt idx="21">
                  <c:v>1839.9309489685686</c:v>
                </c:pt>
                <c:pt idx="22">
                  <c:v>1025.1787413781001</c:v>
                </c:pt>
                <c:pt idx="23">
                  <c:v>592.92129561028003</c:v>
                </c:pt>
                <c:pt idx="24">
                  <c:v>452.62701551415307</c:v>
                </c:pt>
                <c:pt idx="25">
                  <c:v>403.56299542258085</c:v>
                </c:pt>
                <c:pt idx="26">
                  <c:v>373.60146162285196</c:v>
                </c:pt>
                <c:pt idx="27">
                  <c:v>372.18425068527625</c:v>
                </c:pt>
                <c:pt idx="28">
                  <c:v>367.76558209899559</c:v>
                </c:pt>
                <c:pt idx="29">
                  <c:v>367.7011441084133</c:v>
                </c:pt>
                <c:pt idx="30">
                  <c:v>365.81700545711175</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16170.711708597861</c:v>
                </c:pt>
                <c:pt idx="1">
                  <c:v>15578.149411099215</c:v>
                </c:pt>
                <c:pt idx="2">
                  <c:v>15019.848944950021</c:v>
                </c:pt>
                <c:pt idx="3">
                  <c:v>14377.423468769482</c:v>
                </c:pt>
                <c:pt idx="4">
                  <c:v>13721.030592096184</c:v>
                </c:pt>
                <c:pt idx="5">
                  <c:v>13038.395877959572</c:v>
                </c:pt>
                <c:pt idx="6">
                  <c:v>12298.588216947519</c:v>
                </c:pt>
                <c:pt idx="7">
                  <c:v>11425.936281209659</c:v>
                </c:pt>
                <c:pt idx="8">
                  <c:v>10259.878320774509</c:v>
                </c:pt>
                <c:pt idx="9">
                  <c:v>8791.100151427956</c:v>
                </c:pt>
                <c:pt idx="10">
                  <c:v>6981.997060220162</c:v>
                </c:pt>
                <c:pt idx="11">
                  <c:v>4852.8856721004695</c:v>
                </c:pt>
                <c:pt idx="12">
                  <c:v>3008.2022502040422</c:v>
                </c:pt>
                <c:pt idx="13">
                  <c:v>1754.9272214132006</c:v>
                </c:pt>
                <c:pt idx="14">
                  <c:v>999.94928828609397</c:v>
                </c:pt>
                <c:pt idx="15">
                  <c:v>704.94550287871539</c:v>
                </c:pt>
                <c:pt idx="16">
                  <c:v>613.34549369633294</c:v>
                </c:pt>
                <c:pt idx="17">
                  <c:v>547.59948267181665</c:v>
                </c:pt>
                <c:pt idx="18">
                  <c:v>510.14993583552734</c:v>
                </c:pt>
                <c:pt idx="19">
                  <c:v>468.8162014520899</c:v>
                </c:pt>
                <c:pt idx="20">
                  <c:v>433.49461273331463</c:v>
                </c:pt>
                <c:pt idx="21">
                  <c:v>408.9550404176108</c:v>
                </c:pt>
                <c:pt idx="22">
                  <c:v>393.00348692905209</c:v>
                </c:pt>
                <c:pt idx="23">
                  <c:v>382.84518002348415</c:v>
                </c:pt>
                <c:pt idx="24">
                  <c:v>376.19508445230321</c:v>
                </c:pt>
                <c:pt idx="25">
                  <c:v>371.80458787952523</c:v>
                </c:pt>
                <c:pt idx="26">
                  <c:v>370.99564132060834</c:v>
                </c:pt>
                <c:pt idx="27">
                  <c:v>367.40815475836132</c:v>
                </c:pt>
                <c:pt idx="28">
                  <c:v>367.35366595290549</c:v>
                </c:pt>
                <c:pt idx="29">
                  <c:v>366.22159895258943</c:v>
                </c:pt>
                <c:pt idx="30">
                  <c:v>366.17056448780988</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15229.41658411235</c:v>
                </c:pt>
                <c:pt idx="1">
                  <c:v>14465.85133270995</c:v>
                </c:pt>
                <c:pt idx="2">
                  <c:v>13791.070793900722</c:v>
                </c:pt>
                <c:pt idx="3">
                  <c:v>13121.932256262637</c:v>
                </c:pt>
                <c:pt idx="4">
                  <c:v>12388.954701769366</c:v>
                </c:pt>
                <c:pt idx="5">
                  <c:v>11569.788967049239</c:v>
                </c:pt>
                <c:pt idx="6">
                  <c:v>10464.734994190427</c:v>
                </c:pt>
                <c:pt idx="7">
                  <c:v>9063.8977339582361</c:v>
                </c:pt>
                <c:pt idx="8">
                  <c:v>7348.3230024659915</c:v>
                </c:pt>
                <c:pt idx="9">
                  <c:v>5278.8748913739519</c:v>
                </c:pt>
                <c:pt idx="10">
                  <c:v>3374.5608250126302</c:v>
                </c:pt>
                <c:pt idx="11">
                  <c:v>1998.967961398215</c:v>
                </c:pt>
                <c:pt idx="12">
                  <c:v>1140.0173549727735</c:v>
                </c:pt>
                <c:pt idx="13">
                  <c:v>753.34729422189514</c:v>
                </c:pt>
                <c:pt idx="14">
                  <c:v>639.0636687447435</c:v>
                </c:pt>
                <c:pt idx="15">
                  <c:v>577.91111122779409</c:v>
                </c:pt>
                <c:pt idx="16">
                  <c:v>549.5336869095878</c:v>
                </c:pt>
                <c:pt idx="17">
                  <c:v>525.74256405489677</c:v>
                </c:pt>
                <c:pt idx="18">
                  <c:v>486.42069085747011</c:v>
                </c:pt>
                <c:pt idx="19">
                  <c:v>447.1428193456008</c:v>
                </c:pt>
                <c:pt idx="20">
                  <c:v>418.10760484215433</c:v>
                </c:pt>
                <c:pt idx="21">
                  <c:v>398.89761566700247</c:v>
                </c:pt>
                <c:pt idx="22">
                  <c:v>386.6430811441316</c:v>
                </c:pt>
                <c:pt idx="23">
                  <c:v>378.66666037719375</c:v>
                </c:pt>
                <c:pt idx="24">
                  <c:v>373.43397926777772</c:v>
                </c:pt>
                <c:pt idx="25">
                  <c:v>372.52735103794049</c:v>
                </c:pt>
                <c:pt idx="26">
                  <c:v>371.30187837801162</c:v>
                </c:pt>
                <c:pt idx="27">
                  <c:v>367.16144923953101</c:v>
                </c:pt>
                <c:pt idx="28">
                  <c:v>367.10286738385844</c:v>
                </c:pt>
                <c:pt idx="29">
                  <c:v>365.50426320517556</c:v>
                </c:pt>
                <c:pt idx="30">
                  <c:v>365.4675249055415</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551796472"/>
        <c:axId val="55179686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51796472"/>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1796864"/>
        <c:crosses val="autoZero"/>
        <c:crossBetween val="midCat"/>
      </c:valAx>
      <c:valAx>
        <c:axId val="551796864"/>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1796472"/>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21415.549463341617</c:v>
                </c:pt>
                <c:pt idx="1">
                  <c:v>21418.129347436585</c:v>
                </c:pt>
                <c:pt idx="2">
                  <c:v>21418.027901668822</c:v>
                </c:pt>
                <c:pt idx="3">
                  <c:v>21418.001164184629</c:v>
                </c:pt>
                <c:pt idx="4">
                  <c:v>21417.996445812005</c:v>
                </c:pt>
                <c:pt idx="5">
                  <c:v>21417.994873021591</c:v>
                </c:pt>
                <c:pt idx="6">
                  <c:v>21417.994086626455</c:v>
                </c:pt>
                <c:pt idx="7">
                  <c:v>21417.995659416745</c:v>
                </c:pt>
                <c:pt idx="8">
                  <c:v>21417.995659416745</c:v>
                </c:pt>
                <c:pt idx="9">
                  <c:v>21417.995659416745</c:v>
                </c:pt>
                <c:pt idx="10">
                  <c:v>21417.996445811998</c:v>
                </c:pt>
                <c:pt idx="11">
                  <c:v>21417.993300231385</c:v>
                </c:pt>
                <c:pt idx="12">
                  <c:v>21417.998018602641</c:v>
                </c:pt>
                <c:pt idx="13">
                  <c:v>21418.017678505221</c:v>
                </c:pt>
                <c:pt idx="14">
                  <c:v>21418.204842585139</c:v>
                </c:pt>
                <c:pt idx="15">
                  <c:v>21420.104979077681</c:v>
                </c:pt>
                <c:pt idx="16">
                  <c:v>21438.72699730254</c:v>
                </c:pt>
                <c:pt idx="17">
                  <c:v>21591.91354953156</c:v>
                </c:pt>
                <c:pt idx="18">
                  <c:v>21981.9631335095</c:v>
                </c:pt>
                <c:pt idx="19">
                  <c:v>22407.604388033797</c:v>
                </c:pt>
                <c:pt idx="20">
                  <c:v>22560.039258077912</c:v>
                </c:pt>
                <c:pt idx="21">
                  <c:v>21511.102064156192</c:v>
                </c:pt>
                <c:pt idx="22">
                  <c:v>19453.10107442255</c:v>
                </c:pt>
                <c:pt idx="23">
                  <c:v>17501.941840447187</c:v>
                </c:pt>
                <c:pt idx="24">
                  <c:v>15922.848974370625</c:v>
                </c:pt>
                <c:pt idx="25">
                  <c:v>14666.610346882935</c:v>
                </c:pt>
                <c:pt idx="26">
                  <c:v>13634.017168889319</c:v>
                </c:pt>
                <c:pt idx="27">
                  <c:v>12699.710660677774</c:v>
                </c:pt>
                <c:pt idx="28">
                  <c:v>11705.735730239914</c:v>
                </c:pt>
                <c:pt idx="29">
                  <c:v>10519.606653272505</c:v>
                </c:pt>
                <c:pt idx="30">
                  <c:v>9139.358134000011</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21246.654365218023</c:v>
                </c:pt>
                <c:pt idx="1">
                  <c:v>21249.288922902317</c:v>
                </c:pt>
                <c:pt idx="2">
                  <c:v>21249.192166425808</c:v>
                </c:pt>
                <c:pt idx="3">
                  <c:v>21249.170493095851</c:v>
                </c:pt>
                <c:pt idx="4">
                  <c:v>21249.165074770277</c:v>
                </c:pt>
                <c:pt idx="5">
                  <c:v>21249.163526677763</c:v>
                </c:pt>
                <c:pt idx="6">
                  <c:v>21249.162752631597</c:v>
                </c:pt>
                <c:pt idx="7">
                  <c:v>21249.164300724002</c:v>
                </c:pt>
                <c:pt idx="8">
                  <c:v>21249.160430493426</c:v>
                </c:pt>
                <c:pt idx="9">
                  <c:v>21249.161204539429</c:v>
                </c:pt>
                <c:pt idx="10">
                  <c:v>21249.164300723998</c:v>
                </c:pt>
                <c:pt idx="11">
                  <c:v>21249.169719049183</c:v>
                </c:pt>
                <c:pt idx="12">
                  <c:v>21249.236287269807</c:v>
                </c:pt>
                <c:pt idx="13">
                  <c:v>21249.904314716554</c:v>
                </c:pt>
                <c:pt idx="14">
                  <c:v>21256.517187436755</c:v>
                </c:pt>
                <c:pt idx="15">
                  <c:v>21318.022948522812</c:v>
                </c:pt>
                <c:pt idx="16">
                  <c:v>21626.656240393881</c:v>
                </c:pt>
                <c:pt idx="17">
                  <c:v>22019.296579100948</c:v>
                </c:pt>
                <c:pt idx="18">
                  <c:v>22280.927585826728</c:v>
                </c:pt>
                <c:pt idx="19">
                  <c:v>21634.832802797777</c:v>
                </c:pt>
                <c:pt idx="20">
                  <c:v>19809.843613170575</c:v>
                </c:pt>
                <c:pt idx="21">
                  <c:v>17854.167769799165</c:v>
                </c:pt>
                <c:pt idx="22">
                  <c:v>16251.693600598475</c:v>
                </c:pt>
                <c:pt idx="23">
                  <c:v>14973.174915431517</c:v>
                </c:pt>
                <c:pt idx="24">
                  <c:v>13932.682294916583</c:v>
                </c:pt>
                <c:pt idx="25">
                  <c:v>13012.504459106436</c:v>
                </c:pt>
                <c:pt idx="26">
                  <c:v>12095.958273782331</c:v>
                </c:pt>
                <c:pt idx="27">
                  <c:v>11015.969851493697</c:v>
                </c:pt>
                <c:pt idx="28">
                  <c:v>9723.9790210987012</c:v>
                </c:pt>
                <c:pt idx="29">
                  <c:v>8226.9442531679888</c:v>
                </c:pt>
                <c:pt idx="30">
                  <c:v>6586.8915062561</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21138.881521485364</c:v>
                </c:pt>
                <c:pt idx="1">
                  <c:v>21141.54918337987</c:v>
                </c:pt>
                <c:pt idx="2">
                  <c:v>21141.458002892334</c:v>
                </c:pt>
                <c:pt idx="3">
                  <c:v>21141.435782556586</c:v>
                </c:pt>
                <c:pt idx="4">
                  <c:v>21141.430419034266</c:v>
                </c:pt>
                <c:pt idx="5">
                  <c:v>21141.428886599821</c:v>
                </c:pt>
                <c:pt idx="6">
                  <c:v>21141.428120382676</c:v>
                </c:pt>
                <c:pt idx="7">
                  <c:v>21141.429652817013</c:v>
                </c:pt>
                <c:pt idx="8">
                  <c:v>21141.42888659981</c:v>
                </c:pt>
                <c:pt idx="9">
                  <c:v>21141.436548774276</c:v>
                </c:pt>
                <c:pt idx="10">
                  <c:v>21141.497080147841</c:v>
                </c:pt>
                <c:pt idx="11">
                  <c:v>21142.106244278795</c:v>
                </c:pt>
                <c:pt idx="12">
                  <c:v>21148.168381910014</c:v>
                </c:pt>
                <c:pt idx="13">
                  <c:v>21204.786669183137</c:v>
                </c:pt>
                <c:pt idx="14">
                  <c:v>21500.071275807713</c:v>
                </c:pt>
                <c:pt idx="15">
                  <c:v>21906.047441038187</c:v>
                </c:pt>
                <c:pt idx="16">
                  <c:v>22404.083637132706</c:v>
                </c:pt>
                <c:pt idx="17">
                  <c:v>22895.94836830191</c:v>
                </c:pt>
                <c:pt idx="18">
                  <c:v>22419.944782878854</c:v>
                </c:pt>
                <c:pt idx="19">
                  <c:v>20539.514116784583</c:v>
                </c:pt>
                <c:pt idx="20">
                  <c:v>18287.793331633096</c:v>
                </c:pt>
                <c:pt idx="21">
                  <c:v>16366.291443716864</c:v>
                </c:pt>
                <c:pt idx="22">
                  <c:v>14875.871056629718</c:v>
                </c:pt>
                <c:pt idx="23">
                  <c:v>13679.119589976604</c:v>
                </c:pt>
                <c:pt idx="24">
                  <c:v>12615.310243278691</c:v>
                </c:pt>
                <c:pt idx="25">
                  <c:v>11467.553246143232</c:v>
                </c:pt>
                <c:pt idx="26">
                  <c:v>10118.356731455086</c:v>
                </c:pt>
                <c:pt idx="27">
                  <c:v>8575.1274263935629</c:v>
                </c:pt>
                <c:pt idx="28">
                  <c:v>6896.5316120851512</c:v>
                </c:pt>
                <c:pt idx="29">
                  <c:v>5451.9982243309096</c:v>
                </c:pt>
                <c:pt idx="30">
                  <c:v>4395.1103769183901</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21029.337271371158</c:v>
                </c:pt>
                <c:pt idx="1">
                  <c:v>21032.04256923874</c:v>
                </c:pt>
                <c:pt idx="2">
                  <c:v>21031.951572573435</c:v>
                </c:pt>
                <c:pt idx="3">
                  <c:v>21031.929581830798</c:v>
                </c:pt>
                <c:pt idx="4">
                  <c:v>21031.924273727393</c:v>
                </c:pt>
                <c:pt idx="5">
                  <c:v>21031.925032027721</c:v>
                </c:pt>
                <c:pt idx="6">
                  <c:v>21031.928823530161</c:v>
                </c:pt>
                <c:pt idx="7">
                  <c:v>21031.981904707714</c:v>
                </c:pt>
                <c:pt idx="8">
                  <c:v>21032.514247905889</c:v>
                </c:pt>
                <c:pt idx="9">
                  <c:v>21037.823987899148</c:v>
                </c:pt>
                <c:pt idx="10">
                  <c:v>21087.745688053081</c:v>
                </c:pt>
                <c:pt idx="11">
                  <c:v>21362.386569694612</c:v>
                </c:pt>
                <c:pt idx="12">
                  <c:v>21755.784825889568</c:v>
                </c:pt>
                <c:pt idx="13">
                  <c:v>22254.922121125535</c:v>
                </c:pt>
                <c:pt idx="14">
                  <c:v>22956.140077474745</c:v>
                </c:pt>
                <c:pt idx="15">
                  <c:v>23852.304133942343</c:v>
                </c:pt>
                <c:pt idx="16">
                  <c:v>24984.336248848347</c:v>
                </c:pt>
                <c:pt idx="17">
                  <c:v>25418.575674324286</c:v>
                </c:pt>
                <c:pt idx="18">
                  <c:v>23263.120582790365</c:v>
                </c:pt>
                <c:pt idx="19">
                  <c:v>19909.225309289814</c:v>
                </c:pt>
                <c:pt idx="20">
                  <c:v>17085.395540575068</c:v>
                </c:pt>
                <c:pt idx="21">
                  <c:v>15005.121676746025</c:v>
                </c:pt>
                <c:pt idx="22">
                  <c:v>13356.486612068389</c:v>
                </c:pt>
                <c:pt idx="23">
                  <c:v>11757.435242482163</c:v>
                </c:pt>
                <c:pt idx="24">
                  <c:v>10057.498142164573</c:v>
                </c:pt>
                <c:pt idx="25">
                  <c:v>8262.3268959892011</c:v>
                </c:pt>
                <c:pt idx="26">
                  <c:v>6732.657482244631</c:v>
                </c:pt>
                <c:pt idx="27">
                  <c:v>5603.5970610254153</c:v>
                </c:pt>
                <c:pt idx="28">
                  <c:v>4975.4914399512863</c:v>
                </c:pt>
                <c:pt idx="29">
                  <c:v>4576.1234873460335</c:v>
                </c:pt>
                <c:pt idx="30">
                  <c:v>3979.3704886018731</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20895.458516568593</c:v>
                </c:pt>
                <c:pt idx="1">
                  <c:v>20898.217072790078</c:v>
                </c:pt>
                <c:pt idx="2">
                  <c:v>20898.267983792535</c:v>
                </c:pt>
                <c:pt idx="3">
                  <c:v>20899.620210907251</c:v>
                </c:pt>
                <c:pt idx="4">
                  <c:v>20913.111625908266</c:v>
                </c:pt>
                <c:pt idx="5">
                  <c:v>21028.090248189499</c:v>
                </c:pt>
                <c:pt idx="6">
                  <c:v>21370.863989837715</c:v>
                </c:pt>
                <c:pt idx="7">
                  <c:v>21788.439703811193</c:v>
                </c:pt>
                <c:pt idx="8">
                  <c:v>22346.560185690454</c:v>
                </c:pt>
                <c:pt idx="9">
                  <c:v>23136.897372735224</c:v>
                </c:pt>
                <c:pt idx="10">
                  <c:v>24141.732774663273</c:v>
                </c:pt>
                <c:pt idx="11">
                  <c:v>25789.564463477425</c:v>
                </c:pt>
                <c:pt idx="12">
                  <c:v>28356.906835083992</c:v>
                </c:pt>
                <c:pt idx="13">
                  <c:v>32193.295166802207</c:v>
                </c:pt>
                <c:pt idx="14">
                  <c:v>39138.146699166959</c:v>
                </c:pt>
                <c:pt idx="15">
                  <c:v>53423.91587229132</c:v>
                </c:pt>
                <c:pt idx="16">
                  <c:v>92168.471325335064</c:v>
                </c:pt>
                <c:pt idx="17">
                  <c:v>171662.28437377722</c:v>
                </c:pt>
                <c:pt idx="18">
                  <c:v>463619.75761957688</c:v>
                </c:pt>
                <c:pt idx="19">
                  <c:v>-83849.607344267439</c:v>
                </c:pt>
                <c:pt idx="20">
                  <c:v>-17610.089474348857</c:v>
                </c:pt>
                <c:pt idx="21">
                  <c:v>-6995.2474288968015</c:v>
                </c:pt>
                <c:pt idx="22">
                  <c:v>-3775.0607407273196</c:v>
                </c:pt>
                <c:pt idx="23">
                  <c:v>-2584.1424467915831</c:v>
                </c:pt>
                <c:pt idx="24">
                  <c:v>-3776.7753137016589</c:v>
                </c:pt>
                <c:pt idx="25">
                  <c:v>-15046.463479224287</c:v>
                </c:pt>
                <c:pt idx="26">
                  <c:v>14080.059216706419</c:v>
                </c:pt>
                <c:pt idx="27">
                  <c:v>8907.4707211437271</c:v>
                </c:pt>
                <c:pt idx="28">
                  <c:v>3875.0716749864532</c:v>
                </c:pt>
                <c:pt idx="29">
                  <c:v>3845.5482779470067</c:v>
                </c:pt>
                <c:pt idx="30">
                  <c:v>3268.0379353843514</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22252.915138241082</c:v>
                </c:pt>
                <c:pt idx="1">
                  <c:v>23312.20967390361</c:v>
                </c:pt>
                <c:pt idx="2">
                  <c:v>24615.821575972968</c:v>
                </c:pt>
                <c:pt idx="3">
                  <c:v>26659.565167867426</c:v>
                </c:pt>
                <c:pt idx="4">
                  <c:v>29712.515284966801</c:v>
                </c:pt>
                <c:pt idx="5">
                  <c:v>34724.857590878732</c:v>
                </c:pt>
                <c:pt idx="6">
                  <c:v>44805.499964731716</c:v>
                </c:pt>
                <c:pt idx="7">
                  <c:v>78806.943927508604</c:v>
                </c:pt>
                <c:pt idx="8">
                  <c:v>-213035.71635085696</c:v>
                </c:pt>
                <c:pt idx="9">
                  <c:v>-26728.603714542747</c:v>
                </c:pt>
                <c:pt idx="10">
                  <c:v>-9451.4829187669911</c:v>
                </c:pt>
                <c:pt idx="11">
                  <c:v>-3672.303179894539</c:v>
                </c:pt>
                <c:pt idx="12">
                  <c:v>-1569.4773638584659</c:v>
                </c:pt>
                <c:pt idx="13">
                  <c:v>-740.99503141660125</c:v>
                </c:pt>
                <c:pt idx="14">
                  <c:v>-375.90063240770604</c:v>
                </c:pt>
                <c:pt idx="15">
                  <c:v>-256.31147227887442</c:v>
                </c:pt>
                <c:pt idx="16">
                  <c:v>-228.99407873653888</c:v>
                </c:pt>
                <c:pt idx="17">
                  <c:v>-221.01688035368008</c:v>
                </c:pt>
                <c:pt idx="18">
                  <c:v>-254.14496459277763</c:v>
                </c:pt>
                <c:pt idx="19">
                  <c:v>-341.81324131173977</c:v>
                </c:pt>
                <c:pt idx="20">
                  <c:v>-519.11790358595283</c:v>
                </c:pt>
                <c:pt idx="21">
                  <c:v>-874.87738593436063</c:v>
                </c:pt>
                <c:pt idx="22">
                  <c:v>-1696.3390289612576</c:v>
                </c:pt>
                <c:pt idx="23">
                  <c:v>-4564.4396504786673</c:v>
                </c:pt>
                <c:pt idx="24">
                  <c:v>39979.941492210644</c:v>
                </c:pt>
                <c:pt idx="25">
                  <c:v>5702.3698560346911</c:v>
                </c:pt>
                <c:pt idx="26">
                  <c:v>4947.7314580582743</c:v>
                </c:pt>
                <c:pt idx="27">
                  <c:v>3473.062579328473</c:v>
                </c:pt>
                <c:pt idx="28">
                  <c:v>3458.6419059528112</c:v>
                </c:pt>
                <c:pt idx="29">
                  <c:v>3182.9811273773585</c:v>
                </c:pt>
                <c:pt idx="30">
                  <c:v>3175.5856619222559</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23574.349943362293</c:v>
                </c:pt>
                <c:pt idx="1">
                  <c:v>25641.434776886017</c:v>
                </c:pt>
                <c:pt idx="2">
                  <c:v>28371.912649528116</c:v>
                </c:pt>
                <c:pt idx="3">
                  <c:v>32549.74926928135</c:v>
                </c:pt>
                <c:pt idx="4">
                  <c:v>40587.375864960486</c:v>
                </c:pt>
                <c:pt idx="5">
                  <c:v>62072.651960059178</c:v>
                </c:pt>
                <c:pt idx="6">
                  <c:v>1212789.0336150853</c:v>
                </c:pt>
                <c:pt idx="7">
                  <c:v>-36212.225992432257</c:v>
                </c:pt>
                <c:pt idx="8">
                  <c:v>-11752.153002824527</c:v>
                </c:pt>
                <c:pt idx="9">
                  <c:v>-4503.8650947765718</c:v>
                </c:pt>
                <c:pt idx="10">
                  <c:v>-1901.9597358384426</c:v>
                </c:pt>
                <c:pt idx="11">
                  <c:v>-881.52817896754868</c:v>
                </c:pt>
                <c:pt idx="12">
                  <c:v>-437.02600705557256</c:v>
                </c:pt>
                <c:pt idx="13">
                  <c:v>-271.00096000928653</c:v>
                </c:pt>
                <c:pt idx="14">
                  <c:v>-227.08483963573565</c:v>
                </c:pt>
                <c:pt idx="15">
                  <c:v>-208.6837543483359</c:v>
                </c:pt>
                <c:pt idx="16">
                  <c:v>-210.99557375293912</c:v>
                </c:pt>
                <c:pt idx="17">
                  <c:v>-234.01737548256389</c:v>
                </c:pt>
                <c:pt idx="18">
                  <c:v>-296.35954977328169</c:v>
                </c:pt>
                <c:pt idx="19">
                  <c:v>-429.41885776718681</c:v>
                </c:pt>
                <c:pt idx="20">
                  <c:v>-692.37975154011986</c:v>
                </c:pt>
                <c:pt idx="21">
                  <c:v>-1252.9938049480259</c:v>
                </c:pt>
                <c:pt idx="22">
                  <c:v>-2788.6968539117224</c:v>
                </c:pt>
                <c:pt idx="23">
                  <c:v>-15427.099242529001</c:v>
                </c:pt>
                <c:pt idx="24">
                  <c:v>8200.4451201611373</c:v>
                </c:pt>
                <c:pt idx="25">
                  <c:v>6514.2081393728131</c:v>
                </c:pt>
                <c:pt idx="26">
                  <c:v>5128.0743904844003</c:v>
                </c:pt>
                <c:pt idx="27">
                  <c:v>3264.0953429193382</c:v>
                </c:pt>
                <c:pt idx="28">
                  <c:v>3250.133626922548</c:v>
                </c:pt>
                <c:pt idx="29">
                  <c:v>3047.8499378020801</c:v>
                </c:pt>
                <c:pt idx="30">
                  <c:v>3045.7572818617796</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551797648"/>
        <c:axId val="55179608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55179764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1796080"/>
        <c:crosses val="autoZero"/>
        <c:crossBetween val="midCat"/>
        <c:majorUnit val="10000"/>
      </c:valAx>
      <c:valAx>
        <c:axId val="551796080"/>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1797648"/>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0.36075821278502584</c:v>
                </c:pt>
                <c:pt idx="1">
                  <c:v>0.36077235156217125</c:v>
                </c:pt>
                <c:pt idx="2">
                  <c:v>0.3607724109628368</c:v>
                </c:pt>
                <c:pt idx="3">
                  <c:v>0.36077245067394526</c:v>
                </c:pt>
                <c:pt idx="4">
                  <c:v>0.36077248405747009</c:v>
                </c:pt>
                <c:pt idx="5">
                  <c:v>0.36077249518530485</c:v>
                </c:pt>
                <c:pt idx="6">
                  <c:v>0.36077249719059723</c:v>
                </c:pt>
                <c:pt idx="7">
                  <c:v>0.36077250741450745</c:v>
                </c:pt>
                <c:pt idx="8">
                  <c:v>0.36077250741450745</c:v>
                </c:pt>
                <c:pt idx="9">
                  <c:v>0.36077250741450745</c:v>
                </c:pt>
                <c:pt idx="10">
                  <c:v>0.3607725125264627</c:v>
                </c:pt>
                <c:pt idx="11">
                  <c:v>0.36077249919588944</c:v>
                </c:pt>
                <c:pt idx="12">
                  <c:v>0.36077253698486383</c:v>
                </c:pt>
                <c:pt idx="13">
                  <c:v>0.36077279289389885</c:v>
                </c:pt>
                <c:pt idx="14">
                  <c:v>0.36077529773254408</c:v>
                </c:pt>
                <c:pt idx="15">
                  <c:v>0.36080044220027546</c:v>
                </c:pt>
                <c:pt idx="16">
                  <c:v>0.36104632914746104</c:v>
                </c:pt>
                <c:pt idx="17">
                  <c:v>0.36303105764137994</c:v>
                </c:pt>
                <c:pt idx="18">
                  <c:v>0.36808177298075478</c:v>
                </c:pt>
                <c:pt idx="19">
                  <c:v>0.37337068078846036</c:v>
                </c:pt>
                <c:pt idx="20">
                  <c:v>0.3785011301535724</c:v>
                </c:pt>
                <c:pt idx="21">
                  <c:v>0.3809584420082533</c:v>
                </c:pt>
                <c:pt idx="22">
                  <c:v>0.38013288148894225</c:v>
                </c:pt>
                <c:pt idx="23">
                  <c:v>0.37957977179592961</c:v>
                </c:pt>
                <c:pt idx="24">
                  <c:v>0.37967610113491412</c:v>
                </c:pt>
                <c:pt idx="25">
                  <c:v>0.38007223488822078</c:v>
                </c:pt>
                <c:pt idx="26">
                  <c:v>0.38143371375107804</c:v>
                </c:pt>
                <c:pt idx="27">
                  <c:v>0.3832566389252276</c:v>
                </c:pt>
                <c:pt idx="28">
                  <c:v>0.38666528511436832</c:v>
                </c:pt>
                <c:pt idx="29">
                  <c:v>0.39159123749561497</c:v>
                </c:pt>
                <c:pt idx="30">
                  <c:v>0.39884466140666064</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0.36034330192910802</c:v>
                </c:pt>
                <c:pt idx="1">
                  <c:v>0.36035794624300349</c:v>
                </c:pt>
                <c:pt idx="2">
                  <c:v>0.36035802072368178</c:v>
                </c:pt>
                <c:pt idx="3">
                  <c:v>0.36035808428868132</c:v>
                </c:pt>
                <c:pt idx="4">
                  <c:v>0.36035811261057327</c:v>
                </c:pt>
                <c:pt idx="5">
                  <c:v>0.36035812374678278</c:v>
                </c:pt>
                <c:pt idx="6">
                  <c:v>0.36035812576326737</c:v>
                </c:pt>
                <c:pt idx="7">
                  <c:v>0.36035813593677452</c:v>
                </c:pt>
                <c:pt idx="8">
                  <c:v>0.36035811760624514</c:v>
                </c:pt>
                <c:pt idx="9">
                  <c:v>0.36035812269299844</c:v>
                </c:pt>
                <c:pt idx="10">
                  <c:v>0.36035814304001162</c:v>
                </c:pt>
                <c:pt idx="11">
                  <c:v>0.36035822836991183</c:v>
                </c:pt>
                <c:pt idx="12">
                  <c:v>0.36035913464067154</c:v>
                </c:pt>
                <c:pt idx="13">
                  <c:v>0.36036820517082785</c:v>
                </c:pt>
                <c:pt idx="14">
                  <c:v>0.36045809300748322</c:v>
                </c:pt>
                <c:pt idx="15">
                  <c:v>0.36128752630445571</c:v>
                </c:pt>
                <c:pt idx="16">
                  <c:v>0.36549577902897135</c:v>
                </c:pt>
                <c:pt idx="17">
                  <c:v>0.37053284467454167</c:v>
                </c:pt>
                <c:pt idx="18">
                  <c:v>0.37560725877333956</c:v>
                </c:pt>
                <c:pt idx="19">
                  <c:v>0.378942421586901</c:v>
                </c:pt>
                <c:pt idx="20">
                  <c:v>0.37883927370483844</c:v>
                </c:pt>
                <c:pt idx="21">
                  <c:v>0.37802082434975703</c:v>
                </c:pt>
                <c:pt idx="22">
                  <c:v>0.37813806734105387</c:v>
                </c:pt>
                <c:pt idx="23">
                  <c:v>0.37869505680899296</c:v>
                </c:pt>
                <c:pt idx="24">
                  <c:v>0.37986015531125017</c:v>
                </c:pt>
                <c:pt idx="25">
                  <c:v>0.38162361900152603</c:v>
                </c:pt>
                <c:pt idx="26">
                  <c:v>0.38426244971585954</c:v>
                </c:pt>
                <c:pt idx="27">
                  <c:v>0.38851043724304701</c:v>
                </c:pt>
                <c:pt idx="28">
                  <c:v>0.39466206083438088</c:v>
                </c:pt>
                <c:pt idx="29">
                  <c:v>0.4042193572787377</c:v>
                </c:pt>
                <c:pt idx="30">
                  <c:v>0.41966918952985927</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0.36007959993361766</c:v>
                </c:pt>
                <c:pt idx="1">
                  <c:v>0.36009455957426084</c:v>
                </c:pt>
                <c:pt idx="2">
                  <c:v>0.36009465848176681</c:v>
                </c:pt>
                <c:pt idx="3">
                  <c:v>0.36009471716051339</c:v>
                </c:pt>
                <c:pt idx="4">
                  <c:v>0.36009474551214277</c:v>
                </c:pt>
                <c:pt idx="5">
                  <c:v>0.36009475665284973</c:v>
                </c:pt>
                <c:pt idx="6">
                  <c:v>0.36009475867624846</c:v>
                </c:pt>
                <c:pt idx="7">
                  <c:v>0.36009476881726538</c:v>
                </c:pt>
                <c:pt idx="8">
                  <c:v>0.36009477084066338</c:v>
                </c:pt>
                <c:pt idx="9">
                  <c:v>0.36009486410915376</c:v>
                </c:pt>
                <c:pt idx="10">
                  <c:v>0.36009570449829092</c:v>
                </c:pt>
                <c:pt idx="11">
                  <c:v>0.36010412635753059</c:v>
                </c:pt>
                <c:pt idx="12">
                  <c:v>0.36018776081587062</c:v>
                </c:pt>
                <c:pt idx="13">
                  <c:v>0.36096327323430338</c:v>
                </c:pt>
                <c:pt idx="14">
                  <c:v>0.36504682055873694</c:v>
                </c:pt>
                <c:pt idx="15">
                  <c:v>0.37010785358354592</c:v>
                </c:pt>
                <c:pt idx="16">
                  <c:v>0.37582354135732149</c:v>
                </c:pt>
                <c:pt idx="17">
                  <c:v>0.3822597308778426</c:v>
                </c:pt>
                <c:pt idx="18">
                  <c:v>0.38615340361220812</c:v>
                </c:pt>
                <c:pt idx="19">
                  <c:v>0.38663081927070042</c:v>
                </c:pt>
                <c:pt idx="20">
                  <c:v>0.38556651515378187</c:v>
                </c:pt>
                <c:pt idx="21">
                  <c:v>0.38438805099394219</c:v>
                </c:pt>
                <c:pt idx="22">
                  <c:v>0.38410195379942486</c:v>
                </c:pt>
                <c:pt idx="23">
                  <c:v>0.38495742886912027</c:v>
                </c:pt>
                <c:pt idx="24">
                  <c:v>0.38717310045239967</c:v>
                </c:pt>
                <c:pt idx="25">
                  <c:v>0.39139655377079169</c:v>
                </c:pt>
                <c:pt idx="26">
                  <c:v>0.39742728952438633</c:v>
                </c:pt>
                <c:pt idx="27">
                  <c:v>0.40676609759606197</c:v>
                </c:pt>
                <c:pt idx="28">
                  <c:v>0.42195974426244331</c:v>
                </c:pt>
                <c:pt idx="29">
                  <c:v>0.44008362411093732</c:v>
                </c:pt>
                <c:pt idx="30">
                  <c:v>0.45697800093866831</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0.35981245441786447</c:v>
                </c:pt>
                <c:pt idx="1">
                  <c:v>0.35982775903286135</c:v>
                </c:pt>
                <c:pt idx="2">
                  <c:v>0.35982785389671706</c:v>
                </c:pt>
                <c:pt idx="3">
                  <c:v>0.35982791277388299</c:v>
                </c:pt>
                <c:pt idx="4">
                  <c:v>0.35982794115380251</c:v>
                </c:pt>
                <c:pt idx="5">
                  <c:v>0.3598279674599853</c:v>
                </c:pt>
                <c:pt idx="6">
                  <c:v>0.35982804231801491</c:v>
                </c:pt>
                <c:pt idx="7">
                  <c:v>0.3598287927957996</c:v>
                </c:pt>
                <c:pt idx="8">
                  <c:v>0.35983629328050659</c:v>
                </c:pt>
                <c:pt idx="9">
                  <c:v>0.35991086948130546</c:v>
                </c:pt>
                <c:pt idx="10">
                  <c:v>0.36060759081103017</c:v>
                </c:pt>
                <c:pt idx="11">
                  <c:v>0.36448830450349007</c:v>
                </c:pt>
                <c:pt idx="12">
                  <c:v>0.36949596178055943</c:v>
                </c:pt>
                <c:pt idx="13">
                  <c:v>0.37518023115112409</c:v>
                </c:pt>
                <c:pt idx="14">
                  <c:v>0.38217742453001313</c:v>
                </c:pt>
                <c:pt idx="15">
                  <c:v>0.38988561025902041</c:v>
                </c:pt>
                <c:pt idx="16">
                  <c:v>0.3987869017344845</c:v>
                </c:pt>
                <c:pt idx="17">
                  <c:v>0.40657534762972719</c:v>
                </c:pt>
                <c:pt idx="18">
                  <c:v>0.40761974612266944</c:v>
                </c:pt>
                <c:pt idx="19">
                  <c:v>0.40395769813812726</c:v>
                </c:pt>
                <c:pt idx="20">
                  <c:v>0.40049611149866071</c:v>
                </c:pt>
                <c:pt idx="21">
                  <c:v>0.39952771666618203</c:v>
                </c:pt>
                <c:pt idx="22">
                  <c:v>0.40249532381574127</c:v>
                </c:pt>
                <c:pt idx="23">
                  <c:v>0.40835872198177181</c:v>
                </c:pt>
                <c:pt idx="24">
                  <c:v>0.41756908741558713</c:v>
                </c:pt>
                <c:pt idx="25">
                  <c:v>0.43228462532847456</c:v>
                </c:pt>
                <c:pt idx="26">
                  <c:v>0.44944640832174404</c:v>
                </c:pt>
                <c:pt idx="27">
                  <c:v>0.46486088631074041</c:v>
                </c:pt>
                <c:pt idx="28">
                  <c:v>0.47751130507142042</c:v>
                </c:pt>
                <c:pt idx="29">
                  <c:v>0.48303823899388809</c:v>
                </c:pt>
                <c:pt idx="30">
                  <c:v>0.48298510604595052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0.35948725403130255</c:v>
                </c:pt>
                <c:pt idx="1">
                  <c:v>0.35950314980870418</c:v>
                </c:pt>
                <c:pt idx="2">
                  <c:v>0.35950523876912627</c:v>
                </c:pt>
                <c:pt idx="3">
                  <c:v>0.35952503372311995</c:v>
                </c:pt>
                <c:pt idx="4">
                  <c:v>0.35971877859745266</c:v>
                </c:pt>
                <c:pt idx="5">
                  <c:v>0.36134311585472129</c:v>
                </c:pt>
                <c:pt idx="6">
                  <c:v>0.3661764362691331</c:v>
                </c:pt>
                <c:pt idx="7">
                  <c:v>0.37137588933926702</c:v>
                </c:pt>
                <c:pt idx="8">
                  <c:v>0.37754390267552423</c:v>
                </c:pt>
                <c:pt idx="9">
                  <c:v>0.38508679341874646</c:v>
                </c:pt>
                <c:pt idx="10">
                  <c:v>0.39316898307631853</c:v>
                </c:pt>
                <c:pt idx="11">
                  <c:v>0.40389726276124766</c:v>
                </c:pt>
                <c:pt idx="12">
                  <c:v>0.4165064126240301</c:v>
                </c:pt>
                <c:pt idx="13">
                  <c:v>0.42985855321235655</c:v>
                </c:pt>
                <c:pt idx="14">
                  <c:v>0.44536092035938063</c:v>
                </c:pt>
                <c:pt idx="15">
                  <c:v>0.4624481234972439</c:v>
                </c:pt>
                <c:pt idx="16">
                  <c:v>0.48039075532798176</c:v>
                </c:pt>
                <c:pt idx="17">
                  <c:v>0.49119802487754749</c:v>
                </c:pt>
                <c:pt idx="18">
                  <c:v>0.49746286479478913</c:v>
                </c:pt>
                <c:pt idx="19">
                  <c:v>0.50999228355385806</c:v>
                </c:pt>
                <c:pt idx="20">
                  <c:v>0.53011916843146323</c:v>
                </c:pt>
                <c:pt idx="21">
                  <c:v>0.54383764281084046</c:v>
                </c:pt>
                <c:pt idx="22">
                  <c:v>0.54526102632459827</c:v>
                </c:pt>
                <c:pt idx="23">
                  <c:v>0.53824100953015952</c:v>
                </c:pt>
                <c:pt idx="24">
                  <c:v>0.51997413922012958</c:v>
                </c:pt>
                <c:pt idx="25">
                  <c:v>0.50447018658769671</c:v>
                </c:pt>
                <c:pt idx="26">
                  <c:v>0.49557765281295169</c:v>
                </c:pt>
                <c:pt idx="27">
                  <c:v>0.49303610302077072</c:v>
                </c:pt>
                <c:pt idx="28">
                  <c:v>0.48418241807530432</c:v>
                </c:pt>
                <c:pt idx="29">
                  <c:v>0.48406377463273303</c:v>
                </c:pt>
                <c:pt idx="30">
                  <c:v>0.48134369853869274</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0.37888694126783645</c:v>
                </c:pt>
                <c:pt idx="1">
                  <c:v>0.38862667797254569</c:v>
                </c:pt>
                <c:pt idx="2">
                  <c:v>0.39830491134469787</c:v>
                </c:pt>
                <c:pt idx="3">
                  <c:v>0.41011716696403283</c:v>
                </c:pt>
                <c:pt idx="4">
                  <c:v>0.42303450549092125</c:v>
                </c:pt>
                <c:pt idx="5">
                  <c:v>0.4374204494871497</c:v>
                </c:pt>
                <c:pt idx="6">
                  <c:v>0.45425193995295127</c:v>
                </c:pt>
                <c:pt idx="7">
                  <c:v>0.47583559749142595</c:v>
                </c:pt>
                <c:pt idx="8">
                  <c:v>0.50802672786244374</c:v>
                </c:pt>
                <c:pt idx="9">
                  <c:v>0.55481705569880313</c:v>
                </c:pt>
                <c:pt idx="10">
                  <c:v>0.62311995765159445</c:v>
                </c:pt>
                <c:pt idx="11">
                  <c:v>0.72024714166073811</c:v>
                </c:pt>
                <c:pt idx="12">
                  <c:v>0.81944840572156641</c:v>
                </c:pt>
                <c:pt idx="13">
                  <c:v>0.89472311936608828</c:v>
                </c:pt>
                <c:pt idx="14">
                  <c:v>0.94335710117558313</c:v>
                </c:pt>
                <c:pt idx="15">
                  <c:v>0.9583911757902861</c:v>
                </c:pt>
                <c:pt idx="16">
                  <c:v>0.94640564294677398</c:v>
                </c:pt>
                <c:pt idx="17">
                  <c:v>0.91293941123073641</c:v>
                </c:pt>
                <c:pt idx="18">
                  <c:v>0.83455311397634313</c:v>
                </c:pt>
                <c:pt idx="19">
                  <c:v>0.7285927639183728</c:v>
                </c:pt>
                <c:pt idx="20">
                  <c:v>0.63917667185650529</c:v>
                </c:pt>
                <c:pt idx="21">
                  <c:v>0.57790711532695727</c:v>
                </c:pt>
                <c:pt idx="22">
                  <c:v>0.5386129069935689</c:v>
                </c:pt>
                <c:pt idx="23">
                  <c:v>0.51397926906476299</c:v>
                </c:pt>
                <c:pt idx="24">
                  <c:v>0.49843173405458169</c:v>
                </c:pt>
                <c:pt idx="25">
                  <c:v>0.48913303891579824</c:v>
                </c:pt>
                <c:pt idx="26">
                  <c:v>0.48750283692417007</c:v>
                </c:pt>
                <c:pt idx="27">
                  <c:v>0.48236867575488179</c:v>
                </c:pt>
                <c:pt idx="28">
                  <c:v>0.48229778836404746</c:v>
                </c:pt>
                <c:pt idx="29">
                  <c:v>0.48082397264822718</c:v>
                </c:pt>
                <c:pt idx="30">
                  <c:v>0.48078199302055891</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0.39233060069735937</c:v>
                </c:pt>
                <c:pt idx="1">
                  <c:v>0.40597346665282347</c:v>
                </c:pt>
                <c:pt idx="2">
                  <c:v>0.41898636417726026</c:v>
                </c:pt>
                <c:pt idx="3">
                  <c:v>0.43281088922423544</c:v>
                </c:pt>
                <c:pt idx="4">
                  <c:v>0.44912640347830879</c:v>
                </c:pt>
                <c:pt idx="5">
                  <c:v>0.4689348191146136</c:v>
                </c:pt>
                <c:pt idx="6">
                  <c:v>0.49856189126823414</c:v>
                </c:pt>
                <c:pt idx="7">
                  <c:v>0.54171656342369212</c:v>
                </c:pt>
                <c:pt idx="8">
                  <c:v>0.60421243665876778</c:v>
                </c:pt>
                <c:pt idx="9">
                  <c:v>0.69534610015651555</c:v>
                </c:pt>
                <c:pt idx="10">
                  <c:v>0.79570910128696104</c:v>
                </c:pt>
                <c:pt idx="11">
                  <c:v>0.87793610555921553</c:v>
                </c:pt>
                <c:pt idx="12">
                  <c:v>0.93476335373171815</c:v>
                </c:pt>
                <c:pt idx="13">
                  <c:v>0.96331157781143395</c:v>
                </c:pt>
                <c:pt idx="14">
                  <c:v>0.96903444381540293</c:v>
                </c:pt>
                <c:pt idx="15">
                  <c:v>0.96155254796303102</c:v>
                </c:pt>
                <c:pt idx="16">
                  <c:v>0.93407994864152366</c:v>
                </c:pt>
                <c:pt idx="17">
                  <c:v>0.87443271250747268</c:v>
                </c:pt>
                <c:pt idx="18">
                  <c:v>0.77355324032895589</c:v>
                </c:pt>
                <c:pt idx="19">
                  <c:v>0.67354571620762527</c:v>
                </c:pt>
                <c:pt idx="20">
                  <c:v>0.60064505880193675</c:v>
                </c:pt>
                <c:pt idx="21">
                  <c:v>0.55305926947281125</c:v>
                </c:pt>
                <c:pt idx="22">
                  <c:v>0.52310775136194199</c:v>
                </c:pt>
                <c:pt idx="23">
                  <c:v>0.50409092526538513</c:v>
                </c:pt>
                <c:pt idx="24">
                  <c:v>0.49241029046196377</c:v>
                </c:pt>
                <c:pt idx="25">
                  <c:v>0.49046885047095923</c:v>
                </c:pt>
                <c:pt idx="26">
                  <c:v>0.48793238130258682</c:v>
                </c:pt>
                <c:pt idx="27">
                  <c:v>0.48125251610496006</c:v>
                </c:pt>
                <c:pt idx="28">
                  <c:v>0.48117498593786245</c:v>
                </c:pt>
                <c:pt idx="29">
                  <c:v>0.48001299983791446</c:v>
                </c:pt>
                <c:pt idx="30">
                  <c:v>0.4800012776744671</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551798040"/>
        <c:axId val="55179568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5179804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551795688"/>
        <c:crosses val="autoZero"/>
        <c:crossBetween val="midCat"/>
        <c:majorUnit val="10000"/>
      </c:valAx>
      <c:valAx>
        <c:axId val="551795688"/>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551798040"/>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6543.7252261807771</c:v>
                </c:pt>
                <c:pt idx="1">
                  <c:v>6543.7799387981568</c:v>
                </c:pt>
                <c:pt idx="2">
                  <c:v>6543.7462938558028</c:v>
                </c:pt>
                <c:pt idx="3">
                  <c:v>6543.7363350192272</c:v>
                </c:pt>
                <c:pt idx="4">
                  <c:v>6543.7332030080934</c:v>
                </c:pt>
                <c:pt idx="5">
                  <c:v>6543.7321508487757</c:v>
                </c:pt>
                <c:pt idx="6">
                  <c:v>6543.7318082853499</c:v>
                </c:pt>
                <c:pt idx="7">
                  <c:v>6543.7317593477201</c:v>
                </c:pt>
                <c:pt idx="8">
                  <c:v>6543.7315146595847</c:v>
                </c:pt>
                <c:pt idx="9">
                  <c:v>6543.731490190773</c:v>
                </c:pt>
                <c:pt idx="10">
                  <c:v>6543.7313923155243</c:v>
                </c:pt>
                <c:pt idx="11">
                  <c:v>6543.7286518097571</c:v>
                </c:pt>
                <c:pt idx="12">
                  <c:v>6543.7023234963144</c:v>
                </c:pt>
                <c:pt idx="13">
                  <c:v>6543.4393456132884</c:v>
                </c:pt>
                <c:pt idx="14">
                  <c:v>6540.8297975507394</c:v>
                </c:pt>
                <c:pt idx="15">
                  <c:v>6516.7915822655277</c:v>
                </c:pt>
                <c:pt idx="16">
                  <c:v>6390.814079024768</c:v>
                </c:pt>
                <c:pt idx="17">
                  <c:v>6240.1474757230608</c:v>
                </c:pt>
                <c:pt idx="18">
                  <c:v>6044.4265071962272</c:v>
                </c:pt>
                <c:pt idx="19">
                  <c:v>5697.9764219559002</c:v>
                </c:pt>
                <c:pt idx="20">
                  <c:v>5222.1642197271249</c:v>
                </c:pt>
                <c:pt idx="21">
                  <c:v>4741.2273341563377</c:v>
                </c:pt>
                <c:pt idx="22">
                  <c:v>4311.1706397553053</c:v>
                </c:pt>
                <c:pt idx="23">
                  <c:v>3952.2593271118144</c:v>
                </c:pt>
                <c:pt idx="24">
                  <c:v>3639.2172363975619</c:v>
                </c:pt>
                <c:pt idx="25">
                  <c:v>3344.7021990881808</c:v>
                </c:pt>
                <c:pt idx="26">
                  <c:v>3034.0126163953428</c:v>
                </c:pt>
                <c:pt idx="27">
                  <c:v>2653.5608861364908</c:v>
                </c:pt>
                <c:pt idx="28">
                  <c:v>2203.3378680125074</c:v>
                </c:pt>
                <c:pt idx="29">
                  <c:v>1683.4592204898881</c:v>
                </c:pt>
                <c:pt idx="30">
                  <c:v>1118.1414735463829</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6524.0904126194901</c:v>
                </c:pt>
                <c:pt idx="1">
                  <c:v>6524.1443595856636</c:v>
                </c:pt>
                <c:pt idx="2">
                  <c:v>6524.1111351538066</c:v>
                </c:pt>
                <c:pt idx="3">
                  <c:v>6524.1012603146964</c:v>
                </c:pt>
                <c:pt idx="4">
                  <c:v>6524.0981470711258</c:v>
                </c:pt>
                <c:pt idx="5">
                  <c:v>6524.0971012165301</c:v>
                </c:pt>
                <c:pt idx="6">
                  <c:v>6524.0967607058046</c:v>
                </c:pt>
                <c:pt idx="7">
                  <c:v>6524.0967120614177</c:v>
                </c:pt>
                <c:pt idx="8">
                  <c:v>6524.0963715507314</c:v>
                </c:pt>
                <c:pt idx="9">
                  <c:v>6524.0939393325853</c:v>
                </c:pt>
                <c:pt idx="10">
                  <c:v>6524.06939835293</c:v>
                </c:pt>
                <c:pt idx="11">
                  <c:v>6523.8242419120506</c:v>
                </c:pt>
                <c:pt idx="12">
                  <c:v>6521.3925487999713</c:v>
                </c:pt>
                <c:pt idx="13">
                  <c:v>6498.8766153292054</c:v>
                </c:pt>
                <c:pt idx="14">
                  <c:v>6376.7108933957061</c:v>
                </c:pt>
                <c:pt idx="15">
                  <c:v>6230.3639399807598</c:v>
                </c:pt>
                <c:pt idx="16">
                  <c:v>6066.3152248046426</c:v>
                </c:pt>
                <c:pt idx="17">
                  <c:v>5850.8000974148181</c:v>
                </c:pt>
                <c:pt idx="18">
                  <c:v>5524.1383776461034</c:v>
                </c:pt>
                <c:pt idx="19">
                  <c:v>5037.8540321693981</c:v>
                </c:pt>
                <c:pt idx="20">
                  <c:v>4531.1485912762591</c:v>
                </c:pt>
                <c:pt idx="21">
                  <c:v>4100.3073895013431</c:v>
                </c:pt>
                <c:pt idx="22">
                  <c:v>3736.9018653482362</c:v>
                </c:pt>
                <c:pt idx="23">
                  <c:v>3408.8002756648089</c:v>
                </c:pt>
                <c:pt idx="24">
                  <c:v>3078.2308446927527</c:v>
                </c:pt>
                <c:pt idx="25">
                  <c:v>2685.2498641877337</c:v>
                </c:pt>
                <c:pt idx="26">
                  <c:v>2228.0957655931211</c:v>
                </c:pt>
                <c:pt idx="27">
                  <c:v>1704.9584752004923</c:v>
                </c:pt>
                <c:pt idx="28">
                  <c:v>1135.4901421385146</c:v>
                </c:pt>
                <c:pt idx="29">
                  <c:v>680.51042901870051</c:v>
                </c:pt>
                <c:pt idx="30">
                  <c:v>389.33964903055204</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6503.9509699618966</c:v>
                </c:pt>
                <c:pt idx="1">
                  <c:v>6504.0043184804708</c:v>
                </c:pt>
                <c:pt idx="2">
                  <c:v>6503.9713230315656</c:v>
                </c:pt>
                <c:pt idx="3">
                  <c:v>6503.9615090652051</c:v>
                </c:pt>
                <c:pt idx="4">
                  <c:v>6503.9584150129849</c:v>
                </c:pt>
                <c:pt idx="5">
                  <c:v>6503.9573030886877</c:v>
                </c:pt>
                <c:pt idx="6">
                  <c:v>6503.9546441408229</c:v>
                </c:pt>
                <c:pt idx="7">
                  <c:v>6503.932647473689</c:v>
                </c:pt>
                <c:pt idx="8">
                  <c:v>6503.7133657579243</c:v>
                </c:pt>
                <c:pt idx="9">
                  <c:v>6501.5374241274303</c:v>
                </c:pt>
                <c:pt idx="10">
                  <c:v>6481.233154233405</c:v>
                </c:pt>
                <c:pt idx="11">
                  <c:v>6364.7007036045688</c:v>
                </c:pt>
                <c:pt idx="12">
                  <c:v>6219.55344224686</c:v>
                </c:pt>
                <c:pt idx="13">
                  <c:v>6059.9785511387736</c:v>
                </c:pt>
                <c:pt idx="14">
                  <c:v>5870.6317266704709</c:v>
                </c:pt>
                <c:pt idx="15">
                  <c:v>5669.1325406322439</c:v>
                </c:pt>
                <c:pt idx="16">
                  <c:v>5423.4324257349326</c:v>
                </c:pt>
                <c:pt idx="17">
                  <c:v>5064.9009314494624</c:v>
                </c:pt>
                <c:pt idx="18">
                  <c:v>4580.1850776889687</c:v>
                </c:pt>
                <c:pt idx="19">
                  <c:v>4085.8663253030418</c:v>
                </c:pt>
                <c:pt idx="20">
                  <c:v>3641.7022773125063</c:v>
                </c:pt>
                <c:pt idx="21">
                  <c:v>3231.6591203117327</c:v>
                </c:pt>
                <c:pt idx="22">
                  <c:v>2785.7203085552951</c:v>
                </c:pt>
                <c:pt idx="23">
                  <c:v>2295.1533050928924</c:v>
                </c:pt>
                <c:pt idx="24">
                  <c:v>1754.5150163075152</c:v>
                </c:pt>
                <c:pt idx="25">
                  <c:v>1171.8757952014325</c:v>
                </c:pt>
                <c:pt idx="26">
                  <c:v>704.46209389908893</c:v>
                </c:pt>
                <c:pt idx="27">
                  <c:v>403.25761176970258</c:v>
                </c:pt>
                <c:pt idx="28">
                  <c:v>227.19076746573165</c:v>
                </c:pt>
                <c:pt idx="29">
                  <c:v>157.01371189082064</c:v>
                </c:pt>
                <c:pt idx="30">
                  <c:v>136.97082983111966</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6479.0859474371819</c:v>
                </c:pt>
                <c:pt idx="1">
                  <c:v>6479.1324839978006</c:v>
                </c:pt>
                <c:pt idx="2">
                  <c:v>6479.041978197979</c:v>
                </c:pt>
                <c:pt idx="3">
                  <c:v>6478.4539559822069</c:v>
                </c:pt>
                <c:pt idx="4">
                  <c:v>6472.7726535549082</c:v>
                </c:pt>
                <c:pt idx="5">
                  <c:v>6425.3224026678754</c:v>
                </c:pt>
                <c:pt idx="6">
                  <c:v>6280.1372572444334</c:v>
                </c:pt>
                <c:pt idx="7">
                  <c:v>6130.7451181848783</c:v>
                </c:pt>
                <c:pt idx="8">
                  <c:v>5959.459898848826</c:v>
                </c:pt>
                <c:pt idx="9">
                  <c:v>5758.6320512376351</c:v>
                </c:pt>
                <c:pt idx="10">
                  <c:v>5553.7107715147085</c:v>
                </c:pt>
                <c:pt idx="11">
                  <c:v>5296.2160470219478</c:v>
                </c:pt>
                <c:pt idx="12">
                  <c:v>5014.3504980568096</c:v>
                </c:pt>
                <c:pt idx="13">
                  <c:v>4737.7084148388376</c:v>
                </c:pt>
                <c:pt idx="14">
                  <c:v>4438.626264954587</c:v>
                </c:pt>
                <c:pt idx="15">
                  <c:v>4115.3629839514006</c:v>
                </c:pt>
                <c:pt idx="16">
                  <c:v>3662.5886079597385</c:v>
                </c:pt>
                <c:pt idx="17">
                  <c:v>3039.7716426269371</c:v>
                </c:pt>
                <c:pt idx="18">
                  <c:v>2356.5178874385392</c:v>
                </c:pt>
                <c:pt idx="19">
                  <c:v>1664.6092730189016</c:v>
                </c:pt>
                <c:pt idx="20">
                  <c:v>1039.9214556238178</c:v>
                </c:pt>
                <c:pt idx="21">
                  <c:v>595.89522173414423</c:v>
                </c:pt>
                <c:pt idx="22">
                  <c:v>331.71701217899948</c:v>
                </c:pt>
                <c:pt idx="23">
                  <c:v>192.72704730170403</c:v>
                </c:pt>
                <c:pt idx="24">
                  <c:v>148.89299884614732</c:v>
                </c:pt>
                <c:pt idx="25">
                  <c:v>134.12130031566326</c:v>
                </c:pt>
                <c:pt idx="26">
                  <c:v>124.90206072555479</c:v>
                </c:pt>
                <c:pt idx="27">
                  <c:v>124.64007063602084</c:v>
                </c:pt>
                <c:pt idx="28">
                  <c:v>123.89500698166064</c:v>
                </c:pt>
                <c:pt idx="29">
                  <c:v>123.88320178471095</c:v>
                </c:pt>
                <c:pt idx="30">
                  <c:v>123.47472292148701</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5863.6829549380891</c:v>
                </c:pt>
                <c:pt idx="1">
                  <c:v>5609.1927579282792</c:v>
                </c:pt>
                <c:pt idx="2">
                  <c:v>5370.7345311781783</c:v>
                </c:pt>
                <c:pt idx="3">
                  <c:v>5097.9534912421213</c:v>
                </c:pt>
                <c:pt idx="4">
                  <c:v>4821.046341164677</c:v>
                </c:pt>
                <c:pt idx="5">
                  <c:v>4535.3452020984814</c:v>
                </c:pt>
                <c:pt idx="6">
                  <c:v>4228.4929725950406</c:v>
                </c:pt>
                <c:pt idx="7">
                  <c:v>3871.0057883923755</c:v>
                </c:pt>
                <c:pt idx="8">
                  <c:v>3401.7561264704505</c:v>
                </c:pt>
                <c:pt idx="9">
                  <c:v>2827.0529060658037</c:v>
                </c:pt>
                <c:pt idx="10">
                  <c:v>2150.7951483518323</c:v>
                </c:pt>
                <c:pt idx="11">
                  <c:v>1410.5199057082755</c:v>
                </c:pt>
                <c:pt idx="12">
                  <c:v>826.67973456797017</c:v>
                </c:pt>
                <c:pt idx="13">
                  <c:v>463.10914863390207</c:v>
                </c:pt>
                <c:pt idx="14">
                  <c:v>257.27368574751409</c:v>
                </c:pt>
                <c:pt idx="15">
                  <c:v>179.98076982609024</c:v>
                </c:pt>
                <c:pt idx="16">
                  <c:v>157.55849658546879</c:v>
                </c:pt>
                <c:pt idx="17">
                  <c:v>143.13037816485394</c:v>
                </c:pt>
                <c:pt idx="18">
                  <c:v>139.03929298884987</c:v>
                </c:pt>
                <c:pt idx="19">
                  <c:v>135.60631839895524</c:v>
                </c:pt>
                <c:pt idx="20">
                  <c:v>132.22937471479068</c:v>
                </c:pt>
                <c:pt idx="21">
                  <c:v>129.58780540541244</c:v>
                </c:pt>
                <c:pt idx="22">
                  <c:v>127.7135675720335</c:v>
                </c:pt>
                <c:pt idx="23">
                  <c:v>126.4367312836393</c:v>
                </c:pt>
                <c:pt idx="24">
                  <c:v>125.52960401951817</c:v>
                </c:pt>
                <c:pt idx="25">
                  <c:v>124.83927834622055</c:v>
                </c:pt>
                <c:pt idx="26">
                  <c:v>124.70417941781746</c:v>
                </c:pt>
                <c:pt idx="27">
                  <c:v>123.9260383626436</c:v>
                </c:pt>
                <c:pt idx="28">
                  <c:v>123.91358498832378</c:v>
                </c:pt>
                <c:pt idx="29">
                  <c:v>123.65466987195585</c:v>
                </c:pt>
                <c:pt idx="30">
                  <c:v>123.64094316844046</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5469.0375175567433</c:v>
                </c:pt>
                <c:pt idx="1">
                  <c:v>5144.4254375399241</c:v>
                </c:pt>
                <c:pt idx="2">
                  <c:v>4859.4796757955091</c:v>
                </c:pt>
                <c:pt idx="3">
                  <c:v>4579.0872874253573</c:v>
                </c:pt>
                <c:pt idx="4">
                  <c:v>4274.6287252900811</c:v>
                </c:pt>
                <c:pt idx="5">
                  <c:v>3938.1560081824523</c:v>
                </c:pt>
                <c:pt idx="6">
                  <c:v>3491.5925245283374</c:v>
                </c:pt>
                <c:pt idx="7">
                  <c:v>2939.5473684961994</c:v>
                </c:pt>
                <c:pt idx="8">
                  <c:v>2290.3210430692648</c:v>
                </c:pt>
                <c:pt idx="9">
                  <c:v>1556.8723374202477</c:v>
                </c:pt>
                <c:pt idx="10">
                  <c:v>939.61789874376836</c:v>
                </c:pt>
                <c:pt idx="11">
                  <c:v>532.22470015904992</c:v>
                </c:pt>
                <c:pt idx="12">
                  <c:v>294.61415856723238</c:v>
                </c:pt>
                <c:pt idx="13">
                  <c:v>191.85627557437303</c:v>
                </c:pt>
                <c:pt idx="14">
                  <c:v>162.27843823453597</c:v>
                </c:pt>
                <c:pt idx="15">
                  <c:v>147.30961753431595</c:v>
                </c:pt>
                <c:pt idx="16">
                  <c:v>142.06591803394016</c:v>
                </c:pt>
                <c:pt idx="17">
                  <c:v>140.2404472955443</c:v>
                </c:pt>
                <c:pt idx="18">
                  <c:v>137.13168564571805</c:v>
                </c:pt>
                <c:pt idx="19">
                  <c:v>133.5914564553571</c:v>
                </c:pt>
                <c:pt idx="20">
                  <c:v>130.60597118111332</c:v>
                </c:pt>
                <c:pt idx="21">
                  <c:v>128.42317853149575</c:v>
                </c:pt>
                <c:pt idx="22">
                  <c:v>126.92571513683149</c:v>
                </c:pt>
                <c:pt idx="23">
                  <c:v>125.87891264299097</c:v>
                </c:pt>
                <c:pt idx="24">
                  <c:v>125.11103067782525</c:v>
                </c:pt>
                <c:pt idx="25">
                  <c:v>124.96985459314666</c:v>
                </c:pt>
                <c:pt idx="26">
                  <c:v>124.77108605330615</c:v>
                </c:pt>
                <c:pt idx="27">
                  <c:v>123.93614365125383</c:v>
                </c:pt>
                <c:pt idx="28">
                  <c:v>123.92285545904397</c:v>
                </c:pt>
                <c:pt idx="29">
                  <c:v>123.48008539289999</c:v>
                </c:pt>
                <c:pt idx="30">
                  <c:v>123.46865182434244</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54823768"/>
        <c:axId val="45482416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482376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824160"/>
        <c:crosses val="autoZero"/>
        <c:crossBetween val="midCat"/>
        <c:majorUnit val="10000"/>
      </c:valAx>
      <c:valAx>
        <c:axId val="454824160"/>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823768"/>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2.0674447976977281E-3</c:v>
                </c:pt>
                <c:pt idx="1">
                  <c:v>2.0592254245537984E-3</c:v>
                </c:pt>
                <c:pt idx="2">
                  <c:v>2.0643089565994346E-3</c:v>
                </c:pt>
                <c:pt idx="3">
                  <c:v>2.0658206125540612E-3</c:v>
                </c:pt>
                <c:pt idx="4">
                  <c:v>2.066293510907652E-3</c:v>
                </c:pt>
                <c:pt idx="5">
                  <c:v>2.0664267981761074E-3</c:v>
                </c:pt>
                <c:pt idx="6">
                  <c:v>2.0664561967412916E-3</c:v>
                </c:pt>
                <c:pt idx="7">
                  <c:v>2.0660431202086022E-3</c:v>
                </c:pt>
                <c:pt idx="8">
                  <c:v>2.0618620195062766E-3</c:v>
                </c:pt>
                <c:pt idx="9">
                  <c:v>2.0228181146487922E-3</c:v>
                </c:pt>
                <c:pt idx="10">
                  <c:v>1.8262445408680785E-3</c:v>
                </c:pt>
                <c:pt idx="11">
                  <c:v>6.5788969704203264E-4</c:v>
                </c:pt>
                <c:pt idx="12">
                  <c:v>1.153206539055973E-3</c:v>
                </c:pt>
                <c:pt idx="13">
                  <c:v>2.6726757151206634E-3</c:v>
                </c:pt>
                <c:pt idx="14">
                  <c:v>5.0403387516287377E-3</c:v>
                </c:pt>
                <c:pt idx="15">
                  <c:v>6.9510679547665549E-3</c:v>
                </c:pt>
                <c:pt idx="16">
                  <c:v>8.3647723464598082E-3</c:v>
                </c:pt>
                <c:pt idx="17">
                  <c:v>1.0132924051429511E-3</c:v>
                </c:pt>
                <c:pt idx="18">
                  <c:v>2.6157012077427936E-2</c:v>
                </c:pt>
                <c:pt idx="19">
                  <c:v>6.1154104410368865E-2</c:v>
                </c:pt>
                <c:pt idx="20">
                  <c:v>9.0072965239998415E-2</c:v>
                </c:pt>
                <c:pt idx="21">
                  <c:v>0.11062419493709873</c:v>
                </c:pt>
                <c:pt idx="22">
                  <c:v>0.12206276894311059</c:v>
                </c:pt>
                <c:pt idx="23">
                  <c:v>0.12658896319357144</c:v>
                </c:pt>
                <c:pt idx="24">
                  <c:v>0.12504580913785296</c:v>
                </c:pt>
                <c:pt idx="25">
                  <c:v>0.11969910789059796</c:v>
                </c:pt>
                <c:pt idx="26">
                  <c:v>0.11276159608158236</c:v>
                </c:pt>
                <c:pt idx="27">
                  <c:v>0.10703757823012408</c:v>
                </c:pt>
                <c:pt idx="28">
                  <c:v>0.10281925506606289</c:v>
                </c:pt>
                <c:pt idx="29">
                  <c:v>0.10196438293498568</c:v>
                </c:pt>
                <c:pt idx="30">
                  <c:v>0.10297003409373981</c:v>
                </c:pt>
              </c:numCache>
            </c:numRef>
          </c:yVal>
          <c:smooth val="1"/>
        </c:ser>
        <c:dLbls>
          <c:showLegendKey val="0"/>
          <c:showVal val="0"/>
          <c:showCatName val="0"/>
          <c:showSerName val="0"/>
          <c:showPercent val="0"/>
          <c:showBubbleSize val="0"/>
        </c:dLbls>
        <c:axId val="454824552"/>
        <c:axId val="454825336"/>
      </c:scatterChart>
      <c:valAx>
        <c:axId val="45482455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825336"/>
        <c:crossesAt val="-1.5000000000000005E-3"/>
        <c:crossBetween val="midCat"/>
      </c:valAx>
      <c:valAx>
        <c:axId val="454825336"/>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824552"/>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6503.9509699618966</c:v>
                </c:pt>
                <c:pt idx="1">
                  <c:v>6504.0043184804708</c:v>
                </c:pt>
                <c:pt idx="2">
                  <c:v>6503.9713230315656</c:v>
                </c:pt>
                <c:pt idx="3">
                  <c:v>6503.9615090652051</c:v>
                </c:pt>
                <c:pt idx="4">
                  <c:v>6503.9584150129849</c:v>
                </c:pt>
                <c:pt idx="5">
                  <c:v>6503.9573030886877</c:v>
                </c:pt>
                <c:pt idx="6">
                  <c:v>6503.9546441408229</c:v>
                </c:pt>
                <c:pt idx="7">
                  <c:v>6503.932647473689</c:v>
                </c:pt>
                <c:pt idx="8">
                  <c:v>6503.7133657579243</c:v>
                </c:pt>
                <c:pt idx="9">
                  <c:v>6501.5374241274303</c:v>
                </c:pt>
                <c:pt idx="10">
                  <c:v>6481.233154233405</c:v>
                </c:pt>
                <c:pt idx="11">
                  <c:v>6364.7007036045688</c:v>
                </c:pt>
                <c:pt idx="12">
                  <c:v>6219.55344224686</c:v>
                </c:pt>
                <c:pt idx="13">
                  <c:v>6059.9785511387736</c:v>
                </c:pt>
                <c:pt idx="14">
                  <c:v>5870.6317266704709</c:v>
                </c:pt>
                <c:pt idx="15">
                  <c:v>5669.1325406322439</c:v>
                </c:pt>
                <c:pt idx="16">
                  <c:v>5423.4324257349326</c:v>
                </c:pt>
                <c:pt idx="17">
                  <c:v>5064.9009314494624</c:v>
                </c:pt>
                <c:pt idx="18">
                  <c:v>4580.1850776889687</c:v>
                </c:pt>
                <c:pt idx="19">
                  <c:v>4085.8663253030418</c:v>
                </c:pt>
                <c:pt idx="20">
                  <c:v>3641.7022773125063</c:v>
                </c:pt>
                <c:pt idx="21">
                  <c:v>3231.6591203117327</c:v>
                </c:pt>
                <c:pt idx="22">
                  <c:v>2785.7203085552951</c:v>
                </c:pt>
                <c:pt idx="23">
                  <c:v>2295.1533050928924</c:v>
                </c:pt>
                <c:pt idx="24">
                  <c:v>1754.5150163075152</c:v>
                </c:pt>
                <c:pt idx="25">
                  <c:v>1171.8757952014325</c:v>
                </c:pt>
                <c:pt idx="26">
                  <c:v>704.46209389908893</c:v>
                </c:pt>
                <c:pt idx="27">
                  <c:v>403.25761176970258</c:v>
                </c:pt>
                <c:pt idx="28">
                  <c:v>227.19076746573165</c:v>
                </c:pt>
                <c:pt idx="29">
                  <c:v>157.01371189082064</c:v>
                </c:pt>
                <c:pt idx="30">
                  <c:v>136.97082983111966</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6517.3975295592254</c:v>
                </c:pt>
                <c:pt idx="1">
                  <c:v>6517.3975295344935</c:v>
                </c:pt>
                <c:pt idx="2">
                  <c:v>6517.3975292871655</c:v>
                </c:pt>
                <c:pt idx="3">
                  <c:v>6517.3975268138902</c:v>
                </c:pt>
                <c:pt idx="4">
                  <c:v>6517.3975020811395</c:v>
                </c:pt>
                <c:pt idx="5">
                  <c:v>6517.3972547539834</c:v>
                </c:pt>
                <c:pt idx="6">
                  <c:v>6517.394781518532</c:v>
                </c:pt>
                <c:pt idx="7">
                  <c:v>6517.3700527743022</c:v>
                </c:pt>
                <c:pt idx="8">
                  <c:v>6517.1231253325359</c:v>
                </c:pt>
                <c:pt idx="9">
                  <c:v>6514.6888518020223</c:v>
                </c:pt>
                <c:pt idx="10">
                  <c:v>6493.069470899417</c:v>
                </c:pt>
                <c:pt idx="11">
                  <c:v>6368.8879746222265</c:v>
                </c:pt>
                <c:pt idx="12">
                  <c:v>6212.3810125472528</c:v>
                </c:pt>
                <c:pt idx="13">
                  <c:v>6043.7821936309929</c:v>
                </c:pt>
                <c:pt idx="14">
                  <c:v>5841.0417540819926</c:v>
                </c:pt>
                <c:pt idx="15">
                  <c:v>5629.7260150977309</c:v>
                </c:pt>
                <c:pt idx="16">
                  <c:v>5378.0666481572516</c:v>
                </c:pt>
                <c:pt idx="17">
                  <c:v>5059.7687058028232</c:v>
                </c:pt>
                <c:pt idx="18">
                  <c:v>4699.9890340829343</c:v>
                </c:pt>
                <c:pt idx="19">
                  <c:v>4335.7338211674341</c:v>
                </c:pt>
                <c:pt idx="20">
                  <c:v>3969.7211999512988</c:v>
                </c:pt>
                <c:pt idx="21">
                  <c:v>3589.1588088073509</c:v>
                </c:pt>
                <c:pt idx="22">
                  <c:v>3125.7530429186108</c:v>
                </c:pt>
                <c:pt idx="23">
                  <c:v>2585.6943823549004</c:v>
                </c:pt>
                <c:pt idx="24">
                  <c:v>1973.9097661662017</c:v>
                </c:pt>
                <c:pt idx="25">
                  <c:v>1312.1482824456291</c:v>
                </c:pt>
                <c:pt idx="26">
                  <c:v>783.89836398612374</c:v>
                </c:pt>
                <c:pt idx="27">
                  <c:v>446.42132993639513</c:v>
                </c:pt>
                <c:pt idx="28">
                  <c:v>250.5503529344453</c:v>
                </c:pt>
                <c:pt idx="29">
                  <c:v>173.0235181360998</c:v>
                </c:pt>
                <c:pt idx="30">
                  <c:v>151.07472084867788</c:v>
                </c:pt>
              </c:numCache>
            </c:numRef>
          </c:yVal>
          <c:smooth val="1"/>
        </c:ser>
        <c:dLbls>
          <c:showLegendKey val="0"/>
          <c:showVal val="0"/>
          <c:showCatName val="0"/>
          <c:showSerName val="0"/>
          <c:showPercent val="0"/>
          <c:showBubbleSize val="0"/>
        </c:dLbls>
        <c:axId val="454822592"/>
        <c:axId val="454822984"/>
      </c:scatterChart>
      <c:valAx>
        <c:axId val="4548225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822984"/>
        <c:crosses val="autoZero"/>
        <c:crossBetween val="midCat"/>
      </c:valAx>
      <c:valAx>
        <c:axId val="45482298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822592"/>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7.6680073435461526E-3</c:v>
                </c:pt>
                <c:pt idx="1">
                  <c:v>8.0545492188947784E-3</c:v>
                </c:pt>
                <c:pt idx="2">
                  <c:v>8.6307856858795304E-3</c:v>
                </c:pt>
                <c:pt idx="3">
                  <c:v>8.6332504762654007E-3</c:v>
                </c:pt>
                <c:pt idx="4">
                  <c:v>8.6327700509637329E-3</c:v>
                </c:pt>
                <c:pt idx="5">
                  <c:v>8.632609909216736E-3</c:v>
                </c:pt>
                <c:pt idx="6">
                  <c:v>8.6325577702446414E-3</c:v>
                </c:pt>
                <c:pt idx="7">
                  <c:v>8.6325503238732816E-3</c:v>
                </c:pt>
                <c:pt idx="8">
                  <c:v>8.6325503447008452E-3</c:v>
                </c:pt>
                <c:pt idx="9">
                  <c:v>8.6325505529767695E-3</c:v>
                </c:pt>
                <c:pt idx="10">
                  <c:v>8.6325489115090491E-3</c:v>
                </c:pt>
                <c:pt idx="11">
                  <c:v>8.632528772589269E-3</c:v>
                </c:pt>
                <c:pt idx="12">
                  <c:v>8.6326588379447323E-3</c:v>
                </c:pt>
                <c:pt idx="13">
                  <c:v>8.6336427663996611E-3</c:v>
                </c:pt>
                <c:pt idx="14">
                  <c:v>8.6434543252380293E-3</c:v>
                </c:pt>
                <c:pt idx="15">
                  <c:v>8.7404767065525305E-3</c:v>
                </c:pt>
                <c:pt idx="16">
                  <c:v>9.5934778771908039E-3</c:v>
                </c:pt>
                <c:pt idx="17">
                  <c:v>1.4135264262942156E-2</c:v>
                </c:pt>
                <c:pt idx="18">
                  <c:v>1.7586962214725787E-2</c:v>
                </c:pt>
                <c:pt idx="19">
                  <c:v>1.692049987422559E-2</c:v>
                </c:pt>
                <c:pt idx="20">
                  <c:v>1.2664677636373396E-2</c:v>
                </c:pt>
                <c:pt idx="21">
                  <c:v>2.1276356254719506E-2</c:v>
                </c:pt>
                <c:pt idx="22">
                  <c:v>7.4026471214468509E-2</c:v>
                </c:pt>
                <c:pt idx="23">
                  <c:v>0.12099762983013752</c:v>
                </c:pt>
                <c:pt idx="24">
                  <c:v>0.14781905114786026</c:v>
                </c:pt>
                <c:pt idx="25">
                  <c:v>0.15530134425011655</c:v>
                </c:pt>
                <c:pt idx="26">
                  <c:v>0.15564866291308532</c:v>
                </c:pt>
                <c:pt idx="27">
                  <c:v>0.14340188272912763</c:v>
                </c:pt>
                <c:pt idx="28">
                  <c:v>0.14013083243651625</c:v>
                </c:pt>
                <c:pt idx="29">
                  <c:v>0.11211922712972701</c:v>
                </c:pt>
                <c:pt idx="30">
                  <c:v>7.8426535330616609E-2</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2.0674447976977281E-3</c:v>
                </c:pt>
                <c:pt idx="1">
                  <c:v>2.0592254245532389E-3</c:v>
                </c:pt>
                <c:pt idx="2">
                  <c:v>2.0643089565938414E-3</c:v>
                </c:pt>
                <c:pt idx="3">
                  <c:v>2.0658206124972872E-3</c:v>
                </c:pt>
                <c:pt idx="4">
                  <c:v>2.0662935103400535E-3</c:v>
                </c:pt>
                <c:pt idx="5">
                  <c:v>2.0664267925017965E-3</c:v>
                </c:pt>
                <c:pt idx="6">
                  <c:v>2.0664561399995575E-3</c:v>
                </c:pt>
                <c:pt idx="7">
                  <c:v>2.0660425529400871E-3</c:v>
                </c:pt>
                <c:pt idx="8">
                  <c:v>2.0618563616261383E-3</c:v>
                </c:pt>
                <c:pt idx="9">
                  <c:v>2.022762955588757E-3</c:v>
                </c:pt>
                <c:pt idx="10">
                  <c:v>1.825791405902935E-3</c:v>
                </c:pt>
                <c:pt idx="11">
                  <c:v>6.5603211746206923E-4</c:v>
                </c:pt>
                <c:pt idx="12">
                  <c:v>1.154604907084072E-3</c:v>
                </c:pt>
                <c:pt idx="13">
                  <c:v>2.6747362356444888E-3</c:v>
                </c:pt>
                <c:pt idx="14">
                  <c:v>5.0424102676275059E-3</c:v>
                </c:pt>
                <c:pt idx="15">
                  <c:v>6.9533463058034485E-3</c:v>
                </c:pt>
                <c:pt idx="16">
                  <c:v>8.367809413190536E-3</c:v>
                </c:pt>
                <c:pt idx="17">
                  <c:v>1.0170306003431647E-3</c:v>
                </c:pt>
                <c:pt idx="18">
                  <c:v>2.6152871187077771E-2</c:v>
                </c:pt>
                <c:pt idx="19">
                  <c:v>6.1149652561427674E-2</c:v>
                </c:pt>
                <c:pt idx="20">
                  <c:v>9.0067675387945162E-2</c:v>
                </c:pt>
                <c:pt idx="21">
                  <c:v>0.11061853864603535</c:v>
                </c:pt>
                <c:pt idx="22">
                  <c:v>0.12205072657376985</c:v>
                </c:pt>
                <c:pt idx="23">
                  <c:v>0.12657297892157271</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5.9130416927605997E-3</c:v>
                </c:pt>
                <c:pt idx="1">
                  <c:v>5.9051544172462845E-3</c:v>
                </c:pt>
                <c:pt idx="2">
                  <c:v>5.9125847469393361E-3</c:v>
                </c:pt>
                <c:pt idx="3">
                  <c:v>5.9378364152238095E-3</c:v>
                </c:pt>
                <c:pt idx="4">
                  <c:v>6.1755976906547674E-3</c:v>
                </c:pt>
                <c:pt idx="5">
                  <c:v>8.1840449586721761E-3</c:v>
                </c:pt>
                <c:pt idx="6">
                  <c:v>6.4741307784009165E-3</c:v>
                </c:pt>
                <c:pt idx="7">
                  <c:v>7.1447253053689395E-3</c:v>
                </c:pt>
                <c:pt idx="8">
                  <c:v>5.1082903775814415E-3</c:v>
                </c:pt>
                <c:pt idx="9">
                  <c:v>5.0194349604521663E-3</c:v>
                </c:pt>
                <c:pt idx="10">
                  <c:v>3.2225694223928241E-3</c:v>
                </c:pt>
                <c:pt idx="11">
                  <c:v>1.3536790595884557E-3</c:v>
                </c:pt>
                <c:pt idx="12">
                  <c:v>8.0493084936471282E-3</c:v>
                </c:pt>
                <c:pt idx="13">
                  <c:v>2.5946803781431008E-2</c:v>
                </c:pt>
                <c:pt idx="14">
                  <c:v>4.1372936476203881E-2</c:v>
                </c:pt>
                <c:pt idx="15">
                  <c:v>5.5919541061197724E-2</c:v>
                </c:pt>
                <c:pt idx="16">
                  <c:v>4.1539472280734582E-2</c:v>
                </c:pt>
                <c:pt idx="17">
                  <c:v>1.6207808914393104E-2</c:v>
                </c:pt>
                <c:pt idx="18">
                  <c:v>3.1724785940644373E-2</c:v>
                </c:pt>
                <c:pt idx="19">
                  <c:v>8.3509387245836023E-2</c:v>
                </c:pt>
                <c:pt idx="20">
                  <c:v>9.8687670274558742E-2</c:v>
                </c:pt>
                <c:pt idx="21">
                  <c:v>0.14120154809213517</c:v>
                </c:pt>
                <c:pt idx="22">
                  <c:v>0.13891939514340768</c:v>
                </c:pt>
                <c:pt idx="23">
                  <c:v>0.13918843796836916</c:v>
                </c:pt>
                <c:pt idx="24">
                  <c:v>0.1041558212542162</c:v>
                </c:pt>
                <c:pt idx="25">
                  <c:v>9.1100181665631011E-2</c:v>
                </c:pt>
                <c:pt idx="26">
                  <c:v>0.21169078059610022</c:v>
                </c:pt>
                <c:pt idx="27">
                  <c:v>0.31179586188805797</c:v>
                </c:pt>
                <c:pt idx="28">
                  <c:v>0.30765724642168402</c:v>
                </c:pt>
                <c:pt idx="29">
                  <c:v>0.30759127103159933</c:v>
                </c:pt>
                <c:pt idx="30">
                  <c:v>0.30530064568089349</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2.8656253644670704E-3</c:v>
                </c:pt>
                <c:pt idx="1">
                  <c:v>8.8043981387894623E-3</c:v>
                </c:pt>
                <c:pt idx="2">
                  <c:v>3.7349745389702064E-3</c:v>
                </c:pt>
                <c:pt idx="3">
                  <c:v>2.1775606858662803E-2</c:v>
                </c:pt>
                <c:pt idx="4">
                  <c:v>3.5765863469696381E-2</c:v>
                </c:pt>
                <c:pt idx="5">
                  <c:v>4.9045416435768777E-2</c:v>
                </c:pt>
                <c:pt idx="6">
                  <c:v>3.6815503564543911E-2</c:v>
                </c:pt>
                <c:pt idx="7">
                  <c:v>4.1093732020573412E-2</c:v>
                </c:pt>
                <c:pt idx="8">
                  <c:v>2.5088535660820394E-2</c:v>
                </c:pt>
                <c:pt idx="9">
                  <c:v>1.9040124734397219E-2</c:v>
                </c:pt>
                <c:pt idx="10">
                  <c:v>1.9749060296409611E-2</c:v>
                </c:pt>
                <c:pt idx="11">
                  <c:v>5.8757368919364963E-2</c:v>
                </c:pt>
                <c:pt idx="12">
                  <c:v>4.3028096741776087E-2</c:v>
                </c:pt>
                <c:pt idx="13">
                  <c:v>7.7065898094068799E-3</c:v>
                </c:pt>
                <c:pt idx="14">
                  <c:v>3.5877752634204854E-2</c:v>
                </c:pt>
                <c:pt idx="15">
                  <c:v>8.226467486198967E-2</c:v>
                </c:pt>
                <c:pt idx="16">
                  <c:v>0.38435339410784403</c:v>
                </c:pt>
                <c:pt idx="17">
                  <c:v>0.38835184896752012</c:v>
                </c:pt>
                <c:pt idx="18">
                  <c:v>0.37448584632806176</c:v>
                </c:pt>
                <c:pt idx="19">
                  <c:v>0.35790946094705994</c:v>
                </c:pt>
                <c:pt idx="20">
                  <c:v>0.34323209335246857</c:v>
                </c:pt>
                <c:pt idx="21">
                  <c:v>0.33206909166127963</c:v>
                </c:pt>
                <c:pt idx="22">
                  <c:v>0.32418887539207186</c:v>
                </c:pt>
                <c:pt idx="23">
                  <c:v>0.31856886521124728</c:v>
                </c:pt>
                <c:pt idx="24">
                  <c:v>0.31438651073721102</c:v>
                </c:pt>
                <c:pt idx="25">
                  <c:v>0.31361198612619928</c:v>
                </c:pt>
                <c:pt idx="26">
                  <c:v>0.31251852491176824</c:v>
                </c:pt>
                <c:pt idx="27">
                  <c:v>0.30788704762624086</c:v>
                </c:pt>
                <c:pt idx="28">
                  <c:v>0.30781283266477955</c:v>
                </c:pt>
                <c:pt idx="29">
                  <c:v>0.30533081496216907</c:v>
                </c:pt>
                <c:pt idx="30">
                  <c:v>0.30526648650604205</c:v>
                </c:pt>
              </c:numCache>
            </c:numRef>
          </c:yVal>
          <c:smooth val="1"/>
        </c:ser>
        <c:dLbls>
          <c:showLegendKey val="0"/>
          <c:showVal val="0"/>
          <c:showCatName val="0"/>
          <c:showSerName val="0"/>
          <c:showPercent val="0"/>
          <c:showBubbleSize val="0"/>
        </c:dLbls>
        <c:axId val="551795296"/>
        <c:axId val="557724496"/>
      </c:scatterChart>
      <c:valAx>
        <c:axId val="55179529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7724496"/>
        <c:crossesAt val="1.0000000000000005E-9"/>
        <c:crossBetween val="midCat"/>
      </c:valAx>
      <c:valAx>
        <c:axId val="557724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1795296"/>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-14.406800109604639</c:v>
                </c:pt>
                <c:pt idx="1">
                  <c:v>-10.950515452938541</c:v>
                </c:pt>
                <c:pt idx="2">
                  <c:v>-6.5770330385822291</c:v>
                </c:pt>
                <c:pt idx="3">
                  <c:v>0</c:v>
                </c:pt>
                <c:pt idx="4">
                  <c:v>12.063922953615501</c:v>
                </c:pt>
                <c:pt idx="5">
                  <c:v>31.8000897176249</c:v>
                </c:pt>
                <c:pt idx="6">
                  <c:v>35.861537922668312</c:v>
                </c:pt>
              </c:numCache>
            </c:numRef>
          </c:yVal>
          <c:smooth val="0"/>
        </c:ser>
        <c:dLbls>
          <c:showLegendKey val="0"/>
          <c:showVal val="0"/>
          <c:showCatName val="0"/>
          <c:showSerName val="0"/>
          <c:showPercent val="0"/>
          <c:showBubbleSize val="0"/>
        </c:dLbls>
        <c:axId val="557727240"/>
        <c:axId val="557724888"/>
      </c:scatterChart>
      <c:valAx>
        <c:axId val="5577272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7724888"/>
        <c:crossesAt val="-100"/>
        <c:crossBetween val="midCat"/>
      </c:valAx>
      <c:valAx>
        <c:axId val="5577248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7727240"/>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0"/>
        </c:ser>
        <c:dLbls>
          <c:showLegendKey val="0"/>
          <c:showVal val="0"/>
          <c:showCatName val="0"/>
          <c:showSerName val="0"/>
          <c:showPercent val="0"/>
          <c:showBubbleSize val="0"/>
        </c:dLbls>
        <c:axId val="557723712"/>
        <c:axId val="557725672"/>
      </c:scatterChart>
      <c:valAx>
        <c:axId val="557723712"/>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7725672"/>
        <c:crosses val="autoZero"/>
        <c:crossBetween val="midCat"/>
      </c:valAx>
      <c:valAx>
        <c:axId val="557725672"/>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7723712"/>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5.5361291178458031E-22</c:v>
                </c:pt>
                <c:pt idx="1">
                  <c:v>5.536129117845803E-21</c:v>
                </c:pt>
                <c:pt idx="2">
                  <c:v>5.5361291178458031E-20</c:v>
                </c:pt>
                <c:pt idx="3">
                  <c:v>5.5361291178458031E-19</c:v>
                </c:pt>
                <c:pt idx="4">
                  <c:v>5.5361291178458027E-18</c:v>
                </c:pt>
                <c:pt idx="5">
                  <c:v>5.5361291178458029E-17</c:v>
                </c:pt>
                <c:pt idx="6">
                  <c:v>5.5361291178458028E-16</c:v>
                </c:pt>
                <c:pt idx="7">
                  <c:v>5.5361291178458028E-15</c:v>
                </c:pt>
                <c:pt idx="8">
                  <c:v>5.5361291178458024E-14</c:v>
                </c:pt>
                <c:pt idx="9">
                  <c:v>5.5361291178458022E-13</c:v>
                </c:pt>
                <c:pt idx="10">
                  <c:v>5.536129117845803E-12</c:v>
                </c:pt>
                <c:pt idx="11">
                  <c:v>5.5361291178458032E-11</c:v>
                </c:pt>
                <c:pt idx="12">
                  <c:v>5.5361291178458029E-10</c:v>
                </c:pt>
                <c:pt idx="13">
                  <c:v>5.5361291178458027E-9</c:v>
                </c:pt>
                <c:pt idx="14">
                  <c:v>5.5361291178458029E-8</c:v>
                </c:pt>
                <c:pt idx="15">
                  <c:v>5.5361291178458027E-7</c:v>
                </c:pt>
                <c:pt idx="16">
                  <c:v>5.5361291178458029E-6</c:v>
                </c:pt>
                <c:pt idx="17">
                  <c:v>5.5361291178458028E-5</c:v>
                </c:pt>
                <c:pt idx="18">
                  <c:v>5.5361291178458033E-4</c:v>
                </c:pt>
                <c:pt idx="19">
                  <c:v>5.5361291178458024E-3</c:v>
                </c:pt>
                <c:pt idx="20">
                  <c:v>5.5361291178458026E-2</c:v>
                </c:pt>
                <c:pt idx="21">
                  <c:v>0.55361291178458027</c:v>
                </c:pt>
                <c:pt idx="22">
                  <c:v>5.5361291178458032</c:v>
                </c:pt>
                <c:pt idx="23">
                  <c:v>55.361291178458032</c:v>
                </c:pt>
                <c:pt idx="24">
                  <c:v>553.61291178458032</c:v>
                </c:pt>
                <c:pt idx="25">
                  <c:v>5536.1291178458032</c:v>
                </c:pt>
                <c:pt idx="26">
                  <c:v>55361.291178458028</c:v>
                </c:pt>
                <c:pt idx="27">
                  <c:v>553612.91178458033</c:v>
                </c:pt>
                <c:pt idx="28">
                  <c:v>5536129.1178458026</c:v>
                </c:pt>
                <c:pt idx="29">
                  <c:v>55361291.178458028</c:v>
                </c:pt>
                <c:pt idx="30">
                  <c:v>553612911.78458023</c:v>
                </c:pt>
              </c:numCache>
            </c:numRef>
          </c:xVal>
          <c:yVal>
            <c:numRef>
              <c:f>'Mastercurve bestimmen'!$J$404:$J$434</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1.7548967302632991E-20</c:v>
                </c:pt>
                <c:pt idx="1">
                  <c:v>1.7548967302632989E-19</c:v>
                </c:pt>
                <c:pt idx="2">
                  <c:v>1.754896730263299E-18</c:v>
                </c:pt>
                <c:pt idx="3">
                  <c:v>1.7548967302632987E-17</c:v>
                </c:pt>
                <c:pt idx="4">
                  <c:v>1.7548967302632987E-16</c:v>
                </c:pt>
                <c:pt idx="5">
                  <c:v>1.7548967302632989E-15</c:v>
                </c:pt>
                <c:pt idx="6">
                  <c:v>1.7548967302632989E-14</c:v>
                </c:pt>
                <c:pt idx="7">
                  <c:v>1.754896730263299E-13</c:v>
                </c:pt>
                <c:pt idx="8">
                  <c:v>1.7548967302632988E-12</c:v>
                </c:pt>
                <c:pt idx="9">
                  <c:v>1.7548967302632989E-11</c:v>
                </c:pt>
                <c:pt idx="10">
                  <c:v>1.754896730263299E-10</c:v>
                </c:pt>
                <c:pt idx="11">
                  <c:v>1.754896730263299E-9</c:v>
                </c:pt>
                <c:pt idx="12">
                  <c:v>1.754896730263299E-8</c:v>
                </c:pt>
                <c:pt idx="13">
                  <c:v>1.7548967302632988E-7</c:v>
                </c:pt>
                <c:pt idx="14">
                  <c:v>1.7548967302632988E-6</c:v>
                </c:pt>
                <c:pt idx="15">
                  <c:v>1.7548967302632987E-5</c:v>
                </c:pt>
                <c:pt idx="16">
                  <c:v>1.7548967302632987E-4</c:v>
                </c:pt>
                <c:pt idx="17">
                  <c:v>1.7548967302632988E-3</c:v>
                </c:pt>
                <c:pt idx="18">
                  <c:v>1.7548967302632987E-2</c:v>
                </c:pt>
                <c:pt idx="19">
                  <c:v>0.1754896730263299</c:v>
                </c:pt>
                <c:pt idx="20">
                  <c:v>1.7548967302632987</c:v>
                </c:pt>
                <c:pt idx="21">
                  <c:v>17.548967302632988</c:v>
                </c:pt>
                <c:pt idx="22">
                  <c:v>175.48967302632988</c:v>
                </c:pt>
                <c:pt idx="23">
                  <c:v>1754.8967302632989</c:v>
                </c:pt>
                <c:pt idx="24">
                  <c:v>17548.967302632987</c:v>
                </c:pt>
                <c:pt idx="25">
                  <c:v>175489.6730263299</c:v>
                </c:pt>
                <c:pt idx="26">
                  <c:v>1754896.7302632988</c:v>
                </c:pt>
                <c:pt idx="27">
                  <c:v>17548967.302632987</c:v>
                </c:pt>
                <c:pt idx="28">
                  <c:v>175489673.02632987</c:v>
                </c:pt>
                <c:pt idx="29">
                  <c:v>1754896730.2632987</c:v>
                </c:pt>
                <c:pt idx="30">
                  <c:v>17548967302.632988</c:v>
                </c:pt>
              </c:numCache>
            </c:numRef>
          </c:xVal>
          <c:yVal>
            <c:numRef>
              <c:f>'Mastercurve bestimmen'!$K$404:$K$434</c:f>
              <c:numCache>
                <c:formatCode>0.00E+00</c:formatCode>
                <c:ptCount val="31"/>
                <c:pt idx="0">
                  <c:v>6543.7252261807771</c:v>
                </c:pt>
                <c:pt idx="1">
                  <c:v>6543.7799387981568</c:v>
                </c:pt>
                <c:pt idx="2">
                  <c:v>6543.7462938558028</c:v>
                </c:pt>
                <c:pt idx="3">
                  <c:v>6543.7363350192272</c:v>
                </c:pt>
                <c:pt idx="4">
                  <c:v>6543.7332030080934</c:v>
                </c:pt>
                <c:pt idx="5">
                  <c:v>6543.7321508487757</c:v>
                </c:pt>
                <c:pt idx="6">
                  <c:v>6543.7318082853499</c:v>
                </c:pt>
                <c:pt idx="7">
                  <c:v>6543.7317593477201</c:v>
                </c:pt>
                <c:pt idx="8">
                  <c:v>6543.7315146595847</c:v>
                </c:pt>
                <c:pt idx="9">
                  <c:v>6543.731490190773</c:v>
                </c:pt>
                <c:pt idx="10">
                  <c:v>6543.7313923155243</c:v>
                </c:pt>
                <c:pt idx="11">
                  <c:v>6543.7286518097571</c:v>
                </c:pt>
                <c:pt idx="12">
                  <c:v>6543.7023234963144</c:v>
                </c:pt>
                <c:pt idx="13">
                  <c:v>6543.4393456132884</c:v>
                </c:pt>
                <c:pt idx="14">
                  <c:v>6540.8297975507394</c:v>
                </c:pt>
                <c:pt idx="15">
                  <c:v>6516.7915822655277</c:v>
                </c:pt>
                <c:pt idx="16">
                  <c:v>6390.814079024768</c:v>
                </c:pt>
                <c:pt idx="17">
                  <c:v>6240.1474757230608</c:v>
                </c:pt>
                <c:pt idx="18">
                  <c:v>6044.4265071962272</c:v>
                </c:pt>
                <c:pt idx="19">
                  <c:v>5697.9764219559002</c:v>
                </c:pt>
                <c:pt idx="20">
                  <c:v>5222.1642197271249</c:v>
                </c:pt>
                <c:pt idx="21">
                  <c:v>4741.2273341563377</c:v>
                </c:pt>
                <c:pt idx="22">
                  <c:v>4311.1706397553053</c:v>
                </c:pt>
                <c:pt idx="23">
                  <c:v>3952.2593271118144</c:v>
                </c:pt>
                <c:pt idx="24">
                  <c:v>3639.2172363975619</c:v>
                </c:pt>
                <c:pt idx="25">
                  <c:v>3344.7021990881808</c:v>
                </c:pt>
                <c:pt idx="26">
                  <c:v>3034.0126163953428</c:v>
                </c:pt>
                <c:pt idx="27">
                  <c:v>2653.5608861364908</c:v>
                </c:pt>
                <c:pt idx="28">
                  <c:v>2203.3378680125074</c:v>
                </c:pt>
                <c:pt idx="29">
                  <c:v>1683.4592204898881</c:v>
                </c:pt>
                <c:pt idx="30">
                  <c:v>1118.1414735463829</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1.3919731047146803E-18</c:v>
                </c:pt>
                <c:pt idx="1">
                  <c:v>1.3919731047146802E-17</c:v>
                </c:pt>
                <c:pt idx="2">
                  <c:v>1.3919731047146801E-16</c:v>
                </c:pt>
                <c:pt idx="3">
                  <c:v>1.3919731047146801E-15</c:v>
                </c:pt>
                <c:pt idx="4">
                  <c:v>1.3919731047146801E-14</c:v>
                </c:pt>
                <c:pt idx="5">
                  <c:v>1.3919731047146803E-13</c:v>
                </c:pt>
                <c:pt idx="6">
                  <c:v>1.3919731047146802E-12</c:v>
                </c:pt>
                <c:pt idx="7">
                  <c:v>1.3919731047146802E-11</c:v>
                </c:pt>
                <c:pt idx="8">
                  <c:v>1.3919731047146801E-10</c:v>
                </c:pt>
                <c:pt idx="9">
                  <c:v>1.3919731047146802E-9</c:v>
                </c:pt>
                <c:pt idx="10">
                  <c:v>1.3919731047146804E-8</c:v>
                </c:pt>
                <c:pt idx="11">
                  <c:v>1.3919731047146803E-7</c:v>
                </c:pt>
                <c:pt idx="12">
                  <c:v>1.3919731047146803E-6</c:v>
                </c:pt>
                <c:pt idx="13">
                  <c:v>1.3919731047146802E-5</c:v>
                </c:pt>
                <c:pt idx="14">
                  <c:v>1.3919731047146804E-4</c:v>
                </c:pt>
                <c:pt idx="15">
                  <c:v>1.3919731047146802E-3</c:v>
                </c:pt>
                <c:pt idx="16">
                  <c:v>1.3919731047146802E-2</c:v>
                </c:pt>
                <c:pt idx="17">
                  <c:v>0.13919731047146802</c:v>
                </c:pt>
                <c:pt idx="18">
                  <c:v>1.3919731047146802</c:v>
                </c:pt>
                <c:pt idx="19">
                  <c:v>13.919731047146803</c:v>
                </c:pt>
                <c:pt idx="20">
                  <c:v>139.19731047146803</c:v>
                </c:pt>
                <c:pt idx="21">
                  <c:v>1391.9731047146802</c:v>
                </c:pt>
                <c:pt idx="22">
                  <c:v>13919.731047146801</c:v>
                </c:pt>
                <c:pt idx="23">
                  <c:v>139197.31047146802</c:v>
                </c:pt>
                <c:pt idx="24">
                  <c:v>1391973.1047146802</c:v>
                </c:pt>
                <c:pt idx="25">
                  <c:v>13919731.047146801</c:v>
                </c:pt>
                <c:pt idx="26">
                  <c:v>139197310.47146803</c:v>
                </c:pt>
                <c:pt idx="27">
                  <c:v>1391973104.7146802</c:v>
                </c:pt>
                <c:pt idx="28">
                  <c:v>13919731047.146801</c:v>
                </c:pt>
                <c:pt idx="29">
                  <c:v>139197310471.46802</c:v>
                </c:pt>
                <c:pt idx="30">
                  <c:v>1391973104714.6802</c:v>
                </c:pt>
              </c:numCache>
            </c:numRef>
          </c:xVal>
          <c:yVal>
            <c:numRef>
              <c:f>'Mastercurve bestimmen'!$L$404:$L$434</c:f>
              <c:numCache>
                <c:formatCode>0.00E+00</c:formatCode>
                <c:ptCount val="31"/>
                <c:pt idx="0">
                  <c:v>6524.0904126194901</c:v>
                </c:pt>
                <c:pt idx="1">
                  <c:v>6524.1443595856636</c:v>
                </c:pt>
                <c:pt idx="2">
                  <c:v>6524.1111351538066</c:v>
                </c:pt>
                <c:pt idx="3">
                  <c:v>6524.1012603146964</c:v>
                </c:pt>
                <c:pt idx="4">
                  <c:v>6524.0981470711258</c:v>
                </c:pt>
                <c:pt idx="5">
                  <c:v>6524.0971012165301</c:v>
                </c:pt>
                <c:pt idx="6">
                  <c:v>6524.0967607058046</c:v>
                </c:pt>
                <c:pt idx="7">
                  <c:v>6524.0967120614177</c:v>
                </c:pt>
                <c:pt idx="8">
                  <c:v>6524.0963715507314</c:v>
                </c:pt>
                <c:pt idx="9">
                  <c:v>6524.0939393325853</c:v>
                </c:pt>
                <c:pt idx="10">
                  <c:v>6524.06939835293</c:v>
                </c:pt>
                <c:pt idx="11">
                  <c:v>6523.8242419120506</c:v>
                </c:pt>
                <c:pt idx="12">
                  <c:v>6521.3925487999713</c:v>
                </c:pt>
                <c:pt idx="13">
                  <c:v>6498.8766153292054</c:v>
                </c:pt>
                <c:pt idx="14">
                  <c:v>6376.7108933957061</c:v>
                </c:pt>
                <c:pt idx="15">
                  <c:v>6230.3639399807598</c:v>
                </c:pt>
                <c:pt idx="16">
                  <c:v>6066.3152248046426</c:v>
                </c:pt>
                <c:pt idx="17">
                  <c:v>5850.8000974148181</c:v>
                </c:pt>
                <c:pt idx="18">
                  <c:v>5524.1383776461034</c:v>
                </c:pt>
                <c:pt idx="19">
                  <c:v>5037.8540321693981</c:v>
                </c:pt>
                <c:pt idx="20">
                  <c:v>4531.1485912762591</c:v>
                </c:pt>
                <c:pt idx="21">
                  <c:v>4100.3073895013431</c:v>
                </c:pt>
                <c:pt idx="22">
                  <c:v>3736.9018653482362</c:v>
                </c:pt>
                <c:pt idx="23">
                  <c:v>3408.8002756648089</c:v>
                </c:pt>
                <c:pt idx="24">
                  <c:v>3078.2308446927527</c:v>
                </c:pt>
                <c:pt idx="25">
                  <c:v>2685.2498641877337</c:v>
                </c:pt>
                <c:pt idx="26">
                  <c:v>2228.0957655931211</c:v>
                </c:pt>
                <c:pt idx="27">
                  <c:v>1704.9584752004923</c:v>
                </c:pt>
                <c:pt idx="28">
                  <c:v>1135.4901421385146</c:v>
                </c:pt>
                <c:pt idx="29">
                  <c:v>680.51042901870051</c:v>
                </c:pt>
                <c:pt idx="30">
                  <c:v>389.33964903055204</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bestimmen'!$M$404:$M$434</c:f>
              <c:numCache>
                <c:formatCode>0.00E+00</c:formatCode>
                <c:ptCount val="31"/>
                <c:pt idx="0">
                  <c:v>6503.9509699618966</c:v>
                </c:pt>
                <c:pt idx="1">
                  <c:v>6504.0043184804708</c:v>
                </c:pt>
                <c:pt idx="2">
                  <c:v>6503.9713230315656</c:v>
                </c:pt>
                <c:pt idx="3">
                  <c:v>6503.9615090652051</c:v>
                </c:pt>
                <c:pt idx="4">
                  <c:v>6503.9584150129849</c:v>
                </c:pt>
                <c:pt idx="5">
                  <c:v>6503.9573030886877</c:v>
                </c:pt>
                <c:pt idx="6">
                  <c:v>6503.9546441408229</c:v>
                </c:pt>
                <c:pt idx="7">
                  <c:v>6503.932647473689</c:v>
                </c:pt>
                <c:pt idx="8">
                  <c:v>6503.7133657579243</c:v>
                </c:pt>
                <c:pt idx="9">
                  <c:v>6501.5374241274303</c:v>
                </c:pt>
                <c:pt idx="10">
                  <c:v>6481.233154233405</c:v>
                </c:pt>
                <c:pt idx="11">
                  <c:v>6364.7007036045688</c:v>
                </c:pt>
                <c:pt idx="12">
                  <c:v>6219.55344224686</c:v>
                </c:pt>
                <c:pt idx="13">
                  <c:v>6059.9785511387736</c:v>
                </c:pt>
                <c:pt idx="14">
                  <c:v>5870.6317266704709</c:v>
                </c:pt>
                <c:pt idx="15">
                  <c:v>5669.1325406322439</c:v>
                </c:pt>
                <c:pt idx="16">
                  <c:v>5423.4324257349326</c:v>
                </c:pt>
                <c:pt idx="17">
                  <c:v>5064.9009314494624</c:v>
                </c:pt>
                <c:pt idx="18">
                  <c:v>4580.1850776889687</c:v>
                </c:pt>
                <c:pt idx="19">
                  <c:v>4085.8663253030418</c:v>
                </c:pt>
                <c:pt idx="20">
                  <c:v>3641.7022773125063</c:v>
                </c:pt>
                <c:pt idx="21">
                  <c:v>3231.6591203117327</c:v>
                </c:pt>
                <c:pt idx="22">
                  <c:v>2785.7203085552951</c:v>
                </c:pt>
                <c:pt idx="23">
                  <c:v>2295.1533050928924</c:v>
                </c:pt>
                <c:pt idx="24">
                  <c:v>1754.5150163075152</c:v>
                </c:pt>
                <c:pt idx="25">
                  <c:v>1171.8757952014325</c:v>
                </c:pt>
                <c:pt idx="26">
                  <c:v>704.46209389908893</c:v>
                </c:pt>
                <c:pt idx="27">
                  <c:v>403.25761176970258</c:v>
                </c:pt>
                <c:pt idx="28">
                  <c:v>227.19076746573165</c:v>
                </c:pt>
                <c:pt idx="29">
                  <c:v>157.01371189082064</c:v>
                </c:pt>
                <c:pt idx="30">
                  <c:v>136.97082983111966</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1.73498278063804E-10</c:v>
                </c:pt>
                <c:pt idx="1">
                  <c:v>1.7349827806380399E-9</c:v>
                </c:pt>
                <c:pt idx="2">
                  <c:v>1.7349827806380399E-8</c:v>
                </c:pt>
                <c:pt idx="3">
                  <c:v>1.7349827806380399E-7</c:v>
                </c:pt>
                <c:pt idx="4">
                  <c:v>1.7349827806380398E-6</c:v>
                </c:pt>
                <c:pt idx="5">
                  <c:v>1.7349827806380399E-5</c:v>
                </c:pt>
                <c:pt idx="6">
                  <c:v>1.7349827806380401E-4</c:v>
                </c:pt>
                <c:pt idx="7">
                  <c:v>1.73498278063804E-3</c:v>
                </c:pt>
                <c:pt idx="8">
                  <c:v>1.7349827806380398E-2</c:v>
                </c:pt>
                <c:pt idx="9">
                  <c:v>0.173498278063804</c:v>
                </c:pt>
                <c:pt idx="10">
                  <c:v>1.73498278063804</c:v>
                </c:pt>
                <c:pt idx="11">
                  <c:v>17.3498278063804</c:v>
                </c:pt>
                <c:pt idx="12">
                  <c:v>173.49827806380401</c:v>
                </c:pt>
                <c:pt idx="13">
                  <c:v>1734.9827806380399</c:v>
                </c:pt>
                <c:pt idx="14">
                  <c:v>17349.827806380399</c:v>
                </c:pt>
                <c:pt idx="15">
                  <c:v>173498.278063804</c:v>
                </c:pt>
                <c:pt idx="16">
                  <c:v>1734982.78063804</c:v>
                </c:pt>
                <c:pt idx="17">
                  <c:v>17349827.806380399</c:v>
                </c:pt>
                <c:pt idx="18">
                  <c:v>173498278.063804</c:v>
                </c:pt>
                <c:pt idx="19">
                  <c:v>1734982780.6380401</c:v>
                </c:pt>
                <c:pt idx="20">
                  <c:v>17349827806.380398</c:v>
                </c:pt>
                <c:pt idx="21">
                  <c:v>173498278063.80399</c:v>
                </c:pt>
                <c:pt idx="22">
                  <c:v>1734982780638.04</c:v>
                </c:pt>
                <c:pt idx="23">
                  <c:v>17349827806380.4</c:v>
                </c:pt>
                <c:pt idx="24">
                  <c:v>173498278063804</c:v>
                </c:pt>
                <c:pt idx="25">
                  <c:v>1734982780638040</c:v>
                </c:pt>
                <c:pt idx="26">
                  <c:v>1.73498278063804E+16</c:v>
                </c:pt>
                <c:pt idx="27">
                  <c:v>1.73498278063804E+17</c:v>
                </c:pt>
                <c:pt idx="28">
                  <c:v>1.7349827806380401E+18</c:v>
                </c:pt>
                <c:pt idx="29">
                  <c:v>1.7349827806380401E+19</c:v>
                </c:pt>
                <c:pt idx="30">
                  <c:v>1.7349827806380399E+20</c:v>
                </c:pt>
              </c:numCache>
            </c:numRef>
          </c:xVal>
          <c:yVal>
            <c:numRef>
              <c:f>'Mastercurve bestimmen'!$N$404:$N$434</c:f>
              <c:numCache>
                <c:formatCode>0.00E+00</c:formatCode>
                <c:ptCount val="31"/>
                <c:pt idx="0">
                  <c:v>6479.0859474371819</c:v>
                </c:pt>
                <c:pt idx="1">
                  <c:v>6479.1324839978006</c:v>
                </c:pt>
                <c:pt idx="2">
                  <c:v>6479.041978197979</c:v>
                </c:pt>
                <c:pt idx="3">
                  <c:v>6478.4539559822069</c:v>
                </c:pt>
                <c:pt idx="4">
                  <c:v>6472.7726535549082</c:v>
                </c:pt>
                <c:pt idx="5">
                  <c:v>6425.3224026678754</c:v>
                </c:pt>
                <c:pt idx="6">
                  <c:v>6280.1372572444334</c:v>
                </c:pt>
                <c:pt idx="7">
                  <c:v>6130.7451181848783</c:v>
                </c:pt>
                <c:pt idx="8">
                  <c:v>5959.459898848826</c:v>
                </c:pt>
                <c:pt idx="9">
                  <c:v>5758.6320512376351</c:v>
                </c:pt>
                <c:pt idx="10">
                  <c:v>5553.7107715147085</c:v>
                </c:pt>
                <c:pt idx="11">
                  <c:v>5296.2160470219478</c:v>
                </c:pt>
                <c:pt idx="12">
                  <c:v>5014.3504980568096</c:v>
                </c:pt>
                <c:pt idx="13">
                  <c:v>4737.7084148388376</c:v>
                </c:pt>
                <c:pt idx="14">
                  <c:v>4438.626264954587</c:v>
                </c:pt>
                <c:pt idx="15">
                  <c:v>4115.3629839514006</c:v>
                </c:pt>
                <c:pt idx="16">
                  <c:v>3662.5886079597385</c:v>
                </c:pt>
                <c:pt idx="17">
                  <c:v>3039.7716426269371</c:v>
                </c:pt>
                <c:pt idx="18">
                  <c:v>2356.5178874385392</c:v>
                </c:pt>
                <c:pt idx="19">
                  <c:v>1664.6092730189016</c:v>
                </c:pt>
                <c:pt idx="20">
                  <c:v>1039.9214556238178</c:v>
                </c:pt>
                <c:pt idx="21">
                  <c:v>595.89522173414423</c:v>
                </c:pt>
                <c:pt idx="22">
                  <c:v>331.71701217899948</c:v>
                </c:pt>
                <c:pt idx="23">
                  <c:v>192.72704730170403</c:v>
                </c:pt>
                <c:pt idx="24">
                  <c:v>148.89299884614732</c:v>
                </c:pt>
                <c:pt idx="25">
                  <c:v>134.12130031566326</c:v>
                </c:pt>
                <c:pt idx="26">
                  <c:v>124.90206072555479</c:v>
                </c:pt>
                <c:pt idx="27">
                  <c:v>124.64007063602084</c:v>
                </c:pt>
                <c:pt idx="28">
                  <c:v>123.89500698166064</c:v>
                </c:pt>
                <c:pt idx="29">
                  <c:v>123.88320178471095</c:v>
                </c:pt>
                <c:pt idx="30">
                  <c:v>123.47472292148701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6.4655204306795444E-2</c:v>
                </c:pt>
                <c:pt idx="1">
                  <c:v>0.64655204306795433</c:v>
                </c:pt>
                <c:pt idx="2">
                  <c:v>6.4655204306795442</c:v>
                </c:pt>
                <c:pt idx="3">
                  <c:v>64.65520430679544</c:v>
                </c:pt>
                <c:pt idx="4">
                  <c:v>646.55204306795429</c:v>
                </c:pt>
                <c:pt idx="5">
                  <c:v>6465.520430679544</c:v>
                </c:pt>
                <c:pt idx="6">
                  <c:v>64655.204306795444</c:v>
                </c:pt>
                <c:pt idx="7">
                  <c:v>646552.04306795436</c:v>
                </c:pt>
                <c:pt idx="8">
                  <c:v>6465520.4306795439</c:v>
                </c:pt>
                <c:pt idx="9">
                  <c:v>64655204.306795433</c:v>
                </c:pt>
                <c:pt idx="10">
                  <c:v>646552043.06795442</c:v>
                </c:pt>
                <c:pt idx="11">
                  <c:v>6465520430.6795444</c:v>
                </c:pt>
                <c:pt idx="12">
                  <c:v>64655204306.795441</c:v>
                </c:pt>
                <c:pt idx="13">
                  <c:v>646552043067.95435</c:v>
                </c:pt>
                <c:pt idx="14">
                  <c:v>6465520430679.5439</c:v>
                </c:pt>
                <c:pt idx="15">
                  <c:v>64655204306795.437</c:v>
                </c:pt>
                <c:pt idx="16">
                  <c:v>646552043067954.37</c:v>
                </c:pt>
                <c:pt idx="17">
                  <c:v>6465520430679544</c:v>
                </c:pt>
                <c:pt idx="18">
                  <c:v>6.465520430679544E+16</c:v>
                </c:pt>
                <c:pt idx="19">
                  <c:v>6.4655204306795443E+17</c:v>
                </c:pt>
                <c:pt idx="20">
                  <c:v>6.4655204306795438E+18</c:v>
                </c:pt>
                <c:pt idx="21">
                  <c:v>6.4655204306795438E+19</c:v>
                </c:pt>
                <c:pt idx="22">
                  <c:v>6.4655204306795443E+20</c:v>
                </c:pt>
                <c:pt idx="23">
                  <c:v>6.4655204306795438E+21</c:v>
                </c:pt>
                <c:pt idx="24">
                  <c:v>6.4655204306795436E+22</c:v>
                </c:pt>
                <c:pt idx="25">
                  <c:v>6.4655204306795436E+23</c:v>
                </c:pt>
                <c:pt idx="26">
                  <c:v>6.4655204306795436E+24</c:v>
                </c:pt>
                <c:pt idx="27">
                  <c:v>6.465520430679544E+25</c:v>
                </c:pt>
                <c:pt idx="28">
                  <c:v>6.4655204306795438E+26</c:v>
                </c:pt>
                <c:pt idx="29">
                  <c:v>6.4655204306795435E+27</c:v>
                </c:pt>
                <c:pt idx="30">
                  <c:v>6.465520430679544E+28</c:v>
                </c:pt>
              </c:numCache>
            </c:numRef>
          </c:xVal>
          <c:yVal>
            <c:numRef>
              <c:f>'Mastercurve bestimmen'!$O$404:$O$434</c:f>
              <c:numCache>
                <c:formatCode>0.00E+00</c:formatCode>
                <c:ptCount val="31"/>
                <c:pt idx="0">
                  <c:v>5863.6829549380891</c:v>
                </c:pt>
                <c:pt idx="1">
                  <c:v>5609.1927579282792</c:v>
                </c:pt>
                <c:pt idx="2">
                  <c:v>5370.7345311781783</c:v>
                </c:pt>
                <c:pt idx="3">
                  <c:v>5097.9534912421213</c:v>
                </c:pt>
                <c:pt idx="4">
                  <c:v>4821.046341164677</c:v>
                </c:pt>
                <c:pt idx="5">
                  <c:v>4535.3452020984814</c:v>
                </c:pt>
                <c:pt idx="6">
                  <c:v>4228.4929725950406</c:v>
                </c:pt>
                <c:pt idx="7">
                  <c:v>3871.0057883923755</c:v>
                </c:pt>
                <c:pt idx="8">
                  <c:v>3401.7561264704505</c:v>
                </c:pt>
                <c:pt idx="9">
                  <c:v>2827.0529060658037</c:v>
                </c:pt>
                <c:pt idx="10">
                  <c:v>2150.7951483518323</c:v>
                </c:pt>
                <c:pt idx="11">
                  <c:v>1410.5199057082755</c:v>
                </c:pt>
                <c:pt idx="12">
                  <c:v>826.67973456797017</c:v>
                </c:pt>
                <c:pt idx="13">
                  <c:v>463.10914863390207</c:v>
                </c:pt>
                <c:pt idx="14">
                  <c:v>257.27368574751409</c:v>
                </c:pt>
                <c:pt idx="15">
                  <c:v>179.98076982609024</c:v>
                </c:pt>
                <c:pt idx="16">
                  <c:v>157.55849658546879</c:v>
                </c:pt>
                <c:pt idx="17">
                  <c:v>143.13037816485394</c:v>
                </c:pt>
                <c:pt idx="18">
                  <c:v>139.03929298884987</c:v>
                </c:pt>
                <c:pt idx="19">
                  <c:v>135.60631839895524</c:v>
                </c:pt>
                <c:pt idx="20">
                  <c:v>132.22937471479068</c:v>
                </c:pt>
                <c:pt idx="21">
                  <c:v>129.58780540541244</c:v>
                </c:pt>
                <c:pt idx="22">
                  <c:v>127.7135675720335</c:v>
                </c:pt>
                <c:pt idx="23">
                  <c:v>126.4367312836393</c:v>
                </c:pt>
                <c:pt idx="24">
                  <c:v>125.52960401951817</c:v>
                </c:pt>
                <c:pt idx="25">
                  <c:v>124.83927834622055</c:v>
                </c:pt>
                <c:pt idx="26">
                  <c:v>124.70417941781746</c:v>
                </c:pt>
                <c:pt idx="27">
                  <c:v>123.9260383626436</c:v>
                </c:pt>
                <c:pt idx="28">
                  <c:v>123.91358498832378</c:v>
                </c:pt>
                <c:pt idx="29">
                  <c:v>123.65466987195585</c:v>
                </c:pt>
                <c:pt idx="30">
                  <c:v>123.64094316844046</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3.7537732261831018</c:v>
                </c:pt>
                <c:pt idx="1">
                  <c:v>37.537732261831017</c:v>
                </c:pt>
                <c:pt idx="2">
                  <c:v>375.37732261831019</c:v>
                </c:pt>
                <c:pt idx="3">
                  <c:v>3753.7732261831015</c:v>
                </c:pt>
                <c:pt idx="4">
                  <c:v>37537.732261831014</c:v>
                </c:pt>
                <c:pt idx="5">
                  <c:v>375377.32261831017</c:v>
                </c:pt>
                <c:pt idx="6">
                  <c:v>3753773.226183102</c:v>
                </c:pt>
                <c:pt idx="7">
                  <c:v>37537732.261831015</c:v>
                </c:pt>
                <c:pt idx="8">
                  <c:v>375377322.61831015</c:v>
                </c:pt>
                <c:pt idx="9">
                  <c:v>3753773226.1831017</c:v>
                </c:pt>
                <c:pt idx="10">
                  <c:v>37537732261.831017</c:v>
                </c:pt>
                <c:pt idx="11">
                  <c:v>375377322618.31018</c:v>
                </c:pt>
                <c:pt idx="12">
                  <c:v>3753773226183.1016</c:v>
                </c:pt>
                <c:pt idx="13">
                  <c:v>37537732261831.016</c:v>
                </c:pt>
                <c:pt idx="14">
                  <c:v>375377322618310.19</c:v>
                </c:pt>
                <c:pt idx="15">
                  <c:v>3753773226183101.5</c:v>
                </c:pt>
                <c:pt idx="16">
                  <c:v>3.7537732261831016E+16</c:v>
                </c:pt>
                <c:pt idx="17">
                  <c:v>3.7537732261831014E+17</c:v>
                </c:pt>
                <c:pt idx="18">
                  <c:v>3.753773226183102E+18</c:v>
                </c:pt>
                <c:pt idx="19">
                  <c:v>3.7537732261831016E+19</c:v>
                </c:pt>
                <c:pt idx="20">
                  <c:v>3.7537732261831016E+20</c:v>
                </c:pt>
                <c:pt idx="21">
                  <c:v>3.7537732261831015E+21</c:v>
                </c:pt>
                <c:pt idx="22">
                  <c:v>3.7537732261831017E+22</c:v>
                </c:pt>
                <c:pt idx="23">
                  <c:v>3.753773226183102E+23</c:v>
                </c:pt>
                <c:pt idx="24">
                  <c:v>3.7537732261831014E+24</c:v>
                </c:pt>
                <c:pt idx="25">
                  <c:v>3.7537732261831017E+25</c:v>
                </c:pt>
                <c:pt idx="26">
                  <c:v>3.7537732261831014E+26</c:v>
                </c:pt>
                <c:pt idx="27">
                  <c:v>3.7537732261831019E+27</c:v>
                </c:pt>
                <c:pt idx="28">
                  <c:v>3.7537732261831017E+28</c:v>
                </c:pt>
                <c:pt idx="29">
                  <c:v>3.7537732261831018E+29</c:v>
                </c:pt>
                <c:pt idx="30">
                  <c:v>3.7537732261831017E+30</c:v>
                </c:pt>
              </c:numCache>
            </c:numRef>
          </c:xVal>
          <c:yVal>
            <c:numRef>
              <c:f>'Mastercurve bestimmen'!$P$404:$P$434</c:f>
              <c:numCache>
                <c:formatCode>0.00E+00</c:formatCode>
                <c:ptCount val="31"/>
                <c:pt idx="0">
                  <c:v>5469.0375175567433</c:v>
                </c:pt>
                <c:pt idx="1">
                  <c:v>5144.4254375399241</c:v>
                </c:pt>
                <c:pt idx="2">
                  <c:v>4859.4796757955091</c:v>
                </c:pt>
                <c:pt idx="3">
                  <c:v>4579.0872874253573</c:v>
                </c:pt>
                <c:pt idx="4">
                  <c:v>4274.6287252900811</c:v>
                </c:pt>
                <c:pt idx="5">
                  <c:v>3938.1560081824523</c:v>
                </c:pt>
                <c:pt idx="6">
                  <c:v>3491.5925245283374</c:v>
                </c:pt>
                <c:pt idx="7">
                  <c:v>2939.5473684961994</c:v>
                </c:pt>
                <c:pt idx="8">
                  <c:v>2290.3210430692648</c:v>
                </c:pt>
                <c:pt idx="9">
                  <c:v>1556.8723374202477</c:v>
                </c:pt>
                <c:pt idx="10">
                  <c:v>939.61789874376836</c:v>
                </c:pt>
                <c:pt idx="11">
                  <c:v>532.22470015904992</c:v>
                </c:pt>
                <c:pt idx="12">
                  <c:v>294.61415856723238</c:v>
                </c:pt>
                <c:pt idx="13">
                  <c:v>191.85627557437303</c:v>
                </c:pt>
                <c:pt idx="14">
                  <c:v>162.27843823453597</c:v>
                </c:pt>
                <c:pt idx="15">
                  <c:v>147.30961753431595</c:v>
                </c:pt>
                <c:pt idx="16">
                  <c:v>142.06591803394016</c:v>
                </c:pt>
                <c:pt idx="17">
                  <c:v>140.2404472955443</c:v>
                </c:pt>
                <c:pt idx="18">
                  <c:v>137.13168564571805</c:v>
                </c:pt>
                <c:pt idx="19">
                  <c:v>133.5914564553571</c:v>
                </c:pt>
                <c:pt idx="20">
                  <c:v>130.60597118111332</c:v>
                </c:pt>
                <c:pt idx="21">
                  <c:v>128.42317853149575</c:v>
                </c:pt>
                <c:pt idx="22">
                  <c:v>126.92571513683149</c:v>
                </c:pt>
                <c:pt idx="23">
                  <c:v>125.87891264299097</c:v>
                </c:pt>
                <c:pt idx="24">
                  <c:v>125.11103067782525</c:v>
                </c:pt>
                <c:pt idx="25">
                  <c:v>124.96985459314666</c:v>
                </c:pt>
                <c:pt idx="26">
                  <c:v>124.77108605330615</c:v>
                </c:pt>
                <c:pt idx="27">
                  <c:v>123.93614365125383</c:v>
                </c:pt>
                <c:pt idx="28">
                  <c:v>123.92285545904397</c:v>
                </c:pt>
                <c:pt idx="29">
                  <c:v>123.48008539289999</c:v>
                </c:pt>
                <c:pt idx="30">
                  <c:v>123.46865182434244</c:v>
                </c:pt>
              </c:numCache>
            </c:numRef>
          </c:yVal>
          <c:smooth val="1"/>
        </c:ser>
        <c:dLbls>
          <c:showLegendKey val="0"/>
          <c:showVal val="0"/>
          <c:showCatName val="0"/>
          <c:showSerName val="0"/>
          <c:showPercent val="0"/>
          <c:showBubbleSize val="0"/>
        </c:dLbls>
        <c:axId val="557726064"/>
        <c:axId val="557726456"/>
      </c:scatterChart>
      <c:valAx>
        <c:axId val="557726064"/>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7726456"/>
        <c:crosses val="autoZero"/>
        <c:crossBetween val="midCat"/>
      </c:valAx>
      <c:valAx>
        <c:axId val="5577264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7726064"/>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5.5361291178458031E-22</c:v>
                </c:pt>
                <c:pt idx="1">
                  <c:v>5.536129117845803E-21</c:v>
                </c:pt>
                <c:pt idx="2">
                  <c:v>5.5361291178458031E-20</c:v>
                </c:pt>
                <c:pt idx="3">
                  <c:v>5.5361291178458031E-19</c:v>
                </c:pt>
                <c:pt idx="4">
                  <c:v>5.5361291178458027E-18</c:v>
                </c:pt>
                <c:pt idx="5">
                  <c:v>5.5361291178458029E-17</c:v>
                </c:pt>
                <c:pt idx="6">
                  <c:v>5.5361291178458028E-16</c:v>
                </c:pt>
                <c:pt idx="7">
                  <c:v>5.5361291178458028E-15</c:v>
                </c:pt>
                <c:pt idx="8">
                  <c:v>5.5361291178458024E-14</c:v>
                </c:pt>
                <c:pt idx="9">
                  <c:v>5.5361291178458022E-13</c:v>
                </c:pt>
                <c:pt idx="10">
                  <c:v>5.536129117845803E-12</c:v>
                </c:pt>
                <c:pt idx="11">
                  <c:v>5.5361291178458032E-11</c:v>
                </c:pt>
                <c:pt idx="12">
                  <c:v>5.5361291178458029E-10</c:v>
                </c:pt>
                <c:pt idx="13">
                  <c:v>5.5361291178458027E-9</c:v>
                </c:pt>
                <c:pt idx="14">
                  <c:v>5.5361291178458029E-8</c:v>
                </c:pt>
                <c:pt idx="15">
                  <c:v>5.5361291178458027E-7</c:v>
                </c:pt>
                <c:pt idx="16">
                  <c:v>5.5361291178458029E-6</c:v>
                </c:pt>
                <c:pt idx="17">
                  <c:v>5.5361291178458028E-5</c:v>
                </c:pt>
                <c:pt idx="18">
                  <c:v>5.5361291178458033E-4</c:v>
                </c:pt>
                <c:pt idx="19">
                  <c:v>5.5361291178458024E-3</c:v>
                </c:pt>
                <c:pt idx="20">
                  <c:v>5.5361291178458026E-2</c:v>
                </c:pt>
                <c:pt idx="21">
                  <c:v>0.55361291178458027</c:v>
                </c:pt>
                <c:pt idx="22">
                  <c:v>5.5361291178458032</c:v>
                </c:pt>
                <c:pt idx="23">
                  <c:v>55.361291178458032</c:v>
                </c:pt>
                <c:pt idx="24">
                  <c:v>553.61291178458032</c:v>
                </c:pt>
                <c:pt idx="25">
                  <c:v>5536.1291178458032</c:v>
                </c:pt>
                <c:pt idx="26">
                  <c:v>55361.291178458028</c:v>
                </c:pt>
                <c:pt idx="27">
                  <c:v>553612.91178458033</c:v>
                </c:pt>
                <c:pt idx="28">
                  <c:v>5536129.1178458026</c:v>
                </c:pt>
                <c:pt idx="29">
                  <c:v>55361291.178458028</c:v>
                </c:pt>
                <c:pt idx="30">
                  <c:v>553612911.78458023</c:v>
                </c:pt>
              </c:numCache>
            </c:numRef>
          </c:xVal>
          <c:yVal>
            <c:numRef>
              <c:f>'Mastercurve bestimmen'!$J$404:$J$434</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1.7548967302632991E-20</c:v>
                </c:pt>
                <c:pt idx="1">
                  <c:v>1.7548967302632989E-19</c:v>
                </c:pt>
                <c:pt idx="2">
                  <c:v>1.754896730263299E-18</c:v>
                </c:pt>
                <c:pt idx="3">
                  <c:v>1.7548967302632987E-17</c:v>
                </c:pt>
                <c:pt idx="4">
                  <c:v>1.7548967302632987E-16</c:v>
                </c:pt>
                <c:pt idx="5">
                  <c:v>1.7548967302632989E-15</c:v>
                </c:pt>
                <c:pt idx="6">
                  <c:v>1.7548967302632989E-14</c:v>
                </c:pt>
                <c:pt idx="7">
                  <c:v>1.754896730263299E-13</c:v>
                </c:pt>
                <c:pt idx="8">
                  <c:v>1.7548967302632988E-12</c:v>
                </c:pt>
                <c:pt idx="9">
                  <c:v>1.7548967302632989E-11</c:v>
                </c:pt>
                <c:pt idx="10">
                  <c:v>1.754896730263299E-10</c:v>
                </c:pt>
                <c:pt idx="11">
                  <c:v>1.754896730263299E-9</c:v>
                </c:pt>
                <c:pt idx="12">
                  <c:v>1.754896730263299E-8</c:v>
                </c:pt>
                <c:pt idx="13">
                  <c:v>1.7548967302632988E-7</c:v>
                </c:pt>
                <c:pt idx="14">
                  <c:v>1.7548967302632988E-6</c:v>
                </c:pt>
                <c:pt idx="15">
                  <c:v>1.7548967302632987E-5</c:v>
                </c:pt>
                <c:pt idx="16">
                  <c:v>1.7548967302632987E-4</c:v>
                </c:pt>
                <c:pt idx="17">
                  <c:v>1.7548967302632988E-3</c:v>
                </c:pt>
                <c:pt idx="18">
                  <c:v>1.7548967302632987E-2</c:v>
                </c:pt>
                <c:pt idx="19">
                  <c:v>0.1754896730263299</c:v>
                </c:pt>
                <c:pt idx="20">
                  <c:v>1.7548967302632987</c:v>
                </c:pt>
                <c:pt idx="21">
                  <c:v>17.548967302632988</c:v>
                </c:pt>
                <c:pt idx="22">
                  <c:v>175.48967302632988</c:v>
                </c:pt>
                <c:pt idx="23">
                  <c:v>1754.8967302632989</c:v>
                </c:pt>
                <c:pt idx="24">
                  <c:v>17548.967302632987</c:v>
                </c:pt>
                <c:pt idx="25">
                  <c:v>175489.6730263299</c:v>
                </c:pt>
                <c:pt idx="26">
                  <c:v>1754896.7302632988</c:v>
                </c:pt>
                <c:pt idx="27">
                  <c:v>17548967.302632987</c:v>
                </c:pt>
                <c:pt idx="28">
                  <c:v>175489673.02632987</c:v>
                </c:pt>
                <c:pt idx="29">
                  <c:v>1754896730.2632987</c:v>
                </c:pt>
                <c:pt idx="30">
                  <c:v>17548967302.632988</c:v>
                </c:pt>
              </c:numCache>
            </c:numRef>
          </c:xVal>
          <c:yVal>
            <c:numRef>
              <c:f>'Mastercurve bestimmen'!$K$404:$K$434</c:f>
              <c:numCache>
                <c:formatCode>0.00E+00</c:formatCode>
                <c:ptCount val="31"/>
                <c:pt idx="0">
                  <c:v>6543.7252261807771</c:v>
                </c:pt>
                <c:pt idx="1">
                  <c:v>6543.7799387981568</c:v>
                </c:pt>
                <c:pt idx="2">
                  <c:v>6543.7462938558028</c:v>
                </c:pt>
                <c:pt idx="3">
                  <c:v>6543.7363350192272</c:v>
                </c:pt>
                <c:pt idx="4">
                  <c:v>6543.7332030080934</c:v>
                </c:pt>
                <c:pt idx="5">
                  <c:v>6543.7321508487757</c:v>
                </c:pt>
                <c:pt idx="6">
                  <c:v>6543.7318082853499</c:v>
                </c:pt>
                <c:pt idx="7">
                  <c:v>6543.7317593477201</c:v>
                </c:pt>
                <c:pt idx="8">
                  <c:v>6543.7315146595847</c:v>
                </c:pt>
                <c:pt idx="9">
                  <c:v>6543.731490190773</c:v>
                </c:pt>
                <c:pt idx="10">
                  <c:v>6543.7313923155243</c:v>
                </c:pt>
                <c:pt idx="11">
                  <c:v>6543.7286518097571</c:v>
                </c:pt>
                <c:pt idx="12">
                  <c:v>6543.7023234963144</c:v>
                </c:pt>
                <c:pt idx="13">
                  <c:v>6543.4393456132884</c:v>
                </c:pt>
                <c:pt idx="14">
                  <c:v>6540.8297975507394</c:v>
                </c:pt>
                <c:pt idx="15">
                  <c:v>6516.7915822655277</c:v>
                </c:pt>
                <c:pt idx="16">
                  <c:v>6390.814079024768</c:v>
                </c:pt>
                <c:pt idx="17">
                  <c:v>6240.1474757230608</c:v>
                </c:pt>
                <c:pt idx="18">
                  <c:v>6044.4265071962272</c:v>
                </c:pt>
                <c:pt idx="19">
                  <c:v>5697.9764219559002</c:v>
                </c:pt>
                <c:pt idx="20">
                  <c:v>5222.1642197271249</c:v>
                </c:pt>
                <c:pt idx="21">
                  <c:v>4741.2273341563377</c:v>
                </c:pt>
                <c:pt idx="22">
                  <c:v>4311.1706397553053</c:v>
                </c:pt>
                <c:pt idx="23">
                  <c:v>3952.2593271118144</c:v>
                </c:pt>
                <c:pt idx="24">
                  <c:v>3639.2172363975619</c:v>
                </c:pt>
                <c:pt idx="25">
                  <c:v>3344.7021990881808</c:v>
                </c:pt>
                <c:pt idx="26">
                  <c:v>3034.0126163953428</c:v>
                </c:pt>
                <c:pt idx="27">
                  <c:v>2653.5608861364908</c:v>
                </c:pt>
                <c:pt idx="28">
                  <c:v>2203.3378680125074</c:v>
                </c:pt>
                <c:pt idx="29">
                  <c:v>1683.4592204898881</c:v>
                </c:pt>
                <c:pt idx="30">
                  <c:v>1118.1414735463829</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1.3919731047146803E-18</c:v>
                </c:pt>
                <c:pt idx="1">
                  <c:v>1.3919731047146802E-17</c:v>
                </c:pt>
                <c:pt idx="2">
                  <c:v>1.3919731047146801E-16</c:v>
                </c:pt>
                <c:pt idx="3">
                  <c:v>1.3919731047146801E-15</c:v>
                </c:pt>
                <c:pt idx="4">
                  <c:v>1.3919731047146801E-14</c:v>
                </c:pt>
                <c:pt idx="5">
                  <c:v>1.3919731047146803E-13</c:v>
                </c:pt>
                <c:pt idx="6">
                  <c:v>1.3919731047146802E-12</c:v>
                </c:pt>
                <c:pt idx="7">
                  <c:v>1.3919731047146802E-11</c:v>
                </c:pt>
                <c:pt idx="8">
                  <c:v>1.3919731047146801E-10</c:v>
                </c:pt>
                <c:pt idx="9">
                  <c:v>1.3919731047146802E-9</c:v>
                </c:pt>
                <c:pt idx="10">
                  <c:v>1.3919731047146804E-8</c:v>
                </c:pt>
                <c:pt idx="11">
                  <c:v>1.3919731047146803E-7</c:v>
                </c:pt>
                <c:pt idx="12">
                  <c:v>1.3919731047146803E-6</c:v>
                </c:pt>
                <c:pt idx="13">
                  <c:v>1.3919731047146802E-5</c:v>
                </c:pt>
                <c:pt idx="14">
                  <c:v>1.3919731047146804E-4</c:v>
                </c:pt>
                <c:pt idx="15">
                  <c:v>1.3919731047146802E-3</c:v>
                </c:pt>
                <c:pt idx="16">
                  <c:v>1.3919731047146802E-2</c:v>
                </c:pt>
                <c:pt idx="17">
                  <c:v>0.13919731047146802</c:v>
                </c:pt>
                <c:pt idx="18">
                  <c:v>1.3919731047146802</c:v>
                </c:pt>
                <c:pt idx="19">
                  <c:v>13.919731047146803</c:v>
                </c:pt>
                <c:pt idx="20">
                  <c:v>139.19731047146803</c:v>
                </c:pt>
                <c:pt idx="21">
                  <c:v>1391.9731047146802</c:v>
                </c:pt>
                <c:pt idx="22">
                  <c:v>13919.731047146801</c:v>
                </c:pt>
                <c:pt idx="23">
                  <c:v>139197.31047146802</c:v>
                </c:pt>
                <c:pt idx="24">
                  <c:v>1391973.1047146802</c:v>
                </c:pt>
                <c:pt idx="25">
                  <c:v>13919731.047146801</c:v>
                </c:pt>
                <c:pt idx="26">
                  <c:v>139197310.47146803</c:v>
                </c:pt>
                <c:pt idx="27">
                  <c:v>1391973104.7146802</c:v>
                </c:pt>
                <c:pt idx="28">
                  <c:v>13919731047.146801</c:v>
                </c:pt>
                <c:pt idx="29">
                  <c:v>139197310471.46802</c:v>
                </c:pt>
                <c:pt idx="30">
                  <c:v>1391973104714.6802</c:v>
                </c:pt>
              </c:numCache>
            </c:numRef>
          </c:xVal>
          <c:yVal>
            <c:numRef>
              <c:f>'Mastercurve bestimmen'!$L$404:$L$434</c:f>
              <c:numCache>
                <c:formatCode>0.00E+00</c:formatCode>
                <c:ptCount val="31"/>
                <c:pt idx="0">
                  <c:v>6524.0904126194901</c:v>
                </c:pt>
                <c:pt idx="1">
                  <c:v>6524.1443595856636</c:v>
                </c:pt>
                <c:pt idx="2">
                  <c:v>6524.1111351538066</c:v>
                </c:pt>
                <c:pt idx="3">
                  <c:v>6524.1012603146964</c:v>
                </c:pt>
                <c:pt idx="4">
                  <c:v>6524.0981470711258</c:v>
                </c:pt>
                <c:pt idx="5">
                  <c:v>6524.0971012165301</c:v>
                </c:pt>
                <c:pt idx="6">
                  <c:v>6524.0967607058046</c:v>
                </c:pt>
                <c:pt idx="7">
                  <c:v>6524.0967120614177</c:v>
                </c:pt>
                <c:pt idx="8">
                  <c:v>6524.0963715507314</c:v>
                </c:pt>
                <c:pt idx="9">
                  <c:v>6524.0939393325853</c:v>
                </c:pt>
                <c:pt idx="10">
                  <c:v>6524.06939835293</c:v>
                </c:pt>
                <c:pt idx="11">
                  <c:v>6523.8242419120506</c:v>
                </c:pt>
                <c:pt idx="12">
                  <c:v>6521.3925487999713</c:v>
                </c:pt>
                <c:pt idx="13">
                  <c:v>6498.8766153292054</c:v>
                </c:pt>
                <c:pt idx="14">
                  <c:v>6376.7108933957061</c:v>
                </c:pt>
                <c:pt idx="15">
                  <c:v>6230.3639399807598</c:v>
                </c:pt>
                <c:pt idx="16">
                  <c:v>6066.3152248046426</c:v>
                </c:pt>
                <c:pt idx="17">
                  <c:v>5850.8000974148181</c:v>
                </c:pt>
                <c:pt idx="18">
                  <c:v>5524.1383776461034</c:v>
                </c:pt>
                <c:pt idx="19">
                  <c:v>5037.8540321693981</c:v>
                </c:pt>
                <c:pt idx="20">
                  <c:v>4531.1485912762591</c:v>
                </c:pt>
                <c:pt idx="21">
                  <c:v>4100.3073895013431</c:v>
                </c:pt>
                <c:pt idx="22">
                  <c:v>3736.9018653482362</c:v>
                </c:pt>
                <c:pt idx="23">
                  <c:v>3408.8002756648089</c:v>
                </c:pt>
                <c:pt idx="24">
                  <c:v>3078.2308446927527</c:v>
                </c:pt>
                <c:pt idx="25">
                  <c:v>2685.2498641877337</c:v>
                </c:pt>
                <c:pt idx="26">
                  <c:v>2228.0957655931211</c:v>
                </c:pt>
                <c:pt idx="27">
                  <c:v>1704.9584752004923</c:v>
                </c:pt>
                <c:pt idx="28">
                  <c:v>1135.4901421385146</c:v>
                </c:pt>
                <c:pt idx="29">
                  <c:v>680.51042901870051</c:v>
                </c:pt>
                <c:pt idx="30">
                  <c:v>389.33964903055204</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bestimmen'!$M$404:$M$434</c:f>
              <c:numCache>
                <c:formatCode>0.00E+00</c:formatCode>
                <c:ptCount val="31"/>
                <c:pt idx="0">
                  <c:v>6503.9509699618966</c:v>
                </c:pt>
                <c:pt idx="1">
                  <c:v>6504.0043184804708</c:v>
                </c:pt>
                <c:pt idx="2">
                  <c:v>6503.9713230315656</c:v>
                </c:pt>
                <c:pt idx="3">
                  <c:v>6503.9615090652051</c:v>
                </c:pt>
                <c:pt idx="4">
                  <c:v>6503.9584150129849</c:v>
                </c:pt>
                <c:pt idx="5">
                  <c:v>6503.9573030886877</c:v>
                </c:pt>
                <c:pt idx="6">
                  <c:v>6503.9546441408229</c:v>
                </c:pt>
                <c:pt idx="7">
                  <c:v>6503.932647473689</c:v>
                </c:pt>
                <c:pt idx="8">
                  <c:v>6503.7133657579243</c:v>
                </c:pt>
                <c:pt idx="9">
                  <c:v>6501.5374241274303</c:v>
                </c:pt>
                <c:pt idx="10">
                  <c:v>6481.233154233405</c:v>
                </c:pt>
                <c:pt idx="11">
                  <c:v>6364.7007036045688</c:v>
                </c:pt>
                <c:pt idx="12">
                  <c:v>6219.55344224686</c:v>
                </c:pt>
                <c:pt idx="13">
                  <c:v>6059.9785511387736</c:v>
                </c:pt>
                <c:pt idx="14">
                  <c:v>5870.6317266704709</c:v>
                </c:pt>
                <c:pt idx="15">
                  <c:v>5669.1325406322439</c:v>
                </c:pt>
                <c:pt idx="16">
                  <c:v>5423.4324257349326</c:v>
                </c:pt>
                <c:pt idx="17">
                  <c:v>5064.9009314494624</c:v>
                </c:pt>
                <c:pt idx="18">
                  <c:v>4580.1850776889687</c:v>
                </c:pt>
                <c:pt idx="19">
                  <c:v>4085.8663253030418</c:v>
                </c:pt>
                <c:pt idx="20">
                  <c:v>3641.7022773125063</c:v>
                </c:pt>
                <c:pt idx="21">
                  <c:v>3231.6591203117327</c:v>
                </c:pt>
                <c:pt idx="22">
                  <c:v>2785.7203085552951</c:v>
                </c:pt>
                <c:pt idx="23">
                  <c:v>2295.1533050928924</c:v>
                </c:pt>
                <c:pt idx="24">
                  <c:v>1754.5150163075152</c:v>
                </c:pt>
                <c:pt idx="25">
                  <c:v>1171.8757952014325</c:v>
                </c:pt>
                <c:pt idx="26">
                  <c:v>704.46209389908893</c:v>
                </c:pt>
                <c:pt idx="27">
                  <c:v>403.25761176970258</c:v>
                </c:pt>
                <c:pt idx="28">
                  <c:v>227.19076746573165</c:v>
                </c:pt>
                <c:pt idx="29">
                  <c:v>157.01371189082064</c:v>
                </c:pt>
                <c:pt idx="30">
                  <c:v>136.97082983111966</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1.73498278063804E-10</c:v>
                </c:pt>
                <c:pt idx="1">
                  <c:v>1.7349827806380399E-9</c:v>
                </c:pt>
                <c:pt idx="2">
                  <c:v>1.7349827806380399E-8</c:v>
                </c:pt>
                <c:pt idx="3">
                  <c:v>1.7349827806380399E-7</c:v>
                </c:pt>
                <c:pt idx="4">
                  <c:v>1.7349827806380398E-6</c:v>
                </c:pt>
                <c:pt idx="5">
                  <c:v>1.7349827806380399E-5</c:v>
                </c:pt>
                <c:pt idx="6">
                  <c:v>1.7349827806380401E-4</c:v>
                </c:pt>
                <c:pt idx="7">
                  <c:v>1.73498278063804E-3</c:v>
                </c:pt>
                <c:pt idx="8">
                  <c:v>1.7349827806380398E-2</c:v>
                </c:pt>
                <c:pt idx="9">
                  <c:v>0.173498278063804</c:v>
                </c:pt>
                <c:pt idx="10">
                  <c:v>1.73498278063804</c:v>
                </c:pt>
                <c:pt idx="11">
                  <c:v>17.3498278063804</c:v>
                </c:pt>
                <c:pt idx="12">
                  <c:v>173.49827806380401</c:v>
                </c:pt>
                <c:pt idx="13">
                  <c:v>1734.9827806380399</c:v>
                </c:pt>
                <c:pt idx="14">
                  <c:v>17349.827806380399</c:v>
                </c:pt>
                <c:pt idx="15">
                  <c:v>173498.278063804</c:v>
                </c:pt>
                <c:pt idx="16">
                  <c:v>1734982.78063804</c:v>
                </c:pt>
                <c:pt idx="17">
                  <c:v>17349827.806380399</c:v>
                </c:pt>
                <c:pt idx="18">
                  <c:v>173498278.063804</c:v>
                </c:pt>
                <c:pt idx="19">
                  <c:v>1734982780.6380401</c:v>
                </c:pt>
                <c:pt idx="20">
                  <c:v>17349827806.380398</c:v>
                </c:pt>
                <c:pt idx="21">
                  <c:v>173498278063.80399</c:v>
                </c:pt>
                <c:pt idx="22">
                  <c:v>1734982780638.04</c:v>
                </c:pt>
                <c:pt idx="23">
                  <c:v>17349827806380.4</c:v>
                </c:pt>
                <c:pt idx="24">
                  <c:v>173498278063804</c:v>
                </c:pt>
                <c:pt idx="25">
                  <c:v>1734982780638040</c:v>
                </c:pt>
                <c:pt idx="26">
                  <c:v>1.73498278063804E+16</c:v>
                </c:pt>
                <c:pt idx="27">
                  <c:v>1.73498278063804E+17</c:v>
                </c:pt>
                <c:pt idx="28">
                  <c:v>1.7349827806380401E+18</c:v>
                </c:pt>
                <c:pt idx="29">
                  <c:v>1.7349827806380401E+19</c:v>
                </c:pt>
                <c:pt idx="30">
                  <c:v>1.7349827806380399E+20</c:v>
                </c:pt>
              </c:numCache>
            </c:numRef>
          </c:xVal>
          <c:yVal>
            <c:numRef>
              <c:f>'Mastercurve bestimmen'!$N$404:$N$434</c:f>
              <c:numCache>
                <c:formatCode>0.00E+00</c:formatCode>
                <c:ptCount val="31"/>
                <c:pt idx="0">
                  <c:v>6479.0859474371819</c:v>
                </c:pt>
                <c:pt idx="1">
                  <c:v>6479.1324839978006</c:v>
                </c:pt>
                <c:pt idx="2">
                  <c:v>6479.041978197979</c:v>
                </c:pt>
                <c:pt idx="3">
                  <c:v>6478.4539559822069</c:v>
                </c:pt>
                <c:pt idx="4">
                  <c:v>6472.7726535549082</c:v>
                </c:pt>
                <c:pt idx="5">
                  <c:v>6425.3224026678754</c:v>
                </c:pt>
                <c:pt idx="6">
                  <c:v>6280.1372572444334</c:v>
                </c:pt>
                <c:pt idx="7">
                  <c:v>6130.7451181848783</c:v>
                </c:pt>
                <c:pt idx="8">
                  <c:v>5959.459898848826</c:v>
                </c:pt>
                <c:pt idx="9">
                  <c:v>5758.6320512376351</c:v>
                </c:pt>
                <c:pt idx="10">
                  <c:v>5553.7107715147085</c:v>
                </c:pt>
                <c:pt idx="11">
                  <c:v>5296.2160470219478</c:v>
                </c:pt>
                <c:pt idx="12">
                  <c:v>5014.3504980568096</c:v>
                </c:pt>
                <c:pt idx="13">
                  <c:v>4737.7084148388376</c:v>
                </c:pt>
                <c:pt idx="14">
                  <c:v>4438.626264954587</c:v>
                </c:pt>
                <c:pt idx="15">
                  <c:v>4115.3629839514006</c:v>
                </c:pt>
                <c:pt idx="16">
                  <c:v>3662.5886079597385</c:v>
                </c:pt>
                <c:pt idx="17">
                  <c:v>3039.7716426269371</c:v>
                </c:pt>
                <c:pt idx="18">
                  <c:v>2356.5178874385392</c:v>
                </c:pt>
                <c:pt idx="19">
                  <c:v>1664.6092730189016</c:v>
                </c:pt>
                <c:pt idx="20">
                  <c:v>1039.9214556238178</c:v>
                </c:pt>
                <c:pt idx="21">
                  <c:v>595.89522173414423</c:v>
                </c:pt>
                <c:pt idx="22">
                  <c:v>331.71701217899948</c:v>
                </c:pt>
                <c:pt idx="23">
                  <c:v>192.72704730170403</c:v>
                </c:pt>
                <c:pt idx="24">
                  <c:v>148.89299884614732</c:v>
                </c:pt>
                <c:pt idx="25">
                  <c:v>134.12130031566326</c:v>
                </c:pt>
                <c:pt idx="26">
                  <c:v>124.90206072555479</c:v>
                </c:pt>
                <c:pt idx="27">
                  <c:v>124.64007063602084</c:v>
                </c:pt>
                <c:pt idx="28">
                  <c:v>123.89500698166064</c:v>
                </c:pt>
                <c:pt idx="29">
                  <c:v>123.88320178471095</c:v>
                </c:pt>
                <c:pt idx="30">
                  <c:v>123.47472292148701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6.4655204306795444E-2</c:v>
                </c:pt>
                <c:pt idx="1">
                  <c:v>0.64655204306795433</c:v>
                </c:pt>
                <c:pt idx="2">
                  <c:v>6.4655204306795442</c:v>
                </c:pt>
                <c:pt idx="3">
                  <c:v>64.65520430679544</c:v>
                </c:pt>
                <c:pt idx="4">
                  <c:v>646.55204306795429</c:v>
                </c:pt>
                <c:pt idx="5">
                  <c:v>6465.520430679544</c:v>
                </c:pt>
                <c:pt idx="6">
                  <c:v>64655.204306795444</c:v>
                </c:pt>
                <c:pt idx="7">
                  <c:v>646552.04306795436</c:v>
                </c:pt>
                <c:pt idx="8">
                  <c:v>6465520.4306795439</c:v>
                </c:pt>
                <c:pt idx="9">
                  <c:v>64655204.306795433</c:v>
                </c:pt>
                <c:pt idx="10">
                  <c:v>646552043.06795442</c:v>
                </c:pt>
                <c:pt idx="11">
                  <c:v>6465520430.6795444</c:v>
                </c:pt>
                <c:pt idx="12">
                  <c:v>64655204306.795441</c:v>
                </c:pt>
                <c:pt idx="13">
                  <c:v>646552043067.95435</c:v>
                </c:pt>
                <c:pt idx="14">
                  <c:v>6465520430679.5439</c:v>
                </c:pt>
                <c:pt idx="15">
                  <c:v>64655204306795.437</c:v>
                </c:pt>
                <c:pt idx="16">
                  <c:v>646552043067954.37</c:v>
                </c:pt>
                <c:pt idx="17">
                  <c:v>6465520430679544</c:v>
                </c:pt>
                <c:pt idx="18">
                  <c:v>6.465520430679544E+16</c:v>
                </c:pt>
                <c:pt idx="19">
                  <c:v>6.4655204306795443E+17</c:v>
                </c:pt>
                <c:pt idx="20">
                  <c:v>6.4655204306795438E+18</c:v>
                </c:pt>
                <c:pt idx="21">
                  <c:v>6.4655204306795438E+19</c:v>
                </c:pt>
                <c:pt idx="22">
                  <c:v>6.4655204306795443E+20</c:v>
                </c:pt>
                <c:pt idx="23">
                  <c:v>6.4655204306795438E+21</c:v>
                </c:pt>
                <c:pt idx="24">
                  <c:v>6.4655204306795436E+22</c:v>
                </c:pt>
                <c:pt idx="25">
                  <c:v>6.4655204306795436E+23</c:v>
                </c:pt>
                <c:pt idx="26">
                  <c:v>6.4655204306795436E+24</c:v>
                </c:pt>
                <c:pt idx="27">
                  <c:v>6.465520430679544E+25</c:v>
                </c:pt>
                <c:pt idx="28">
                  <c:v>6.4655204306795438E+26</c:v>
                </c:pt>
                <c:pt idx="29">
                  <c:v>6.4655204306795435E+27</c:v>
                </c:pt>
                <c:pt idx="30">
                  <c:v>6.465520430679544E+28</c:v>
                </c:pt>
              </c:numCache>
            </c:numRef>
          </c:xVal>
          <c:yVal>
            <c:numRef>
              <c:f>'Mastercurve bestimmen'!$O$404:$O$434</c:f>
              <c:numCache>
                <c:formatCode>0.00E+00</c:formatCode>
                <c:ptCount val="31"/>
                <c:pt idx="0">
                  <c:v>5863.6829549380891</c:v>
                </c:pt>
                <c:pt idx="1">
                  <c:v>5609.1927579282792</c:v>
                </c:pt>
                <c:pt idx="2">
                  <c:v>5370.7345311781783</c:v>
                </c:pt>
                <c:pt idx="3">
                  <c:v>5097.9534912421213</c:v>
                </c:pt>
                <c:pt idx="4">
                  <c:v>4821.046341164677</c:v>
                </c:pt>
                <c:pt idx="5">
                  <c:v>4535.3452020984814</c:v>
                </c:pt>
                <c:pt idx="6">
                  <c:v>4228.4929725950406</c:v>
                </c:pt>
                <c:pt idx="7">
                  <c:v>3871.0057883923755</c:v>
                </c:pt>
                <c:pt idx="8">
                  <c:v>3401.7561264704505</c:v>
                </c:pt>
                <c:pt idx="9">
                  <c:v>2827.0529060658037</c:v>
                </c:pt>
                <c:pt idx="10">
                  <c:v>2150.7951483518323</c:v>
                </c:pt>
                <c:pt idx="11">
                  <c:v>1410.5199057082755</c:v>
                </c:pt>
                <c:pt idx="12">
                  <c:v>826.67973456797017</c:v>
                </c:pt>
                <c:pt idx="13">
                  <c:v>463.10914863390207</c:v>
                </c:pt>
                <c:pt idx="14">
                  <c:v>257.27368574751409</c:v>
                </c:pt>
                <c:pt idx="15">
                  <c:v>179.98076982609024</c:v>
                </c:pt>
                <c:pt idx="16">
                  <c:v>157.55849658546879</c:v>
                </c:pt>
                <c:pt idx="17">
                  <c:v>143.13037816485394</c:v>
                </c:pt>
                <c:pt idx="18">
                  <c:v>139.03929298884987</c:v>
                </c:pt>
                <c:pt idx="19">
                  <c:v>135.60631839895524</c:v>
                </c:pt>
                <c:pt idx="20">
                  <c:v>132.22937471479068</c:v>
                </c:pt>
                <c:pt idx="21">
                  <c:v>129.58780540541244</c:v>
                </c:pt>
                <c:pt idx="22">
                  <c:v>127.7135675720335</c:v>
                </c:pt>
                <c:pt idx="23">
                  <c:v>126.4367312836393</c:v>
                </c:pt>
                <c:pt idx="24">
                  <c:v>125.52960401951817</c:v>
                </c:pt>
                <c:pt idx="25">
                  <c:v>124.83927834622055</c:v>
                </c:pt>
                <c:pt idx="26">
                  <c:v>124.70417941781746</c:v>
                </c:pt>
                <c:pt idx="27">
                  <c:v>123.9260383626436</c:v>
                </c:pt>
                <c:pt idx="28">
                  <c:v>123.91358498832378</c:v>
                </c:pt>
                <c:pt idx="29">
                  <c:v>123.65466987195585</c:v>
                </c:pt>
                <c:pt idx="30">
                  <c:v>123.64094316844046</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3.7537732261831018</c:v>
                </c:pt>
                <c:pt idx="1">
                  <c:v>37.537732261831017</c:v>
                </c:pt>
                <c:pt idx="2">
                  <c:v>375.37732261831019</c:v>
                </c:pt>
                <c:pt idx="3">
                  <c:v>3753.7732261831015</c:v>
                </c:pt>
                <c:pt idx="4">
                  <c:v>37537.732261831014</c:v>
                </c:pt>
                <c:pt idx="5">
                  <c:v>375377.32261831017</c:v>
                </c:pt>
                <c:pt idx="6">
                  <c:v>3753773.226183102</c:v>
                </c:pt>
                <c:pt idx="7">
                  <c:v>37537732.261831015</c:v>
                </c:pt>
                <c:pt idx="8">
                  <c:v>375377322.61831015</c:v>
                </c:pt>
                <c:pt idx="9">
                  <c:v>3753773226.1831017</c:v>
                </c:pt>
                <c:pt idx="10">
                  <c:v>37537732261.831017</c:v>
                </c:pt>
                <c:pt idx="11">
                  <c:v>375377322618.31018</c:v>
                </c:pt>
                <c:pt idx="12">
                  <c:v>3753773226183.1016</c:v>
                </c:pt>
                <c:pt idx="13">
                  <c:v>37537732261831.016</c:v>
                </c:pt>
                <c:pt idx="14">
                  <c:v>375377322618310.19</c:v>
                </c:pt>
                <c:pt idx="15">
                  <c:v>3753773226183101.5</c:v>
                </c:pt>
                <c:pt idx="16">
                  <c:v>3.7537732261831016E+16</c:v>
                </c:pt>
                <c:pt idx="17">
                  <c:v>3.7537732261831014E+17</c:v>
                </c:pt>
                <c:pt idx="18">
                  <c:v>3.753773226183102E+18</c:v>
                </c:pt>
                <c:pt idx="19">
                  <c:v>3.7537732261831016E+19</c:v>
                </c:pt>
                <c:pt idx="20">
                  <c:v>3.7537732261831016E+20</c:v>
                </c:pt>
                <c:pt idx="21">
                  <c:v>3.7537732261831015E+21</c:v>
                </c:pt>
                <c:pt idx="22">
                  <c:v>3.7537732261831017E+22</c:v>
                </c:pt>
                <c:pt idx="23">
                  <c:v>3.753773226183102E+23</c:v>
                </c:pt>
                <c:pt idx="24">
                  <c:v>3.7537732261831014E+24</c:v>
                </c:pt>
                <c:pt idx="25">
                  <c:v>3.7537732261831017E+25</c:v>
                </c:pt>
                <c:pt idx="26">
                  <c:v>3.7537732261831014E+26</c:v>
                </c:pt>
                <c:pt idx="27">
                  <c:v>3.7537732261831019E+27</c:v>
                </c:pt>
                <c:pt idx="28">
                  <c:v>3.7537732261831017E+28</c:v>
                </c:pt>
                <c:pt idx="29">
                  <c:v>3.7537732261831018E+29</c:v>
                </c:pt>
                <c:pt idx="30">
                  <c:v>3.7537732261831017E+30</c:v>
                </c:pt>
              </c:numCache>
            </c:numRef>
          </c:xVal>
          <c:yVal>
            <c:numRef>
              <c:f>'Mastercurve bestimmen'!$P$404:$P$434</c:f>
              <c:numCache>
                <c:formatCode>0.00E+00</c:formatCode>
                <c:ptCount val="31"/>
                <c:pt idx="0">
                  <c:v>5469.0375175567433</c:v>
                </c:pt>
                <c:pt idx="1">
                  <c:v>5144.4254375399241</c:v>
                </c:pt>
                <c:pt idx="2">
                  <c:v>4859.4796757955091</c:v>
                </c:pt>
                <c:pt idx="3">
                  <c:v>4579.0872874253573</c:v>
                </c:pt>
                <c:pt idx="4">
                  <c:v>4274.6287252900811</c:v>
                </c:pt>
                <c:pt idx="5">
                  <c:v>3938.1560081824523</c:v>
                </c:pt>
                <c:pt idx="6">
                  <c:v>3491.5925245283374</c:v>
                </c:pt>
                <c:pt idx="7">
                  <c:v>2939.5473684961994</c:v>
                </c:pt>
                <c:pt idx="8">
                  <c:v>2290.3210430692648</c:v>
                </c:pt>
                <c:pt idx="9">
                  <c:v>1556.8723374202477</c:v>
                </c:pt>
                <c:pt idx="10">
                  <c:v>939.61789874376836</c:v>
                </c:pt>
                <c:pt idx="11">
                  <c:v>532.22470015904992</c:v>
                </c:pt>
                <c:pt idx="12">
                  <c:v>294.61415856723238</c:v>
                </c:pt>
                <c:pt idx="13">
                  <c:v>191.85627557437303</c:v>
                </c:pt>
                <c:pt idx="14">
                  <c:v>162.27843823453597</c:v>
                </c:pt>
                <c:pt idx="15">
                  <c:v>147.30961753431595</c:v>
                </c:pt>
                <c:pt idx="16">
                  <c:v>142.06591803394016</c:v>
                </c:pt>
                <c:pt idx="17">
                  <c:v>140.2404472955443</c:v>
                </c:pt>
                <c:pt idx="18">
                  <c:v>137.13168564571805</c:v>
                </c:pt>
                <c:pt idx="19">
                  <c:v>133.5914564553571</c:v>
                </c:pt>
                <c:pt idx="20">
                  <c:v>130.60597118111332</c:v>
                </c:pt>
                <c:pt idx="21">
                  <c:v>128.42317853149575</c:v>
                </c:pt>
                <c:pt idx="22">
                  <c:v>126.92571513683149</c:v>
                </c:pt>
                <c:pt idx="23">
                  <c:v>125.87891264299097</c:v>
                </c:pt>
                <c:pt idx="24">
                  <c:v>125.11103067782525</c:v>
                </c:pt>
                <c:pt idx="25">
                  <c:v>124.96985459314666</c:v>
                </c:pt>
                <c:pt idx="26">
                  <c:v>124.77108605330615</c:v>
                </c:pt>
                <c:pt idx="27">
                  <c:v>123.93614365125383</c:v>
                </c:pt>
                <c:pt idx="28">
                  <c:v>123.92285545904397</c:v>
                </c:pt>
                <c:pt idx="29">
                  <c:v>123.48008539289999</c:v>
                </c:pt>
                <c:pt idx="30">
                  <c:v>123.46865182434244</c:v>
                </c:pt>
              </c:numCache>
            </c:numRef>
          </c:yVal>
          <c:smooth val="1"/>
        </c:ser>
        <c:dLbls>
          <c:showLegendKey val="0"/>
          <c:showVal val="0"/>
          <c:showCatName val="0"/>
          <c:showSerName val="0"/>
          <c:showPercent val="0"/>
          <c:showBubbleSize val="0"/>
        </c:dLbls>
        <c:axId val="446220464"/>
        <c:axId val="446221248"/>
      </c:scatterChart>
      <c:valAx>
        <c:axId val="446220464"/>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6221248"/>
        <c:crosses val="autoZero"/>
        <c:crossBetween val="midCat"/>
      </c:valAx>
      <c:valAx>
        <c:axId val="4462212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6220464"/>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-45.801625734711926</c:v>
                </c:pt>
                <c:pt idx="1">
                  <c:v>-45.738092888466561</c:v>
                </c:pt>
                <c:pt idx="2">
                  <c:v>-45.67441338219669</c:v>
                </c:pt>
                <c:pt idx="3">
                  <c:v>-45.610440555877801</c:v>
                </c:pt>
                <c:pt idx="4">
                  <c:v>-45.54602774948539</c:v>
                </c:pt>
                <c:pt idx="5">
                  <c:v>-45.481028302994957</c:v>
                </c:pt>
                <c:pt idx="6">
                  <c:v>-45.415295556381992</c:v>
                </c:pt>
                <c:pt idx="7">
                  <c:v>-45.34868284962198</c:v>
                </c:pt>
                <c:pt idx="8">
                  <c:v>-45.281043522690418</c:v>
                </c:pt>
                <c:pt idx="9">
                  <c:v>-45.212230915562813</c:v>
                </c:pt>
                <c:pt idx="10">
                  <c:v>-45.14209836821464</c:v>
                </c:pt>
                <c:pt idx="11">
                  <c:v>-45.0704992206214</c:v>
                </c:pt>
                <c:pt idx="12">
                  <c:v>-44.997286812758588</c:v>
                </c:pt>
                <c:pt idx="13">
                  <c:v>-44.922314484601692</c:v>
                </c:pt>
                <c:pt idx="14">
                  <c:v>-44.845435576126206</c:v>
                </c:pt>
                <c:pt idx="15">
                  <c:v>-44.766503427307626</c:v>
                </c:pt>
                <c:pt idx="16">
                  <c:v>-44.685371378121459</c:v>
                </c:pt>
                <c:pt idx="17">
                  <c:v>-44.601892768543166</c:v>
                </c:pt>
                <c:pt idx="18">
                  <c:v>-44.515920938548263</c:v>
                </c:pt>
                <c:pt idx="19">
                  <c:v>-44.427309228112236</c:v>
                </c:pt>
                <c:pt idx="20">
                  <c:v>-44.335910977210588</c:v>
                </c:pt>
                <c:pt idx="21">
                  <c:v>-44.2415795258188</c:v>
                </c:pt>
                <c:pt idx="22">
                  <c:v>-44.144168213912366</c:v>
                </c:pt>
                <c:pt idx="23">
                  <c:v>-44.043530381466795</c:v>
                </c:pt>
                <c:pt idx="24">
                  <c:v>-43.939519368457553</c:v>
                </c:pt>
                <c:pt idx="25">
                  <c:v>-43.831988514860157</c:v>
                </c:pt>
                <c:pt idx="26">
                  <c:v>-43.720791160650094</c:v>
                </c:pt>
                <c:pt idx="27">
                  <c:v>-43.605780645802852</c:v>
                </c:pt>
                <c:pt idx="28">
                  <c:v>-43.486810310293926</c:v>
                </c:pt>
                <c:pt idx="29">
                  <c:v>-43.36373349409881</c:v>
                </c:pt>
                <c:pt idx="30">
                  <c:v>-43.236403537192999</c:v>
                </c:pt>
                <c:pt idx="31">
                  <c:v>-43.104673779551987</c:v>
                </c:pt>
                <c:pt idx="32">
                  <c:v>-42.968397561151264</c:v>
                </c:pt>
                <c:pt idx="33">
                  <c:v>-42.827428221966329</c:v>
                </c:pt>
                <c:pt idx="34">
                  <c:v>-42.681619101972665</c:v>
                </c:pt>
                <c:pt idx="35">
                  <c:v>-42.530823541145764</c:v>
                </c:pt>
                <c:pt idx="36">
                  <c:v>-42.374894879461138</c:v>
                </c:pt>
                <c:pt idx="37">
                  <c:v>-42.213686456894266</c:v>
                </c:pt>
                <c:pt idx="38">
                  <c:v>-42.047051613420642</c:v>
                </c:pt>
                <c:pt idx="39">
                  <c:v>-41.874843689015755</c:v>
                </c:pt>
                <c:pt idx="40">
                  <c:v>-41.696916023655113</c:v>
                </c:pt>
                <c:pt idx="41">
                  <c:v>-41.565532961159505</c:v>
                </c:pt>
                <c:pt idx="42">
                  <c:v>-41.428597079596727</c:v>
                </c:pt>
                <c:pt idx="43">
                  <c:v>-41.286421960879899</c:v>
                </c:pt>
                <c:pt idx="44">
                  <c:v>-41.139321186922089</c:v>
                </c:pt>
                <c:pt idx="45">
                  <c:v>-40.987608339636431</c:v>
                </c:pt>
                <c:pt idx="46">
                  <c:v>-40.831597000936014</c:v>
                </c:pt>
                <c:pt idx="47">
                  <c:v>-40.671600752733944</c:v>
                </c:pt>
                <c:pt idx="48">
                  <c:v>-40.507933176943325</c:v>
                </c:pt>
                <c:pt idx="49">
                  <c:v>-40.340907855477255</c:v>
                </c:pt>
                <c:pt idx="50">
                  <c:v>-40.170838370248845</c:v>
                </c:pt>
                <c:pt idx="51">
                  <c:v>-39.998038303171192</c:v>
                </c:pt>
                <c:pt idx="52">
                  <c:v>-39.822821236157395</c:v>
                </c:pt>
                <c:pt idx="53">
                  <c:v>-39.645500751120565</c:v>
                </c:pt>
                <c:pt idx="54">
                  <c:v>-39.466390429973806</c:v>
                </c:pt>
                <c:pt idx="55">
                  <c:v>-39.285803854630217</c:v>
                </c:pt>
                <c:pt idx="56">
                  <c:v>-39.104054607002894</c:v>
                </c:pt>
                <c:pt idx="57">
                  <c:v>-38.921456269004949</c:v>
                </c:pt>
                <c:pt idx="58">
                  <c:v>-38.738322422549487</c:v>
                </c:pt>
                <c:pt idx="59">
                  <c:v>-38.554966649549606</c:v>
                </c:pt>
                <c:pt idx="60">
                  <c:v>-38.371702531918402</c:v>
                </c:pt>
                <c:pt idx="61">
                  <c:v>-38.188843651568995</c:v>
                </c:pt>
                <c:pt idx="62">
                  <c:v>-38.006703590414475</c:v>
                </c:pt>
                <c:pt idx="63">
                  <c:v>-37.825595930367939</c:v>
                </c:pt>
                <c:pt idx="64">
                  <c:v>-37.645834253342514</c:v>
                </c:pt>
                <c:pt idx="65">
                  <c:v>-37.467732141251275</c:v>
                </c:pt>
                <c:pt idx="66">
                  <c:v>-37.291414253640276</c:v>
                </c:pt>
                <c:pt idx="67">
                  <c:v>-37.116249560587271</c:v>
                </c:pt>
                <c:pt idx="68">
                  <c:v>-36.941418109802967</c:v>
                </c:pt>
                <c:pt idx="69">
                  <c:v>-36.766099948998033</c:v>
                </c:pt>
                <c:pt idx="70">
                  <c:v>-36.589475125883204</c:v>
                </c:pt>
                <c:pt idx="71">
                  <c:v>-36.410723688169142</c:v>
                </c:pt>
                <c:pt idx="72">
                  <c:v>-36.229025683566562</c:v>
                </c:pt>
                <c:pt idx="73">
                  <c:v>-36.043561159786151</c:v>
                </c:pt>
                <c:pt idx="74">
                  <c:v>-35.853510164538605</c:v>
                </c:pt>
                <c:pt idx="75">
                  <c:v>-35.658052745534626</c:v>
                </c:pt>
                <c:pt idx="76">
                  <c:v>-35.456368950484901</c:v>
                </c:pt>
                <c:pt idx="77">
                  <c:v>-35.247638827100133</c:v>
                </c:pt>
                <c:pt idx="78">
                  <c:v>-35.031042423091009</c:v>
                </c:pt>
                <c:pt idx="79">
                  <c:v>-34.805759786168238</c:v>
                </c:pt>
                <c:pt idx="80">
                  <c:v>-34.570970964042495</c:v>
                </c:pt>
                <c:pt idx="81">
                  <c:v>-34.325856004424494</c:v>
                </c:pt>
                <c:pt idx="82">
                  <c:v>-34.069594955024925</c:v>
                </c:pt>
                <c:pt idx="83">
                  <c:v>-33.801367863554489</c:v>
                </c:pt>
                <c:pt idx="84">
                  <c:v>-33.520354777723867</c:v>
                </c:pt>
                <c:pt idx="85">
                  <c:v>-33.225735745243767</c:v>
                </c:pt>
                <c:pt idx="86">
                  <c:v>-32.916690813824886</c:v>
                </c:pt>
                <c:pt idx="87">
                  <c:v>-32.592400031177917</c:v>
                </c:pt>
                <c:pt idx="88">
                  <c:v>-32.252043445013541</c:v>
                </c:pt>
                <c:pt idx="89">
                  <c:v>-31.894801103042475</c:v>
                </c:pt>
                <c:pt idx="90">
                  <c:v>-31.519853052975407</c:v>
                </c:pt>
                <c:pt idx="91">
                  <c:v>-31.126667810396924</c:v>
                </c:pt>
                <c:pt idx="92">
                  <c:v>-30.715867762387184</c:v>
                </c:pt>
                <c:pt idx="93">
                  <c:v>-30.288363763900247</c:v>
                </c:pt>
                <c:pt idx="94">
                  <c:v>-29.845066669890162</c:v>
                </c:pt>
                <c:pt idx="95">
                  <c:v>-29.386887335310995</c:v>
                </c:pt>
                <c:pt idx="96">
                  <c:v>-28.914736615116791</c:v>
                </c:pt>
                <c:pt idx="97">
                  <c:v>-28.429525364261607</c:v>
                </c:pt>
                <c:pt idx="98">
                  <c:v>-27.932164437699502</c:v>
                </c:pt>
                <c:pt idx="99">
                  <c:v>-27.42356469038452</c:v>
                </c:pt>
                <c:pt idx="100">
                  <c:v>-26.904636977270727</c:v>
                </c:pt>
                <c:pt idx="101">
                  <c:v>-26.376292153312171</c:v>
                </c:pt>
                <c:pt idx="102">
                  <c:v>-25.839441073462908</c:v>
                </c:pt>
                <c:pt idx="103">
                  <c:v>-25.294994592676993</c:v>
                </c:pt>
                <c:pt idx="104">
                  <c:v>-24.743863565908484</c:v>
                </c:pt>
                <c:pt idx="105">
                  <c:v>-24.186958848111431</c:v>
                </c:pt>
                <c:pt idx="106">
                  <c:v>-23.62519129423989</c:v>
                </c:pt>
                <c:pt idx="107">
                  <c:v>-23.059471759247913</c:v>
                </c:pt>
                <c:pt idx="108">
                  <c:v>-22.490711098089562</c:v>
                </c:pt>
                <c:pt idx="109">
                  <c:v>-21.919820165718889</c:v>
                </c:pt>
                <c:pt idx="110">
                  <c:v>-21.347709817089942</c:v>
                </c:pt>
                <c:pt idx="111">
                  <c:v>-20.77529090715678</c:v>
                </c:pt>
                <c:pt idx="112">
                  <c:v>-20.203474290873459</c:v>
                </c:pt>
                <c:pt idx="113">
                  <c:v>-19.633170823194035</c:v>
                </c:pt>
                <c:pt idx="114">
                  <c:v>-19.06529135907256</c:v>
                </c:pt>
                <c:pt idx="115">
                  <c:v>-18.500746753463087</c:v>
                </c:pt>
                <c:pt idx="116">
                  <c:v>-17.940447861319676</c:v>
                </c:pt>
                <c:pt idx="117">
                  <c:v>-17.385305537596373</c:v>
                </c:pt>
                <c:pt idx="118">
                  <c:v>-16.836230637247244</c:v>
                </c:pt>
                <c:pt idx="119">
                  <c:v>-16.294134015226334</c:v>
                </c:pt>
                <c:pt idx="120">
                  <c:v>-15.759926526487703</c:v>
                </c:pt>
                <c:pt idx="121">
                  <c:v>-15.234358199038235</c:v>
                </c:pt>
                <c:pt idx="122">
                  <c:v>-14.717535753096168</c:v>
                </c:pt>
                <c:pt idx="123">
                  <c:v>-14.209405081932562</c:v>
                </c:pt>
                <c:pt idx="124">
                  <c:v>-13.709912078818485</c:v>
                </c:pt>
                <c:pt idx="125">
                  <c:v>-13.219002637025</c:v>
                </c:pt>
                <c:pt idx="126">
                  <c:v>-12.736622649823172</c:v>
                </c:pt>
                <c:pt idx="127">
                  <c:v>-12.262718010484072</c:v>
                </c:pt>
                <c:pt idx="128">
                  <c:v>-11.797234612278755</c:v>
                </c:pt>
                <c:pt idx="129">
                  <c:v>-11.340118348478292</c:v>
                </c:pt>
                <c:pt idx="130">
                  <c:v>-10.891315112353752</c:v>
                </c:pt>
                <c:pt idx="131">
                  <c:v>-10.450770797176192</c:v>
                </c:pt>
                <c:pt idx="132">
                  <c:v>-10.018431296216681</c:v>
                </c:pt>
                <c:pt idx="133">
                  <c:v>-9.594242502746285</c:v>
                </c:pt>
                <c:pt idx="134">
                  <c:v>-9.1781503100360666</c:v>
                </c:pt>
                <c:pt idx="135">
                  <c:v>-8.7701006113570976</c:v>
                </c:pt>
                <c:pt idx="136">
                  <c:v>-8.3700392999804354</c:v>
                </c:pt>
                <c:pt idx="137">
                  <c:v>-7.977912269177148</c:v>
                </c:pt>
                <c:pt idx="138">
                  <c:v>-7.5936654122183009</c:v>
                </c:pt>
                <c:pt idx="139">
                  <c:v>-7.2172446223749596</c:v>
                </c:pt>
                <c:pt idx="140">
                  <c:v>-6.8485957929181875</c:v>
                </c:pt>
                <c:pt idx="141">
                  <c:v>-6.4876648171190521</c:v>
                </c:pt>
                <c:pt idx="142">
                  <c:v>-6.1343975882486186</c:v>
                </c:pt>
                <c:pt idx="143">
                  <c:v>-5.7887399995779507</c:v>
                </c:pt>
                <c:pt idx="144">
                  <c:v>-5.4506379443781121</c:v>
                </c:pt>
                <c:pt idx="145">
                  <c:v>-5.1200373159201717</c:v>
                </c:pt>
                <c:pt idx="146">
                  <c:v>-4.7968840074751924</c:v>
                </c:pt>
                <c:pt idx="147">
                  <c:v>-4.4811239123142403</c:v>
                </c:pt>
                <c:pt idx="148">
                  <c:v>-4.1727029237083801</c:v>
                </c:pt>
                <c:pt idx="149">
                  <c:v>-3.8715669349286768</c:v>
                </c:pt>
                <c:pt idx="150">
                  <c:v>-3.577661839246197</c:v>
                </c:pt>
                <c:pt idx="151">
                  <c:v>-3.2909335299320035</c:v>
                </c:pt>
                <c:pt idx="152">
                  <c:v>-3.0113279002571627</c:v>
                </c:pt>
                <c:pt idx="153">
                  <c:v>-2.7387908434927408</c:v>
                </c:pt>
                <c:pt idx="154">
                  <c:v>-2.4732682529098016</c:v>
                </c:pt>
                <c:pt idx="155">
                  <c:v>-2.2147060217794103</c:v>
                </c:pt>
                <c:pt idx="156">
                  <c:v>-1.963050043372633</c:v>
                </c:pt>
                <c:pt idx="157">
                  <c:v>-1.7182462109605345</c:v>
                </c:pt>
                <c:pt idx="158">
                  <c:v>-1.4802404178141799</c:v>
                </c:pt>
                <c:pt idx="159">
                  <c:v>-1.2489785572046341</c:v>
                </c:pt>
                <c:pt idx="160">
                  <c:v>-1.0244065224029626</c:v>
                </c:pt>
                <c:pt idx="161">
                  <c:v>-0.80647020668023028</c:v>
                </c:pt>
                <c:pt idx="162">
                  <c:v>-0.59511550330750262</c:v>
                </c:pt>
                <c:pt idx="163">
                  <c:v>-0.39028830555584504</c:v>
                </c:pt>
                <c:pt idx="164">
                  <c:v>-0.19193450669632295</c:v>
                </c:pt>
                <c:pt idx="165">
                  <c:v>0</c:v>
                </c:pt>
                <c:pt idx="166">
                  <c:v>0.1855906138807312</c:v>
                </c:pt>
                <c:pt idx="167">
                  <c:v>0.36499790476817601</c:v>
                </c:pt>
                <c:pt idx="168">
                  <c:v>0.53840373510331363</c:v>
                </c:pt>
                <c:pt idx="169">
                  <c:v>0.70598996732712282</c:v>
                </c:pt>
                <c:pt idx="170">
                  <c:v>0.8679384638805826</c:v>
                </c:pt>
                <c:pt idx="171">
                  <c:v>1.0244310872046722</c:v>
                </c:pt>
                <c:pt idx="172">
                  <c:v>1.1756496997403705</c:v>
                </c:pt>
                <c:pt idx="173">
                  <c:v>1.3217761639286563</c:v>
                </c:pt>
                <c:pt idx="174">
                  <c:v>1.4629923422105091</c:v>
                </c:pt>
                <c:pt idx="175">
                  <c:v>1.5994800970269076</c:v>
                </c:pt>
                <c:pt idx="176">
                  <c:v>1.7314212908188309</c:v>
                </c:pt>
                <c:pt idx="177">
                  <c:v>1.8589977860272577</c:v>
                </c:pt>
                <c:pt idx="178">
                  <c:v>1.9823914450931674</c:v>
                </c:pt>
                <c:pt idx="179">
                  <c:v>2.1017841304575389</c:v>
                </c:pt>
                <c:pt idx="180">
                  <c:v>2.2173577045613508</c:v>
                </c:pt>
                <c:pt idx="181">
                  <c:v>2.3292940298455829</c:v>
                </c:pt>
                <c:pt idx="182">
                  <c:v>2.437774968751214</c:v>
                </c:pt>
                <c:pt idx="183">
                  <c:v>2.5429823837192229</c:v>
                </c:pt>
                <c:pt idx="184">
                  <c:v>2.6450981371905882</c:v>
                </c:pt>
                <c:pt idx="185">
                  <c:v>2.7443040916062893</c:v>
                </c:pt>
                <c:pt idx="186">
                  <c:v>2.8407821094073058</c:v>
                </c:pt>
                <c:pt idx="187">
                  <c:v>2.9347140530346154</c:v>
                </c:pt>
                <c:pt idx="188">
                  <c:v>3.0262817849291981</c:v>
                </c:pt>
                <c:pt idx="189">
                  <c:v>3.1156671675320333</c:v>
                </c:pt>
                <c:pt idx="190">
                  <c:v>3.2030520632840989</c:v>
                </c:pt>
                <c:pt idx="191">
                  <c:v>3.2886183346263742</c:v>
                </c:pt>
                <c:pt idx="192">
                  <c:v>3.3725478439998384</c:v>
                </c:pt>
                <c:pt idx="193">
                  <c:v>3.455022453845471</c:v>
                </c:pt>
                <c:pt idx="194">
                  <c:v>3.5362240266042502</c:v>
                </c:pt>
                <c:pt idx="195">
                  <c:v>3.6163344247171554</c:v>
                </c:pt>
                <c:pt idx="196">
                  <c:v>3.6955355106251657</c:v>
                </c:pt>
                <c:pt idx="197">
                  <c:v>3.7740091467692598</c:v>
                </c:pt>
                <c:pt idx="198">
                  <c:v>3.8519371955904167</c:v>
                </c:pt>
                <c:pt idx="199">
                  <c:v>3.9295015195296163</c:v>
                </c:pt>
                <c:pt idx="200">
                  <c:v>4.0068839810278361</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-14.406800109604639</c:v>
                </c:pt>
                <c:pt idx="1">
                  <c:v>-10.950515452938541</c:v>
                </c:pt>
                <c:pt idx="2">
                  <c:v>-6.5770330385822291</c:v>
                </c:pt>
                <c:pt idx="3">
                  <c:v>0</c:v>
                </c:pt>
                <c:pt idx="4">
                  <c:v>12.063922953615501</c:v>
                </c:pt>
                <c:pt idx="5">
                  <c:v>31.8000897176249</c:v>
                </c:pt>
                <c:pt idx="6">
                  <c:v>35.861537922668312</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-90</c:v>
                </c:pt>
                <c:pt idx="1">
                  <c:v>-89</c:v>
                </c:pt>
                <c:pt idx="2">
                  <c:v>-88</c:v>
                </c:pt>
                <c:pt idx="3">
                  <c:v>-87</c:v>
                </c:pt>
                <c:pt idx="4">
                  <c:v>-86</c:v>
                </c:pt>
                <c:pt idx="5">
                  <c:v>-85</c:v>
                </c:pt>
                <c:pt idx="6">
                  <c:v>-84</c:v>
                </c:pt>
                <c:pt idx="7">
                  <c:v>-83</c:v>
                </c:pt>
                <c:pt idx="8">
                  <c:v>-82</c:v>
                </c:pt>
                <c:pt idx="9">
                  <c:v>-81</c:v>
                </c:pt>
                <c:pt idx="10">
                  <c:v>-80</c:v>
                </c:pt>
                <c:pt idx="11">
                  <c:v>-79</c:v>
                </c:pt>
                <c:pt idx="12">
                  <c:v>-78</c:v>
                </c:pt>
                <c:pt idx="13">
                  <c:v>-77</c:v>
                </c:pt>
                <c:pt idx="14">
                  <c:v>-76</c:v>
                </c:pt>
                <c:pt idx="15">
                  <c:v>-75</c:v>
                </c:pt>
                <c:pt idx="16">
                  <c:v>-74</c:v>
                </c:pt>
                <c:pt idx="17">
                  <c:v>-73</c:v>
                </c:pt>
                <c:pt idx="18">
                  <c:v>-72</c:v>
                </c:pt>
                <c:pt idx="19">
                  <c:v>-71</c:v>
                </c:pt>
                <c:pt idx="20">
                  <c:v>-70</c:v>
                </c:pt>
                <c:pt idx="21">
                  <c:v>-69</c:v>
                </c:pt>
                <c:pt idx="22">
                  <c:v>-68</c:v>
                </c:pt>
                <c:pt idx="23">
                  <c:v>-67</c:v>
                </c:pt>
                <c:pt idx="24">
                  <c:v>-66</c:v>
                </c:pt>
                <c:pt idx="25">
                  <c:v>-65</c:v>
                </c:pt>
                <c:pt idx="26">
                  <c:v>-64</c:v>
                </c:pt>
                <c:pt idx="27">
                  <c:v>-63</c:v>
                </c:pt>
                <c:pt idx="28">
                  <c:v>-62</c:v>
                </c:pt>
                <c:pt idx="29">
                  <c:v>-61</c:v>
                </c:pt>
                <c:pt idx="30">
                  <c:v>-60</c:v>
                </c:pt>
                <c:pt idx="31">
                  <c:v>-59</c:v>
                </c:pt>
                <c:pt idx="32">
                  <c:v>-58</c:v>
                </c:pt>
                <c:pt idx="33">
                  <c:v>-57</c:v>
                </c:pt>
                <c:pt idx="34">
                  <c:v>-56</c:v>
                </c:pt>
                <c:pt idx="35">
                  <c:v>-55</c:v>
                </c:pt>
                <c:pt idx="36">
                  <c:v>-54</c:v>
                </c:pt>
                <c:pt idx="37">
                  <c:v>-53</c:v>
                </c:pt>
                <c:pt idx="38">
                  <c:v>-52</c:v>
                </c:pt>
                <c:pt idx="39">
                  <c:v>-51</c:v>
                </c:pt>
                <c:pt idx="40">
                  <c:v>-50</c:v>
                </c:pt>
                <c:pt idx="41">
                  <c:v>-49</c:v>
                </c:pt>
                <c:pt idx="42">
                  <c:v>-48</c:v>
                </c:pt>
                <c:pt idx="43">
                  <c:v>-47</c:v>
                </c:pt>
                <c:pt idx="44">
                  <c:v>-46</c:v>
                </c:pt>
                <c:pt idx="45">
                  <c:v>-45</c:v>
                </c:pt>
                <c:pt idx="46">
                  <c:v>-44</c:v>
                </c:pt>
                <c:pt idx="47">
                  <c:v>-43</c:v>
                </c:pt>
                <c:pt idx="48">
                  <c:v>-42</c:v>
                </c:pt>
                <c:pt idx="49">
                  <c:v>-41</c:v>
                </c:pt>
                <c:pt idx="50">
                  <c:v>-40</c:v>
                </c:pt>
                <c:pt idx="51">
                  <c:v>-39</c:v>
                </c:pt>
                <c:pt idx="52">
                  <c:v>-38</c:v>
                </c:pt>
                <c:pt idx="53">
                  <c:v>-37</c:v>
                </c:pt>
                <c:pt idx="54">
                  <c:v>-36</c:v>
                </c:pt>
                <c:pt idx="55">
                  <c:v>-35</c:v>
                </c:pt>
                <c:pt idx="56">
                  <c:v>-34</c:v>
                </c:pt>
                <c:pt idx="57">
                  <c:v>-33</c:v>
                </c:pt>
                <c:pt idx="58">
                  <c:v>-32</c:v>
                </c:pt>
                <c:pt idx="59">
                  <c:v>-31</c:v>
                </c:pt>
                <c:pt idx="60">
                  <c:v>-30</c:v>
                </c:pt>
                <c:pt idx="61">
                  <c:v>-29</c:v>
                </c:pt>
                <c:pt idx="62">
                  <c:v>-28</c:v>
                </c:pt>
                <c:pt idx="63">
                  <c:v>-27</c:v>
                </c:pt>
                <c:pt idx="64">
                  <c:v>-26</c:v>
                </c:pt>
                <c:pt idx="65">
                  <c:v>-25</c:v>
                </c:pt>
                <c:pt idx="66">
                  <c:v>-24</c:v>
                </c:pt>
                <c:pt idx="67">
                  <c:v>-23</c:v>
                </c:pt>
                <c:pt idx="68">
                  <c:v>-22</c:v>
                </c:pt>
                <c:pt idx="69">
                  <c:v>-21</c:v>
                </c:pt>
                <c:pt idx="70">
                  <c:v>-20</c:v>
                </c:pt>
                <c:pt idx="71">
                  <c:v>-19</c:v>
                </c:pt>
                <c:pt idx="72">
                  <c:v>-18</c:v>
                </c:pt>
                <c:pt idx="73">
                  <c:v>-17</c:v>
                </c:pt>
                <c:pt idx="74">
                  <c:v>-16</c:v>
                </c:pt>
                <c:pt idx="75">
                  <c:v>-15</c:v>
                </c:pt>
                <c:pt idx="76">
                  <c:v>-14</c:v>
                </c:pt>
                <c:pt idx="77">
                  <c:v>-13</c:v>
                </c:pt>
                <c:pt idx="78">
                  <c:v>-12</c:v>
                </c:pt>
                <c:pt idx="79">
                  <c:v>-11</c:v>
                </c:pt>
                <c:pt idx="80">
                  <c:v>-10</c:v>
                </c:pt>
                <c:pt idx="81">
                  <c:v>-9</c:v>
                </c:pt>
                <c:pt idx="82">
                  <c:v>-8</c:v>
                </c:pt>
                <c:pt idx="83">
                  <c:v>-7</c:v>
                </c:pt>
                <c:pt idx="84">
                  <c:v>-6</c:v>
                </c:pt>
                <c:pt idx="85">
                  <c:v>-5</c:v>
                </c:pt>
                <c:pt idx="86">
                  <c:v>-4</c:v>
                </c:pt>
                <c:pt idx="87">
                  <c:v>-3</c:v>
                </c:pt>
                <c:pt idx="88">
                  <c:v>-2</c:v>
                </c:pt>
                <c:pt idx="89">
                  <c:v>-1</c:v>
                </c:pt>
                <c:pt idx="90">
                  <c:v>0</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31</c:v>
                </c:pt>
                <c:pt idx="122">
                  <c:v>32</c:v>
                </c:pt>
                <c:pt idx="123">
                  <c:v>33</c:v>
                </c:pt>
                <c:pt idx="124">
                  <c:v>34</c:v>
                </c:pt>
                <c:pt idx="125">
                  <c:v>35</c:v>
                </c:pt>
                <c:pt idx="126">
                  <c:v>36</c:v>
                </c:pt>
                <c:pt idx="127">
                  <c:v>37</c:v>
                </c:pt>
                <c:pt idx="128">
                  <c:v>38</c:v>
                </c:pt>
                <c:pt idx="129">
                  <c:v>39</c:v>
                </c:pt>
                <c:pt idx="130">
                  <c:v>40</c:v>
                </c:pt>
                <c:pt idx="131">
                  <c:v>41</c:v>
                </c:pt>
                <c:pt idx="132">
                  <c:v>42</c:v>
                </c:pt>
                <c:pt idx="133">
                  <c:v>43</c:v>
                </c:pt>
                <c:pt idx="134">
                  <c:v>44</c:v>
                </c:pt>
                <c:pt idx="135">
                  <c:v>45</c:v>
                </c:pt>
                <c:pt idx="136">
                  <c:v>46</c:v>
                </c:pt>
                <c:pt idx="137">
                  <c:v>47</c:v>
                </c:pt>
                <c:pt idx="138">
                  <c:v>48</c:v>
                </c:pt>
                <c:pt idx="139">
                  <c:v>49</c:v>
                </c:pt>
                <c:pt idx="140">
                  <c:v>50</c:v>
                </c:pt>
                <c:pt idx="141">
                  <c:v>51</c:v>
                </c:pt>
                <c:pt idx="142">
                  <c:v>52</c:v>
                </c:pt>
                <c:pt idx="143">
                  <c:v>53</c:v>
                </c:pt>
                <c:pt idx="144">
                  <c:v>54</c:v>
                </c:pt>
                <c:pt idx="145">
                  <c:v>55</c:v>
                </c:pt>
                <c:pt idx="146">
                  <c:v>56</c:v>
                </c:pt>
                <c:pt idx="147">
                  <c:v>57</c:v>
                </c:pt>
                <c:pt idx="148">
                  <c:v>58</c:v>
                </c:pt>
                <c:pt idx="149">
                  <c:v>59</c:v>
                </c:pt>
                <c:pt idx="150">
                  <c:v>60</c:v>
                </c:pt>
                <c:pt idx="151">
                  <c:v>61</c:v>
                </c:pt>
                <c:pt idx="152">
                  <c:v>62</c:v>
                </c:pt>
                <c:pt idx="153">
                  <c:v>63</c:v>
                </c:pt>
                <c:pt idx="154">
                  <c:v>64</c:v>
                </c:pt>
                <c:pt idx="155">
                  <c:v>65</c:v>
                </c:pt>
                <c:pt idx="156">
                  <c:v>66</c:v>
                </c:pt>
                <c:pt idx="157">
                  <c:v>67</c:v>
                </c:pt>
                <c:pt idx="158">
                  <c:v>68</c:v>
                </c:pt>
                <c:pt idx="159">
                  <c:v>69</c:v>
                </c:pt>
                <c:pt idx="160">
                  <c:v>70</c:v>
                </c:pt>
                <c:pt idx="161">
                  <c:v>71</c:v>
                </c:pt>
                <c:pt idx="162">
                  <c:v>72</c:v>
                </c:pt>
                <c:pt idx="163">
                  <c:v>73</c:v>
                </c:pt>
                <c:pt idx="164">
                  <c:v>74</c:v>
                </c:pt>
                <c:pt idx="165">
                  <c:v>75</c:v>
                </c:pt>
                <c:pt idx="166">
                  <c:v>76</c:v>
                </c:pt>
                <c:pt idx="167">
                  <c:v>77</c:v>
                </c:pt>
                <c:pt idx="168">
                  <c:v>78</c:v>
                </c:pt>
                <c:pt idx="169">
                  <c:v>79</c:v>
                </c:pt>
                <c:pt idx="170">
                  <c:v>80</c:v>
                </c:pt>
                <c:pt idx="171">
                  <c:v>81</c:v>
                </c:pt>
                <c:pt idx="172">
                  <c:v>82</c:v>
                </c:pt>
                <c:pt idx="173">
                  <c:v>83</c:v>
                </c:pt>
                <c:pt idx="174">
                  <c:v>84</c:v>
                </c:pt>
                <c:pt idx="175">
                  <c:v>85</c:v>
                </c:pt>
                <c:pt idx="176">
                  <c:v>86</c:v>
                </c:pt>
                <c:pt idx="177">
                  <c:v>87</c:v>
                </c:pt>
                <c:pt idx="178">
                  <c:v>88</c:v>
                </c:pt>
                <c:pt idx="179">
                  <c:v>89</c:v>
                </c:pt>
                <c:pt idx="180">
                  <c:v>90</c:v>
                </c:pt>
                <c:pt idx="181">
                  <c:v>91</c:v>
                </c:pt>
                <c:pt idx="182">
                  <c:v>92</c:v>
                </c:pt>
                <c:pt idx="183">
                  <c:v>93</c:v>
                </c:pt>
                <c:pt idx="184">
                  <c:v>94</c:v>
                </c:pt>
                <c:pt idx="185">
                  <c:v>95</c:v>
                </c:pt>
                <c:pt idx="186">
                  <c:v>96</c:v>
                </c:pt>
                <c:pt idx="187">
                  <c:v>97</c:v>
                </c:pt>
                <c:pt idx="188">
                  <c:v>98</c:v>
                </c:pt>
                <c:pt idx="189">
                  <c:v>99</c:v>
                </c:pt>
                <c:pt idx="190">
                  <c:v>100</c:v>
                </c:pt>
                <c:pt idx="191">
                  <c:v>101</c:v>
                </c:pt>
                <c:pt idx="192">
                  <c:v>102</c:v>
                </c:pt>
                <c:pt idx="193">
                  <c:v>103</c:v>
                </c:pt>
                <c:pt idx="194">
                  <c:v>104</c:v>
                </c:pt>
                <c:pt idx="195">
                  <c:v>105</c:v>
                </c:pt>
                <c:pt idx="196">
                  <c:v>106</c:v>
                </c:pt>
                <c:pt idx="197">
                  <c:v>107</c:v>
                </c:pt>
                <c:pt idx="198">
                  <c:v>108</c:v>
                </c:pt>
                <c:pt idx="199">
                  <c:v>109</c:v>
                </c:pt>
                <c:pt idx="200">
                  <c:v>110</c:v>
                </c:pt>
              </c:numCache>
            </c:numRef>
          </c:xVal>
          <c:yVal>
            <c:numRef>
              <c:f>'Shiftfunktion bestimmen'!$F$222:$F$422</c:f>
              <c:numCache>
                <c:formatCode>General</c:formatCode>
                <c:ptCount val="201"/>
                <c:pt idx="0">
                  <c:v>-47.415745212709396</c:v>
                </c:pt>
                <c:pt idx="1">
                  <c:v>-47.475947395315245</c:v>
                </c:pt>
                <c:pt idx="2">
                  <c:v>-47.362952852895148</c:v>
                </c:pt>
                <c:pt idx="3">
                  <c:v>-47.113737422063565</c:v>
                </c:pt>
                <c:pt idx="4">
                  <c:v>-46.761183583043703</c:v>
                </c:pt>
                <c:pt idx="5">
                  <c:v>-46.334353342722551</c:v>
                </c:pt>
                <c:pt idx="6">
                  <c:v>-45.858749765387756</c:v>
                </c:pt>
                <c:pt idx="7">
                  <c:v>-45.356567428183752</c:v>
                </c:pt>
                <c:pt idx="8">
                  <c:v>-44.846932075239607</c:v>
                </c:pt>
                <c:pt idx="9">
                  <c:v>-44.346129741353366</c:v>
                </c:pt>
                <c:pt idx="10">
                  <c:v>-43.867825613032181</c:v>
                </c:pt>
                <c:pt idx="11">
                  <c:v>-43.423272891616307</c:v>
                </c:pt>
                <c:pt idx="12">
                  <c:v>-43.021511920134046</c:v>
                </c:pt>
                <c:pt idx="13">
                  <c:v>-42.669559832462085</c:v>
                </c:pt>
                <c:pt idx="14">
                  <c:v>-42.372590980283519</c:v>
                </c:pt>
                <c:pt idx="15">
                  <c:v>-42.134108390262938</c:v>
                </c:pt>
                <c:pt idx="16">
                  <c:v>-41.956106500779029</c:v>
                </c:pt>
                <c:pt idx="17">
                  <c:v>-41.839225424479444</c:v>
                </c:pt>
                <c:pt idx="18">
                  <c:v>-41.78289697984281</c:v>
                </c:pt>
                <c:pt idx="19">
                  <c:v>-41.785482731859574</c:v>
                </c:pt>
                <c:pt idx="20">
                  <c:v>-41.844404278864836</c:v>
                </c:pt>
                <c:pt idx="21">
                  <c:v>-41.956266019476502</c:v>
                </c:pt>
                <c:pt idx="22">
                  <c:v>-42.116970630520505</c:v>
                </c:pt>
                <c:pt idx="23">
                  <c:v>-42.32182748374322</c:v>
                </c:pt>
                <c:pt idx="24">
                  <c:v>-42.565654226036578</c:v>
                </c:pt>
                <c:pt idx="25">
                  <c:v>-42.842871744823206</c:v>
                </c:pt>
                <c:pt idx="26">
                  <c:v>-43.147592737173014</c:v>
                </c:pt>
                <c:pt idx="27">
                  <c:v>-43.473704098144609</c:v>
                </c:pt>
                <c:pt idx="28">
                  <c:v>-43.814943340768146</c:v>
                </c:pt>
                <c:pt idx="29">
                  <c:v>-44.164969257010583</c:v>
                </c:pt>
                <c:pt idx="30">
                  <c:v>-44.517427025984112</c:v>
                </c:pt>
                <c:pt idx="31">
                  <c:v>-44.866007972585635</c:v>
                </c:pt>
                <c:pt idx="32">
                  <c:v>-45.204504176674618</c:v>
                </c:pt>
                <c:pt idx="33">
                  <c:v>-45.526858129821797</c:v>
                </c:pt>
                <c:pt idx="34">
                  <c:v>-45.827207633582987</c:v>
                </c:pt>
                <c:pt idx="35">
                  <c:v>-46.099926130176542</c:v>
                </c:pt>
                <c:pt idx="36">
                  <c:v>-46.339658653364175</c:v>
                </c:pt>
                <c:pt idx="37">
                  <c:v>-46.541353584259596</c:v>
                </c:pt>
                <c:pt idx="38">
                  <c:v>-46.700290393711498</c:v>
                </c:pt>
                <c:pt idx="39">
                  <c:v>-46.81210354983056</c:v>
                </c:pt>
                <c:pt idx="40">
                  <c:v>-46.872802766153285</c:v>
                </c:pt>
                <c:pt idx="41">
                  <c:v>-46.878789762858041</c:v>
                </c:pt>
                <c:pt idx="42">
                  <c:v>-46.826871710372565</c:v>
                </c:pt>
                <c:pt idx="43">
                  <c:v>-46.714271521633989</c:v>
                </c:pt>
                <c:pt idx="44">
                  <c:v>-46.538635156186757</c:v>
                </c:pt>
                <c:pt idx="45">
                  <c:v>-46.298036096225204</c:v>
                </c:pt>
                <c:pt idx="46">
                  <c:v>-45.990977151612526</c:v>
                </c:pt>
                <c:pt idx="47">
                  <c:v>-45.616389747828755</c:v>
                </c:pt>
                <c:pt idx="48">
                  <c:v>-45.173630847725271</c:v>
                </c:pt>
                <c:pt idx="49">
                  <c:v>-44.662477654884718</c:v>
                </c:pt>
                <c:pt idx="50">
                  <c:v>-44.083120243309644</c:v>
                </c:pt>
                <c:pt idx="51">
                  <c:v>-43.436152255085027</c:v>
                </c:pt>
                <c:pt idx="52">
                  <c:v>-42.722559804583319</c:v>
                </c:pt>
                <c:pt idx="53">
                  <c:v>-41.943708724704052</c:v>
                </c:pt>
                <c:pt idx="54">
                  <c:v>-41.101330287561986</c:v>
                </c:pt>
                <c:pt idx="55">
                  <c:v>-40.197505528961855</c:v>
                </c:pt>
                <c:pt idx="56">
                  <c:v>-39.234648302920093</c:v>
                </c:pt>
                <c:pt idx="57">
                  <c:v>-38.215487189417203</c:v>
                </c:pt>
                <c:pt idx="58">
                  <c:v>-37.143046375487224</c:v>
                </c:pt>
                <c:pt idx="59">
                  <c:v>-36.020625626673976</c:v>
                </c:pt>
                <c:pt idx="60">
                  <c:v>-34.851779462806583</c:v>
                </c:pt>
                <c:pt idx="61">
                  <c:v>-33.640295648969804</c:v>
                </c:pt>
                <c:pt idx="62">
                  <c:v>-32.390173109467725</c:v>
                </c:pt>
                <c:pt idx="63">
                  <c:v>-31.105599369502425</c:v>
                </c:pt>
                <c:pt idx="64">
                  <c:v>-29.790927626211872</c:v>
                </c:pt>
                <c:pt idx="65">
                  <c:v>-28.45065354763501</c:v>
                </c:pt>
                <c:pt idx="66">
                  <c:v>-27.089391895094</c:v>
                </c:pt>
                <c:pt idx="67">
                  <c:v>-25.711853061407652</c:v>
                </c:pt>
                <c:pt idx="68">
                  <c:v>-24.322819614272092</c:v>
                </c:pt>
                <c:pt idx="69">
                  <c:v>-22.927122931068453</c:v>
                </c:pt>
                <c:pt idx="70">
                  <c:v>-21.529620008279867</c:v>
                </c:pt>
                <c:pt idx="71">
                  <c:v>-20.135170525623419</c:v>
                </c:pt>
                <c:pt idx="72">
                  <c:v>-18.748614241925264</c:v>
                </c:pt>
                <c:pt idx="73">
                  <c:v>-17.374748796690639</c:v>
                </c:pt>
                <c:pt idx="74">
                  <c:v>-16.018307988243023</c:v>
                </c:pt>
                <c:pt idx="75">
                  <c:v>-14.683940596229945</c:v>
                </c:pt>
                <c:pt idx="76">
                  <c:v>-13.376189813215868</c:v>
                </c:pt>
                <c:pt idx="77">
                  <c:v>-12.099473347005583</c:v>
                </c:pt>
                <c:pt idx="78">
                  <c:v>-10.858064252264485</c:v>
                </c:pt>
                <c:pt idx="79">
                  <c:v>-9.6560725469251789</c:v>
                </c:pt>
                <c:pt idx="80">
                  <c:v>-8.4974276657927934</c:v>
                </c:pt>
                <c:pt idx="81">
                  <c:v>-7.3858618006844159</c:v>
                </c:pt>
                <c:pt idx="82">
                  <c:v>-6.3248941733609643</c:v>
                </c:pt>
                <c:pt idx="83">
                  <c:v>-5.3178162844329604</c:v>
                </c:pt>
                <c:pt idx="84">
                  <c:v>-4.3676781783445122</c:v>
                </c:pt>
                <c:pt idx="85">
                  <c:v>-3.4772757614628818</c:v>
                </c:pt>
                <c:pt idx="86">
                  <c:v>-2.6491392072239903</c:v>
                </c:pt>
                <c:pt idx="87">
                  <c:v>-1.8855224792071983</c:v>
                </c:pt>
                <c:pt idx="88">
                  <c:v>-1.1883939999357116</c:v>
                </c:pt>
                <c:pt idx="89">
                  <c:v>-0.55942849012191875</c:v>
                </c:pt>
                <c:pt idx="90">
                  <c:v>0</c:v>
                </c:pt>
                <c:pt idx="91">
                  <c:v>0.48882384868888967</c:v>
                </c:pt>
                <c:pt idx="92">
                  <c:v>0.90628639457055582</c:v>
                </c:pt>
                <c:pt idx="93">
                  <c:v>1.2519452299595217</c:v>
                </c:pt>
                <c:pt idx="94">
                  <c:v>1.5256742462943162</c:v>
                </c:pt>
                <c:pt idx="95">
                  <c:v>1.7276644254290132</c:v>
                </c:pt>
                <c:pt idx="96">
                  <c:v>1.8584233736007487</c:v>
                </c:pt>
                <c:pt idx="97">
                  <c:v>1.9187735979699458</c:v>
                </c:pt>
                <c:pt idx="98">
                  <c:v>1.9098495287069925</c:v>
                </c:pt>
                <c:pt idx="99">
                  <c:v>1.8330932926761228</c:v>
                </c:pt>
                <c:pt idx="100">
                  <c:v>1.6902492478442541</c:v>
                </c:pt>
                <c:pt idx="101">
                  <c:v>1.4833572906195498</c:v>
                </c:pt>
                <c:pt idx="102">
                  <c:v>1.2147449514014743</c:v>
                </c:pt>
                <c:pt idx="103">
                  <c:v>0.8870182967011323</c:v>
                </c:pt>
                <c:pt idx="104">
                  <c:v>0.50305165926766104</c:v>
                </c:pt>
                <c:pt idx="105">
                  <c:v>6.5976220733492144E-2</c:v>
                </c:pt>
                <c:pt idx="106">
                  <c:v>-0.42083252563172369</c:v>
                </c:pt>
                <c:pt idx="107">
                  <c:v>-0.95376840139172059</c:v>
                </c:pt>
                <c:pt idx="108">
                  <c:v>-1.5290092248949285</c:v>
                </c:pt>
                <c:pt idx="109">
                  <c:v>-2.14253251188565</c:v>
                </c:pt>
                <c:pt idx="110">
                  <c:v>-2.7901321548772979</c:v>
                </c:pt>
                <c:pt idx="111">
                  <c:v>-3.4674360383128278</c:v>
                </c:pt>
                <c:pt idx="112">
                  <c:v>-4.1699245434605219</c:v>
                </c:pt>
                <c:pt idx="113">
                  <c:v>-4.8929498939162546</c:v>
                </c:pt>
                <c:pt idx="114">
                  <c:v>-5.6317562895064128</c:v>
                </c:pt>
                <c:pt idx="115">
                  <c:v>-6.3815007733085523</c:v>
                </c:pt>
                <c:pt idx="116">
                  <c:v>-7.137274773429934</c:v>
                </c:pt>
                <c:pt idx="117">
                  <c:v>-7.8941262581070299</c:v>
                </c:pt>
                <c:pt idx="118">
                  <c:v>-8.6470824396121451</c:v>
                </c:pt>
                <c:pt idx="119">
                  <c:v>-9.3911729593762097</c:v>
                </c:pt>
                <c:pt idx="120">
                  <c:v>-10.121453483659824</c:v>
                </c:pt>
                <c:pt idx="121">
                  <c:v>-10.833029636027705</c:v>
                </c:pt>
                <c:pt idx="122">
                  <c:v>-11.521081189804487</c:v>
                </c:pt>
                <c:pt idx="123">
                  <c:v>-12.180886440613079</c:v>
                </c:pt>
                <c:pt idx="124">
                  <c:v>-12.807846676019533</c:v>
                </c:pt>
                <c:pt idx="125">
                  <c:v>-13.397510656231505</c:v>
                </c:pt>
                <c:pt idx="126">
                  <c:v>-13.945599016720379</c:v>
                </c:pt>
                <c:pt idx="127">
                  <c:v>-14.448028500559998</c:v>
                </c:pt>
                <c:pt idx="128">
                  <c:v>-14.900935925198233</c:v>
                </c:pt>
                <c:pt idx="129">
                  <c:v>-15.30070178530003</c:v>
                </c:pt>
                <c:pt idx="130">
                  <c:v>-15.643973390224449</c:v>
                </c:pt>
                <c:pt idx="131">
                  <c:v>-15.927687431620239</c:v>
                </c:pt>
                <c:pt idx="132">
                  <c:v>-16.149091873548201</c:v>
                </c:pt>
                <c:pt idx="133">
                  <c:v>-16.305767054461292</c:v>
                </c:pt>
                <c:pt idx="134">
                  <c:v>-16.395645887296343</c:v>
                </c:pt>
                <c:pt idx="135">
                  <c:v>-16.417033040854463</c:v>
                </c:pt>
                <c:pt idx="136">
                  <c:v>-16.368622982570191</c:v>
                </c:pt>
                <c:pt idx="137">
                  <c:v>-16.249516759691964</c:v>
                </c:pt>
                <c:pt idx="138">
                  <c:v>-16.059237392820414</c:v>
                </c:pt>
                <c:pt idx="139">
                  <c:v>-15.797743752672861</c:v>
                </c:pt>
                <c:pt idx="140">
                  <c:v>-15.465442787866511</c:v>
                </c:pt>
                <c:pt idx="141">
                  <c:v>-15.063199968434597</c:v>
                </c:pt>
                <c:pt idx="142">
                  <c:v>-14.59234780671412</c:v>
                </c:pt>
                <c:pt idx="143">
                  <c:v>-14.05469231416558</c:v>
                </c:pt>
                <c:pt idx="144">
                  <c:v>-13.45251724960878</c:v>
                </c:pt>
                <c:pt idx="145">
                  <c:v>-12.788586011281492</c:v>
                </c:pt>
                <c:pt idx="146">
                  <c:v>-12.066141022051283</c:v>
                </c:pt>
                <c:pt idx="147">
                  <c:v>-11.288900454032595</c:v>
                </c:pt>
                <c:pt idx="148">
                  <c:v>-10.461052135785714</c:v>
                </c:pt>
                <c:pt idx="149">
                  <c:v>-9.5872444821962706</c:v>
                </c:pt>
                <c:pt idx="150">
                  <c:v>-8.672574284056596</c:v>
                </c:pt>
                <c:pt idx="151">
                  <c:v>-7.7225711912948327</c:v>
                </c:pt>
                <c:pt idx="152">
                  <c:v>-6.7431787207186282</c:v>
                </c:pt>
                <c:pt idx="153">
                  <c:v>-5.7407316160646076</c:v>
                </c:pt>
                <c:pt idx="154">
                  <c:v>-4.7219293850679485</c:v>
                </c:pt>
                <c:pt idx="155">
                  <c:v>-3.6938058351878702</c:v>
                </c:pt>
                <c:pt idx="156">
                  <c:v>-2.6636944265498101</c:v>
                </c:pt>
                <c:pt idx="157">
                  <c:v>-1.6391892575863416</c:v>
                </c:pt>
                <c:pt idx="158">
                  <c:v>-0.62810149578346142</c:v>
                </c:pt>
                <c:pt idx="159">
                  <c:v>0.36158893714010532</c:v>
                </c:pt>
                <c:pt idx="160">
                  <c:v>1.3217866193679058</c:v>
                </c:pt>
                <c:pt idx="161">
                  <c:v>2.2443390192599253</c:v>
                </c:pt>
                <c:pt idx="162">
                  <c:v>3.1211002216700976</c:v>
                </c:pt>
                <c:pt idx="163">
                  <c:v>3.9440001932839337</c:v>
                </c:pt>
                <c:pt idx="164">
                  <c:v>4.705119793034207</c:v>
                </c:pt>
                <c:pt idx="165">
                  <c:v>5.396771736727132</c:v>
                </c:pt>
                <c:pt idx="166">
                  <c:v>6.011587728090376</c:v>
                </c:pt>
                <c:pt idx="167">
                  <c:v>6.542611971528288</c:v>
                </c:pt>
                <c:pt idx="168">
                  <c:v>6.9834012849501619</c:v>
                </c:pt>
                <c:pt idx="169">
                  <c:v>7.3281320341133949</c:v>
                </c:pt>
                <c:pt idx="170">
                  <c:v>7.571714112997185</c:v>
                </c:pt>
                <c:pt idx="171">
                  <c:v>7.7099121978047265</c:v>
                </c:pt>
                <c:pt idx="172">
                  <c:v>7.7394745052654628</c:v>
                </c:pt>
                <c:pt idx="173">
                  <c:v>7.6582692889858492</c:v>
                </c:pt>
                <c:pt idx="174">
                  <c:v>7.4654293106760861</c:v>
                </c:pt>
                <c:pt idx="175">
                  <c:v>7.161504526154971</c:v>
                </c:pt>
                <c:pt idx="176">
                  <c:v>6.7486232291150543</c:v>
                </c:pt>
                <c:pt idx="177">
                  <c:v>6.230661898703346</c:v>
                </c:pt>
                <c:pt idx="178">
                  <c:v>5.6134240000534419</c:v>
                </c:pt>
                <c:pt idx="179">
                  <c:v>4.9048279899793101</c:v>
                </c:pt>
                <c:pt idx="180">
                  <c:v>4.115104783121069</c:v>
                </c:pt>
                <c:pt idx="181">
                  <c:v>3.2570049369044227</c:v>
                </c:pt>
                <c:pt idx="182">
                  <c:v>2.3460158167612235</c:v>
                </c:pt>
                <c:pt idx="183">
                  <c:v>1.4005890061264381</c:v>
                </c:pt>
                <c:pt idx="184">
                  <c:v>0.44237822880808153</c:v>
                </c:pt>
                <c:pt idx="185">
                  <c:v>-0.5035119455919812</c:v>
                </c:pt>
                <c:pt idx="186">
                  <c:v>-1.4082663394622159</c:v>
                </c:pt>
                <c:pt idx="187">
                  <c:v>-2.2390880713381875</c:v>
                </c:pt>
                <c:pt idx="188">
                  <c:v>-2.9589158465313403</c:v>
                </c:pt>
                <c:pt idx="189">
                  <c:v>-3.526129351244208</c:v>
                </c:pt>
                <c:pt idx="190">
                  <c:v>-3.8942424641161324</c:v>
                </c:pt>
                <c:pt idx="191">
                  <c:v>-4.0115839960662925</c:v>
                </c:pt>
                <c:pt idx="192">
                  <c:v>-3.8209656662148745</c:v>
                </c:pt>
                <c:pt idx="193">
                  <c:v>-3.2593370186016273</c:v>
                </c:pt>
                <c:pt idx="194">
                  <c:v>-2.2574269813246701</c:v>
                </c:pt>
                <c:pt idx="195">
                  <c:v>-0.73937176666936466</c:v>
                </c:pt>
                <c:pt idx="196">
                  <c:v>1.3776711923060247</c:v>
                </c:pt>
                <c:pt idx="197">
                  <c:v>4.1839235763193301</c:v>
                </c:pt>
                <c:pt idx="198">
                  <c:v>7.7774010962193643</c:v>
                </c:pt>
                <c:pt idx="199">
                  <c:v>12.26434330490747</c:v>
                </c:pt>
                <c:pt idx="200">
                  <c:v>17.759658621644348</c:v>
                </c:pt>
              </c:numCache>
            </c:numRef>
          </c:yVal>
          <c:smooth val="1"/>
        </c:ser>
        <c:dLbls>
          <c:showLegendKey val="0"/>
          <c:showVal val="0"/>
          <c:showCatName val="0"/>
          <c:showSerName val="0"/>
          <c:showPercent val="0"/>
          <c:showBubbleSize val="0"/>
        </c:dLbls>
        <c:axId val="446221640"/>
        <c:axId val="446219288"/>
      </c:scatterChart>
      <c:valAx>
        <c:axId val="446221640"/>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6219288"/>
        <c:crossesAt val="-1000"/>
        <c:crossBetween val="midCat"/>
      </c:valAx>
      <c:valAx>
        <c:axId val="446219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6221640"/>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11" t="s">
        <v>107</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85</v>
      </c>
    </row>
    <row r="22" spans="1:2" s="11" customFormat="1" x14ac:dyDescent="0.25">
      <c r="A22" s="61" t="s">
        <v>157</v>
      </c>
      <c r="B22" s="99">
        <f>CTE!N8-0.5</f>
        <v>95</v>
      </c>
    </row>
    <row r="23" spans="1:2" s="11" customFormat="1" x14ac:dyDescent="0.25">
      <c r="A23" s="61" t="s">
        <v>158</v>
      </c>
      <c r="B23" s="99">
        <f>CTE!N9</f>
        <v>180.5</v>
      </c>
    </row>
    <row r="24" spans="1:2" s="11" customFormat="1" x14ac:dyDescent="0.25"/>
    <row r="25" spans="1:2" s="11" customFormat="1" x14ac:dyDescent="0.25">
      <c r="A25" s="61" t="s">
        <v>147</v>
      </c>
      <c r="B25" s="53">
        <f>CTE!O5</f>
        <v>2.5270250571428573E-5</v>
      </c>
    </row>
    <row r="26" spans="1:2" s="11" customFormat="1" x14ac:dyDescent="0.25">
      <c r="A26" s="61" t="s">
        <v>148</v>
      </c>
      <c r="B26" s="53">
        <f>CTE!O6</f>
        <v>2.7904964857142861E-5</v>
      </c>
    </row>
    <row r="27" spans="1:2" s="11" customFormat="1" x14ac:dyDescent="0.25">
      <c r="A27" s="61" t="s">
        <v>149</v>
      </c>
      <c r="B27" s="53">
        <f>CTE!O8</f>
        <v>7.0197717142857148E-5</v>
      </c>
    </row>
    <row r="28" spans="1:2" s="11" customFormat="1" x14ac:dyDescent="0.25">
      <c r="A28" s="61" t="s">
        <v>150</v>
      </c>
      <c r="B28" s="53">
        <f>CTE!O9</f>
        <v>6.9821937142857152E-5</v>
      </c>
    </row>
    <row r="29" spans="1:2" s="11" customFormat="1" x14ac:dyDescent="0.25">
      <c r="A29" s="61"/>
    </row>
    <row r="30" spans="1:2" s="11" customFormat="1" x14ac:dyDescent="0.25">
      <c r="A30" s="61" t="s">
        <v>151</v>
      </c>
      <c r="B30" s="52">
        <f>CTE!P5</f>
        <v>2.2752914736842108E-5</v>
      </c>
    </row>
    <row r="31" spans="1:2" s="11" customFormat="1" x14ac:dyDescent="0.25">
      <c r="A31" s="61" t="s">
        <v>152</v>
      </c>
      <c r="B31" s="52">
        <f>CTE!P6</f>
        <v>2.4298146315789474E-5</v>
      </c>
    </row>
    <row r="32" spans="1:2" s="11" customFormat="1" x14ac:dyDescent="0.25">
      <c r="A32" s="61" t="s">
        <v>153</v>
      </c>
      <c r="B32" s="52">
        <f>CTE!P8</f>
        <v>4.5848989473684213E-5</v>
      </c>
    </row>
    <row r="33" spans="1:2" s="11" customFormat="1" x14ac:dyDescent="0.25">
      <c r="A33" s="61" t="s">
        <v>154</v>
      </c>
      <c r="B33" s="52">
        <f>CTE!P9</f>
        <v>4.720299789473684E-5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323.14999999999998</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0.52427832349594095</v>
      </c>
      <c r="D59" s="55">
        <v>1</v>
      </c>
    </row>
    <row r="60" spans="1:4" s="11" customFormat="1" x14ac:dyDescent="0.25">
      <c r="A60" s="54">
        <v>2</v>
      </c>
      <c r="B60" s="56">
        <f>'Shiftfunktion bestimmen'!N2</f>
        <v>-3.5315284282063972E-2</v>
      </c>
      <c r="D60" s="55">
        <v>2</v>
      </c>
    </row>
    <row r="61" spans="1:4" s="11" customFormat="1" x14ac:dyDescent="0.25">
      <c r="A61" s="54">
        <v>3</v>
      </c>
      <c r="B61" s="56">
        <f>'Shiftfunktion bestimmen'!N3</f>
        <v>-1.5218672356373552E-4</v>
      </c>
      <c r="D61" s="55">
        <v>3</v>
      </c>
    </row>
    <row r="62" spans="1:4" s="11" customFormat="1" x14ac:dyDescent="0.25">
      <c r="A62" s="54">
        <v>4</v>
      </c>
      <c r="B62" s="56">
        <f>'Shiftfunktion bestimmen'!N4</f>
        <v>1.2965286752905169E-5</v>
      </c>
      <c r="D62" s="55">
        <v>4</v>
      </c>
    </row>
    <row r="63" spans="1:4" s="11" customFormat="1" x14ac:dyDescent="0.25">
      <c r="A63" s="54">
        <v>5</v>
      </c>
      <c r="B63" s="56">
        <f>'Shiftfunktion bestimmen'!N5</f>
        <v>3.2635184253375725E-8</v>
      </c>
      <c r="D63" s="55">
        <v>5</v>
      </c>
    </row>
    <row r="64" spans="1:4" s="11" customFormat="1" x14ac:dyDescent="0.25">
      <c r="A64" s="54">
        <v>6</v>
      </c>
      <c r="B64" s="56">
        <f>'Shiftfunktion bestimmen'!N6</f>
        <v>-1.7212797645557277E-9</v>
      </c>
      <c r="D64" s="55">
        <v>6</v>
      </c>
    </row>
    <row r="65" spans="1:5" s="11" customFormat="1" x14ac:dyDescent="0.25">
      <c r="A65" s="54">
        <v>7</v>
      </c>
      <c r="B65" s="56">
        <f>'Shiftfunktion bestimmen'!N7</f>
        <v>-2.1573002487892906E-12</v>
      </c>
      <c r="D65" s="55">
        <v>7</v>
      </c>
    </row>
    <row r="66" spans="1:5" x14ac:dyDescent="0.25">
      <c r="A66" s="54">
        <v>8</v>
      </c>
      <c r="B66" s="56">
        <f>'Shiftfunktion bestimmen'!N8</f>
        <v>7.6314676318104761E-14</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1.0261612083607946E-3</v>
      </c>
      <c r="D74" s="51">
        <v>1</v>
      </c>
      <c r="E74" s="56">
        <f>'Mastercurve bestimmen'!A18</f>
        <v>1.0000000000000001E-20</v>
      </c>
    </row>
    <row r="75" spans="1:5" x14ac:dyDescent="0.25">
      <c r="A75" s="50">
        <f>A74+1</f>
        <v>2</v>
      </c>
      <c r="B75" s="56">
        <f>'Mastercurve bestimmen'!C19</f>
        <v>0</v>
      </c>
      <c r="D75" s="51">
        <v>2</v>
      </c>
      <c r="E75" s="56">
        <f>'Mastercurve bestimmen'!A19</f>
        <v>3.9038946506297401E-14</v>
      </c>
    </row>
    <row r="76" spans="1:5" x14ac:dyDescent="0.25">
      <c r="A76" s="50">
        <f t="shared" ref="A76:A104" si="0">A75+1</f>
        <v>3</v>
      </c>
      <c r="B76" s="56">
        <f>'Mastercurve bestimmen'!C20</f>
        <v>0</v>
      </c>
      <c r="D76" s="51">
        <v>3</v>
      </c>
      <c r="E76" s="56">
        <f>'Mastercurve bestimmen'!A20</f>
        <v>4.3276437088188502E-13</v>
      </c>
    </row>
    <row r="77" spans="1:5" x14ac:dyDescent="0.25">
      <c r="A77" s="50">
        <f t="shared" si="0"/>
        <v>4</v>
      </c>
      <c r="B77" s="56">
        <f>'Mastercurve bestimmen'!C21</f>
        <v>0</v>
      </c>
      <c r="D77" s="51">
        <v>4</v>
      </c>
      <c r="E77" s="56">
        <f>'Mastercurve bestimmen'!A21</f>
        <v>4.7973886968128502E-12</v>
      </c>
    </row>
    <row r="78" spans="1:5" x14ac:dyDescent="0.25">
      <c r="A78" s="50">
        <f t="shared" si="0"/>
        <v>5</v>
      </c>
      <c r="B78" s="56">
        <f>'Mastercurve bestimmen'!C22</f>
        <v>0</v>
      </c>
      <c r="D78" s="51">
        <v>5</v>
      </c>
      <c r="E78" s="56">
        <f>'Mastercurve bestimmen'!A22</f>
        <v>5.31812225239524E-11</v>
      </c>
    </row>
    <row r="79" spans="1:5" x14ac:dyDescent="0.25">
      <c r="A79" s="50">
        <f t="shared" si="0"/>
        <v>6</v>
      </c>
      <c r="B79" s="56">
        <f>'Mastercurve bestimmen'!C23</f>
        <v>0</v>
      </c>
      <c r="D79" s="51">
        <v>6</v>
      </c>
      <c r="E79" s="56">
        <f>'Mastercurve bestimmen'!A23</f>
        <v>5.8953789402578301E-10</v>
      </c>
    </row>
    <row r="80" spans="1:5" x14ac:dyDescent="0.25">
      <c r="A80" s="50">
        <f t="shared" si="0"/>
        <v>7</v>
      </c>
      <c r="B80" s="56">
        <f>'Mastercurve bestimmen'!C24</f>
        <v>0</v>
      </c>
      <c r="D80" s="51">
        <v>7</v>
      </c>
      <c r="E80" s="56">
        <f>'Mastercurve bestimmen'!A24</f>
        <v>6.5352940755699598E-9</v>
      </c>
    </row>
    <row r="81" spans="1:5" x14ac:dyDescent="0.25">
      <c r="A81" s="50">
        <f t="shared" si="0"/>
        <v>8</v>
      </c>
      <c r="B81" s="56">
        <f>'Mastercurve bestimmen'!C25</f>
        <v>0</v>
      </c>
      <c r="D81" s="51">
        <v>8</v>
      </c>
      <c r="E81" s="56">
        <f>'Mastercurve bestimmen'!A25</f>
        <v>7.2446689325643296E-8</v>
      </c>
    </row>
    <row r="82" spans="1:5" x14ac:dyDescent="0.25">
      <c r="A82" s="50">
        <f t="shared" si="0"/>
        <v>9</v>
      </c>
      <c r="B82" s="56">
        <f>'Mastercurve bestimmen'!C26</f>
        <v>0</v>
      </c>
      <c r="D82" s="51">
        <f>A82</f>
        <v>9</v>
      </c>
      <c r="E82" s="56">
        <f>'Mastercurve bestimmen'!A26</f>
        <v>8.03104303120212E-7</v>
      </c>
    </row>
    <row r="83" spans="1:5" x14ac:dyDescent="0.25">
      <c r="A83" s="50">
        <f t="shared" si="0"/>
        <v>10</v>
      </c>
      <c r="B83" s="56">
        <f>'Mastercurve bestimmen'!C27</f>
        <v>7.2761897872501713E-4</v>
      </c>
      <c r="C83" s="11"/>
      <c r="D83" s="51">
        <f t="shared" ref="D83:D104" si="1">A83</f>
        <v>10</v>
      </c>
      <c r="E83" s="56">
        <f>'Mastercurve bestimmen'!A27</f>
        <v>8.9027742702096099E-6</v>
      </c>
    </row>
    <row r="84" spans="1:5" x14ac:dyDescent="0.25">
      <c r="A84" s="50">
        <f t="shared" si="0"/>
        <v>11</v>
      </c>
      <c r="B84" s="56">
        <f>'Mastercurve bestimmen'!C28</f>
        <v>3.1446025257017021E-2</v>
      </c>
      <c r="C84" s="11"/>
      <c r="D84" s="51">
        <f t="shared" si="1"/>
        <v>11</v>
      </c>
      <c r="E84" s="56">
        <f>'Mastercurve bestimmen'!A28</f>
        <v>9.86912775817142E-5</v>
      </c>
    </row>
    <row r="85" spans="1:5" x14ac:dyDescent="0.25">
      <c r="A85" s="50">
        <f t="shared" si="0"/>
        <v>12</v>
      </c>
      <c r="B85" s="56">
        <f>'Mastercurve bestimmen'!C29</f>
        <v>1.9599632072183452E-2</v>
      </c>
      <c r="C85" s="11"/>
      <c r="D85" s="51">
        <f t="shared" si="1"/>
        <v>12</v>
      </c>
      <c r="E85" s="56">
        <f>'Mastercurve bestimmen'!A29</f>
        <v>1.0940374286813801E-3</v>
      </c>
    </row>
    <row r="86" spans="1:5" x14ac:dyDescent="0.25">
      <c r="A86" s="50">
        <f t="shared" si="0"/>
        <v>13</v>
      </c>
      <c r="B86" s="56">
        <f>'Mastercurve bestimmen'!C30</f>
        <v>3.2516214564493037E-2</v>
      </c>
      <c r="C86" s="11"/>
      <c r="D86" s="51">
        <f t="shared" si="1"/>
        <v>13</v>
      </c>
      <c r="E86" s="56">
        <f>'Mastercurve bestimmen'!A30</f>
        <v>1.2127899493091E-2</v>
      </c>
    </row>
    <row r="87" spans="1:5" x14ac:dyDescent="0.25">
      <c r="A87" s="50">
        <f t="shared" si="0"/>
        <v>14</v>
      </c>
      <c r="B87" s="56">
        <f>'Mastercurve bestimmen'!C31</f>
        <v>3.2163923063268561E-2</v>
      </c>
      <c r="C87" s="11"/>
      <c r="D87" s="51">
        <f t="shared" si="1"/>
        <v>14</v>
      </c>
      <c r="E87" s="56">
        <f>'Mastercurve bestimmen'!A31</f>
        <v>0.13444324870292301</v>
      </c>
    </row>
    <row r="88" spans="1:5" x14ac:dyDescent="0.25">
      <c r="A88" s="50">
        <f t="shared" si="0"/>
        <v>15</v>
      </c>
      <c r="B88" s="56">
        <f>'Mastercurve bestimmen'!C32</f>
        <v>3.3900572605001088E-2</v>
      </c>
      <c r="C88" s="11"/>
      <c r="D88" s="51">
        <f t="shared" si="1"/>
        <v>15</v>
      </c>
      <c r="E88" s="56">
        <f>'Mastercurve bestimmen'!A32</f>
        <v>1.49036419143257</v>
      </c>
    </row>
    <row r="89" spans="1:5" x14ac:dyDescent="0.25">
      <c r="A89" s="50">
        <f t="shared" si="0"/>
        <v>16</v>
      </c>
      <c r="B89" s="56">
        <f>'Mastercurve bestimmen'!C33</f>
        <v>4.6234934193755559E-2</v>
      </c>
      <c r="C89" s="11"/>
      <c r="D89" s="51">
        <f t="shared" si="1"/>
        <v>16</v>
      </c>
      <c r="E89" s="56">
        <f>'Mastercurve bestimmen'!A33</f>
        <v>16.521360830937301</v>
      </c>
    </row>
    <row r="90" spans="1:5" x14ac:dyDescent="0.25">
      <c r="A90" s="50">
        <f t="shared" si="0"/>
        <v>17</v>
      </c>
      <c r="B90" s="56">
        <f>'Mastercurve bestimmen'!C34</f>
        <v>5.6671396993887152E-2</v>
      </c>
      <c r="C90" s="11"/>
      <c r="D90" s="51">
        <f t="shared" si="1"/>
        <v>17</v>
      </c>
      <c r="E90" s="56">
        <f>'Mastercurve bestimmen'!A34</f>
        <v>183.146753843879</v>
      </c>
    </row>
    <row r="91" spans="1:5" x14ac:dyDescent="0.25">
      <c r="A91" s="50">
        <f t="shared" si="0"/>
        <v>18</v>
      </c>
      <c r="B91" s="56">
        <f>'Mastercurve bestimmen'!C35</f>
        <v>5.870573738309863E-2</v>
      </c>
      <c r="C91" s="11"/>
      <c r="D91" s="51">
        <f t="shared" si="1"/>
        <v>18</v>
      </c>
      <c r="E91" s="56">
        <f>'Mastercurve bestimmen'!A35</f>
        <v>2030.26456396616</v>
      </c>
    </row>
    <row r="92" spans="1:5" x14ac:dyDescent="0.25">
      <c r="A92" s="50">
        <f t="shared" si="0"/>
        <v>19</v>
      </c>
      <c r="B92" s="56">
        <f>'Mastercurve bestimmen'!C36</f>
        <v>5.620235606497212E-2</v>
      </c>
      <c r="C92" s="11"/>
      <c r="D92" s="51">
        <f t="shared" si="1"/>
        <v>19</v>
      </c>
      <c r="E92" s="56">
        <f>'Mastercurve bestimmen'!A36</f>
        <v>22506.400540467101</v>
      </c>
    </row>
    <row r="93" spans="1:5" x14ac:dyDescent="0.25">
      <c r="A93" s="50">
        <f t="shared" si="0"/>
        <v>20</v>
      </c>
      <c r="B93" s="56">
        <f>'Mastercurve bestimmen'!C37</f>
        <v>6.3415296184233166E-2</v>
      </c>
      <c r="C93" s="11"/>
      <c r="D93" s="51">
        <f t="shared" si="1"/>
        <v>20</v>
      </c>
      <c r="E93" s="56">
        <f>'Mastercurve bestimmen'!A37</f>
        <v>249493.62476110301</v>
      </c>
    </row>
    <row r="94" spans="1:5" x14ac:dyDescent="0.25">
      <c r="A94" s="50">
        <f t="shared" si="0"/>
        <v>21</v>
      </c>
      <c r="B94" s="56">
        <f>'Mastercurve bestimmen'!C38</f>
        <v>3.5348869965799563E-2</v>
      </c>
      <c r="C94" s="11"/>
      <c r="D94" s="51">
        <f t="shared" si="1"/>
        <v>21</v>
      </c>
      <c r="E94" s="56">
        <f>'Mastercurve bestimmen'!A38</f>
        <v>2765749.6224023802</v>
      </c>
    </row>
    <row r="95" spans="1:5" x14ac:dyDescent="0.25">
      <c r="A95" s="50">
        <f t="shared" si="0"/>
        <v>22</v>
      </c>
      <c r="B95" s="56">
        <f>'Mastercurve bestimmen'!C39</f>
        <v>7.0460456800535406E-2</v>
      </c>
      <c r="C95" s="11"/>
      <c r="D95" s="51">
        <f t="shared" si="1"/>
        <v>22</v>
      </c>
      <c r="E95" s="56">
        <f>'Mastercurve bestimmen'!A39</f>
        <v>10000000</v>
      </c>
    </row>
    <row r="96" spans="1:5" x14ac:dyDescent="0.25">
      <c r="A96" s="50">
        <f t="shared" si="0"/>
        <v>23</v>
      </c>
      <c r="B96" s="56">
        <f>'Mastercurve bestimmen'!C40</f>
        <v>8.6875447409324694E-2</v>
      </c>
      <c r="C96" s="11"/>
      <c r="D96" s="51">
        <f t="shared" si="1"/>
        <v>23</v>
      </c>
      <c r="E96" s="56">
        <f>'Mastercurve bestimmen'!A40</f>
        <v>100000000</v>
      </c>
    </row>
    <row r="97" spans="1:5" x14ac:dyDescent="0.25">
      <c r="A97" s="50">
        <f t="shared" si="0"/>
        <v>24</v>
      </c>
      <c r="B97" s="56">
        <f>'Mastercurve bestimmen'!C41</f>
        <v>9.6215979999175721E-2</v>
      </c>
      <c r="C97" s="11"/>
      <c r="D97" s="51">
        <f t="shared" si="1"/>
        <v>24</v>
      </c>
      <c r="E97" s="56">
        <f>'Mastercurve bestimmen'!A41</f>
        <v>1000000000</v>
      </c>
    </row>
    <row r="98" spans="1:5" x14ac:dyDescent="0.25">
      <c r="A98" s="50">
        <f t="shared" si="0"/>
        <v>25</v>
      </c>
      <c r="B98" s="56">
        <f>'Mastercurve bestimmen'!C42</f>
        <v>0.11161416834614406</v>
      </c>
      <c r="C98" s="11"/>
      <c r="D98" s="51">
        <f t="shared" si="1"/>
        <v>25</v>
      </c>
      <c r="E98" s="56">
        <f>'Mastercurve bestimmen'!A42</f>
        <v>10000000000</v>
      </c>
    </row>
    <row r="99" spans="1:5" x14ac:dyDescent="0.25">
      <c r="A99" s="50">
        <f t="shared" si="0"/>
        <v>26</v>
      </c>
      <c r="B99" s="56">
        <f>'Mastercurve bestimmen'!C43</f>
        <v>6.6462351022397975E-2</v>
      </c>
      <c r="C99" s="11"/>
      <c r="D99" s="51">
        <f t="shared" si="1"/>
        <v>26</v>
      </c>
      <c r="E99" s="56">
        <f>'Mastercurve bestimmen'!A43</f>
        <v>100000000000</v>
      </c>
    </row>
    <row r="100" spans="1:5" x14ac:dyDescent="0.25">
      <c r="A100" s="50">
        <f t="shared" si="0"/>
        <v>27</v>
      </c>
      <c r="B100" s="56">
        <f>'Mastercurve bestimmen'!C44</f>
        <v>4.7100906601755713E-2</v>
      </c>
      <c r="C100" s="11"/>
      <c r="D100" s="51">
        <f t="shared" si="1"/>
        <v>27</v>
      </c>
      <c r="E100" s="56">
        <f>'Mastercurve bestimmen'!A44</f>
        <v>1000000000000</v>
      </c>
    </row>
    <row r="101" spans="1:5" x14ac:dyDescent="0.25">
      <c r="A101" s="50">
        <f t="shared" si="0"/>
        <v>28</v>
      </c>
      <c r="B101" s="56">
        <f>'Mastercurve bestimmen'!C45</f>
        <v>2.2598128773559236E-2</v>
      </c>
      <c r="C101" s="11"/>
      <c r="D101" s="51">
        <f t="shared" si="1"/>
        <v>28</v>
      </c>
      <c r="E101" s="56">
        <f>'Mastercurve bestimmen'!A45</f>
        <v>10000000000000</v>
      </c>
    </row>
    <row r="102" spans="1:5" x14ac:dyDescent="0.25">
      <c r="A102" s="50">
        <f t="shared" si="0"/>
        <v>29</v>
      </c>
      <c r="B102" s="56">
        <f>'Mastercurve bestimmen'!C46</f>
        <v>6.4467605952010509E-3</v>
      </c>
      <c r="C102" s="11"/>
      <c r="D102" s="51">
        <f t="shared" si="1"/>
        <v>29</v>
      </c>
      <c r="E102" s="56">
        <f>'Mastercurve bestimmen'!A46</f>
        <v>100000000000000</v>
      </c>
    </row>
    <row r="103" spans="1:5" x14ac:dyDescent="0.25">
      <c r="A103" s="50">
        <f t="shared" si="0"/>
        <v>30</v>
      </c>
      <c r="B103" s="56">
        <f>'Mastercurve bestimmen'!C47</f>
        <v>9.8307104636690784E-5</v>
      </c>
      <c r="C103" s="11"/>
      <c r="D103" s="51">
        <f t="shared" si="1"/>
        <v>30</v>
      </c>
      <c r="E103" s="56">
        <f>'Mastercurve bestimmen'!A47</f>
        <v>1000000000000000</v>
      </c>
    </row>
    <row r="104" spans="1:5" x14ac:dyDescent="0.25">
      <c r="A104" s="50">
        <f t="shared" si="0"/>
        <v>31</v>
      </c>
      <c r="B104" s="56">
        <f>'Mastercurve bestimmen'!C48</f>
        <v>1.1020901234699522E-2</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17746.768</v>
      </c>
    </row>
    <row r="108" spans="1:5" s="11" customFormat="1" x14ac:dyDescent="0.25">
      <c r="A108" s="61" t="str">
        <f>STUTT!B3</f>
        <v>mp,PRXY,MatID,</v>
      </c>
      <c r="B108" s="52">
        <f>STUTT!C3</f>
        <v>0.29104294000000003</v>
      </c>
    </row>
    <row r="109" spans="1:5" s="11" customFormat="1" x14ac:dyDescent="0.25">
      <c r="A109" s="61" t="str">
        <f>STUTT!B4</f>
        <v>mp,ey,MatID,</v>
      </c>
      <c r="B109" s="52">
        <f>STUTT!C4</f>
        <v>21858.703000000001</v>
      </c>
    </row>
    <row r="110" spans="1:5" s="11" customFormat="1" x14ac:dyDescent="0.25">
      <c r="A110" s="61" t="str">
        <f>STUTT!B5</f>
        <v>mp,PRYZ,MatID,</v>
      </c>
      <c r="B110" s="52">
        <f>STUTT!C5</f>
        <v>0.35853411000000002</v>
      </c>
    </row>
    <row r="111" spans="1:5" s="11" customFormat="1" x14ac:dyDescent="0.25">
      <c r="A111" s="61" t="str">
        <f>STUTT!B6</f>
        <v>mp,ez,MatID,</v>
      </c>
      <c r="B111" s="52">
        <f>STUTT!C6</f>
        <v>17746.768</v>
      </c>
    </row>
    <row r="112" spans="1:5" s="11" customFormat="1" x14ac:dyDescent="0.25">
      <c r="A112" s="61" t="str">
        <f>STUTT!B7</f>
        <v>mp,PRXZ,MatID,</v>
      </c>
      <c r="B112" s="52">
        <f>STUTT!C7</f>
        <v>0.36009481999999998</v>
      </c>
    </row>
    <row r="113" spans="1:4" s="11" customFormat="1" x14ac:dyDescent="0.25">
      <c r="A113" s="61" t="str">
        <f>STUTT!B8</f>
        <v>MP,GXZ,</v>
      </c>
      <c r="B113" s="52" t="str">
        <f>STUTT!C8</f>
        <v>MatID,</v>
      </c>
      <c r="C113" s="112">
        <f>STUTT!D8</f>
        <v>6524.0923000000003</v>
      </c>
      <c r="D113" s="112"/>
    </row>
    <row r="114" spans="1:4" s="11" customFormat="1" x14ac:dyDescent="0.25">
      <c r="A114" s="61" t="str">
        <f>STUTT!B9</f>
        <v>MP,GXY,</v>
      </c>
      <c r="B114" s="52" t="str">
        <f>STUTT!C9</f>
        <v>MatID,</v>
      </c>
      <c r="C114" s="112">
        <f>STUTT!D9</f>
        <v>8117.2861999999996</v>
      </c>
      <c r="D114" s="112"/>
    </row>
    <row r="115" spans="1:4" x14ac:dyDescent="0.25">
      <c r="A115" s="61" t="str">
        <f>STUTT!B10</f>
        <v>MP,GYZ,</v>
      </c>
      <c r="B115" s="52" t="str">
        <f>STUTT!C10</f>
        <v>MatID,</v>
      </c>
      <c r="C115" s="112">
        <f>STUTT!D10</f>
        <v>8117.2861999999996</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-2.206E-7</v>
      </c>
      <c r="C3" s="3">
        <v>2.537E-6</v>
      </c>
      <c r="D3" s="3">
        <v>-2.206E-7</v>
      </c>
      <c r="E3" s="3">
        <v>-1.415E-5</v>
      </c>
      <c r="F3" s="3">
        <v>-1.415E-5</v>
      </c>
      <c r="G3" s="3">
        <v>-1.415E-5</v>
      </c>
      <c r="H3" s="3">
        <v>-4.4272276999999998E-6</v>
      </c>
      <c r="I3" s="3">
        <v>-1.0771048000000001E-6</v>
      </c>
      <c r="J3" s="3">
        <v>-4.4272276999999998E-6</v>
      </c>
      <c r="L3" s="48">
        <f>ABS(H3/(-0.5)/$L$1)</f>
        <v>2.5298444000000002E-5</v>
      </c>
      <c r="R3">
        <f>ABS(I3/(-0.5)/$R$1)</f>
        <v>2.2675890526315791E-5</v>
      </c>
    </row>
    <row r="4" spans="1:18" x14ac:dyDescent="0.25">
      <c r="A4">
        <v>-39</v>
      </c>
      <c r="B4" s="3">
        <v>2.2030000000000001E-7</v>
      </c>
      <c r="C4" s="3">
        <v>-2.5359999999999999E-6</v>
      </c>
      <c r="D4" s="3">
        <v>2.2030000000000001E-7</v>
      </c>
      <c r="E4" s="3">
        <v>1.415E-5</v>
      </c>
      <c r="F4" s="3">
        <v>1.415E-5</v>
      </c>
      <c r="G4" s="3">
        <v>1.415E-5</v>
      </c>
      <c r="H4" s="3">
        <v>4.4271084000000003E-6</v>
      </c>
      <c r="I4" s="3">
        <v>1.0771928999999999E-6</v>
      </c>
      <c r="J4" s="3">
        <v>4.4271084000000003E-6</v>
      </c>
      <c r="L4" s="48">
        <f t="shared" ref="L4:L14" si="0">ABS(H4/(-0.5)/$L$1)</f>
        <v>2.5297762285714289E-5</v>
      </c>
      <c r="N4" s="39" t="s">
        <v>27</v>
      </c>
      <c r="O4" s="39" t="s">
        <v>131</v>
      </c>
      <c r="P4" s="85" t="s">
        <v>132</v>
      </c>
      <c r="R4" s="11">
        <f t="shared" ref="R4:R14" si="1">ABS(I4/(-0.5)/$R$1)</f>
        <v>2.2677745263157891E-5</v>
      </c>
    </row>
    <row r="5" spans="1:18" x14ac:dyDescent="0.25">
      <c r="A5">
        <v>0</v>
      </c>
      <c r="B5" s="3">
        <v>-2.0980000000000001E-7</v>
      </c>
      <c r="C5" s="3">
        <v>2.5040000000000001E-6</v>
      </c>
      <c r="D5" s="3">
        <v>-2.0980000000000001E-7</v>
      </c>
      <c r="E5" s="3">
        <v>-1.415E-5</v>
      </c>
      <c r="F5" s="3">
        <v>-1.415E-5</v>
      </c>
      <c r="G5" s="3">
        <v>-1.415E-5</v>
      </c>
      <c r="H5" s="3">
        <v>-4.4223560999999998E-6</v>
      </c>
      <c r="I5" s="3">
        <v>-1.0807171000000001E-6</v>
      </c>
      <c r="J5" s="3">
        <v>-4.4223560999999998E-6</v>
      </c>
      <c r="L5" s="48">
        <f t="shared" si="0"/>
        <v>2.5270606285714287E-5</v>
      </c>
      <c r="M5" s="48"/>
      <c r="N5" s="10">
        <f>(INDEX(A:A,ROW(A2)*2+1)+INDEX(A:A,ROW(A2)*2+2))/2</f>
        <v>0.5</v>
      </c>
      <c r="O5" s="89">
        <f>(INDEX(L:L,ROW(L2)*2+1)+INDEX(L:L,ROW(L2)*2+2))/2</f>
        <v>2.5270250571428573E-5</v>
      </c>
      <c r="P5" s="89">
        <f>(INDEX(R:R,ROW(M2)*2+1)+INDEX(R:R,ROW(R2)*2+2))/2</f>
        <v>2.2752914736842108E-5</v>
      </c>
      <c r="R5" s="11">
        <f t="shared" si="1"/>
        <v>2.2751938947368423E-5</v>
      </c>
    </row>
    <row r="6" spans="1:18" x14ac:dyDescent="0.25">
      <c r="A6">
        <v>1</v>
      </c>
      <c r="B6" s="3">
        <v>2.0949999999999999E-7</v>
      </c>
      <c r="C6" s="3">
        <v>-2.503E-6</v>
      </c>
      <c r="D6" s="3">
        <v>2.0949999999999999E-7</v>
      </c>
      <c r="E6" s="3">
        <v>1.415E-5</v>
      </c>
      <c r="F6" s="3">
        <v>1.415E-5</v>
      </c>
      <c r="G6" s="3">
        <v>1.415E-5</v>
      </c>
      <c r="H6" s="3">
        <v>4.4222316000000001E-6</v>
      </c>
      <c r="I6" s="3">
        <v>1.0808098000000001E-6</v>
      </c>
      <c r="J6" s="3">
        <v>4.4222316000000001E-6</v>
      </c>
      <c r="L6" s="48">
        <f t="shared" si="0"/>
        <v>2.5269894857142858E-5</v>
      </c>
      <c r="M6" s="49"/>
      <c r="N6" s="10">
        <f>(INDEX(A:A,ROW(A3)*2+1)+INDEX(A:A,ROW(A3)*2+2))/2</f>
        <v>85.5</v>
      </c>
      <c r="O6" s="89">
        <f t="shared" ref="O6:O7" si="2">(INDEX(L:L,ROW(L3)*2+1)+INDEX(L:L,ROW(L3)*2+2))/2</f>
        <v>2.7904964857142861E-5</v>
      </c>
      <c r="P6" s="89">
        <f t="shared" ref="P6:P9" si="3">(INDEX(R:R,ROW(M3)*2+1)+INDEX(R:R,ROW(R3)*2+2))/2</f>
        <v>2.4298146315789474E-5</v>
      </c>
      <c r="R6" s="11">
        <f t="shared" si="1"/>
        <v>2.2753890526315792E-5</v>
      </c>
    </row>
    <row r="7" spans="1:18" x14ac:dyDescent="0.25">
      <c r="A7">
        <v>85</v>
      </c>
      <c r="B7" s="3">
        <v>-2.7080000000000002E-7</v>
      </c>
      <c r="C7" s="3">
        <v>3.083E-6</v>
      </c>
      <c r="D7" s="3">
        <v>-2.7080000000000002E-7</v>
      </c>
      <c r="E7" s="3">
        <v>-1.525E-5</v>
      </c>
      <c r="F7" s="3">
        <v>-1.525E-5</v>
      </c>
      <c r="G7" s="3">
        <v>-1.525E-5</v>
      </c>
      <c r="H7" s="3">
        <v>-4.6867119999999999E-6</v>
      </c>
      <c r="I7" s="3">
        <v>-1.1269766E-6</v>
      </c>
      <c r="J7" s="3">
        <v>-4.6867119999999999E-6</v>
      </c>
      <c r="L7" s="48">
        <f t="shared" si="0"/>
        <v>2.6781211428571431E-5</v>
      </c>
      <c r="M7" s="48"/>
      <c r="N7" s="10">
        <f>(INDEX(A:A,ROW(A4)*2+1)+INDEX(A:A,ROW(A4)*2+2))/2</f>
        <v>90.5</v>
      </c>
      <c r="O7" s="89">
        <f t="shared" si="2"/>
        <v>5.0383506285714289E-5</v>
      </c>
      <c r="P7" s="89">
        <f t="shared" si="3"/>
        <v>3.5754844210526318E-5</v>
      </c>
      <c r="R7" s="11">
        <f t="shared" si="1"/>
        <v>2.3725823157894736E-5</v>
      </c>
    </row>
    <row r="8" spans="1:18" x14ac:dyDescent="0.25">
      <c r="A8">
        <v>86</v>
      </c>
      <c r="B8" s="3">
        <v>3.9289999999999998E-7</v>
      </c>
      <c r="C8" s="3">
        <v>-4.0199999999999996E-6</v>
      </c>
      <c r="D8" s="3">
        <v>3.9289999999999998E-7</v>
      </c>
      <c r="E8" s="3">
        <v>1.681E-5</v>
      </c>
      <c r="F8" s="3">
        <v>1.681E-5</v>
      </c>
      <c r="G8" s="3">
        <v>1.681E-5</v>
      </c>
      <c r="H8" s="3">
        <v>5.0800257000000001E-6</v>
      </c>
      <c r="I8" s="3">
        <v>1.1813473000000001E-6</v>
      </c>
      <c r="J8" s="3">
        <v>5.0800257000000001E-6</v>
      </c>
      <c r="L8" s="48">
        <f t="shared" si="0"/>
        <v>2.9028718285714287E-5</v>
      </c>
      <c r="M8" s="49"/>
      <c r="N8" s="10">
        <f>(INDEX(A:A,ROW(A5)*2+1)+INDEX(A:A,ROW(A5)*2+2))/2</f>
        <v>95.5</v>
      </c>
      <c r="O8" s="89">
        <f t="shared" ref="O8:O9" si="4">(INDEX(L:L,ROW(L5)*2+1)+INDEX(L:L,ROW(L5)*2+2))/2</f>
        <v>7.0197717142857148E-5</v>
      </c>
      <c r="P8" s="89">
        <f t="shared" si="3"/>
        <v>4.5848989473684213E-5</v>
      </c>
      <c r="R8" s="11">
        <f t="shared" si="1"/>
        <v>2.4870469473684213E-5</v>
      </c>
    </row>
    <row r="9" spans="1:18" x14ac:dyDescent="0.25">
      <c r="A9">
        <v>90</v>
      </c>
      <c r="B9" s="3">
        <v>-1.4899999999999999E-6</v>
      </c>
      <c r="C9" s="3">
        <v>1.2449999999999999E-5</v>
      </c>
      <c r="D9" s="3">
        <v>-1.4899999999999999E-6</v>
      </c>
      <c r="E9" s="3">
        <v>-3.0899999999999999E-5</v>
      </c>
      <c r="F9" s="3">
        <v>-3.0899999999999999E-5</v>
      </c>
      <c r="G9" s="3">
        <v>-3.0899999999999999E-5</v>
      </c>
      <c r="H9" s="3">
        <v>-8.6203071000000002E-6</v>
      </c>
      <c r="I9" s="3">
        <v>-1.6710444000000001E-6</v>
      </c>
      <c r="J9" s="3">
        <v>-8.6203071000000002E-6</v>
      </c>
      <c r="L9" s="48">
        <f t="shared" si="0"/>
        <v>4.9258897714285715E-5</v>
      </c>
      <c r="M9" s="48"/>
      <c r="N9" s="10">
        <f>(INDEX(A:A,ROW(A6)*2+1)+INDEX(A:A,ROW(A6)*2+2))/2</f>
        <v>180.5</v>
      </c>
      <c r="O9" s="89">
        <f t="shared" si="4"/>
        <v>6.9821937142857152E-5</v>
      </c>
      <c r="P9" s="89">
        <f t="shared" si="3"/>
        <v>4.720299789473684E-5</v>
      </c>
      <c r="R9" s="11">
        <f t="shared" si="1"/>
        <v>3.5179882105263159E-5</v>
      </c>
    </row>
    <row r="10" spans="1:18" x14ac:dyDescent="0.25">
      <c r="A10">
        <v>91</v>
      </c>
      <c r="B10" s="3">
        <v>1.612E-6</v>
      </c>
      <c r="C10" s="3">
        <v>-1.3380000000000001E-5</v>
      </c>
      <c r="D10" s="3">
        <v>1.612E-6</v>
      </c>
      <c r="E10" s="3">
        <v>3.2459999999999998E-5</v>
      </c>
      <c r="F10" s="3">
        <v>3.2459999999999998E-5</v>
      </c>
      <c r="G10" s="3">
        <v>3.2459999999999998E-5</v>
      </c>
      <c r="H10" s="3">
        <v>9.0139200999999999E-6</v>
      </c>
      <c r="I10" s="3">
        <v>1.7256658000000001E-6</v>
      </c>
      <c r="J10" s="3">
        <v>9.0139200999999999E-6</v>
      </c>
      <c r="L10" s="48">
        <f t="shared" si="0"/>
        <v>5.1508114857142862E-5</v>
      </c>
      <c r="M10" s="49"/>
      <c r="N10" s="10"/>
      <c r="O10" s="3"/>
      <c r="R10" s="11">
        <f t="shared" si="1"/>
        <v>3.6329806315789477E-5</v>
      </c>
    </row>
    <row r="11" spans="1:18" x14ac:dyDescent="0.25">
      <c r="A11">
        <v>95</v>
      </c>
      <c r="B11" s="3">
        <v>-2.6340000000000001E-6</v>
      </c>
      <c r="C11" s="3">
        <v>2.1149999999999999E-5</v>
      </c>
      <c r="D11" s="3">
        <v>-2.6340000000000001E-6</v>
      </c>
      <c r="E11" s="3">
        <v>-4.545E-5</v>
      </c>
      <c r="F11" s="3">
        <v>-4.545E-5</v>
      </c>
      <c r="G11" s="3">
        <v>-4.545E-5</v>
      </c>
      <c r="H11" s="3">
        <v>-1.2284985000000001E-5</v>
      </c>
      <c r="I11" s="3">
        <v>-2.1774679999999999E-6</v>
      </c>
      <c r="J11" s="3">
        <v>-1.2284985000000001E-5</v>
      </c>
      <c r="L11" s="48">
        <f t="shared" si="0"/>
        <v>7.01999142857143E-5</v>
      </c>
      <c r="M11" s="48"/>
      <c r="N11" s="10"/>
      <c r="O11" s="3"/>
      <c r="R11" s="11">
        <f t="shared" si="1"/>
        <v>4.5841431578947368E-5</v>
      </c>
    </row>
    <row r="12" spans="1:18" x14ac:dyDescent="0.25">
      <c r="A12">
        <v>96</v>
      </c>
      <c r="B12" s="3">
        <v>2.632E-6</v>
      </c>
      <c r="C12" s="3">
        <v>-2.1149999999999999E-5</v>
      </c>
      <c r="D12" s="3">
        <v>2.632E-6</v>
      </c>
      <c r="E12" s="3">
        <v>4.545E-5</v>
      </c>
      <c r="F12" s="3">
        <v>4.545E-5</v>
      </c>
      <c r="G12" s="3">
        <v>4.545E-5</v>
      </c>
      <c r="H12" s="3">
        <v>1.2284216E-5</v>
      </c>
      <c r="I12" s="3">
        <v>2.1781860000000002E-6</v>
      </c>
      <c r="J12" s="3">
        <v>1.2284216E-5</v>
      </c>
      <c r="L12" s="48">
        <f t="shared" si="0"/>
        <v>7.0195520000000011E-5</v>
      </c>
      <c r="M12" s="49"/>
      <c r="N12" s="10"/>
      <c r="O12" s="3"/>
      <c r="R12" s="11">
        <f t="shared" si="1"/>
        <v>4.5856547368421059E-5</v>
      </c>
    </row>
    <row r="13" spans="1:18" x14ac:dyDescent="0.25">
      <c r="A13">
        <v>180</v>
      </c>
      <c r="B13" s="3">
        <v>-2.4600000000000002E-6</v>
      </c>
      <c r="C13" s="3">
        <v>2.056E-5</v>
      </c>
      <c r="D13" s="3">
        <v>-2.4600000000000002E-6</v>
      </c>
      <c r="E13" s="3">
        <v>-4.545E-5</v>
      </c>
      <c r="F13" s="3">
        <v>-4.545E-5</v>
      </c>
      <c r="G13" s="3">
        <v>-4.545E-5</v>
      </c>
      <c r="H13" s="3">
        <v>-1.2219225999999999E-5</v>
      </c>
      <c r="I13" s="3">
        <v>-2.2417489999999999E-6</v>
      </c>
      <c r="J13" s="3">
        <v>-1.2219225999999999E-5</v>
      </c>
      <c r="L13" s="48">
        <f t="shared" si="0"/>
        <v>6.9824148571428571E-5</v>
      </c>
      <c r="M13" s="48"/>
      <c r="N13" s="10"/>
      <c r="O13" s="3"/>
      <c r="R13" s="11">
        <f t="shared" si="1"/>
        <v>4.7194715789473682E-5</v>
      </c>
    </row>
    <row r="14" spans="1:18" x14ac:dyDescent="0.25">
      <c r="A14" s="11">
        <v>181</v>
      </c>
      <c r="B14" s="3">
        <v>2.458E-6</v>
      </c>
      <c r="C14" s="3">
        <v>-2.0550000000000001E-5</v>
      </c>
      <c r="D14" s="3">
        <v>2.458E-6</v>
      </c>
      <c r="E14" s="3">
        <v>4.545E-5</v>
      </c>
      <c r="F14" s="3">
        <v>4.545E-5</v>
      </c>
      <c r="G14" s="3">
        <v>4.545E-5</v>
      </c>
      <c r="H14" s="3">
        <v>1.2218452E-5</v>
      </c>
      <c r="I14" s="3">
        <v>2.2425358E-6</v>
      </c>
      <c r="J14" s="3">
        <v>1.2218452E-5</v>
      </c>
      <c r="L14" s="48">
        <f t="shared" si="0"/>
        <v>6.981972571428572E-5</v>
      </c>
      <c r="M14" s="49"/>
      <c r="N14" s="10"/>
      <c r="O14" s="3"/>
      <c r="R14" s="11">
        <f t="shared" si="1"/>
        <v>4.7211279999999998E-5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17746.768</v>
      </c>
    </row>
    <row r="3" spans="2:4" x14ac:dyDescent="0.25">
      <c r="B3" t="s">
        <v>119</v>
      </c>
      <c r="C3" s="3">
        <v>0.29104294000000003</v>
      </c>
    </row>
    <row r="4" spans="2:4" x14ac:dyDescent="0.25">
      <c r="B4" t="s">
        <v>120</v>
      </c>
      <c r="C4" s="3">
        <v>21858.703000000001</v>
      </c>
    </row>
    <row r="5" spans="2:4" x14ac:dyDescent="0.25">
      <c r="B5" t="s">
        <v>121</v>
      </c>
      <c r="C5" s="3">
        <v>0.35853411000000002</v>
      </c>
    </row>
    <row r="6" spans="2:4" x14ac:dyDescent="0.25">
      <c r="B6" t="s">
        <v>122</v>
      </c>
      <c r="C6" s="3">
        <v>17746.768</v>
      </c>
    </row>
    <row r="7" spans="2:4" x14ac:dyDescent="0.25">
      <c r="B7" t="s">
        <v>123</v>
      </c>
      <c r="C7" s="3">
        <v>0.36009481999999998</v>
      </c>
    </row>
    <row r="8" spans="2:4" x14ac:dyDescent="0.25">
      <c r="B8" t="s">
        <v>124</v>
      </c>
      <c r="C8" t="s">
        <v>125</v>
      </c>
      <c r="D8" s="3">
        <v>6524.0923000000003</v>
      </c>
    </row>
    <row r="9" spans="2:4" x14ac:dyDescent="0.25">
      <c r="B9" t="s">
        <v>126</v>
      </c>
      <c r="C9" t="s">
        <v>125</v>
      </c>
      <c r="D9" s="3">
        <v>8117.2861999999996</v>
      </c>
    </row>
    <row r="10" spans="2:4" x14ac:dyDescent="0.25">
      <c r="B10" t="s">
        <v>127</v>
      </c>
      <c r="C10" t="s">
        <v>125</v>
      </c>
      <c r="D10" s="3">
        <v>8117.2861999999996</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-5.5892037142857146E-4</v>
      </c>
      <c r="C3" s="2">
        <f>IF('Modell einstellen'!$B$2="Ja",creep_res0!O3,creep_res0!C3)</f>
        <v>-5.6168965714285715E-4</v>
      </c>
      <c r="D3" s="2">
        <f>IF('Modell einstellen'!$B$2="Ja",creep_res25!O3,creep_res25!C3)</f>
        <v>-5.6348934285714288E-4</v>
      </c>
      <c r="E3" s="2">
        <f>IF('Modell einstellen'!$B$2="Ja",creep_res50!O3,creep_res50!C3)</f>
        <v>-5.6534522857142858E-4</v>
      </c>
      <c r="F3" s="2">
        <f>IF('Modell einstellen'!$B$2="Ja",creep_res80!O3,creep_res80!C3)</f>
        <v>-5.6765062857142858E-4</v>
      </c>
      <c r="G3" s="2">
        <f>IF('Modell einstellen'!$B$2="Ja",creep_res125!O3,creep_res125!C3)</f>
        <v>-6.1840197142857146E-4</v>
      </c>
      <c r="H3" s="2">
        <f>IF('Modell einstellen'!$B$2="Ja",creep_res160!O3,creep_res160!C3)</f>
        <v>-6.5662397142857143E-4</v>
      </c>
      <c r="M3" s="9">
        <v>-10</v>
      </c>
      <c r="N3" s="2">
        <f t="shared" ref="N3:N33" si="4">A3</f>
        <v>1.0000000000000001E-15</v>
      </c>
      <c r="O3" s="2">
        <f t="shared" ref="O3:O33" si="5">$M$3/B3</f>
        <v>17891.636288798203</v>
      </c>
      <c r="P3" s="2">
        <f t="shared" ref="P3:P33" si="6">$M$3/C3</f>
        <v>17803.425562199114</v>
      </c>
      <c r="Q3" s="2">
        <f t="shared" ref="Q3:Q33" si="7">$M$3/D3</f>
        <v>17746.564556652535</v>
      </c>
      <c r="R3" s="2">
        <f t="shared" ref="R3:R33" si="8">$M$3/E3</f>
        <v>17688.307063754673</v>
      </c>
      <c r="S3" s="2">
        <f t="shared" ref="S3:S33" si="9">$M$3/F3</f>
        <v>17616.469526628349</v>
      </c>
      <c r="T3" s="2">
        <f t="shared" ref="T3:T33" si="10">$M$3/G3</f>
        <v>16170.711708597861</v>
      </c>
      <c r="U3" s="2">
        <f t="shared" ref="U3:U33" si="11">$M$3/H3</f>
        <v>15229.41658411235</v>
      </c>
      <c r="Z3" s="2">
        <v>1.0000000000000001E-15</v>
      </c>
      <c r="AA3" s="3">
        <f>IF('Modell einstellen'!$B$2="Ja",'creep_res-40'!P3,'creep_res-40'!L3)</f>
        <v>0.36075821278502584</v>
      </c>
      <c r="AB3" s="2">
        <f>IF('Modell einstellen'!$B$2="Ja",creep_res0!P3,creep_res0!L3)</f>
        <v>0.36034330192910802</v>
      </c>
      <c r="AC3" s="2">
        <f>IF('Modell einstellen'!$B$2="Ja",creep_res25!P3,creep_res25!L3)</f>
        <v>0.36007959993361766</v>
      </c>
      <c r="AD3" s="2">
        <f>IF('Modell einstellen'!$B$2="Ja",creep_res50!P3,creep_res50!L3)</f>
        <v>0.35981245441786447</v>
      </c>
      <c r="AE3" s="2">
        <f>IF('Modell einstellen'!$B$2="Ja",creep_res80!P3,creep_res80!L3)</f>
        <v>0.35948725403130255</v>
      </c>
      <c r="AF3" s="2">
        <f>IF('Modell einstellen'!$B$2="Ja",creep_res125!P3,creep_res125!L3)</f>
        <v>0.37888694126783645</v>
      </c>
      <c r="AG3" s="2">
        <f>IF('Modell einstellen'!$B$2="Ja",creep_res160!P3,creep_res160!L3)</f>
        <v>0.39233060069735937</v>
      </c>
      <c r="AL3" s="2">
        <f t="shared" ref="AL3:AL33" si="12">Z3</f>
        <v>1.0000000000000001E-15</v>
      </c>
      <c r="AM3" s="2">
        <f t="shared" ref="AM3:AM33" si="13">O3/(2*(1+AA3))</f>
        <v>6574.1423129756067</v>
      </c>
      <c r="AN3" s="2">
        <f t="shared" ref="AN3:AN33" si="14">P3/(2*(1+AB3))</f>
        <v>6543.7252261807771</v>
      </c>
      <c r="AO3" s="2">
        <f t="shared" ref="AO3:AO33" si="15">Q3/(2*(1+AC3))</f>
        <v>6524.0904126194901</v>
      </c>
      <c r="AP3" s="2">
        <f t="shared" ref="AP3:AP33" si="16">R3/(2*(1+AD3))</f>
        <v>6503.9509699618966</v>
      </c>
      <c r="AQ3" s="2">
        <f t="shared" ref="AQ3:AQ33" si="17">S3/(2*(1+AE3))</f>
        <v>6479.0859474371819</v>
      </c>
      <c r="AR3" s="2">
        <f t="shared" ref="AR3:AR33" si="18">T3/(2*(1+AF3))</f>
        <v>5863.6829549380891</v>
      </c>
      <c r="AS3" s="2">
        <f t="shared" ref="AS3:AS33" si="19">U3/(2*(1+AG3))</f>
        <v>5469.0375175567433</v>
      </c>
      <c r="AX3" s="2">
        <f>AL3</f>
        <v>1.0000000000000001E-15</v>
      </c>
      <c r="AY3" s="37">
        <f t="shared" ref="AY3:AY33" si="20">O3/(3*(1-(2*AA3)))</f>
        <v>21415.549463341617</v>
      </c>
      <c r="AZ3" s="37">
        <f t="shared" ref="AZ3:AZ33" si="21">P3/(3*(1-(2*AB3)))</f>
        <v>21246.654365218023</v>
      </c>
      <c r="BA3" s="37">
        <f t="shared" ref="BA3:BA33" si="22">Q3/(3*(1-(2*AC3)))</f>
        <v>21138.881521485364</v>
      </c>
      <c r="BB3" s="37">
        <f t="shared" ref="BB3:BB33" si="23">R3/(3*(1-(2*AD3)))</f>
        <v>21029.337271371158</v>
      </c>
      <c r="BC3" s="37">
        <f t="shared" ref="BC3:BC33" si="24">S3/(3*(1-(2*AE3)))</f>
        <v>20895.458516568593</v>
      </c>
      <c r="BD3" s="37">
        <f t="shared" ref="BD3:BD33" si="25">T3/(3*(1-(2*AF3)))</f>
        <v>22252.915138241082</v>
      </c>
      <c r="BE3" s="37">
        <f t="shared" ref="BE3:BE33" si="26">U3/(3*(1-(2*AG3)))</f>
        <v>23574.349943362293</v>
      </c>
    </row>
    <row r="4" spans="1:308" x14ac:dyDescent="0.25">
      <c r="A4" s="2">
        <f>'creep_res-40'!A4</f>
        <v>1E-14</v>
      </c>
      <c r="B4" s="3">
        <f>'creep_res-40'!O4</f>
        <v>-5.5890980000000007E-4</v>
      </c>
      <c r="C4" s="2">
        <f>IF('Modell einstellen'!$B$2="Ja",creep_res0!O4,creep_res0!C4)</f>
        <v>-5.6167891428571433E-4</v>
      </c>
      <c r="D4" s="2">
        <f>IF('Modell einstellen'!$B$2="Ja",creep_res25!O4,creep_res25!C4)</f>
        <v>-5.6347848571428581E-4</v>
      </c>
      <c r="E4" s="2">
        <f>IF('Modell einstellen'!$B$2="Ja",creep_res50!O4,creep_res50!C4)</f>
        <v>-5.6533422857142862E-4</v>
      </c>
      <c r="F4" s="2">
        <f>IF('Modell einstellen'!$B$2="Ja",creep_res80!O4,creep_res80!C4)</f>
        <v>-5.6763991428571429E-4</v>
      </c>
      <c r="G4" s="2">
        <f>IF('Modell einstellen'!$B$2="Ja",creep_res125!O4,creep_res125!C4)</f>
        <v>-6.4192477142857151E-4</v>
      </c>
      <c r="H4" s="2">
        <f>IF('Modell einstellen'!$B$2="Ja",creep_res160!O4,creep_res160!C4)</f>
        <v>-6.9128320000000007E-4</v>
      </c>
      <c r="M4" s="9">
        <f t="shared" ref="M4:M31" si="27">M3</f>
        <v>-10</v>
      </c>
      <c r="N4" s="2">
        <f t="shared" si="4"/>
        <v>1E-14</v>
      </c>
      <c r="O4" s="2">
        <f t="shared" si="5"/>
        <v>17891.97469788506</v>
      </c>
      <c r="P4" s="2">
        <f t="shared" si="6"/>
        <v>17803.766076419255</v>
      </c>
      <c r="Q4" s="2">
        <f t="shared" si="7"/>
        <v>17746.906498699122</v>
      </c>
      <c r="R4" s="2">
        <f t="shared" si="8"/>
        <v>17688.651234278703</v>
      </c>
      <c r="S4" s="2">
        <f t="shared" si="9"/>
        <v>17616.802040045808</v>
      </c>
      <c r="T4" s="2">
        <f t="shared" si="10"/>
        <v>15578.149411099215</v>
      </c>
      <c r="U4" s="2">
        <f t="shared" si="11"/>
        <v>14465.85133270995</v>
      </c>
      <c r="Z4" s="2">
        <v>1E-14</v>
      </c>
      <c r="AA4" s="3">
        <f>IF('Modell einstellen'!$B$2="Ja",'creep_res-40'!P4,'creep_res-40'!L4)</f>
        <v>0.36077235156217125</v>
      </c>
      <c r="AB4" s="2">
        <f>IF('Modell einstellen'!$B$2="Ja",creep_res0!P4,creep_res0!L4)</f>
        <v>0.36035794624300349</v>
      </c>
      <c r="AC4" s="2">
        <f>IF('Modell einstellen'!$B$2="Ja",creep_res25!P4,creep_res25!L4)</f>
        <v>0.36009455957426084</v>
      </c>
      <c r="AD4" s="2">
        <f>IF('Modell einstellen'!$B$2="Ja",creep_res50!P4,creep_res50!L4)</f>
        <v>0.35982775903286135</v>
      </c>
      <c r="AE4" s="2">
        <f>IF('Modell einstellen'!$B$2="Ja",creep_res80!P4,creep_res80!L4)</f>
        <v>0.35950314980870418</v>
      </c>
      <c r="AF4" s="2">
        <f>IF('Modell einstellen'!$B$2="Ja",creep_res125!P4,creep_res125!L4)</f>
        <v>0.38862667797254569</v>
      </c>
      <c r="AG4" s="2">
        <f>IF('Modell einstellen'!$B$2="Ja",creep_res160!P4,creep_res160!L4)</f>
        <v>0.40597346665282347</v>
      </c>
      <c r="AL4" s="2">
        <f t="shared" si="12"/>
        <v>1E-14</v>
      </c>
      <c r="AM4" s="2">
        <f t="shared" si="13"/>
        <v>6574.1983504239388</v>
      </c>
      <c r="AN4" s="2">
        <f t="shared" si="14"/>
        <v>6543.7799387981568</v>
      </c>
      <c r="AO4" s="2">
        <f t="shared" si="15"/>
        <v>6524.1443595856636</v>
      </c>
      <c r="AP4" s="2">
        <f t="shared" si="16"/>
        <v>6504.0043184804708</v>
      </c>
      <c r="AQ4" s="2">
        <f t="shared" si="17"/>
        <v>6479.1324839978006</v>
      </c>
      <c r="AR4" s="2">
        <f t="shared" si="18"/>
        <v>5609.1927579282792</v>
      </c>
      <c r="AS4" s="2">
        <f t="shared" si="19"/>
        <v>5144.4254375399241</v>
      </c>
      <c r="AX4" s="2">
        <f t="shared" ref="AX4:AX32" si="28">AL4</f>
        <v>1E-14</v>
      </c>
      <c r="AY4" s="37">
        <f t="shared" si="20"/>
        <v>21418.129347436585</v>
      </c>
      <c r="AZ4" s="37">
        <f t="shared" si="21"/>
        <v>21249.288922902317</v>
      </c>
      <c r="BA4" s="37">
        <f t="shared" si="22"/>
        <v>21141.54918337987</v>
      </c>
      <c r="BB4" s="37">
        <f t="shared" si="23"/>
        <v>21032.04256923874</v>
      </c>
      <c r="BC4" s="37">
        <f t="shared" si="24"/>
        <v>20898.217072790078</v>
      </c>
      <c r="BD4" s="37">
        <f t="shared" si="25"/>
        <v>23312.20967390361</v>
      </c>
      <c r="BE4" s="37">
        <f t="shared" si="26"/>
        <v>25641.434776886017</v>
      </c>
      <c r="BF4" s="5"/>
      <c r="BG4" s="5"/>
    </row>
    <row r="5" spans="1:308" x14ac:dyDescent="0.25">
      <c r="A5" s="2">
        <f>'creep_res-40'!A5</f>
        <v>1E-13</v>
      </c>
      <c r="B5" s="3">
        <f>'creep_res-40'!O5</f>
        <v>-5.5891268571428576E-4</v>
      </c>
      <c r="C5" s="2">
        <f>IF('Modell einstellen'!$B$2="Ja",creep_res0!O5,creep_res0!C5)</f>
        <v>-5.6168177142857149E-4</v>
      </c>
      <c r="D5" s="2">
        <f>IF('Modell einstellen'!$B$2="Ja",creep_res25!O5,creep_res25!C5)</f>
        <v>-5.6348131428571432E-4</v>
      </c>
      <c r="E5" s="2">
        <f>IF('Modell einstellen'!$B$2="Ja",creep_res50!O5,creep_res50!C5)</f>
        <v>-5.6533705714285724E-4</v>
      </c>
      <c r="F5" s="2">
        <f>IF('Modell einstellen'!$B$2="Ja",creep_res80!O5,creep_res80!C5)</f>
        <v>-5.6764697142857147E-4</v>
      </c>
      <c r="G5" s="2">
        <f>IF('Modell einstellen'!$B$2="Ja",creep_res125!O5,creep_res125!C5)</f>
        <v>-6.6578565714285718E-4</v>
      </c>
      <c r="H5" s="2">
        <f>IF('Modell einstellen'!$B$2="Ja",creep_res160!O5,creep_res160!C5)</f>
        <v>-7.2510685714285712E-4</v>
      </c>
      <c r="M5" s="9">
        <f t="shared" si="27"/>
        <v>-10</v>
      </c>
      <c r="N5" s="2">
        <f t="shared" si="4"/>
        <v>1E-13</v>
      </c>
      <c r="O5" s="2">
        <f t="shared" si="5"/>
        <v>17891.882320080251</v>
      </c>
      <c r="P5" s="2">
        <f t="shared" si="6"/>
        <v>17803.675512855218</v>
      </c>
      <c r="Q5" s="2">
        <f t="shared" si="7"/>
        <v>17746.817412528217</v>
      </c>
      <c r="R5" s="2">
        <f t="shared" si="8"/>
        <v>17688.562732007609</v>
      </c>
      <c r="S5" s="2">
        <f t="shared" si="9"/>
        <v>17616.583023130472</v>
      </c>
      <c r="T5" s="2">
        <f t="shared" si="10"/>
        <v>15019.848944950021</v>
      </c>
      <c r="U5" s="2">
        <f t="shared" si="11"/>
        <v>13791.070793900722</v>
      </c>
      <c r="Z5" s="2">
        <v>1E-13</v>
      </c>
      <c r="AA5" s="3">
        <f>IF('Modell einstellen'!$B$2="Ja",'creep_res-40'!P5,'creep_res-40'!L5)</f>
        <v>0.3607724109628368</v>
      </c>
      <c r="AB5" s="2">
        <f>IF('Modell einstellen'!$B$2="Ja",creep_res0!P5,creep_res0!L5)</f>
        <v>0.36035802072368178</v>
      </c>
      <c r="AC5" s="2">
        <f>IF('Modell einstellen'!$B$2="Ja",creep_res25!P5,creep_res25!L5)</f>
        <v>0.36009465848176681</v>
      </c>
      <c r="AD5" s="2">
        <f>IF('Modell einstellen'!$B$2="Ja",creep_res50!P5,creep_res50!L5)</f>
        <v>0.35982785389671706</v>
      </c>
      <c r="AE5" s="2">
        <f>IF('Modell einstellen'!$B$2="Ja",creep_res80!P5,creep_res80!L5)</f>
        <v>0.35950523876912627</v>
      </c>
      <c r="AF5" s="2">
        <f>IF('Modell einstellen'!$B$2="Ja",creep_res125!P5,creep_res125!L5)</f>
        <v>0.39830491134469787</v>
      </c>
      <c r="AG5" s="2">
        <f>IF('Modell einstellen'!$B$2="Ja",creep_res160!P5,creep_res160!L5)</f>
        <v>0.41898636417726026</v>
      </c>
      <c r="AL5" s="2">
        <f t="shared" si="12"/>
        <v>1E-13</v>
      </c>
      <c r="AM5" s="2">
        <f t="shared" si="13"/>
        <v>6574.1641202956771</v>
      </c>
      <c r="AN5" s="2">
        <f t="shared" si="14"/>
        <v>6543.7462938558028</v>
      </c>
      <c r="AO5" s="2">
        <f t="shared" si="15"/>
        <v>6524.1111351538066</v>
      </c>
      <c r="AP5" s="2">
        <f t="shared" si="16"/>
        <v>6503.9713230315656</v>
      </c>
      <c r="AQ5" s="2">
        <f t="shared" si="17"/>
        <v>6479.041978197979</v>
      </c>
      <c r="AR5" s="2">
        <f t="shared" si="18"/>
        <v>5370.7345311781783</v>
      </c>
      <c r="AS5" s="2">
        <f t="shared" si="19"/>
        <v>4859.4796757955091</v>
      </c>
      <c r="AX5" s="2">
        <f t="shared" si="28"/>
        <v>1E-13</v>
      </c>
      <c r="AY5" s="37">
        <f t="shared" si="20"/>
        <v>21418.027901668822</v>
      </c>
      <c r="AZ5" s="37">
        <f t="shared" si="21"/>
        <v>21249.192166425808</v>
      </c>
      <c r="BA5" s="37">
        <f t="shared" si="22"/>
        <v>21141.458002892334</v>
      </c>
      <c r="BB5" s="37">
        <f t="shared" si="23"/>
        <v>21031.951572573435</v>
      </c>
      <c r="BC5" s="37">
        <f t="shared" si="24"/>
        <v>20898.267983792535</v>
      </c>
      <c r="BD5" s="37">
        <f t="shared" si="25"/>
        <v>24615.821575972968</v>
      </c>
      <c r="BE5" s="37">
        <f t="shared" si="26"/>
        <v>28371.912649528116</v>
      </c>
    </row>
    <row r="6" spans="1:308" x14ac:dyDescent="0.25">
      <c r="A6" s="2">
        <f>'creep_res-40'!A6</f>
        <v>9.9999999999999998E-13</v>
      </c>
      <c r="B6" s="3">
        <f>'creep_res-40'!O6</f>
        <v>-5.5891354285714288E-4</v>
      </c>
      <c r="C6" s="2">
        <f>IF('Modell einstellen'!$B$2="Ja",creep_res0!O6,creep_res0!C6)</f>
        <v>-5.6168260000000008E-4</v>
      </c>
      <c r="D6" s="2">
        <f>IF('Modell einstellen'!$B$2="Ja",creep_res25!O6,creep_res25!C6)</f>
        <v>-5.6348214285714291E-4</v>
      </c>
      <c r="E6" s="2">
        <f>IF('Modell einstellen'!$B$2="Ja",creep_res50!O6,creep_res50!C6)</f>
        <v>-5.6533788571428573E-4</v>
      </c>
      <c r="F6" s="2">
        <f>IF('Modell einstellen'!$B$2="Ja",creep_res80!O6,creep_res80!C6)</f>
        <v>-5.6769022857142864E-4</v>
      </c>
      <c r="G6" s="2">
        <f>IF('Modell einstellen'!$B$2="Ja",creep_res125!O6,creep_res125!C6)</f>
        <v>-6.9553491428571434E-4</v>
      </c>
      <c r="H6" s="2">
        <f>IF('Modell einstellen'!$B$2="Ja",creep_res160!O6,creep_res160!C6)</f>
        <v>-7.6208288571428585E-4</v>
      </c>
      <c r="M6" s="9">
        <f t="shared" si="27"/>
        <v>-10</v>
      </c>
      <c r="N6" s="2">
        <f t="shared" si="4"/>
        <v>9.9999999999999998E-13</v>
      </c>
      <c r="O6" s="2">
        <f t="shared" si="5"/>
        <v>17891.85488131208</v>
      </c>
      <c r="P6" s="2">
        <f t="shared" si="6"/>
        <v>17803.649249593986</v>
      </c>
      <c r="Q6" s="2">
        <f t="shared" si="7"/>
        <v>17746.791316748531</v>
      </c>
      <c r="R6" s="2">
        <f t="shared" si="8"/>
        <v>17688.536807267625</v>
      </c>
      <c r="S6" s="2">
        <f t="shared" si="9"/>
        <v>17615.24066596078</v>
      </c>
      <c r="T6" s="2">
        <f t="shared" si="10"/>
        <v>14377.423468769482</v>
      </c>
      <c r="U6" s="2">
        <f t="shared" si="11"/>
        <v>13121.932256262637</v>
      </c>
      <c r="Z6" s="2">
        <v>9.9999999999999998E-13</v>
      </c>
      <c r="AA6" s="3">
        <f>IF('Modell einstellen'!$B$2="Ja",'creep_res-40'!P6,'creep_res-40'!L6)</f>
        <v>0.36077245067394526</v>
      </c>
      <c r="AB6" s="2">
        <f>IF('Modell einstellen'!$B$2="Ja",creep_res0!P6,creep_res0!L6)</f>
        <v>0.36035808428868132</v>
      </c>
      <c r="AC6" s="2">
        <f>IF('Modell einstellen'!$B$2="Ja",creep_res25!P6,creep_res25!L6)</f>
        <v>0.36009471716051339</v>
      </c>
      <c r="AD6" s="2">
        <f>IF('Modell einstellen'!$B$2="Ja",creep_res50!P6,creep_res50!L6)</f>
        <v>0.35982791277388299</v>
      </c>
      <c r="AE6" s="2">
        <f>IF('Modell einstellen'!$B$2="Ja",creep_res80!P6,creep_res80!L6)</f>
        <v>0.35952503372311995</v>
      </c>
      <c r="AF6" s="2">
        <f>IF('Modell einstellen'!$B$2="Ja",creep_res125!P6,creep_res125!L6)</f>
        <v>0.41011716696403283</v>
      </c>
      <c r="AG6" s="2">
        <f>IF('Modell einstellen'!$B$2="Ja",creep_res160!P6,creep_res160!L6)</f>
        <v>0.43281088922423544</v>
      </c>
      <c r="AL6" s="2">
        <f t="shared" si="12"/>
        <v>9.9999999999999998E-13</v>
      </c>
      <c r="AM6" s="2">
        <f t="shared" si="13"/>
        <v>6574.1538463873376</v>
      </c>
      <c r="AN6" s="2">
        <f t="shared" si="14"/>
        <v>6543.7363350192272</v>
      </c>
      <c r="AO6" s="2">
        <f t="shared" si="15"/>
        <v>6524.1012603146964</v>
      </c>
      <c r="AP6" s="2">
        <f t="shared" si="16"/>
        <v>6503.9615090652051</v>
      </c>
      <c r="AQ6" s="2">
        <f t="shared" si="17"/>
        <v>6478.4539559822069</v>
      </c>
      <c r="AR6" s="2">
        <f t="shared" si="18"/>
        <v>5097.9534912421213</v>
      </c>
      <c r="AS6" s="2">
        <f t="shared" si="19"/>
        <v>4579.0872874253573</v>
      </c>
      <c r="AX6" s="2">
        <f t="shared" si="28"/>
        <v>9.9999999999999998E-13</v>
      </c>
      <c r="AY6" s="37">
        <f t="shared" si="20"/>
        <v>21418.001164184629</v>
      </c>
      <c r="AZ6" s="37">
        <f t="shared" si="21"/>
        <v>21249.170493095851</v>
      </c>
      <c r="BA6" s="37">
        <f t="shared" si="22"/>
        <v>21141.435782556586</v>
      </c>
      <c r="BB6" s="37">
        <f t="shared" si="23"/>
        <v>21031.929581830798</v>
      </c>
      <c r="BC6" s="37">
        <f t="shared" si="24"/>
        <v>20899.620210907251</v>
      </c>
      <c r="BD6" s="37">
        <f t="shared" si="25"/>
        <v>26659.565167867426</v>
      </c>
      <c r="BE6" s="37">
        <f t="shared" si="26"/>
        <v>32549.74926928135</v>
      </c>
    </row>
    <row r="7" spans="1:308" x14ac:dyDescent="0.25">
      <c r="A7" s="2">
        <f>'creep_res-40'!A7</f>
        <v>9.9999999999999994E-12</v>
      </c>
      <c r="B7" s="3">
        <f>'creep_res-40'!O7</f>
        <v>-5.5891380000000002E-4</v>
      </c>
      <c r="C7" s="2">
        <f>IF('Modell einstellen'!$B$2="Ja",creep_res0!O7,creep_res0!C7)</f>
        <v>-5.6168285714285721E-4</v>
      </c>
      <c r="D7" s="2">
        <f>IF('Modell einstellen'!$B$2="Ja",creep_res25!O7,creep_res25!C7)</f>
        <v>-5.6348240000000005E-4</v>
      </c>
      <c r="E7" s="2">
        <f>IF('Modell einstellen'!$B$2="Ja",creep_res50!O7,creep_res50!C7)</f>
        <v>-5.6533814285714286E-4</v>
      </c>
      <c r="F7" s="2">
        <f>IF('Modell einstellen'!$B$2="Ja",creep_res80!O7,creep_res80!C7)</f>
        <v>-5.6810754285714291E-4</v>
      </c>
      <c r="G7" s="2">
        <f>IF('Modell einstellen'!$B$2="Ja",creep_res125!O7,creep_res125!C7)</f>
        <v>-7.2880822857142866E-4</v>
      </c>
      <c r="H7" s="2">
        <f>IF('Modell einstellen'!$B$2="Ja",creep_res160!O7,creep_res160!C7)</f>
        <v>-8.0717060000000005E-4</v>
      </c>
      <c r="M7" s="9">
        <f t="shared" si="27"/>
        <v>-10</v>
      </c>
      <c r="N7" s="2">
        <f t="shared" si="4"/>
        <v>9.9999999999999994E-12</v>
      </c>
      <c r="O7" s="2">
        <f t="shared" si="5"/>
        <v>17891.84664969804</v>
      </c>
      <c r="P7" s="2">
        <f t="shared" si="6"/>
        <v>17803.641098942462</v>
      </c>
      <c r="Q7" s="2">
        <f t="shared" si="7"/>
        <v>17746.783218073891</v>
      </c>
      <c r="R7" s="2">
        <f t="shared" si="8"/>
        <v>17688.528761674112</v>
      </c>
      <c r="S7" s="2">
        <f t="shared" si="9"/>
        <v>17602.301053261344</v>
      </c>
      <c r="T7" s="2">
        <f t="shared" si="10"/>
        <v>13721.030592096184</v>
      </c>
      <c r="U7" s="2">
        <f t="shared" si="11"/>
        <v>12388.954701769366</v>
      </c>
      <c r="Z7" s="2">
        <v>9.9999999999999994E-12</v>
      </c>
      <c r="AA7" s="3">
        <f>IF('Modell einstellen'!$B$2="Ja",'creep_res-40'!P7,'creep_res-40'!L7)</f>
        <v>0.36077248405747009</v>
      </c>
      <c r="AB7" s="2">
        <f>IF('Modell einstellen'!$B$2="Ja",creep_res0!P7,creep_res0!L7)</f>
        <v>0.36035811261057327</v>
      </c>
      <c r="AC7" s="2">
        <f>IF('Modell einstellen'!$B$2="Ja",creep_res25!P7,creep_res25!L7)</f>
        <v>0.36009474551214277</v>
      </c>
      <c r="AD7" s="2">
        <f>IF('Modell einstellen'!$B$2="Ja",creep_res50!P7,creep_res50!L7)</f>
        <v>0.35982794115380251</v>
      </c>
      <c r="AE7" s="2">
        <f>IF('Modell einstellen'!$B$2="Ja",creep_res80!P7,creep_res80!L7)</f>
        <v>0.35971877859745266</v>
      </c>
      <c r="AF7" s="2">
        <f>IF('Modell einstellen'!$B$2="Ja",creep_res125!P7,creep_res125!L7)</f>
        <v>0.42303450549092125</v>
      </c>
      <c r="AG7" s="2">
        <f>IF('Modell einstellen'!$B$2="Ja",creep_res160!P7,creep_res160!L7)</f>
        <v>0.44912640347830879</v>
      </c>
      <c r="AL7" s="2">
        <f t="shared" si="12"/>
        <v>9.9999999999999994E-12</v>
      </c>
      <c r="AM7" s="2">
        <f t="shared" si="13"/>
        <v>6574.1506604943988</v>
      </c>
      <c r="AN7" s="2">
        <f t="shared" si="14"/>
        <v>6543.7332030080934</v>
      </c>
      <c r="AO7" s="2">
        <f t="shared" si="15"/>
        <v>6524.0981470711258</v>
      </c>
      <c r="AP7" s="2">
        <f t="shared" si="16"/>
        <v>6503.9584150129849</v>
      </c>
      <c r="AQ7" s="2">
        <f t="shared" si="17"/>
        <v>6472.7726535549082</v>
      </c>
      <c r="AR7" s="2">
        <f t="shared" si="18"/>
        <v>4821.046341164677</v>
      </c>
      <c r="AS7" s="2">
        <f t="shared" si="19"/>
        <v>4274.6287252900811</v>
      </c>
      <c r="AX7" s="2">
        <f t="shared" si="28"/>
        <v>9.9999999999999994E-12</v>
      </c>
      <c r="AY7" s="37">
        <f t="shared" si="20"/>
        <v>21417.996445812005</v>
      </c>
      <c r="AZ7" s="37">
        <f t="shared" si="21"/>
        <v>21249.165074770277</v>
      </c>
      <c r="BA7" s="37">
        <f t="shared" si="22"/>
        <v>21141.430419034266</v>
      </c>
      <c r="BB7" s="37">
        <f t="shared" si="23"/>
        <v>21031.924273727393</v>
      </c>
      <c r="BC7" s="37">
        <f t="shared" si="24"/>
        <v>20913.111625908266</v>
      </c>
      <c r="BD7" s="37">
        <f t="shared" si="25"/>
        <v>29712.515284966801</v>
      </c>
      <c r="BE7" s="37">
        <f t="shared" si="26"/>
        <v>40587.375864960486</v>
      </c>
    </row>
    <row r="8" spans="1:308" x14ac:dyDescent="0.25">
      <c r="A8" s="2">
        <f>'creep_res-40'!A8</f>
        <v>1E-10</v>
      </c>
      <c r="B8" s="3">
        <f>'creep_res-40'!O8</f>
        <v>-5.5891388571428573E-4</v>
      </c>
      <c r="C8" s="2">
        <f>IF('Modell einstellen'!$B$2="Ja",creep_res0!O8,creep_res0!C8)</f>
        <v>-5.6168294285714293E-4</v>
      </c>
      <c r="D8" s="2">
        <f>IF('Modell einstellen'!$B$2="Ja",creep_res25!O8,creep_res25!C8)</f>
        <v>-5.6348248571428576E-4</v>
      </c>
      <c r="E8" s="2">
        <f>IF('Modell einstellen'!$B$2="Ja",creep_res50!O8,creep_res50!C8)</f>
        <v>-5.6533822857142858E-4</v>
      </c>
      <c r="F8" s="2">
        <f>IF('Modell einstellen'!$B$2="Ja",creep_res80!O8,creep_res80!C8)</f>
        <v>-5.7162008571428572E-4</v>
      </c>
      <c r="G8" s="2">
        <f>IF('Modell einstellen'!$B$2="Ja",creep_res125!O8,creep_res125!C8)</f>
        <v>-7.6696551428571426E-4</v>
      </c>
      <c r="H8" s="2">
        <f>IF('Modell einstellen'!$B$2="Ja",creep_res160!O8,creep_res160!C8)</f>
        <v>-8.6432000000000013E-4</v>
      </c>
      <c r="M8" s="9">
        <f t="shared" si="27"/>
        <v>-10</v>
      </c>
      <c r="N8" s="2">
        <f t="shared" si="4"/>
        <v>1E-10</v>
      </c>
      <c r="O8" s="2">
        <f t="shared" si="5"/>
        <v>17891.843905828377</v>
      </c>
      <c r="P8" s="2">
        <f t="shared" si="6"/>
        <v>17803.638382060279</v>
      </c>
      <c r="Q8" s="2">
        <f t="shared" si="7"/>
        <v>17746.78051851732</v>
      </c>
      <c r="R8" s="2">
        <f t="shared" si="8"/>
        <v>17688.526079811236</v>
      </c>
      <c r="S8" s="2">
        <f t="shared" si="9"/>
        <v>17494.13684003806</v>
      </c>
      <c r="T8" s="2">
        <f t="shared" si="10"/>
        <v>13038.395877959572</v>
      </c>
      <c r="U8" s="2">
        <f t="shared" si="11"/>
        <v>11569.788967049239</v>
      </c>
      <c r="Z8" s="2">
        <v>1E-10</v>
      </c>
      <c r="AA8" s="3">
        <f>IF('Modell einstellen'!$B$2="Ja",'creep_res-40'!P8,'creep_res-40'!L8)</f>
        <v>0.36077249518530485</v>
      </c>
      <c r="AB8" s="2">
        <f>IF('Modell einstellen'!$B$2="Ja",creep_res0!P8,creep_res0!L8)</f>
        <v>0.36035812374678278</v>
      </c>
      <c r="AC8" s="2">
        <f>IF('Modell einstellen'!$B$2="Ja",creep_res25!P8,creep_res25!L8)</f>
        <v>0.36009475665284973</v>
      </c>
      <c r="AD8" s="2">
        <f>IF('Modell einstellen'!$B$2="Ja",creep_res50!P8,creep_res50!L8)</f>
        <v>0.3598279674599853</v>
      </c>
      <c r="AE8" s="2">
        <f>IF('Modell einstellen'!$B$2="Ja",creep_res80!P8,creep_res80!L8)</f>
        <v>0.36134311585472129</v>
      </c>
      <c r="AF8" s="2">
        <f>IF('Modell einstellen'!$B$2="Ja",creep_res125!P8,creep_res125!L8)</f>
        <v>0.4374204494871497</v>
      </c>
      <c r="AG8" s="2">
        <f>IF('Modell einstellen'!$B$2="Ja",creep_res160!P8,creep_res160!L8)</f>
        <v>0.4689348191146136</v>
      </c>
      <c r="AL8" s="2">
        <f t="shared" si="12"/>
        <v>1E-10</v>
      </c>
      <c r="AM8" s="2">
        <f t="shared" si="13"/>
        <v>6574.149598530772</v>
      </c>
      <c r="AN8" s="2">
        <f t="shared" si="14"/>
        <v>6543.7321508487757</v>
      </c>
      <c r="AO8" s="2">
        <f t="shared" si="15"/>
        <v>6524.0971012165301</v>
      </c>
      <c r="AP8" s="2">
        <f t="shared" si="16"/>
        <v>6503.9573030886877</v>
      </c>
      <c r="AQ8" s="2">
        <f t="shared" si="17"/>
        <v>6425.3224026678754</v>
      </c>
      <c r="AR8" s="2">
        <f t="shared" si="18"/>
        <v>4535.3452020984814</v>
      </c>
      <c r="AS8" s="2">
        <f t="shared" si="19"/>
        <v>3938.1560081824523</v>
      </c>
      <c r="AX8" s="2">
        <f t="shared" si="28"/>
        <v>1E-10</v>
      </c>
      <c r="AY8" s="37">
        <f t="shared" si="20"/>
        <v>21417.994873021591</v>
      </c>
      <c r="AZ8" s="37">
        <f t="shared" si="21"/>
        <v>21249.163526677763</v>
      </c>
      <c r="BA8" s="37">
        <f t="shared" si="22"/>
        <v>21141.428886599821</v>
      </c>
      <c r="BB8" s="37">
        <f t="shared" si="23"/>
        <v>21031.925032027721</v>
      </c>
      <c r="BC8" s="37">
        <f t="shared" si="24"/>
        <v>21028.090248189499</v>
      </c>
      <c r="BD8" s="37">
        <f t="shared" si="25"/>
        <v>34724.857590878732</v>
      </c>
      <c r="BE8" s="37">
        <f t="shared" si="26"/>
        <v>62072.651960059178</v>
      </c>
    </row>
    <row r="9" spans="1:308" x14ac:dyDescent="0.25">
      <c r="A9" s="2">
        <f>'creep_res-40'!A9</f>
        <v>1.0000000000000001E-9</v>
      </c>
      <c r="B9" s="3">
        <f>'creep_res-40'!O9</f>
        <v>-5.5891391428571438E-4</v>
      </c>
      <c r="C9" s="2">
        <f>IF('Modell einstellen'!$B$2="Ja",creep_res0!O9,creep_res0!C9)</f>
        <v>-5.6168297142857146E-4</v>
      </c>
      <c r="D9" s="2">
        <f>IF('Modell einstellen'!$B$2="Ja",creep_res25!O9,creep_res25!C9)</f>
        <v>-5.634825142857143E-4</v>
      </c>
      <c r="E9" s="2">
        <f>IF('Modell einstellen'!$B$2="Ja",creep_res50!O9,creep_res50!C9)</f>
        <v>-5.6533842857142854E-4</v>
      </c>
      <c r="F9" s="2">
        <f>IF('Modell einstellen'!$B$2="Ja",creep_res80!O9,creep_res80!C9)</f>
        <v>-5.8276582857142865E-4</v>
      </c>
      <c r="G9" s="2">
        <f>IF('Modell einstellen'!$B$2="Ja",creep_res125!O9,creep_res125!C9)</f>
        <v>-8.1310145714285709E-4</v>
      </c>
      <c r="H9" s="2">
        <f>IF('Modell einstellen'!$B$2="Ja",creep_res160!O9,creep_res160!C9)</f>
        <v>-9.5559037142857147E-4</v>
      </c>
      <c r="M9" s="9">
        <f t="shared" si="27"/>
        <v>-10</v>
      </c>
      <c r="N9" s="2">
        <f t="shared" si="4"/>
        <v>1.0000000000000001E-9</v>
      </c>
      <c r="O9" s="2">
        <f t="shared" si="5"/>
        <v>17891.84299120534</v>
      </c>
      <c r="P9" s="2">
        <f t="shared" si="6"/>
        <v>17803.637476433069</v>
      </c>
      <c r="Q9" s="2">
        <f t="shared" si="7"/>
        <v>17746.77961866531</v>
      </c>
      <c r="R9" s="2">
        <f t="shared" si="8"/>
        <v>17688.519822134353</v>
      </c>
      <c r="S9" s="2">
        <f t="shared" si="9"/>
        <v>17159.551074766416</v>
      </c>
      <c r="T9" s="2">
        <f t="shared" si="10"/>
        <v>12298.588216947519</v>
      </c>
      <c r="U9" s="2">
        <f t="shared" si="11"/>
        <v>10464.734994190427</v>
      </c>
      <c r="Z9" s="2">
        <v>1.0000000000000001E-9</v>
      </c>
      <c r="AA9" s="3">
        <f>IF('Modell einstellen'!$B$2="Ja",'creep_res-40'!P9,'creep_res-40'!L9)</f>
        <v>0.36077249719059723</v>
      </c>
      <c r="AB9" s="2">
        <f>IF('Modell einstellen'!$B$2="Ja",creep_res0!P9,creep_res0!L9)</f>
        <v>0.36035812576326737</v>
      </c>
      <c r="AC9" s="2">
        <f>IF('Modell einstellen'!$B$2="Ja",creep_res25!P9,creep_res25!L9)</f>
        <v>0.36009475867624846</v>
      </c>
      <c r="AD9" s="2">
        <f>IF('Modell einstellen'!$B$2="Ja",creep_res50!P9,creep_res50!L9)</f>
        <v>0.35982804231801491</v>
      </c>
      <c r="AE9" s="2">
        <f>IF('Modell einstellen'!$B$2="Ja",creep_res80!P9,creep_res80!L9)</f>
        <v>0.3661764362691331</v>
      </c>
      <c r="AF9" s="2">
        <f>IF('Modell einstellen'!$B$2="Ja",creep_res125!P9,creep_res125!L9)</f>
        <v>0.45425193995295127</v>
      </c>
      <c r="AG9" s="2">
        <f>IF('Modell einstellen'!$B$2="Ja",creep_res160!P9,creep_res160!L9)</f>
        <v>0.49856189126823414</v>
      </c>
      <c r="AL9" s="2">
        <f t="shared" si="12"/>
        <v>1.0000000000000001E-9</v>
      </c>
      <c r="AM9" s="2">
        <f t="shared" si="13"/>
        <v>6574.1492527752453</v>
      </c>
      <c r="AN9" s="2">
        <f t="shared" si="14"/>
        <v>6543.7318082853499</v>
      </c>
      <c r="AO9" s="2">
        <f t="shared" si="15"/>
        <v>6524.0967607058046</v>
      </c>
      <c r="AP9" s="2">
        <f t="shared" si="16"/>
        <v>6503.9546441408229</v>
      </c>
      <c r="AQ9" s="2">
        <f t="shared" si="17"/>
        <v>6280.1372572444334</v>
      </c>
      <c r="AR9" s="2">
        <f t="shared" si="18"/>
        <v>4228.4929725950406</v>
      </c>
      <c r="AS9" s="2">
        <f t="shared" si="19"/>
        <v>3491.5925245283374</v>
      </c>
      <c r="AX9" s="2">
        <f t="shared" si="28"/>
        <v>1.0000000000000001E-9</v>
      </c>
      <c r="AY9" s="37">
        <f t="shared" si="20"/>
        <v>21417.994086626455</v>
      </c>
      <c r="AZ9" s="37">
        <f t="shared" si="21"/>
        <v>21249.162752631597</v>
      </c>
      <c r="BA9" s="37">
        <f t="shared" si="22"/>
        <v>21141.428120382676</v>
      </c>
      <c r="BB9" s="37">
        <f t="shared" si="23"/>
        <v>21031.928823530161</v>
      </c>
      <c r="BC9" s="37">
        <f t="shared" si="24"/>
        <v>21370.863989837715</v>
      </c>
      <c r="BD9" s="37">
        <f t="shared" si="25"/>
        <v>44805.499964731716</v>
      </c>
      <c r="BE9" s="37">
        <f t="shared" si="26"/>
        <v>1212789.0336150853</v>
      </c>
    </row>
    <row r="10" spans="1:308" x14ac:dyDescent="0.25">
      <c r="A10" s="2">
        <f>'creep_res-40'!A10</f>
        <v>1E-8</v>
      </c>
      <c r="B10" s="3">
        <f>'creep_res-40'!O10</f>
        <v>-5.5891391428571438E-4</v>
      </c>
      <c r="C10" s="2">
        <f>IF('Modell einstellen'!$B$2="Ja",creep_res0!O10,creep_res0!C10)</f>
        <v>-5.6168297142857146E-4</v>
      </c>
      <c r="D10" s="2">
        <f>IF('Modell einstellen'!$B$2="Ja",creep_res25!O10,creep_res25!C10)</f>
        <v>-5.634825142857143E-4</v>
      </c>
      <c r="E10" s="2">
        <f>IF('Modell einstellen'!$B$2="Ja",creep_res50!O10,creep_res50!C10)</f>
        <v>-5.6534002857142865E-4</v>
      </c>
      <c r="F10" s="2">
        <f>IF('Modell einstellen'!$B$2="Ja",creep_res80!O10,creep_res80!C10)</f>
        <v>-5.9470314285714281E-4</v>
      </c>
      <c r="G10" s="2">
        <f>IF('Modell einstellen'!$B$2="Ja",creep_res125!O10,creep_res125!C10)</f>
        <v>-8.7520179999999999E-4</v>
      </c>
      <c r="H10" s="2">
        <f>IF('Modell einstellen'!$B$2="Ja",creep_res160!O10,creep_res160!C10)</f>
        <v>-1.1032781142857142E-3</v>
      </c>
      <c r="M10" s="9">
        <f t="shared" si="27"/>
        <v>-10</v>
      </c>
      <c r="N10" s="2">
        <f t="shared" si="4"/>
        <v>1E-8</v>
      </c>
      <c r="O10" s="2">
        <f t="shared" si="5"/>
        <v>17891.84299120534</v>
      </c>
      <c r="P10" s="2">
        <f t="shared" si="6"/>
        <v>17803.637476433069</v>
      </c>
      <c r="Q10" s="2">
        <f t="shared" si="7"/>
        <v>17746.77961866531</v>
      </c>
      <c r="R10" s="2">
        <f t="shared" si="8"/>
        <v>17688.46976087867</v>
      </c>
      <c r="S10" s="2">
        <f t="shared" si="9"/>
        <v>16815.112077526315</v>
      </c>
      <c r="T10" s="2">
        <f t="shared" si="10"/>
        <v>11425.936281209659</v>
      </c>
      <c r="U10" s="2">
        <f t="shared" si="11"/>
        <v>9063.8977339582361</v>
      </c>
      <c r="Z10" s="2">
        <v>1E-8</v>
      </c>
      <c r="AA10" s="3">
        <f>IF('Modell einstellen'!$B$2="Ja",'creep_res-40'!P10,'creep_res-40'!L10)</f>
        <v>0.36077250741450745</v>
      </c>
      <c r="AB10" s="2">
        <f>IF('Modell einstellen'!$B$2="Ja",creep_res0!P10,creep_res0!L10)</f>
        <v>0.36035813593677452</v>
      </c>
      <c r="AC10" s="2">
        <f>IF('Modell einstellen'!$B$2="Ja",creep_res25!P10,creep_res25!L10)</f>
        <v>0.36009476881726538</v>
      </c>
      <c r="AD10" s="2">
        <f>IF('Modell einstellen'!$B$2="Ja",creep_res50!P10,creep_res50!L10)</f>
        <v>0.3598287927957996</v>
      </c>
      <c r="AE10" s="2">
        <f>IF('Modell einstellen'!$B$2="Ja",creep_res80!P10,creep_res80!L10)</f>
        <v>0.37137588933926702</v>
      </c>
      <c r="AF10" s="2">
        <f>IF('Modell einstellen'!$B$2="Ja",creep_res125!P10,creep_res125!L10)</f>
        <v>0.47583559749142595</v>
      </c>
      <c r="AG10" s="2">
        <f>IF('Modell einstellen'!$B$2="Ja",creep_res160!P10,creep_res160!L10)</f>
        <v>0.54171656342369212</v>
      </c>
      <c r="AL10" s="2">
        <f t="shared" si="12"/>
        <v>1E-8</v>
      </c>
      <c r="AM10" s="2">
        <f t="shared" si="13"/>
        <v>6574.149203381603</v>
      </c>
      <c r="AN10" s="2">
        <f t="shared" si="14"/>
        <v>6543.7317593477201</v>
      </c>
      <c r="AO10" s="2">
        <f t="shared" si="15"/>
        <v>6524.0967120614177</v>
      </c>
      <c r="AP10" s="2">
        <f t="shared" si="16"/>
        <v>6503.932647473689</v>
      </c>
      <c r="AQ10" s="2">
        <f t="shared" si="17"/>
        <v>6130.7451181848783</v>
      </c>
      <c r="AR10" s="2">
        <f t="shared" si="18"/>
        <v>3871.0057883923755</v>
      </c>
      <c r="AS10" s="2">
        <f t="shared" si="19"/>
        <v>2939.5473684961994</v>
      </c>
      <c r="AX10" s="2">
        <f t="shared" si="28"/>
        <v>1E-8</v>
      </c>
      <c r="AY10" s="37">
        <f t="shared" si="20"/>
        <v>21417.995659416745</v>
      </c>
      <c r="AZ10" s="37">
        <f t="shared" si="21"/>
        <v>21249.164300724002</v>
      </c>
      <c r="BA10" s="37">
        <f t="shared" si="22"/>
        <v>21141.429652817013</v>
      </c>
      <c r="BB10" s="37">
        <f t="shared" si="23"/>
        <v>21031.981904707714</v>
      </c>
      <c r="BC10" s="37">
        <f t="shared" si="24"/>
        <v>21788.439703811193</v>
      </c>
      <c r="BD10" s="37">
        <f t="shared" si="25"/>
        <v>78806.943927508604</v>
      </c>
      <c r="BE10" s="37">
        <f t="shared" si="26"/>
        <v>-36212.225992432257</v>
      </c>
    </row>
    <row r="11" spans="1:308" x14ac:dyDescent="0.25">
      <c r="A11" s="2">
        <f>'creep_res-40'!A11</f>
        <v>9.9999999999999995E-8</v>
      </c>
      <c r="B11" s="3">
        <f>'creep_res-40'!O11</f>
        <v>-5.5891391428571438E-4</v>
      </c>
      <c r="C11" s="2">
        <f>IF('Modell einstellen'!$B$2="Ja",creep_res0!O11,creep_res0!C11)</f>
        <v>-5.61683E-4</v>
      </c>
      <c r="D11" s="2">
        <f>IF('Modell einstellen'!$B$2="Ja",creep_res25!O11,creep_res25!C11)</f>
        <v>-5.6348254285714294E-4</v>
      </c>
      <c r="E11" s="2">
        <f>IF('Modell einstellen'!$B$2="Ja",creep_res50!O11,creep_res50!C11)</f>
        <v>-5.6535597142857151E-4</v>
      </c>
      <c r="F11" s="2">
        <f>IF('Modell einstellen'!$B$2="Ja",creep_res80!O11,creep_res80!C11)</f>
        <v>-6.0905660000000006E-4</v>
      </c>
      <c r="G11" s="2">
        <f>IF('Modell einstellen'!$B$2="Ja",creep_res125!O11,creep_res125!C11)</f>
        <v>-9.7467042857142863E-4</v>
      </c>
      <c r="H11" s="2">
        <f>IF('Modell einstellen'!$B$2="Ja",creep_res160!O11,creep_res160!C11)</f>
        <v>-1.3608547142857144E-3</v>
      </c>
      <c r="M11" s="9">
        <f t="shared" si="27"/>
        <v>-10</v>
      </c>
      <c r="N11" s="2">
        <f t="shared" si="4"/>
        <v>9.9999999999999995E-8</v>
      </c>
      <c r="O11" s="2">
        <f t="shared" si="5"/>
        <v>17891.84299120534</v>
      </c>
      <c r="P11" s="2">
        <f t="shared" si="6"/>
        <v>17803.636570805953</v>
      </c>
      <c r="Q11" s="2">
        <f t="shared" si="7"/>
        <v>17746.778718813392</v>
      </c>
      <c r="R11" s="2">
        <f t="shared" si="8"/>
        <v>17687.970951702286</v>
      </c>
      <c r="S11" s="2">
        <f t="shared" si="9"/>
        <v>16418.835293796994</v>
      </c>
      <c r="T11" s="2">
        <f t="shared" si="10"/>
        <v>10259.878320774509</v>
      </c>
      <c r="U11" s="2">
        <f t="shared" si="11"/>
        <v>7348.3230024659915</v>
      </c>
      <c r="Z11" s="2">
        <v>9.9999999999999995E-8</v>
      </c>
      <c r="AA11" s="3">
        <f>IF('Modell einstellen'!$B$2="Ja",'creep_res-40'!P11,'creep_res-40'!L11)</f>
        <v>0.36077250741450745</v>
      </c>
      <c r="AB11" s="2">
        <f>IF('Modell einstellen'!$B$2="Ja",creep_res0!P11,creep_res0!L11)</f>
        <v>0.36035811760624514</v>
      </c>
      <c r="AC11" s="2">
        <f>IF('Modell einstellen'!$B$2="Ja",creep_res25!P11,creep_res25!L11)</f>
        <v>0.36009477084066338</v>
      </c>
      <c r="AD11" s="2">
        <f>IF('Modell einstellen'!$B$2="Ja",creep_res50!P11,creep_res50!L11)</f>
        <v>0.35983629328050659</v>
      </c>
      <c r="AE11" s="2">
        <f>IF('Modell einstellen'!$B$2="Ja",creep_res80!P11,creep_res80!L11)</f>
        <v>0.37754390267552423</v>
      </c>
      <c r="AF11" s="2">
        <f>IF('Modell einstellen'!$B$2="Ja",creep_res125!P11,creep_res125!L11)</f>
        <v>0.50802672786244374</v>
      </c>
      <c r="AG11" s="2">
        <f>IF('Modell einstellen'!$B$2="Ja",creep_res160!P11,creep_res160!L11)</f>
        <v>0.60421243665876778</v>
      </c>
      <c r="AL11" s="2">
        <f t="shared" si="12"/>
        <v>9.9999999999999995E-8</v>
      </c>
      <c r="AM11" s="2">
        <f t="shared" si="13"/>
        <v>6574.149203381603</v>
      </c>
      <c r="AN11" s="2">
        <f t="shared" si="14"/>
        <v>6543.7315146595847</v>
      </c>
      <c r="AO11" s="2">
        <f t="shared" si="15"/>
        <v>6524.0963715507314</v>
      </c>
      <c r="AP11" s="2">
        <f t="shared" si="16"/>
        <v>6503.7133657579243</v>
      </c>
      <c r="AQ11" s="2">
        <f t="shared" si="17"/>
        <v>5959.459898848826</v>
      </c>
      <c r="AR11" s="2">
        <f t="shared" si="18"/>
        <v>3401.7561264704505</v>
      </c>
      <c r="AS11" s="2">
        <f t="shared" si="19"/>
        <v>2290.3210430692648</v>
      </c>
      <c r="AX11" s="2">
        <f t="shared" si="28"/>
        <v>9.9999999999999995E-8</v>
      </c>
      <c r="AY11" s="37">
        <f t="shared" si="20"/>
        <v>21417.995659416745</v>
      </c>
      <c r="AZ11" s="37">
        <f t="shared" si="21"/>
        <v>21249.160430493426</v>
      </c>
      <c r="BA11" s="37">
        <f t="shared" si="22"/>
        <v>21141.42888659981</v>
      </c>
      <c r="BB11" s="37">
        <f t="shared" si="23"/>
        <v>21032.514247905889</v>
      </c>
      <c r="BC11" s="37">
        <f t="shared" si="24"/>
        <v>22346.560185690454</v>
      </c>
      <c r="BD11" s="37">
        <f t="shared" si="25"/>
        <v>-213035.71635085696</v>
      </c>
      <c r="BE11" s="37">
        <f t="shared" si="26"/>
        <v>-11752.153002824527</v>
      </c>
    </row>
    <row r="12" spans="1:308" x14ac:dyDescent="0.25">
      <c r="A12" s="2">
        <f>'creep_res-40'!A12</f>
        <v>9.9999999999999995E-7</v>
      </c>
      <c r="B12" s="3">
        <f>'creep_res-40'!O12</f>
        <v>-5.5891391428571438E-4</v>
      </c>
      <c r="C12" s="2">
        <f>IF('Modell einstellen'!$B$2="Ja",creep_res0!O12,creep_res0!C12)</f>
        <v>-5.61683E-4</v>
      </c>
      <c r="D12" s="2">
        <f>IF('Modell einstellen'!$B$2="Ja",creep_res25!O12,creep_res25!C12)</f>
        <v>-5.6348271428571437E-4</v>
      </c>
      <c r="E12" s="2">
        <f>IF('Modell einstellen'!$B$2="Ja",creep_res50!O12,creep_res50!C12)</f>
        <v>-5.6551417142857146E-4</v>
      </c>
      <c r="F12" s="2">
        <f>IF('Modell einstellen'!$B$2="Ja",creep_res80!O12,creep_res80!C12)</f>
        <v>-6.2686451428571436E-4</v>
      </c>
      <c r="G12" s="2">
        <f>IF('Modell einstellen'!$B$2="Ja",creep_res125!O12,creep_res125!C12)</f>
        <v>-1.1375140571428571E-3</v>
      </c>
      <c r="H12" s="2">
        <f>IF('Modell einstellen'!$B$2="Ja",creep_res160!O12,creep_res160!C12)</f>
        <v>-1.8943430571428572E-3</v>
      </c>
      <c r="M12" s="9">
        <f t="shared" si="27"/>
        <v>-10</v>
      </c>
      <c r="N12" s="2">
        <f t="shared" si="4"/>
        <v>9.9999999999999995E-7</v>
      </c>
      <c r="O12" s="2">
        <f t="shared" si="5"/>
        <v>17891.84299120534</v>
      </c>
      <c r="P12" s="2">
        <f t="shared" si="6"/>
        <v>17803.636570805953</v>
      </c>
      <c r="Q12" s="2">
        <f t="shared" si="7"/>
        <v>17746.773319703811</v>
      </c>
      <c r="R12" s="2">
        <f t="shared" si="8"/>
        <v>17683.02282282076</v>
      </c>
      <c r="S12" s="2">
        <f t="shared" si="9"/>
        <v>15952.410404654309</v>
      </c>
      <c r="T12" s="2">
        <f t="shared" si="10"/>
        <v>8791.100151427956</v>
      </c>
      <c r="U12" s="2">
        <f t="shared" si="11"/>
        <v>5278.8748913739519</v>
      </c>
      <c r="Z12" s="2">
        <v>9.9999999999999995E-7</v>
      </c>
      <c r="AA12" s="3">
        <f>IF('Modell einstellen'!$B$2="Ja",'creep_res-40'!P12,'creep_res-40'!L12)</f>
        <v>0.36077250741450745</v>
      </c>
      <c r="AB12" s="2">
        <f>IF('Modell einstellen'!$B$2="Ja",creep_res0!P12,creep_res0!L12)</f>
        <v>0.36035812269299844</v>
      </c>
      <c r="AC12" s="2">
        <f>IF('Modell einstellen'!$B$2="Ja",creep_res25!P12,creep_res25!L12)</f>
        <v>0.36009486410915376</v>
      </c>
      <c r="AD12" s="2">
        <f>IF('Modell einstellen'!$B$2="Ja",creep_res50!P12,creep_res50!L12)</f>
        <v>0.35991086948130546</v>
      </c>
      <c r="AE12" s="2">
        <f>IF('Modell einstellen'!$B$2="Ja",creep_res80!P12,creep_res80!L12)</f>
        <v>0.38508679341874646</v>
      </c>
      <c r="AF12" s="2">
        <f>IF('Modell einstellen'!$B$2="Ja",creep_res125!P12,creep_res125!L12)</f>
        <v>0.55481705569880313</v>
      </c>
      <c r="AG12" s="2">
        <f>IF('Modell einstellen'!$B$2="Ja",creep_res160!P12,creep_res160!L12)</f>
        <v>0.69534610015651555</v>
      </c>
      <c r="AL12" s="2">
        <f t="shared" si="12"/>
        <v>9.9999999999999995E-7</v>
      </c>
      <c r="AM12" s="2">
        <f t="shared" si="13"/>
        <v>6574.149203381603</v>
      </c>
      <c r="AN12" s="2">
        <f t="shared" si="14"/>
        <v>6543.731490190773</v>
      </c>
      <c r="AO12" s="2">
        <f t="shared" si="15"/>
        <v>6524.0939393325853</v>
      </c>
      <c r="AP12" s="2">
        <f t="shared" si="16"/>
        <v>6501.5374241274303</v>
      </c>
      <c r="AQ12" s="2">
        <f t="shared" si="17"/>
        <v>5758.6320512376351</v>
      </c>
      <c r="AR12" s="2">
        <f t="shared" si="18"/>
        <v>2827.0529060658037</v>
      </c>
      <c r="AS12" s="2">
        <f t="shared" si="19"/>
        <v>1556.8723374202477</v>
      </c>
      <c r="AX12" s="2">
        <f t="shared" si="28"/>
        <v>9.9999999999999995E-7</v>
      </c>
      <c r="AY12" s="37">
        <f t="shared" si="20"/>
        <v>21417.995659416745</v>
      </c>
      <c r="AZ12" s="37">
        <f t="shared" si="21"/>
        <v>21249.161204539429</v>
      </c>
      <c r="BA12" s="37">
        <f t="shared" si="22"/>
        <v>21141.436548774276</v>
      </c>
      <c r="BB12" s="37">
        <f t="shared" si="23"/>
        <v>21037.823987899148</v>
      </c>
      <c r="BC12" s="37">
        <f t="shared" si="24"/>
        <v>23136.897372735224</v>
      </c>
      <c r="BD12" s="37">
        <f t="shared" si="25"/>
        <v>-26728.603714542747</v>
      </c>
      <c r="BE12" s="37">
        <f t="shared" si="26"/>
        <v>-4503.8650947765718</v>
      </c>
    </row>
    <row r="13" spans="1:308" x14ac:dyDescent="0.25">
      <c r="A13" s="2">
        <f>'creep_res-40'!A13</f>
        <v>1.0000000000000001E-5</v>
      </c>
      <c r="B13" s="3">
        <f>'creep_res-40'!O13</f>
        <v>-5.5891391428571438E-4</v>
      </c>
      <c r="C13" s="2">
        <f>IF('Modell einstellen'!$B$2="Ja",creep_res0!O13,creep_res0!C13)</f>
        <v>-5.61683E-4</v>
      </c>
      <c r="D13" s="2">
        <f>IF('Modell einstellen'!$B$2="Ja",creep_res25!O13,creep_res25!C13)</f>
        <v>-5.6348448571428569E-4</v>
      </c>
      <c r="E13" s="2">
        <f>IF('Modell einstellen'!$B$2="Ja",creep_res50!O13,creep_res50!C13)</f>
        <v>-5.6699531428571425E-4</v>
      </c>
      <c r="F13" s="2">
        <f>IF('Modell einstellen'!$B$2="Ja",creep_res80!O13,creep_res80!C13)</f>
        <v>-6.4622380000000008E-4</v>
      </c>
      <c r="G13" s="2">
        <f>IF('Modell einstellen'!$B$2="Ja",creep_res125!O13,creep_res125!C13)</f>
        <v>-1.4322549714285717E-3</v>
      </c>
      <c r="H13" s="2">
        <f>IF('Modell einstellen'!$B$2="Ja",creep_res160!O13,creep_res160!C13)</f>
        <v>-2.9633485714285718E-3</v>
      </c>
      <c r="M13" s="9">
        <f t="shared" si="27"/>
        <v>-10</v>
      </c>
      <c r="N13" s="2">
        <f t="shared" si="4"/>
        <v>1.0000000000000001E-5</v>
      </c>
      <c r="O13" s="2">
        <f t="shared" si="5"/>
        <v>17891.84299120534</v>
      </c>
      <c r="P13" s="2">
        <f t="shared" si="6"/>
        <v>17803.636570805953</v>
      </c>
      <c r="Q13" s="2">
        <f t="shared" si="7"/>
        <v>17746.717529097139</v>
      </c>
      <c r="R13" s="2">
        <f t="shared" si="8"/>
        <v>17636.830054932176</v>
      </c>
      <c r="S13" s="2">
        <f t="shared" si="9"/>
        <v>15474.515175702285</v>
      </c>
      <c r="T13" s="2">
        <f t="shared" si="10"/>
        <v>6981.997060220162</v>
      </c>
      <c r="U13" s="2">
        <f t="shared" si="11"/>
        <v>3374.5608250126302</v>
      </c>
      <c r="Z13" s="2">
        <v>1.0000000000000001E-5</v>
      </c>
      <c r="AA13" s="3">
        <f>IF('Modell einstellen'!$B$2="Ja",'creep_res-40'!P13,'creep_res-40'!L13)</f>
        <v>0.3607725125264627</v>
      </c>
      <c r="AB13" s="2">
        <f>IF('Modell einstellen'!$B$2="Ja",creep_res0!P13,creep_res0!L13)</f>
        <v>0.36035814304001162</v>
      </c>
      <c r="AC13" s="2">
        <f>IF('Modell einstellen'!$B$2="Ja",creep_res25!P13,creep_res25!L13)</f>
        <v>0.36009570449829092</v>
      </c>
      <c r="AD13" s="2">
        <f>IF('Modell einstellen'!$B$2="Ja",creep_res50!P13,creep_res50!L13)</f>
        <v>0.36060759081103017</v>
      </c>
      <c r="AE13" s="2">
        <f>IF('Modell einstellen'!$B$2="Ja",creep_res80!P13,creep_res80!L13)</f>
        <v>0.39316898307631853</v>
      </c>
      <c r="AF13" s="2">
        <f>IF('Modell einstellen'!$B$2="Ja",creep_res125!P13,creep_res125!L13)</f>
        <v>0.62311995765159445</v>
      </c>
      <c r="AG13" s="2">
        <f>IF('Modell einstellen'!$B$2="Ja",creep_res160!P13,creep_res160!L13)</f>
        <v>0.79570910128696104</v>
      </c>
      <c r="AL13" s="2">
        <f t="shared" si="12"/>
        <v>1.0000000000000001E-5</v>
      </c>
      <c r="AM13" s="2">
        <f t="shared" si="13"/>
        <v>6574.1491786847801</v>
      </c>
      <c r="AN13" s="2">
        <f t="shared" si="14"/>
        <v>6543.7313923155243</v>
      </c>
      <c r="AO13" s="2">
        <f t="shared" si="15"/>
        <v>6524.06939835293</v>
      </c>
      <c r="AP13" s="2">
        <f t="shared" si="16"/>
        <v>6481.233154233405</v>
      </c>
      <c r="AQ13" s="2">
        <f t="shared" si="17"/>
        <v>5553.7107715147085</v>
      </c>
      <c r="AR13" s="2">
        <f t="shared" si="18"/>
        <v>2150.7951483518323</v>
      </c>
      <c r="AS13" s="2">
        <f t="shared" si="19"/>
        <v>939.61789874376836</v>
      </c>
      <c r="AX13" s="2">
        <f t="shared" si="28"/>
        <v>1.0000000000000001E-5</v>
      </c>
      <c r="AY13" s="37">
        <f t="shared" si="20"/>
        <v>21417.996445811998</v>
      </c>
      <c r="AZ13" s="37">
        <f t="shared" si="21"/>
        <v>21249.164300723998</v>
      </c>
      <c r="BA13" s="37">
        <f t="shared" si="22"/>
        <v>21141.497080147841</v>
      </c>
      <c r="BB13" s="37">
        <f t="shared" si="23"/>
        <v>21087.745688053081</v>
      </c>
      <c r="BC13" s="37">
        <f t="shared" si="24"/>
        <v>24141.732774663273</v>
      </c>
      <c r="BD13" s="37">
        <f t="shared" si="25"/>
        <v>-9451.4829187669911</v>
      </c>
      <c r="BE13" s="37">
        <f t="shared" si="26"/>
        <v>-1901.9597358384426</v>
      </c>
    </row>
    <row r="14" spans="1:308" x14ac:dyDescent="0.25">
      <c r="A14" s="2">
        <f>'creep_res-40'!A14</f>
        <v>1E-4</v>
      </c>
      <c r="B14" s="3">
        <f>'creep_res-40'!O14</f>
        <v>-5.5891394285714291E-4</v>
      </c>
      <c r="C14" s="2">
        <f>IF('Modell einstellen'!$B$2="Ja",creep_res0!O14,creep_res0!C14)</f>
        <v>-5.6168320000000006E-4</v>
      </c>
      <c r="D14" s="2">
        <f>IF('Modell einstellen'!$B$2="Ja",creep_res25!O14,creep_res25!C14)</f>
        <v>-5.6350217142857144E-4</v>
      </c>
      <c r="E14" s="2">
        <f>IF('Modell einstellen'!$B$2="Ja",creep_res50!O14,creep_res50!C14)</f>
        <v>-5.7573442857142862E-4</v>
      </c>
      <c r="F14" s="2">
        <f>IF('Modell einstellen'!$B$2="Ja",creep_res80!O14,creep_res80!C14)</f>
        <v>-6.724639142857144E-4</v>
      </c>
      <c r="G14" s="2">
        <f>IF('Modell einstellen'!$B$2="Ja",creep_res125!O14,creep_res125!C14)</f>
        <v>-2.0606296285714289E-3</v>
      </c>
      <c r="H14" s="2">
        <f>IF('Modell einstellen'!$B$2="Ja",creep_res160!O14,creep_res160!C14)</f>
        <v>-5.0025814285714291E-3</v>
      </c>
      <c r="M14" s="9">
        <f t="shared" si="27"/>
        <v>-10</v>
      </c>
      <c r="N14" s="2">
        <f t="shared" si="4"/>
        <v>1E-4</v>
      </c>
      <c r="O14" s="2">
        <f t="shared" si="5"/>
        <v>17891.842076582398</v>
      </c>
      <c r="P14" s="2">
        <f t="shared" si="6"/>
        <v>17803.630231418705</v>
      </c>
      <c r="Q14" s="2">
        <f t="shared" si="7"/>
        <v>17746.160542111738</v>
      </c>
      <c r="R14" s="2">
        <f t="shared" si="8"/>
        <v>17369.119343467137</v>
      </c>
      <c r="S14" s="2">
        <f t="shared" si="9"/>
        <v>14870.686422812616</v>
      </c>
      <c r="T14" s="2">
        <f t="shared" si="10"/>
        <v>4852.8856721004695</v>
      </c>
      <c r="U14" s="2">
        <f t="shared" si="11"/>
        <v>1998.967961398215</v>
      </c>
      <c r="Z14" s="2">
        <v>1E-4</v>
      </c>
      <c r="AA14" s="3">
        <f>IF('Modell einstellen'!$B$2="Ja",'creep_res-40'!P14,'creep_res-40'!L14)</f>
        <v>0.36077249919588944</v>
      </c>
      <c r="AB14" s="2">
        <f>IF('Modell einstellen'!$B$2="Ja",creep_res0!P14,creep_res0!L14)</f>
        <v>0.36035822836991183</v>
      </c>
      <c r="AC14" s="2">
        <f>IF('Modell einstellen'!$B$2="Ja",creep_res25!P14,creep_res25!L14)</f>
        <v>0.36010412635753059</v>
      </c>
      <c r="AD14" s="2">
        <f>IF('Modell einstellen'!$B$2="Ja",creep_res50!P14,creep_res50!L14)</f>
        <v>0.36448830450349007</v>
      </c>
      <c r="AE14" s="2">
        <f>IF('Modell einstellen'!$B$2="Ja",creep_res80!P14,creep_res80!L14)</f>
        <v>0.40389726276124766</v>
      </c>
      <c r="AF14" s="2">
        <f>IF('Modell einstellen'!$B$2="Ja",creep_res125!P14,creep_res125!L14)</f>
        <v>0.72024714166073811</v>
      </c>
      <c r="AG14" s="2">
        <f>IF('Modell einstellen'!$B$2="Ja",creep_res160!P14,creep_res160!L14)</f>
        <v>0.87793610555921553</v>
      </c>
      <c r="AL14" s="2">
        <f t="shared" si="12"/>
        <v>1E-4</v>
      </c>
      <c r="AM14" s="2">
        <f t="shared" si="13"/>
        <v>6574.1489070197567</v>
      </c>
      <c r="AN14" s="2">
        <f t="shared" si="14"/>
        <v>6543.7286518097571</v>
      </c>
      <c r="AO14" s="2">
        <f t="shared" si="15"/>
        <v>6523.8242419120506</v>
      </c>
      <c r="AP14" s="2">
        <f t="shared" si="16"/>
        <v>6364.7007036045688</v>
      </c>
      <c r="AQ14" s="2">
        <f t="shared" si="17"/>
        <v>5296.2160470219478</v>
      </c>
      <c r="AR14" s="2">
        <f t="shared" si="18"/>
        <v>1410.5199057082755</v>
      </c>
      <c r="AS14" s="2">
        <f t="shared" si="19"/>
        <v>532.22470015904992</v>
      </c>
      <c r="AX14" s="2">
        <f t="shared" si="28"/>
        <v>1E-4</v>
      </c>
      <c r="AY14" s="37">
        <f t="shared" si="20"/>
        <v>21417.993300231385</v>
      </c>
      <c r="AZ14" s="37">
        <f t="shared" si="21"/>
        <v>21249.169719049183</v>
      </c>
      <c r="BA14" s="37">
        <f t="shared" si="22"/>
        <v>21142.106244278795</v>
      </c>
      <c r="BB14" s="37">
        <f t="shared" si="23"/>
        <v>21362.386569694612</v>
      </c>
      <c r="BC14" s="37">
        <f t="shared" si="24"/>
        <v>25789.564463477425</v>
      </c>
      <c r="BD14" s="37">
        <f t="shared" si="25"/>
        <v>-3672.303179894539</v>
      </c>
      <c r="BE14" s="37">
        <f t="shared" si="26"/>
        <v>-881.52817896754868</v>
      </c>
    </row>
    <row r="15" spans="1:308" x14ac:dyDescent="0.25">
      <c r="A15" s="2">
        <f>'creep_res-40'!A15</f>
        <v>1E-3</v>
      </c>
      <c r="B15" s="3">
        <f>'creep_res-40'!O15</f>
        <v>-5.5891397142857145E-4</v>
      </c>
      <c r="C15" s="2">
        <f>IF('Modell einstellen'!$B$2="Ja",creep_res0!O15,creep_res0!C15)</f>
        <v>-5.6168508571428574E-4</v>
      </c>
      <c r="D15" s="2">
        <f>IF('Modell einstellen'!$B$2="Ja",creep_res25!O15,creep_res25!C15)</f>
        <v>-5.6367762857142858E-4</v>
      </c>
      <c r="E15" s="2">
        <f>IF('Modell einstellen'!$B$2="Ja",creep_res50!O15,creep_res50!C15)</f>
        <v>-5.8701614285714288E-4</v>
      </c>
      <c r="F15" s="2">
        <f>IF('Modell einstellen'!$B$2="Ja",creep_res80!O15,creep_res80!C15)</f>
        <v>-7.0394182857142862E-4</v>
      </c>
      <c r="G15" s="2">
        <f>IF('Modell einstellen'!$B$2="Ja",creep_res125!O15,creep_res125!C15)</f>
        <v>-3.3242445714285712E-3</v>
      </c>
      <c r="H15" s="2">
        <f>IF('Modell einstellen'!$B$2="Ja",creep_res160!O15,creep_res160!C15)</f>
        <v>-8.7717962857142857E-3</v>
      </c>
      <c r="M15" s="9">
        <f t="shared" si="27"/>
        <v>-10</v>
      </c>
      <c r="N15" s="2">
        <f t="shared" si="4"/>
        <v>1E-3</v>
      </c>
      <c r="O15" s="2">
        <f t="shared" si="5"/>
        <v>17891.841161959554</v>
      </c>
      <c r="P15" s="2">
        <f t="shared" si="6"/>
        <v>17803.570460275198</v>
      </c>
      <c r="Q15" s="2">
        <f t="shared" si="7"/>
        <v>17740.636656707073</v>
      </c>
      <c r="R15" s="2">
        <f t="shared" si="8"/>
        <v>17035.306646470905</v>
      </c>
      <c r="S15" s="2">
        <f t="shared" si="9"/>
        <v>14205.719271283941</v>
      </c>
      <c r="T15" s="2">
        <f t="shared" si="10"/>
        <v>3008.2022502040422</v>
      </c>
      <c r="U15" s="2">
        <f t="shared" si="11"/>
        <v>1140.0173549727735</v>
      </c>
      <c r="Z15" s="2">
        <v>1E-3</v>
      </c>
      <c r="AA15" s="3">
        <f>IF('Modell einstellen'!$B$2="Ja",'creep_res-40'!P15,'creep_res-40'!L15)</f>
        <v>0.36077253698486383</v>
      </c>
      <c r="AB15" s="2">
        <f>IF('Modell einstellen'!$B$2="Ja",creep_res0!P15,creep_res0!L15)</f>
        <v>0.36035913464067154</v>
      </c>
      <c r="AC15" s="2">
        <f>IF('Modell einstellen'!$B$2="Ja",creep_res25!P15,creep_res25!L15)</f>
        <v>0.36018776081587062</v>
      </c>
      <c r="AD15" s="2">
        <f>IF('Modell einstellen'!$B$2="Ja",creep_res50!P15,creep_res50!L15)</f>
        <v>0.36949596178055943</v>
      </c>
      <c r="AE15" s="2">
        <f>IF('Modell einstellen'!$B$2="Ja",creep_res80!P15,creep_res80!L15)</f>
        <v>0.4165064126240301</v>
      </c>
      <c r="AF15" s="2">
        <f>IF('Modell einstellen'!$B$2="Ja",creep_res125!P15,creep_res125!L15)</f>
        <v>0.81944840572156641</v>
      </c>
      <c r="AG15" s="2">
        <f>IF('Modell einstellen'!$B$2="Ja",creep_res160!P15,creep_res160!L15)</f>
        <v>0.93476335373171815</v>
      </c>
      <c r="AL15" s="2">
        <f t="shared" si="12"/>
        <v>1E-3</v>
      </c>
      <c r="AM15" s="2">
        <f t="shared" si="13"/>
        <v>6574.1483883865922</v>
      </c>
      <c r="AN15" s="2">
        <f t="shared" si="14"/>
        <v>6543.7023234963144</v>
      </c>
      <c r="AO15" s="2">
        <f t="shared" si="15"/>
        <v>6521.3925487999713</v>
      </c>
      <c r="AP15" s="2">
        <f t="shared" si="16"/>
        <v>6219.55344224686</v>
      </c>
      <c r="AQ15" s="2">
        <f t="shared" si="17"/>
        <v>5014.3504980568096</v>
      </c>
      <c r="AR15" s="2">
        <f t="shared" si="18"/>
        <v>826.67973456797017</v>
      </c>
      <c r="AS15" s="2">
        <f t="shared" si="19"/>
        <v>294.61415856723238</v>
      </c>
      <c r="AX15" s="2">
        <f t="shared" si="28"/>
        <v>1E-3</v>
      </c>
      <c r="AY15" s="37">
        <f t="shared" si="20"/>
        <v>21417.998018602641</v>
      </c>
      <c r="AZ15" s="37">
        <f t="shared" si="21"/>
        <v>21249.236287269807</v>
      </c>
      <c r="BA15" s="37">
        <f t="shared" si="22"/>
        <v>21148.168381910014</v>
      </c>
      <c r="BB15" s="37">
        <f t="shared" si="23"/>
        <v>21755.784825889568</v>
      </c>
      <c r="BC15" s="37">
        <f t="shared" si="24"/>
        <v>28356.906835083992</v>
      </c>
      <c r="BD15" s="37">
        <f t="shared" si="25"/>
        <v>-1569.4773638584659</v>
      </c>
      <c r="BE15" s="37">
        <f t="shared" si="26"/>
        <v>-437.02600705557256</v>
      </c>
    </row>
    <row r="16" spans="1:308" x14ac:dyDescent="0.25">
      <c r="A16" s="2">
        <f>'creep_res-40'!A16</f>
        <v>0.01</v>
      </c>
      <c r="B16" s="3">
        <f>'creep_res-40'!O16</f>
        <v>-5.5891448571428572E-4</v>
      </c>
      <c r="C16" s="2">
        <f>IF('Modell einstellen'!$B$2="Ja",creep_res0!O16,creep_res0!C16)</f>
        <v>-5.617039142857144E-4</v>
      </c>
      <c r="D16" s="2">
        <f>IF('Modell einstellen'!$B$2="Ja",creep_res25!O16,creep_res25!C16)</f>
        <v>-5.6530822857142854E-4</v>
      </c>
      <c r="E16" s="2">
        <f>IF('Modell einstellen'!$B$2="Ja",creep_res50!O16,creep_res50!C16)</f>
        <v>-5.9998348571428575E-4</v>
      </c>
      <c r="F16" s="2">
        <f>IF('Modell einstellen'!$B$2="Ja",creep_res80!O16,creep_res80!C16)</f>
        <v>-7.3808877142857144E-4</v>
      </c>
      <c r="G16" s="2">
        <f>IF('Modell einstellen'!$B$2="Ja",creep_res125!O16,creep_res125!C16)</f>
        <v>-5.6982420000000001E-3</v>
      </c>
      <c r="H16" s="2">
        <f>IF('Modell einstellen'!$B$2="Ja",creep_res160!O16,creep_res160!C16)</f>
        <v>-1.3274090285714286E-2</v>
      </c>
      <c r="M16" s="9">
        <f t="shared" si="27"/>
        <v>-10</v>
      </c>
      <c r="N16" s="2">
        <f t="shared" si="4"/>
        <v>0.01</v>
      </c>
      <c r="O16" s="2">
        <f t="shared" si="5"/>
        <v>17891.824698764292</v>
      </c>
      <c r="P16" s="2">
        <f t="shared" si="6"/>
        <v>17802.973676472251</v>
      </c>
      <c r="Q16" s="2">
        <f t="shared" si="7"/>
        <v>17689.464781488612</v>
      </c>
      <c r="R16" s="2">
        <f t="shared" si="8"/>
        <v>16667.125409451746</v>
      </c>
      <c r="S16" s="2">
        <f t="shared" si="9"/>
        <v>13548.505799166936</v>
      </c>
      <c r="T16" s="2">
        <f t="shared" si="10"/>
        <v>1754.9272214132006</v>
      </c>
      <c r="U16" s="2">
        <f t="shared" si="11"/>
        <v>753.34729422189514</v>
      </c>
      <c r="Z16" s="2">
        <v>0.01</v>
      </c>
      <c r="AA16" s="3">
        <f>IF('Modell einstellen'!$B$2="Ja",'creep_res-40'!P16,'creep_res-40'!L16)</f>
        <v>0.36077279289389885</v>
      </c>
      <c r="AB16" s="2">
        <f>IF('Modell einstellen'!$B$2="Ja",creep_res0!P16,creep_res0!L16)</f>
        <v>0.36036820517082785</v>
      </c>
      <c r="AC16" s="2">
        <f>IF('Modell einstellen'!$B$2="Ja",creep_res25!P16,creep_res25!L16)</f>
        <v>0.36096327323430338</v>
      </c>
      <c r="AD16" s="2">
        <f>IF('Modell einstellen'!$B$2="Ja",creep_res50!P16,creep_res50!L16)</f>
        <v>0.37518023115112409</v>
      </c>
      <c r="AE16" s="2">
        <f>IF('Modell einstellen'!$B$2="Ja",creep_res80!P16,creep_res80!L16)</f>
        <v>0.42985855321235655</v>
      </c>
      <c r="AF16" s="2">
        <f>IF('Modell einstellen'!$B$2="Ja",creep_res125!P16,creep_res125!L16)</f>
        <v>0.89472311936608828</v>
      </c>
      <c r="AG16" s="2">
        <f>IF('Modell einstellen'!$B$2="Ja",creep_res160!P16,creep_res160!L16)</f>
        <v>0.96331157781143395</v>
      </c>
      <c r="AL16" s="2">
        <f t="shared" si="12"/>
        <v>0.01</v>
      </c>
      <c r="AM16" s="2">
        <f t="shared" si="13"/>
        <v>6574.141102834109</v>
      </c>
      <c r="AN16" s="2">
        <f t="shared" si="14"/>
        <v>6543.4393456132884</v>
      </c>
      <c r="AO16" s="2">
        <f t="shared" si="15"/>
        <v>6498.8766153292054</v>
      </c>
      <c r="AP16" s="2">
        <f t="shared" si="16"/>
        <v>6059.9785511387736</v>
      </c>
      <c r="AQ16" s="2">
        <f t="shared" si="17"/>
        <v>4737.7084148388376</v>
      </c>
      <c r="AR16" s="2">
        <f t="shared" si="18"/>
        <v>463.10914863390207</v>
      </c>
      <c r="AS16" s="2">
        <f t="shared" si="19"/>
        <v>191.85627557437303</v>
      </c>
      <c r="AX16" s="2">
        <f t="shared" si="28"/>
        <v>0.01</v>
      </c>
      <c r="AY16" s="37">
        <f t="shared" si="20"/>
        <v>21418.017678505221</v>
      </c>
      <c r="AZ16" s="37">
        <f t="shared" si="21"/>
        <v>21249.904314716554</v>
      </c>
      <c r="BA16" s="37">
        <f t="shared" si="22"/>
        <v>21204.786669183137</v>
      </c>
      <c r="BB16" s="37">
        <f t="shared" si="23"/>
        <v>22254.922121125535</v>
      </c>
      <c r="BC16" s="37">
        <f t="shared" si="24"/>
        <v>32193.295166802207</v>
      </c>
      <c r="BD16" s="37">
        <f t="shared" si="25"/>
        <v>-740.99503141660125</v>
      </c>
      <c r="BE16" s="37">
        <f t="shared" si="26"/>
        <v>-271.00096000928653</v>
      </c>
    </row>
    <row r="17" spans="1:57" x14ac:dyDescent="0.25">
      <c r="A17" s="2">
        <f>'creep_res-40'!A17</f>
        <v>0.1</v>
      </c>
      <c r="B17" s="3">
        <f>'creep_res-40'!O17</f>
        <v>-5.5891965714285712E-4</v>
      </c>
      <c r="C17" s="2">
        <f>IF('Modell einstellen'!$B$2="Ja",creep_res0!O17,creep_res0!C17)</f>
        <v>-5.6189088571428577E-4</v>
      </c>
      <c r="D17" s="2">
        <f>IF('Modell einstellen'!$B$2="Ja",creep_res25!O17,creep_res25!C17)</f>
        <v>-5.7441494285714293E-4</v>
      </c>
      <c r="E17" s="2">
        <f>IF('Modell einstellen'!$B$2="Ja",creep_res50!O17,creep_res50!C17)</f>
        <v>-6.1619954285714292E-4</v>
      </c>
      <c r="F17" s="2">
        <f>IF('Modell einstellen'!$B$2="Ja",creep_res80!O17,creep_res80!C17)</f>
        <v>-7.7937257142857153E-4</v>
      </c>
      <c r="G17" s="2">
        <f>IF('Modell einstellen'!$B$2="Ja",creep_res125!O17,creep_res125!C17)</f>
        <v>-1.0000507142857143E-2</v>
      </c>
      <c r="H17" s="2">
        <f>IF('Modell einstellen'!$B$2="Ja",creep_res160!O17,creep_res160!C17)</f>
        <v>-1.5647893142857142E-2</v>
      </c>
      <c r="M17" s="9">
        <f t="shared" si="27"/>
        <v>-10</v>
      </c>
      <c r="N17" s="2">
        <f t="shared" si="4"/>
        <v>0.1</v>
      </c>
      <c r="O17" s="2">
        <f t="shared" si="5"/>
        <v>17891.659153873792</v>
      </c>
      <c r="P17" s="2">
        <f t="shared" si="6"/>
        <v>17797.049666124803</v>
      </c>
      <c r="Q17" s="2">
        <f t="shared" si="7"/>
        <v>17409.017861304143</v>
      </c>
      <c r="R17" s="2">
        <f t="shared" si="8"/>
        <v>16228.509280667151</v>
      </c>
      <c r="S17" s="2">
        <f t="shared" si="9"/>
        <v>12830.833886892166</v>
      </c>
      <c r="T17" s="2">
        <f t="shared" si="10"/>
        <v>999.94928828609397</v>
      </c>
      <c r="U17" s="2">
        <f t="shared" si="11"/>
        <v>639.0636687447435</v>
      </c>
      <c r="Z17" s="2">
        <v>0.1</v>
      </c>
      <c r="AA17" s="3">
        <f>IF('Modell einstellen'!$B$2="Ja",'creep_res-40'!P17,'creep_res-40'!L17)</f>
        <v>0.36077529773254408</v>
      </c>
      <c r="AB17" s="2">
        <f>IF('Modell einstellen'!$B$2="Ja",creep_res0!P17,creep_res0!L17)</f>
        <v>0.36045809300748322</v>
      </c>
      <c r="AC17" s="2">
        <f>IF('Modell einstellen'!$B$2="Ja",creep_res25!P17,creep_res25!L17)</f>
        <v>0.36504682055873694</v>
      </c>
      <c r="AD17" s="2">
        <f>IF('Modell einstellen'!$B$2="Ja",creep_res50!P17,creep_res50!L17)</f>
        <v>0.38217742453001313</v>
      </c>
      <c r="AE17" s="2">
        <f>IF('Modell einstellen'!$B$2="Ja",creep_res80!P17,creep_res80!L17)</f>
        <v>0.44536092035938063</v>
      </c>
      <c r="AF17" s="2">
        <f>IF('Modell einstellen'!$B$2="Ja",creep_res125!P17,creep_res125!L17)</f>
        <v>0.94335710117558313</v>
      </c>
      <c r="AG17" s="2">
        <f>IF('Modell einstellen'!$B$2="Ja",creep_res160!P17,creep_res160!L17)</f>
        <v>0.96903444381540293</v>
      </c>
      <c r="AL17" s="2">
        <f t="shared" si="12"/>
        <v>0.1</v>
      </c>
      <c r="AM17" s="2">
        <f t="shared" si="13"/>
        <v>6574.0681741087647</v>
      </c>
      <c r="AN17" s="2">
        <f t="shared" si="14"/>
        <v>6540.8297975507394</v>
      </c>
      <c r="AO17" s="2">
        <f t="shared" si="15"/>
        <v>6376.7108933957061</v>
      </c>
      <c r="AP17" s="2">
        <f t="shared" si="16"/>
        <v>5870.6317266704709</v>
      </c>
      <c r="AQ17" s="2">
        <f t="shared" si="17"/>
        <v>4438.626264954587</v>
      </c>
      <c r="AR17" s="2">
        <f t="shared" si="18"/>
        <v>257.27368574751409</v>
      </c>
      <c r="AS17" s="2">
        <f t="shared" si="19"/>
        <v>162.27843823453597</v>
      </c>
      <c r="AX17" s="2">
        <f t="shared" si="28"/>
        <v>0.1</v>
      </c>
      <c r="AY17" s="37">
        <f t="shared" si="20"/>
        <v>21418.204842585139</v>
      </c>
      <c r="AZ17" s="37">
        <f t="shared" si="21"/>
        <v>21256.517187436755</v>
      </c>
      <c r="BA17" s="37">
        <f t="shared" si="22"/>
        <v>21500.071275807713</v>
      </c>
      <c r="BB17" s="37">
        <f t="shared" si="23"/>
        <v>22956.140077474745</v>
      </c>
      <c r="BC17" s="37">
        <f t="shared" si="24"/>
        <v>39138.146699166959</v>
      </c>
      <c r="BD17" s="37">
        <f t="shared" si="25"/>
        <v>-375.90063240770604</v>
      </c>
      <c r="BE17" s="37">
        <f t="shared" si="26"/>
        <v>-227.08483963573565</v>
      </c>
    </row>
    <row r="18" spans="1:57" x14ac:dyDescent="0.25">
      <c r="A18" s="2">
        <f>'creep_res-40'!A18</f>
        <v>1</v>
      </c>
      <c r="B18" s="3">
        <f>'creep_res-40'!O18</f>
        <v>-5.5897102857142866E-4</v>
      </c>
      <c r="C18" s="2">
        <f>IF('Modell einstellen'!$B$2="Ja",creep_res0!O18,creep_res0!C18)</f>
        <v>-5.6361988571428567E-4</v>
      </c>
      <c r="D18" s="2">
        <f>IF('Modell einstellen'!$B$2="Ja",creep_res25!O18,creep_res25!C18)</f>
        <v>-5.8573588571428576E-4</v>
      </c>
      <c r="E18" s="2">
        <f>IF('Modell einstellen'!$B$2="Ja",creep_res50!O18,creep_res50!C18)</f>
        <v>-6.345624E-4</v>
      </c>
      <c r="F18" s="2">
        <f>IF('Modell einstellen'!$B$2="Ja",creep_res80!O18,creep_res80!C18)</f>
        <v>-8.3077111428571425E-4</v>
      </c>
      <c r="G18" s="2">
        <f>IF('Modell einstellen'!$B$2="Ja",creep_res125!O18,creep_res125!C18)</f>
        <v>-1.4185493714285716E-2</v>
      </c>
      <c r="H18" s="2">
        <f>IF('Modell einstellen'!$B$2="Ja",creep_res160!O18,creep_res160!C18)</f>
        <v>-1.7303699142857145E-2</v>
      </c>
      <c r="M18" s="9">
        <f t="shared" si="27"/>
        <v>-10</v>
      </c>
      <c r="N18" s="2">
        <f t="shared" si="4"/>
        <v>1</v>
      </c>
      <c r="O18" s="2">
        <f t="shared" si="5"/>
        <v>17890.014846667746</v>
      </c>
      <c r="P18" s="2">
        <f t="shared" si="6"/>
        <v>17742.454184927879</v>
      </c>
      <c r="Q18" s="2">
        <f t="shared" si="7"/>
        <v>17072.541129702728</v>
      </c>
      <c r="R18" s="2">
        <f t="shared" si="8"/>
        <v>15758.891481751834</v>
      </c>
      <c r="S18" s="2">
        <f t="shared" si="9"/>
        <v>12037.009746779489</v>
      </c>
      <c r="T18" s="2">
        <f t="shared" si="10"/>
        <v>704.94550287871539</v>
      </c>
      <c r="U18" s="2">
        <f t="shared" si="11"/>
        <v>577.91111122779409</v>
      </c>
      <c r="Z18" s="2">
        <v>1</v>
      </c>
      <c r="AA18" s="3">
        <f>IF('Modell einstellen'!$B$2="Ja",'creep_res-40'!P18,'creep_res-40'!L18)</f>
        <v>0.36080044220027546</v>
      </c>
      <c r="AB18" s="2">
        <f>IF('Modell einstellen'!$B$2="Ja",creep_res0!P18,creep_res0!L18)</f>
        <v>0.36128752630445571</v>
      </c>
      <c r="AC18" s="2">
        <f>IF('Modell einstellen'!$B$2="Ja",creep_res25!P18,creep_res25!L18)</f>
        <v>0.37010785358354592</v>
      </c>
      <c r="AD18" s="2">
        <f>IF('Modell einstellen'!$B$2="Ja",creep_res50!P18,creep_res50!L18)</f>
        <v>0.38988561025902041</v>
      </c>
      <c r="AE18" s="2">
        <f>IF('Modell einstellen'!$B$2="Ja",creep_res80!P18,creep_res80!L18)</f>
        <v>0.4624481234972439</v>
      </c>
      <c r="AF18" s="2">
        <f>IF('Modell einstellen'!$B$2="Ja",creep_res125!P18,creep_res125!L18)</f>
        <v>0.9583911757902861</v>
      </c>
      <c r="AG18" s="2">
        <f>IF('Modell einstellen'!$B$2="Ja",creep_res160!P18,creep_res160!L18)</f>
        <v>0.96155254796303102</v>
      </c>
      <c r="AL18" s="2">
        <f t="shared" si="12"/>
        <v>1</v>
      </c>
      <c r="AM18" s="2">
        <f t="shared" si="13"/>
        <v>6573.3425313051102</v>
      </c>
      <c r="AN18" s="2">
        <f t="shared" si="14"/>
        <v>6516.7915822655277</v>
      </c>
      <c r="AO18" s="2">
        <f t="shared" si="15"/>
        <v>6230.3639399807598</v>
      </c>
      <c r="AP18" s="2">
        <f t="shared" si="16"/>
        <v>5669.1325406322439</v>
      </c>
      <c r="AQ18" s="2">
        <f t="shared" si="17"/>
        <v>4115.3629839514006</v>
      </c>
      <c r="AR18" s="2">
        <f t="shared" si="18"/>
        <v>179.98076982609024</v>
      </c>
      <c r="AS18" s="2">
        <f t="shared" si="19"/>
        <v>147.30961753431595</v>
      </c>
      <c r="AX18" s="2">
        <f t="shared" si="28"/>
        <v>1</v>
      </c>
      <c r="AY18" s="37">
        <f t="shared" si="20"/>
        <v>21420.104979077681</v>
      </c>
      <c r="AZ18" s="37">
        <f t="shared" si="21"/>
        <v>21318.022948522812</v>
      </c>
      <c r="BA18" s="37">
        <f t="shared" si="22"/>
        <v>21906.047441038187</v>
      </c>
      <c r="BB18" s="37">
        <f t="shared" si="23"/>
        <v>23852.304133942343</v>
      </c>
      <c r="BC18" s="37">
        <f t="shared" si="24"/>
        <v>53423.91587229132</v>
      </c>
      <c r="BD18" s="37">
        <f t="shared" si="25"/>
        <v>-256.31147227887442</v>
      </c>
      <c r="BE18" s="37">
        <f t="shared" si="26"/>
        <v>-208.6837543483359</v>
      </c>
    </row>
    <row r="19" spans="1:57" x14ac:dyDescent="0.25">
      <c r="A19" s="2">
        <f>'creep_res-40'!A19</f>
        <v>10</v>
      </c>
      <c r="B19" s="3">
        <f>'creep_res-40'!O19</f>
        <v>-5.5947377142857152E-4</v>
      </c>
      <c r="C19" s="2">
        <f>IF('Modell einstellen'!$B$2="Ja",creep_res0!O19,creep_res0!C19)</f>
        <v>-5.7295888571428581E-4</v>
      </c>
      <c r="D19" s="2">
        <f>IF('Modell einstellen'!$B$2="Ja",creep_res25!O19,creep_res25!C19)</f>
        <v>-5.9907651428571431E-4</v>
      </c>
      <c r="E19" s="2">
        <f>IF('Modell einstellen'!$B$2="Ja",creep_res50!O19,creep_res50!C19)</f>
        <v>-6.5908922857142857E-4</v>
      </c>
      <c r="F19" s="2">
        <f>IF('Modell einstellen'!$B$2="Ja",creep_res80!O19,creep_res80!C19)</f>
        <v>-9.2215834285714292E-4</v>
      </c>
      <c r="G19" s="2">
        <f>IF('Modell einstellen'!$B$2="Ja",creep_res125!O19,creep_res125!C19)</f>
        <v>-1.6304024571428571E-2</v>
      </c>
      <c r="H19" s="2">
        <f>IF('Modell einstellen'!$B$2="Ja",creep_res160!O19,creep_res160!C19)</f>
        <v>-1.8197246571428575E-2</v>
      </c>
      <c r="M19" s="9">
        <f t="shared" si="27"/>
        <v>-10</v>
      </c>
      <c r="N19" s="2">
        <f t="shared" si="4"/>
        <v>10</v>
      </c>
      <c r="O19" s="2">
        <f t="shared" si="5"/>
        <v>17873.938888083707</v>
      </c>
      <c r="P19" s="2">
        <f t="shared" si="6"/>
        <v>17453.259298934485</v>
      </c>
      <c r="Q19" s="2">
        <f t="shared" si="7"/>
        <v>16692.358591161119</v>
      </c>
      <c r="R19" s="2">
        <f t="shared" si="8"/>
        <v>15172.452479120213</v>
      </c>
      <c r="S19" s="2">
        <f t="shared" si="9"/>
        <v>10844.124631586357</v>
      </c>
      <c r="T19" s="2">
        <f t="shared" si="10"/>
        <v>613.34549369633294</v>
      </c>
      <c r="U19" s="2">
        <f t="shared" si="11"/>
        <v>549.5336869095878</v>
      </c>
      <c r="Z19" s="2">
        <v>10</v>
      </c>
      <c r="AA19" s="3">
        <f>IF('Modell einstellen'!$B$2="Ja",'creep_res-40'!P19,'creep_res-40'!L19)</f>
        <v>0.36104632914746104</v>
      </c>
      <c r="AB19" s="2">
        <f>IF('Modell einstellen'!$B$2="Ja",creep_res0!P19,creep_res0!L19)</f>
        <v>0.36549577902897135</v>
      </c>
      <c r="AC19" s="2">
        <f>IF('Modell einstellen'!$B$2="Ja",creep_res25!P19,creep_res25!L19)</f>
        <v>0.37582354135732149</v>
      </c>
      <c r="AD19" s="2">
        <f>IF('Modell einstellen'!$B$2="Ja",creep_res50!P19,creep_res50!L19)</f>
        <v>0.3987869017344845</v>
      </c>
      <c r="AE19" s="2">
        <f>IF('Modell einstellen'!$B$2="Ja",creep_res80!P19,creep_res80!L19)</f>
        <v>0.48039075532798176</v>
      </c>
      <c r="AF19" s="2">
        <f>IF('Modell einstellen'!$B$2="Ja",creep_res125!P19,creep_res125!L19)</f>
        <v>0.94640564294677398</v>
      </c>
      <c r="AG19" s="2">
        <f>IF('Modell einstellen'!$B$2="Ja",creep_res160!P19,creep_res160!L19)</f>
        <v>0.93407994864152366</v>
      </c>
      <c r="AL19" s="2">
        <f t="shared" si="12"/>
        <v>10</v>
      </c>
      <c r="AM19" s="2">
        <f t="shared" si="13"/>
        <v>6566.2492544539882</v>
      </c>
      <c r="AN19" s="2">
        <f t="shared" si="14"/>
        <v>6390.814079024768</v>
      </c>
      <c r="AO19" s="2">
        <f t="shared" si="15"/>
        <v>6066.3152248046426</v>
      </c>
      <c r="AP19" s="2">
        <f t="shared" si="16"/>
        <v>5423.4324257349326</v>
      </c>
      <c r="AQ19" s="2">
        <f t="shared" si="17"/>
        <v>3662.5886079597385</v>
      </c>
      <c r="AR19" s="2">
        <f t="shared" si="18"/>
        <v>157.55849658546879</v>
      </c>
      <c r="AS19" s="2">
        <f t="shared" si="19"/>
        <v>142.06591803394016</v>
      </c>
      <c r="AX19" s="2">
        <f t="shared" si="28"/>
        <v>10</v>
      </c>
      <c r="AY19" s="37">
        <f t="shared" si="20"/>
        <v>21438.72699730254</v>
      </c>
      <c r="AZ19" s="37">
        <f t="shared" si="21"/>
        <v>21626.656240393881</v>
      </c>
      <c r="BA19" s="37">
        <f t="shared" si="22"/>
        <v>22404.083637132706</v>
      </c>
      <c r="BB19" s="37">
        <f t="shared" si="23"/>
        <v>24984.336248848347</v>
      </c>
      <c r="BC19" s="37">
        <f t="shared" si="24"/>
        <v>92168.471325335064</v>
      </c>
      <c r="BD19" s="37">
        <f t="shared" si="25"/>
        <v>-228.99407873653888</v>
      </c>
      <c r="BE19" s="37">
        <f t="shared" si="26"/>
        <v>-210.99557375293912</v>
      </c>
    </row>
    <row r="20" spans="1:57" x14ac:dyDescent="0.25">
      <c r="A20" s="2">
        <f>'creep_res-40'!A20</f>
        <v>100</v>
      </c>
      <c r="B20" s="3">
        <f>'creep_res-40'!O20</f>
        <v>-5.6355397142857143E-4</v>
      </c>
      <c r="C20" s="2">
        <f>IF('Modell einstellen'!$B$2="Ja",creep_res0!O20,creep_res0!C20)</f>
        <v>-5.846362000000001E-4</v>
      </c>
      <c r="D20" s="2">
        <f>IF('Modell einstellen'!$B$2="Ja",creep_res25!O20,creep_res25!C20)</f>
        <v>-6.1825137142857149E-4</v>
      </c>
      <c r="E20" s="2">
        <f>IF('Modell einstellen'!$B$2="Ja",creep_res50!O20,creep_res50!C20)</f>
        <v>-7.0183665714285723E-4</v>
      </c>
      <c r="F20" s="2">
        <f>IF('Modell einstellen'!$B$2="Ja",creep_res80!O20,creep_res80!C20)</f>
        <v>-1.1030462571428572E-3</v>
      </c>
      <c r="G20" s="2">
        <f>IF('Modell einstellen'!$B$2="Ja",creep_res125!O20,creep_res125!C20)</f>
        <v>-1.8261522000000002E-2</v>
      </c>
      <c r="H20" s="2">
        <f>IF('Modell einstellen'!$B$2="Ja",creep_res160!O20,creep_res160!C20)</f>
        <v>-1.9020716E-2</v>
      </c>
      <c r="M20" s="9">
        <f t="shared" si="27"/>
        <v>-10</v>
      </c>
      <c r="N20" s="2">
        <f t="shared" si="4"/>
        <v>100</v>
      </c>
      <c r="O20" s="2">
        <f t="shared" si="5"/>
        <v>17744.529374268575</v>
      </c>
      <c r="P20" s="2">
        <f t="shared" si="6"/>
        <v>17104.654142182775</v>
      </c>
      <c r="Q20" s="2">
        <f t="shared" si="7"/>
        <v>16174.650736145324</v>
      </c>
      <c r="R20" s="2">
        <f t="shared" si="8"/>
        <v>14248.329576727314</v>
      </c>
      <c r="S20" s="2">
        <f t="shared" si="9"/>
        <v>9065.8029391281325</v>
      </c>
      <c r="T20" s="2">
        <f t="shared" si="10"/>
        <v>547.59948267181665</v>
      </c>
      <c r="U20" s="2">
        <f t="shared" si="11"/>
        <v>525.74256405489677</v>
      </c>
      <c r="Z20" s="2">
        <v>100</v>
      </c>
      <c r="AA20" s="3">
        <f>IF('Modell einstellen'!$B$2="Ja",'creep_res-40'!P20,'creep_res-40'!L20)</f>
        <v>0.36303105764137994</v>
      </c>
      <c r="AB20" s="2">
        <f>IF('Modell einstellen'!$B$2="Ja",creep_res0!P20,creep_res0!L20)</f>
        <v>0.37053284467454167</v>
      </c>
      <c r="AC20" s="2">
        <f>IF('Modell einstellen'!$B$2="Ja",creep_res25!P20,creep_res25!L20)</f>
        <v>0.3822597308778426</v>
      </c>
      <c r="AD20" s="2">
        <f>IF('Modell einstellen'!$B$2="Ja",creep_res50!P20,creep_res50!L20)</f>
        <v>0.40657534762972719</v>
      </c>
      <c r="AE20" s="2">
        <f>IF('Modell einstellen'!$B$2="Ja",creep_res80!P20,creep_res80!L20)</f>
        <v>0.49119802487754749</v>
      </c>
      <c r="AF20" s="2">
        <f>IF('Modell einstellen'!$B$2="Ja",creep_res125!P20,creep_res125!L20)</f>
        <v>0.91293941123073641</v>
      </c>
      <c r="AG20" s="2">
        <f>IF('Modell einstellen'!$B$2="Ja",creep_res160!P20,creep_res160!L20)</f>
        <v>0.87443271250747268</v>
      </c>
      <c r="AL20" s="2">
        <f t="shared" si="12"/>
        <v>100</v>
      </c>
      <c r="AM20" s="2">
        <f t="shared" si="13"/>
        <v>6509.2168204054406</v>
      </c>
      <c r="AN20" s="2">
        <f t="shared" si="14"/>
        <v>6240.1474757230608</v>
      </c>
      <c r="AO20" s="2">
        <f t="shared" si="15"/>
        <v>5850.8000974148181</v>
      </c>
      <c r="AP20" s="2">
        <f t="shared" si="16"/>
        <v>5064.9009314494624</v>
      </c>
      <c r="AQ20" s="2">
        <f t="shared" si="17"/>
        <v>3039.7716426269371</v>
      </c>
      <c r="AR20" s="2">
        <f t="shared" si="18"/>
        <v>143.13037816485394</v>
      </c>
      <c r="AS20" s="2">
        <f t="shared" si="19"/>
        <v>140.2404472955443</v>
      </c>
      <c r="AX20" s="2">
        <f t="shared" si="28"/>
        <v>100</v>
      </c>
      <c r="AY20" s="37">
        <f t="shared" si="20"/>
        <v>21591.91354953156</v>
      </c>
      <c r="AZ20" s="37">
        <f t="shared" si="21"/>
        <v>22019.296579100948</v>
      </c>
      <c r="BA20" s="37">
        <f t="shared" si="22"/>
        <v>22895.94836830191</v>
      </c>
      <c r="BB20" s="37">
        <f t="shared" si="23"/>
        <v>25418.575674324286</v>
      </c>
      <c r="BC20" s="37">
        <f t="shared" si="24"/>
        <v>171662.28437377722</v>
      </c>
      <c r="BD20" s="37">
        <f t="shared" si="25"/>
        <v>-221.01688035368008</v>
      </c>
      <c r="BE20" s="37">
        <f t="shared" si="26"/>
        <v>-234.01737548256389</v>
      </c>
    </row>
    <row r="21" spans="1:57" x14ac:dyDescent="0.25">
      <c r="A21" s="2">
        <f>'creep_res-40'!A21</f>
        <v>1000</v>
      </c>
      <c r="B21" s="3">
        <f>'creep_res-40'!O21</f>
        <v>-5.7474800000000003E-4</v>
      </c>
      <c r="C21" s="2">
        <f>IF('Modell einstellen'!$B$2="Ja",creep_res0!O21,creep_res0!C21)</f>
        <v>-6.0134048571428575E-4</v>
      </c>
      <c r="D21" s="2">
        <f>IF('Modell einstellen'!$B$2="Ja",creep_res25!O21,creep_res25!C21)</f>
        <v>-6.5297140000000005E-4</v>
      </c>
      <c r="E21" s="2">
        <f>IF('Modell einstellen'!$B$2="Ja",creep_res50!O21,creep_res50!C21)</f>
        <v>-7.7553539999999997E-4</v>
      </c>
      <c r="F21" s="2">
        <f>IF('Modell einstellen'!$B$2="Ja",creep_res80!O21,creep_res80!C21)</f>
        <v>-1.4169130571428574E-3</v>
      </c>
      <c r="G21" s="2">
        <f>IF('Modell einstellen'!$B$2="Ja",creep_res125!O21,creep_res125!C21)</f>
        <v>-1.960208028571429E-2</v>
      </c>
      <c r="H21" s="2">
        <f>IF('Modell einstellen'!$B$2="Ja",creep_res160!O21,creep_res160!C21)</f>
        <v>-2.0558336000000003E-2</v>
      </c>
      <c r="M21" s="9">
        <f t="shared" si="27"/>
        <v>-10</v>
      </c>
      <c r="N21" s="2">
        <f t="shared" si="4"/>
        <v>1000</v>
      </c>
      <c r="O21" s="2">
        <f t="shared" si="5"/>
        <v>17398.92961784991</v>
      </c>
      <c r="P21" s="2">
        <f t="shared" si="6"/>
        <v>16629.513956842227</v>
      </c>
      <c r="Q21" s="2">
        <f t="shared" si="7"/>
        <v>15314.606428397934</v>
      </c>
      <c r="R21" s="2">
        <f t="shared" si="8"/>
        <v>12894.317912502769</v>
      </c>
      <c r="S21" s="2">
        <f t="shared" si="9"/>
        <v>7057.5960533277594</v>
      </c>
      <c r="T21" s="2">
        <f t="shared" si="10"/>
        <v>510.14993583552734</v>
      </c>
      <c r="U21" s="2">
        <f t="shared" si="11"/>
        <v>486.42069085747011</v>
      </c>
      <c r="Z21" s="2">
        <v>1000</v>
      </c>
      <c r="AA21" s="3">
        <f>IF('Modell einstellen'!$B$2="Ja",'creep_res-40'!P21,'creep_res-40'!L21)</f>
        <v>0.36808177298075478</v>
      </c>
      <c r="AB21" s="2">
        <f>IF('Modell einstellen'!$B$2="Ja",creep_res0!P21,creep_res0!L21)</f>
        <v>0.37560725877333956</v>
      </c>
      <c r="AC21" s="2">
        <f>IF('Modell einstellen'!$B$2="Ja",creep_res25!P21,creep_res25!L21)</f>
        <v>0.38615340361220812</v>
      </c>
      <c r="AD21" s="2">
        <f>IF('Modell einstellen'!$B$2="Ja",creep_res50!P21,creep_res50!L21)</f>
        <v>0.40761974612266944</v>
      </c>
      <c r="AE21" s="2">
        <f>IF('Modell einstellen'!$B$2="Ja",creep_res80!P21,creep_res80!L21)</f>
        <v>0.49746286479478913</v>
      </c>
      <c r="AF21" s="2">
        <f>IF('Modell einstellen'!$B$2="Ja",creep_res125!P21,creep_res125!L21)</f>
        <v>0.83455311397634313</v>
      </c>
      <c r="AG21" s="2">
        <f>IF('Modell einstellen'!$B$2="Ja",creep_res160!P21,creep_res160!L21)</f>
        <v>0.77355324032895589</v>
      </c>
      <c r="AL21" s="2">
        <f t="shared" si="12"/>
        <v>1000</v>
      </c>
      <c r="AM21" s="2">
        <f t="shared" si="13"/>
        <v>6358.877795711509</v>
      </c>
      <c r="AN21" s="2">
        <f t="shared" si="14"/>
        <v>6044.4265071962272</v>
      </c>
      <c r="AO21" s="2">
        <f t="shared" si="15"/>
        <v>5524.1383776461034</v>
      </c>
      <c r="AP21" s="2">
        <f t="shared" si="16"/>
        <v>4580.1850776889687</v>
      </c>
      <c r="AQ21" s="2">
        <f t="shared" si="17"/>
        <v>2356.5178874385392</v>
      </c>
      <c r="AR21" s="2">
        <f t="shared" si="18"/>
        <v>139.03929298884987</v>
      </c>
      <c r="AS21" s="2">
        <f t="shared" si="19"/>
        <v>137.13168564571805</v>
      </c>
      <c r="AX21" s="2">
        <f t="shared" si="28"/>
        <v>1000</v>
      </c>
      <c r="AY21" s="37">
        <f t="shared" si="20"/>
        <v>21981.9631335095</v>
      </c>
      <c r="AZ21" s="37">
        <f t="shared" si="21"/>
        <v>22280.927585826728</v>
      </c>
      <c r="BA21" s="37">
        <f t="shared" si="22"/>
        <v>22419.944782878854</v>
      </c>
      <c r="BB21" s="37">
        <f t="shared" si="23"/>
        <v>23263.120582790365</v>
      </c>
      <c r="BC21" s="37">
        <f t="shared" si="24"/>
        <v>463619.75761957688</v>
      </c>
      <c r="BD21" s="37">
        <f t="shared" si="25"/>
        <v>-254.14496459277763</v>
      </c>
      <c r="BE21" s="37">
        <f t="shared" si="26"/>
        <v>-296.35954977328169</v>
      </c>
    </row>
    <row r="22" spans="1:57" x14ac:dyDescent="0.25">
      <c r="A22" s="2">
        <f>'creep_res-40'!A22</f>
        <v>10000</v>
      </c>
      <c r="B22" s="3">
        <f>'creep_res-40'!O22</f>
        <v>-5.8737985714285719E-4</v>
      </c>
      <c r="C22" s="2">
        <f>IF('Modell einstellen'!$B$2="Ja",creep_res0!O22,creep_res0!C22)</f>
        <v>-6.3636051428571437E-4</v>
      </c>
      <c r="D22" s="2">
        <f>IF('Modell einstellen'!$B$2="Ja",creep_res25!O22,creep_res25!C22)</f>
        <v>-7.1575365714285713E-4</v>
      </c>
      <c r="E22" s="2">
        <f>IF('Modell einstellen'!$B$2="Ja",creep_res50!O22,creep_res50!C22)</f>
        <v>-8.7162931428571438E-4</v>
      </c>
      <c r="F22" s="2">
        <f>IF('Modell einstellen'!$B$2="Ja",creep_res80!O22,creep_res80!C22)</f>
        <v>-1.989220685714286E-3</v>
      </c>
      <c r="G22" s="2">
        <f>IF('Modell einstellen'!$B$2="Ja",creep_res125!O22,creep_res125!C22)</f>
        <v>-2.1330320857142857E-2</v>
      </c>
      <c r="H22" s="2">
        <f>IF('Modell einstellen'!$B$2="Ja",creep_res160!O22,creep_res160!C22)</f>
        <v>-2.2364219142857147E-2</v>
      </c>
      <c r="M22" s="9">
        <f t="shared" si="27"/>
        <v>-10</v>
      </c>
      <c r="N22" s="2">
        <f t="shared" si="4"/>
        <v>10000</v>
      </c>
      <c r="O22" s="2">
        <f t="shared" si="5"/>
        <v>17024.758132909366</v>
      </c>
      <c r="P22" s="2">
        <f t="shared" si="6"/>
        <v>15714.36281087387</v>
      </c>
      <c r="Q22" s="2">
        <f t="shared" si="7"/>
        <v>13971.287327986509</v>
      </c>
      <c r="R22" s="2">
        <f t="shared" si="8"/>
        <v>11472.766961945093</v>
      </c>
      <c r="S22" s="2">
        <f t="shared" si="9"/>
        <v>5027.0943147814778</v>
      </c>
      <c r="T22" s="2">
        <f t="shared" si="10"/>
        <v>468.8162014520899</v>
      </c>
      <c r="U22" s="2">
        <f t="shared" si="11"/>
        <v>447.1428193456008</v>
      </c>
      <c r="Z22" s="2">
        <v>10000</v>
      </c>
      <c r="AA22" s="3">
        <f>IF('Modell einstellen'!$B$2="Ja",'creep_res-40'!P22,'creep_res-40'!L22)</f>
        <v>0.37337068078846036</v>
      </c>
      <c r="AB22" s="2">
        <f>IF('Modell einstellen'!$B$2="Ja",creep_res0!P22,creep_res0!L22)</f>
        <v>0.378942421586901</v>
      </c>
      <c r="AC22" s="2">
        <f>IF('Modell einstellen'!$B$2="Ja",creep_res25!P22,creep_res25!L22)</f>
        <v>0.38663081927070042</v>
      </c>
      <c r="AD22" s="2">
        <f>IF('Modell einstellen'!$B$2="Ja",creep_res50!P22,creep_res50!L22)</f>
        <v>0.40395769813812726</v>
      </c>
      <c r="AE22" s="2">
        <f>IF('Modell einstellen'!$B$2="Ja",creep_res80!P22,creep_res80!L22)</f>
        <v>0.50999228355385806</v>
      </c>
      <c r="AF22" s="2">
        <f>IF('Modell einstellen'!$B$2="Ja",creep_res125!P22,creep_res125!L22)</f>
        <v>0.7285927639183728</v>
      </c>
      <c r="AG22" s="2">
        <f>IF('Modell einstellen'!$B$2="Ja",creep_res160!P22,creep_res160!L22)</f>
        <v>0.67354571620762527</v>
      </c>
      <c r="AL22" s="2">
        <f t="shared" si="12"/>
        <v>10000</v>
      </c>
      <c r="AM22" s="2">
        <f t="shared" si="13"/>
        <v>6198.1657141301985</v>
      </c>
      <c r="AN22" s="2">
        <f t="shared" si="14"/>
        <v>5697.9764219559002</v>
      </c>
      <c r="AO22" s="2">
        <f t="shared" si="15"/>
        <v>5037.8540321693981</v>
      </c>
      <c r="AP22" s="2">
        <f t="shared" si="16"/>
        <v>4085.8663253030418</v>
      </c>
      <c r="AQ22" s="2">
        <f t="shared" si="17"/>
        <v>1664.6092730189016</v>
      </c>
      <c r="AR22" s="2">
        <f t="shared" si="18"/>
        <v>135.60631839895524</v>
      </c>
      <c r="AS22" s="2">
        <f t="shared" si="19"/>
        <v>133.5914564553571</v>
      </c>
      <c r="AX22" s="2">
        <f t="shared" si="28"/>
        <v>10000</v>
      </c>
      <c r="AY22" s="37">
        <f t="shared" si="20"/>
        <v>22407.604388033797</v>
      </c>
      <c r="AZ22" s="37">
        <f t="shared" si="21"/>
        <v>21634.832802797777</v>
      </c>
      <c r="BA22" s="37">
        <f t="shared" si="22"/>
        <v>20539.514116784583</v>
      </c>
      <c r="BB22" s="37">
        <f t="shared" si="23"/>
        <v>19909.225309289814</v>
      </c>
      <c r="BC22" s="37">
        <f t="shared" si="24"/>
        <v>-83849.607344267439</v>
      </c>
      <c r="BD22" s="37">
        <f t="shared" si="25"/>
        <v>-341.81324131173977</v>
      </c>
      <c r="BE22" s="37">
        <f t="shared" si="26"/>
        <v>-429.41885776718681</v>
      </c>
    </row>
    <row r="23" spans="1:57" x14ac:dyDescent="0.25">
      <c r="A23" s="2">
        <f>'creep_res-40'!A23</f>
        <v>100000</v>
      </c>
      <c r="B23" s="3">
        <f>'creep_res-40'!O23</f>
        <v>-6.0804631428571431E-4</v>
      </c>
      <c r="C23" s="2">
        <f>IF('Modell einstellen'!$B$2="Ja",creep_res0!O23,creep_res0!C23)</f>
        <v>-6.9439380000000002E-4</v>
      </c>
      <c r="D23" s="2">
        <f>IF('Modell einstellen'!$B$2="Ja",creep_res25!O23,creep_res25!C23)</f>
        <v>-7.9640562857142866E-4</v>
      </c>
      <c r="E23" s="2">
        <f>IF('Modell einstellen'!$B$2="Ja",creep_res50!O23,creep_res50!C23)</f>
        <v>-9.803556571428573E-4</v>
      </c>
      <c r="F23" s="2">
        <f>IF('Modell einstellen'!$B$2="Ja",creep_res80!O23,creep_res80!C23)</f>
        <v>-3.1422751428571431E-3</v>
      </c>
      <c r="G23" s="2">
        <f>IF('Modell einstellen'!$B$2="Ja",creep_res125!O23,creep_res125!C23)</f>
        <v>-2.3068337428571433E-2</v>
      </c>
      <c r="H23" s="2">
        <f>IF('Modell einstellen'!$B$2="Ja",creep_res160!O23,creep_res160!C23)</f>
        <v>-2.3917288000000002E-2</v>
      </c>
      <c r="M23" s="9">
        <f t="shared" si="27"/>
        <v>-10</v>
      </c>
      <c r="N23" s="2">
        <f t="shared" si="4"/>
        <v>100000</v>
      </c>
      <c r="O23" s="2">
        <f t="shared" si="5"/>
        <v>16446.115641285032</v>
      </c>
      <c r="P23" s="2">
        <f t="shared" si="6"/>
        <v>14401.050239791886</v>
      </c>
      <c r="Q23" s="2">
        <f t="shared" si="7"/>
        <v>12556.415526517228</v>
      </c>
      <c r="R23" s="2">
        <f t="shared" si="8"/>
        <v>10200.379757223965</v>
      </c>
      <c r="S23" s="2">
        <f t="shared" si="9"/>
        <v>3182.4075058263061</v>
      </c>
      <c r="T23" s="2">
        <f t="shared" si="10"/>
        <v>433.49461273331463</v>
      </c>
      <c r="U23" s="2">
        <f t="shared" si="11"/>
        <v>418.10760484215433</v>
      </c>
      <c r="Z23" s="2">
        <v>100000</v>
      </c>
      <c r="AA23" s="3">
        <f>IF('Modell einstellen'!$B$2="Ja",'creep_res-40'!P23,'creep_res-40'!L23)</f>
        <v>0.3785011301535724</v>
      </c>
      <c r="AB23" s="2">
        <f>IF('Modell einstellen'!$B$2="Ja",creep_res0!P23,creep_res0!L23)</f>
        <v>0.37883927370483844</v>
      </c>
      <c r="AC23" s="2">
        <f>IF('Modell einstellen'!$B$2="Ja",creep_res25!P23,creep_res25!L23)</f>
        <v>0.38556651515378187</v>
      </c>
      <c r="AD23" s="2">
        <f>IF('Modell einstellen'!$B$2="Ja",creep_res50!P23,creep_res50!L23)</f>
        <v>0.40049611149866071</v>
      </c>
      <c r="AE23" s="2">
        <f>IF('Modell einstellen'!$B$2="Ja",creep_res80!P23,creep_res80!L23)</f>
        <v>0.53011916843146323</v>
      </c>
      <c r="AF23" s="2">
        <f>IF('Modell einstellen'!$B$2="Ja",creep_res125!P23,creep_res125!L23)</f>
        <v>0.63917667185650529</v>
      </c>
      <c r="AG23" s="2">
        <f>IF('Modell einstellen'!$B$2="Ja",creep_res160!P23,creep_res160!L23)</f>
        <v>0.60064505880193675</v>
      </c>
      <c r="AL23" s="2">
        <f t="shared" si="12"/>
        <v>100000</v>
      </c>
      <c r="AM23" s="2">
        <f t="shared" si="13"/>
        <v>5965.2165970487267</v>
      </c>
      <c r="AN23" s="2">
        <f t="shared" si="14"/>
        <v>5222.1642197271249</v>
      </c>
      <c r="AO23" s="2">
        <f t="shared" si="15"/>
        <v>4531.1485912762591</v>
      </c>
      <c r="AP23" s="2">
        <f t="shared" si="16"/>
        <v>3641.7022773125063</v>
      </c>
      <c r="AQ23" s="2">
        <f t="shared" si="17"/>
        <v>1039.9214556238178</v>
      </c>
      <c r="AR23" s="2">
        <f t="shared" si="18"/>
        <v>132.22937471479068</v>
      </c>
      <c r="AS23" s="2">
        <f t="shared" si="19"/>
        <v>130.60597118111332</v>
      </c>
      <c r="AX23" s="2">
        <f t="shared" si="28"/>
        <v>100000</v>
      </c>
      <c r="AY23" s="37">
        <f t="shared" si="20"/>
        <v>22560.039258077912</v>
      </c>
      <c r="AZ23" s="37">
        <f t="shared" si="21"/>
        <v>19809.843613170575</v>
      </c>
      <c r="BA23" s="37">
        <f t="shared" si="22"/>
        <v>18287.793331633096</v>
      </c>
      <c r="BB23" s="37">
        <f t="shared" si="23"/>
        <v>17085.395540575068</v>
      </c>
      <c r="BC23" s="37">
        <f t="shared" si="24"/>
        <v>-17610.089474348857</v>
      </c>
      <c r="BD23" s="37">
        <f t="shared" si="25"/>
        <v>-519.11790358595283</v>
      </c>
      <c r="BE23" s="37">
        <f t="shared" si="26"/>
        <v>-692.37975154011986</v>
      </c>
    </row>
    <row r="24" spans="1:57" x14ac:dyDescent="0.25">
      <c r="A24" s="2">
        <f>'creep_res-40'!A24</f>
        <v>1000000</v>
      </c>
      <c r="B24" s="3">
        <f>'creep_res-40'!O24</f>
        <v>-6.5085985714285718E-4</v>
      </c>
      <c r="C24" s="2">
        <f>IF('Modell einstellen'!$B$2="Ja",creep_res0!O24,creep_res0!C24)</f>
        <v>-7.6528542857142866E-4</v>
      </c>
      <c r="D24" s="2">
        <f>IF('Modell einstellen'!$B$2="Ja",creep_res25!O24,creep_res25!C24)</f>
        <v>-8.8083740000000001E-4</v>
      </c>
      <c r="E24" s="2">
        <f>IF('Modell einstellen'!$B$2="Ja",creep_res50!O24,creep_res50!C24)</f>
        <v>-1.1055107142857144E-3</v>
      </c>
      <c r="F24" s="2">
        <f>IF('Modell einstellen'!$B$2="Ja",creep_res80!O24,creep_res80!C24)</f>
        <v>-5.4349865714285722E-3</v>
      </c>
      <c r="G24" s="2">
        <f>IF('Modell einstellen'!$B$2="Ja",creep_res125!O24,creep_res125!C24)</f>
        <v>-2.4452565714285716E-2</v>
      </c>
      <c r="H24" s="2">
        <f>IF('Modell einstellen'!$B$2="Ja",creep_res160!O24,creep_res160!C24)</f>
        <v>-2.5069089428571428E-2</v>
      </c>
      <c r="M24" s="9">
        <f t="shared" si="27"/>
        <v>-10</v>
      </c>
      <c r="N24" s="2">
        <f t="shared" si="4"/>
        <v>1000000</v>
      </c>
      <c r="O24" s="2">
        <f t="shared" si="5"/>
        <v>15364.29062301979</v>
      </c>
      <c r="P24" s="2">
        <f t="shared" si="6"/>
        <v>13067.019998887436</v>
      </c>
      <c r="Q24" s="2">
        <f t="shared" si="7"/>
        <v>11352.833110855647</v>
      </c>
      <c r="R24" s="2">
        <f t="shared" si="8"/>
        <v>9045.5930193866425</v>
      </c>
      <c r="S24" s="2">
        <f t="shared" si="9"/>
        <v>1839.9309489685686</v>
      </c>
      <c r="T24" s="2">
        <f t="shared" si="10"/>
        <v>408.9550404176108</v>
      </c>
      <c r="U24" s="2">
        <f t="shared" si="11"/>
        <v>398.89761566700247</v>
      </c>
      <c r="Z24" s="2">
        <v>1000000</v>
      </c>
      <c r="AA24" s="3">
        <f>IF('Modell einstellen'!$B$2="Ja",'creep_res-40'!P24,'creep_res-40'!L24)</f>
        <v>0.3809584420082533</v>
      </c>
      <c r="AB24" s="2">
        <f>IF('Modell einstellen'!$B$2="Ja",creep_res0!P24,creep_res0!L24)</f>
        <v>0.37802082434975703</v>
      </c>
      <c r="AC24" s="2">
        <f>IF('Modell einstellen'!$B$2="Ja",creep_res25!P24,creep_res25!L24)</f>
        <v>0.38438805099394219</v>
      </c>
      <c r="AD24" s="2">
        <f>IF('Modell einstellen'!$B$2="Ja",creep_res50!P24,creep_res50!L24)</f>
        <v>0.39952771666618203</v>
      </c>
      <c r="AE24" s="2">
        <f>IF('Modell einstellen'!$B$2="Ja",creep_res80!P24,creep_res80!L24)</f>
        <v>0.54383764281084046</v>
      </c>
      <c r="AF24" s="2">
        <f>IF('Modell einstellen'!$B$2="Ja",creep_res125!P24,creep_res125!L24)</f>
        <v>0.57790711532695727</v>
      </c>
      <c r="AG24" s="2">
        <f>IF('Modell einstellen'!$B$2="Ja",creep_res160!P24,creep_res160!L24)</f>
        <v>0.55305926947281125</v>
      </c>
      <c r="AL24" s="2">
        <f t="shared" si="12"/>
        <v>1000000</v>
      </c>
      <c r="AM24" s="2">
        <f t="shared" si="13"/>
        <v>5562.9083959530062</v>
      </c>
      <c r="AN24" s="2">
        <f t="shared" si="14"/>
        <v>4741.2273341563377</v>
      </c>
      <c r="AO24" s="2">
        <f t="shared" si="15"/>
        <v>4100.3073895013431</v>
      </c>
      <c r="AP24" s="2">
        <f t="shared" si="16"/>
        <v>3231.6591203117327</v>
      </c>
      <c r="AQ24" s="2">
        <f t="shared" si="17"/>
        <v>595.89522173414423</v>
      </c>
      <c r="AR24" s="2">
        <f t="shared" si="18"/>
        <v>129.58780540541244</v>
      </c>
      <c r="AS24" s="2">
        <f t="shared" si="19"/>
        <v>128.42317853149575</v>
      </c>
      <c r="AX24" s="2">
        <f t="shared" si="28"/>
        <v>1000000</v>
      </c>
      <c r="AY24" s="37">
        <f t="shared" si="20"/>
        <v>21511.102064156192</v>
      </c>
      <c r="AZ24" s="37">
        <f t="shared" si="21"/>
        <v>17854.167769799165</v>
      </c>
      <c r="BA24" s="37">
        <f t="shared" si="22"/>
        <v>16366.291443716864</v>
      </c>
      <c r="BB24" s="37">
        <f t="shared" si="23"/>
        <v>15005.121676746025</v>
      </c>
      <c r="BC24" s="37">
        <f t="shared" si="24"/>
        <v>-6995.2474288968015</v>
      </c>
      <c r="BD24" s="37">
        <f t="shared" si="25"/>
        <v>-874.87738593436063</v>
      </c>
      <c r="BE24" s="37">
        <f t="shared" si="26"/>
        <v>-1252.9938049480259</v>
      </c>
    </row>
    <row r="25" spans="1:57" x14ac:dyDescent="0.25">
      <c r="A25" s="2">
        <f>'creep_res-40'!A25</f>
        <v>10000000</v>
      </c>
      <c r="B25" s="3">
        <f>'creep_res-40'!O25</f>
        <v>-7.1475934285714299E-4</v>
      </c>
      <c r="C25" s="2">
        <f>IF('Modell einstellen'!$B$2="Ja",creep_res0!O25,creep_res0!C25)</f>
        <v>-8.4155414285714278E-4</v>
      </c>
      <c r="D25" s="2">
        <f>IF('Modell einstellen'!$B$2="Ja",creep_res25!O25,creep_res25!C25)</f>
        <v>-9.6669668571428577E-4</v>
      </c>
      <c r="E25" s="2">
        <f>IF('Modell einstellen'!$B$2="Ja",creep_res50!O25,creep_res50!C25)</f>
        <v>-1.2797674857142859E-3</v>
      </c>
      <c r="F25" s="2">
        <f>IF('Modell einstellen'!$B$2="Ja",creep_res80!O25,creep_res80!C25)</f>
        <v>-9.7543965714285731E-3</v>
      </c>
      <c r="G25" s="2">
        <f>IF('Modell einstellen'!$B$2="Ja",creep_res125!O25,creep_res125!C25)</f>
        <v>-2.5445066857142859E-2</v>
      </c>
      <c r="H25" s="2">
        <f>IF('Modell einstellen'!$B$2="Ja",creep_res160!O25,creep_res160!C25)</f>
        <v>-2.5863646571428575E-2</v>
      </c>
      <c r="M25" s="9">
        <f t="shared" si="27"/>
        <v>-10</v>
      </c>
      <c r="N25" s="2">
        <f t="shared" si="4"/>
        <v>10000000</v>
      </c>
      <c r="O25" s="2">
        <f t="shared" si="5"/>
        <v>13990.723031372356</v>
      </c>
      <c r="P25" s="2">
        <f t="shared" si="6"/>
        <v>11882.776746899743</v>
      </c>
      <c r="Q25" s="2">
        <f t="shared" si="7"/>
        <v>10344.506345970418</v>
      </c>
      <c r="R25" s="2">
        <f t="shared" si="8"/>
        <v>7813.9194124146916</v>
      </c>
      <c r="S25" s="2">
        <f t="shared" si="9"/>
        <v>1025.1787413781001</v>
      </c>
      <c r="T25" s="2">
        <f t="shared" si="10"/>
        <v>393.00348692905209</v>
      </c>
      <c r="U25" s="2">
        <f t="shared" si="11"/>
        <v>386.6430811441316</v>
      </c>
      <c r="Z25" s="2">
        <v>10000000</v>
      </c>
      <c r="AA25" s="3">
        <f>IF('Modell einstellen'!$B$2="Ja",'creep_res-40'!P25,'creep_res-40'!L25)</f>
        <v>0.38013288148894225</v>
      </c>
      <c r="AB25" s="2">
        <f>IF('Modell einstellen'!$B$2="Ja",creep_res0!P25,creep_res0!L25)</f>
        <v>0.37813806734105387</v>
      </c>
      <c r="AC25" s="2">
        <f>IF('Modell einstellen'!$B$2="Ja",creep_res25!P25,creep_res25!L25)</f>
        <v>0.38410195379942486</v>
      </c>
      <c r="AD25" s="2">
        <f>IF('Modell einstellen'!$B$2="Ja",creep_res50!P25,creep_res50!L25)</f>
        <v>0.40249532381574127</v>
      </c>
      <c r="AE25" s="2">
        <f>IF('Modell einstellen'!$B$2="Ja",creep_res80!P25,creep_res80!L25)</f>
        <v>0.54526102632459827</v>
      </c>
      <c r="AF25" s="2">
        <f>IF('Modell einstellen'!$B$2="Ja",creep_res125!P25,creep_res125!L25)</f>
        <v>0.5386129069935689</v>
      </c>
      <c r="AG25" s="2">
        <f>IF('Modell einstellen'!$B$2="Ja",creep_res160!P25,creep_res160!L25)</f>
        <v>0.52310775136194199</v>
      </c>
      <c r="AL25" s="2">
        <f t="shared" si="12"/>
        <v>10000000</v>
      </c>
      <c r="AM25" s="2">
        <f t="shared" si="13"/>
        <v>5068.6144859756578</v>
      </c>
      <c r="AN25" s="2">
        <f t="shared" si="14"/>
        <v>4311.1706397553053</v>
      </c>
      <c r="AO25" s="2">
        <f t="shared" si="15"/>
        <v>3736.9018653482362</v>
      </c>
      <c r="AP25" s="2">
        <f t="shared" si="16"/>
        <v>2785.7203085552951</v>
      </c>
      <c r="AQ25" s="2">
        <f t="shared" si="17"/>
        <v>331.71701217899948</v>
      </c>
      <c r="AR25" s="2">
        <f t="shared" si="18"/>
        <v>127.7135675720335</v>
      </c>
      <c r="AS25" s="2">
        <f t="shared" si="19"/>
        <v>126.92571513683149</v>
      </c>
      <c r="AX25" s="2">
        <f t="shared" si="28"/>
        <v>10000000</v>
      </c>
      <c r="AY25" s="37">
        <f t="shared" si="20"/>
        <v>19453.10107442255</v>
      </c>
      <c r="AZ25" s="37">
        <f t="shared" si="21"/>
        <v>16251.693600598475</v>
      </c>
      <c r="BA25" s="37">
        <f t="shared" si="22"/>
        <v>14875.871056629718</v>
      </c>
      <c r="BB25" s="37">
        <f t="shared" si="23"/>
        <v>13356.486612068389</v>
      </c>
      <c r="BC25" s="37">
        <f t="shared" si="24"/>
        <v>-3775.0607407273196</v>
      </c>
      <c r="BD25" s="37">
        <f t="shared" si="25"/>
        <v>-1696.3390289612576</v>
      </c>
      <c r="BE25" s="37">
        <f t="shared" si="26"/>
        <v>-2788.6968539117224</v>
      </c>
    </row>
    <row r="26" spans="1:57" x14ac:dyDescent="0.25">
      <c r="A26" s="2">
        <f>'creep_res-40'!A26</f>
        <v>100000000</v>
      </c>
      <c r="B26" s="3">
        <f>'creep_res-40'!O26</f>
        <v>-7.9079345714285724E-4</v>
      </c>
      <c r="C26" s="2">
        <f>IF('Modell einstellen'!$B$2="Ja",creep_res0!O26,creep_res0!C26)</f>
        <v>-9.1760622857142856E-4</v>
      </c>
      <c r="D26" s="2">
        <f>IF('Modell einstellen'!$B$2="Ja",creep_res25!O26,creep_res25!C26)</f>
        <v>-1.0590879428571428E-3</v>
      </c>
      <c r="E26" s="2">
        <f>IF('Modell einstellen'!$B$2="Ja",creep_res50!O26,creep_res50!C26)</f>
        <v>-1.5468386571428571E-3</v>
      </c>
      <c r="F26" s="2">
        <f>IF('Modell einstellen'!$B$2="Ja",creep_res80!O26,creep_res80!C26)</f>
        <v>-1.6865644857142859E-2</v>
      </c>
      <c r="G26" s="2">
        <f>IF('Modell einstellen'!$B$2="Ja",creep_res125!O26,creep_res125!C26)</f>
        <v>-2.6120219142857143E-2</v>
      </c>
      <c r="H26" s="2">
        <f>IF('Modell einstellen'!$B$2="Ja",creep_res160!O26,creep_res160!C26)</f>
        <v>-2.6408451142857142E-2</v>
      </c>
      <c r="M26" s="9">
        <f t="shared" si="27"/>
        <v>-10</v>
      </c>
      <c r="N26" s="2">
        <f t="shared" si="4"/>
        <v>100000000</v>
      </c>
      <c r="O26" s="2">
        <f t="shared" si="5"/>
        <v>12645.526982646108</v>
      </c>
      <c r="P26" s="2">
        <f t="shared" si="6"/>
        <v>10897.920795032591</v>
      </c>
      <c r="Q26" s="2">
        <f t="shared" si="7"/>
        <v>9442.0865306261639</v>
      </c>
      <c r="R26" s="2">
        <f t="shared" si="8"/>
        <v>6464.7983510257318</v>
      </c>
      <c r="S26" s="2">
        <f t="shared" si="9"/>
        <v>592.92129561028003</v>
      </c>
      <c r="T26" s="2">
        <f t="shared" si="10"/>
        <v>382.84518002348415</v>
      </c>
      <c r="U26" s="2">
        <f t="shared" si="11"/>
        <v>378.66666037719375</v>
      </c>
      <c r="Z26" s="2">
        <v>100000000</v>
      </c>
      <c r="AA26" s="3">
        <f>IF('Modell einstellen'!$B$2="Ja",'creep_res-40'!P26,'creep_res-40'!L26)</f>
        <v>0.37957977179592961</v>
      </c>
      <c r="AB26" s="2">
        <f>IF('Modell einstellen'!$B$2="Ja",creep_res0!P26,creep_res0!L26)</f>
        <v>0.37869505680899296</v>
      </c>
      <c r="AC26" s="2">
        <f>IF('Modell einstellen'!$B$2="Ja",creep_res25!P26,creep_res25!L26)</f>
        <v>0.38495742886912027</v>
      </c>
      <c r="AD26" s="2">
        <f>IF('Modell einstellen'!$B$2="Ja",creep_res50!P26,creep_res50!L26)</f>
        <v>0.40835872198177181</v>
      </c>
      <c r="AE26" s="2">
        <f>IF('Modell einstellen'!$B$2="Ja",creep_res80!P26,creep_res80!L26)</f>
        <v>0.53824100953015952</v>
      </c>
      <c r="AF26" s="2">
        <f>IF('Modell einstellen'!$B$2="Ja",creep_res125!P26,creep_res125!L26)</f>
        <v>0.51397926906476299</v>
      </c>
      <c r="AG26" s="2">
        <f>IF('Modell einstellen'!$B$2="Ja",creep_res160!P26,creep_res160!L26)</f>
        <v>0.50409092526538513</v>
      </c>
      <c r="AL26" s="2">
        <f t="shared" si="12"/>
        <v>100000000</v>
      </c>
      <c r="AM26" s="2">
        <f t="shared" si="13"/>
        <v>4583.1082918040429</v>
      </c>
      <c r="AN26" s="2">
        <f t="shared" si="14"/>
        <v>3952.2593271118144</v>
      </c>
      <c r="AO26" s="2">
        <f t="shared" si="15"/>
        <v>3408.8002756648089</v>
      </c>
      <c r="AP26" s="2">
        <f t="shared" si="16"/>
        <v>2295.1533050928924</v>
      </c>
      <c r="AQ26" s="2">
        <f t="shared" si="17"/>
        <v>192.72704730170403</v>
      </c>
      <c r="AR26" s="2">
        <f t="shared" si="18"/>
        <v>126.4367312836393</v>
      </c>
      <c r="AS26" s="2">
        <f t="shared" si="19"/>
        <v>125.87891264299097</v>
      </c>
      <c r="AX26" s="2">
        <f t="shared" si="28"/>
        <v>100000000</v>
      </c>
      <c r="AY26" s="37">
        <f t="shared" si="20"/>
        <v>17501.941840447187</v>
      </c>
      <c r="AZ26" s="37">
        <f t="shared" si="21"/>
        <v>14973.174915431517</v>
      </c>
      <c r="BA26" s="37">
        <f t="shared" si="22"/>
        <v>13679.119589976604</v>
      </c>
      <c r="BB26" s="37">
        <f t="shared" si="23"/>
        <v>11757.435242482163</v>
      </c>
      <c r="BC26" s="37">
        <f t="shared" si="24"/>
        <v>-2584.1424467915831</v>
      </c>
      <c r="BD26" s="37">
        <f t="shared" si="25"/>
        <v>-4564.4396504786673</v>
      </c>
      <c r="BE26" s="37">
        <f t="shared" si="26"/>
        <v>-15427.099242529001</v>
      </c>
    </row>
    <row r="27" spans="1:57" x14ac:dyDescent="0.25">
      <c r="A27" s="2">
        <f>'creep_res-40'!A27</f>
        <v>1000000000</v>
      </c>
      <c r="B27" s="3">
        <f>'creep_res-40'!O27</f>
        <v>-8.6991351428571432E-4</v>
      </c>
      <c r="C27" s="2">
        <f>IF('Modell einstellen'!$B$2="Ja",creep_res0!O27,creep_res0!C27)</f>
        <v>-9.9569642857142869E-4</v>
      </c>
      <c r="D27" s="2">
        <f>IF('Modell einstellen'!$B$2="Ja",creep_res25!O27,creep_res25!C27)</f>
        <v>-1.1709494857142858E-3</v>
      </c>
      <c r="E27" s="2">
        <f>IF('Modell einstellen'!$B$2="Ja",creep_res50!O27,creep_res50!C27)</f>
        <v>-2.0103361428571429E-3</v>
      </c>
      <c r="F27" s="2">
        <f>IF('Modell einstellen'!$B$2="Ja",creep_res80!O27,creep_res80!C27)</f>
        <v>-2.2093246E-2</v>
      </c>
      <c r="G27" s="2">
        <f>IF('Modell einstellen'!$B$2="Ja",creep_res125!O27,creep_res125!C27)</f>
        <v>-2.6581952857142859E-2</v>
      </c>
      <c r="H27" s="2">
        <f>IF('Modell einstellen'!$B$2="Ja",creep_res160!O27,creep_res160!C27)</f>
        <v>-2.6778495142857142E-2</v>
      </c>
      <c r="M27" s="9">
        <f t="shared" si="27"/>
        <v>-10</v>
      </c>
      <c r="N27" s="2">
        <f t="shared" si="4"/>
        <v>1000000000</v>
      </c>
      <c r="O27" s="2">
        <f t="shared" si="5"/>
        <v>11495.395617817245</v>
      </c>
      <c r="P27" s="2">
        <f t="shared" si="6"/>
        <v>10043.221722053837</v>
      </c>
      <c r="Q27" s="2">
        <f t="shared" si="7"/>
        <v>8540.0780494813098</v>
      </c>
      <c r="R27" s="2">
        <f t="shared" si="8"/>
        <v>4974.2925010479767</v>
      </c>
      <c r="S27" s="2">
        <f t="shared" si="9"/>
        <v>452.62701551415307</v>
      </c>
      <c r="T27" s="2">
        <f t="shared" si="10"/>
        <v>376.19508445230321</v>
      </c>
      <c r="U27" s="2">
        <f t="shared" si="11"/>
        <v>373.43397926777772</v>
      </c>
      <c r="Z27" s="2">
        <v>1000000000</v>
      </c>
      <c r="AA27" s="3">
        <f>IF('Modell einstellen'!$B$2="Ja",'creep_res-40'!P27,'creep_res-40'!L27)</f>
        <v>0.37967610113491412</v>
      </c>
      <c r="AB27" s="2">
        <f>IF('Modell einstellen'!$B$2="Ja",creep_res0!P27,creep_res0!L27)</f>
        <v>0.37986015531125017</v>
      </c>
      <c r="AC27" s="2">
        <f>IF('Modell einstellen'!$B$2="Ja",creep_res25!P27,creep_res25!L27)</f>
        <v>0.38717310045239967</v>
      </c>
      <c r="AD27" s="2">
        <f>IF('Modell einstellen'!$B$2="Ja",creep_res50!P27,creep_res50!L27)</f>
        <v>0.41756908741558713</v>
      </c>
      <c r="AE27" s="2">
        <f>IF('Modell einstellen'!$B$2="Ja",creep_res80!P27,creep_res80!L27)</f>
        <v>0.51997413922012958</v>
      </c>
      <c r="AF27" s="2">
        <f>IF('Modell einstellen'!$B$2="Ja",creep_res125!P27,creep_res125!L27)</f>
        <v>0.49843173405458169</v>
      </c>
      <c r="AG27" s="2">
        <f>IF('Modell einstellen'!$B$2="Ja",creep_res160!P27,creep_res160!L27)</f>
        <v>0.49241029046196377</v>
      </c>
      <c r="AL27" s="2">
        <f t="shared" si="12"/>
        <v>1000000000</v>
      </c>
      <c r="AM27" s="2">
        <f t="shared" si="13"/>
        <v>4165.9762057055259</v>
      </c>
      <c r="AN27" s="2">
        <f t="shared" si="14"/>
        <v>3639.2172363975619</v>
      </c>
      <c r="AO27" s="2">
        <f t="shared" si="15"/>
        <v>3078.2308446927527</v>
      </c>
      <c r="AP27" s="2">
        <f t="shared" si="16"/>
        <v>1754.5150163075152</v>
      </c>
      <c r="AQ27" s="2">
        <f t="shared" si="17"/>
        <v>148.89299884614732</v>
      </c>
      <c r="AR27" s="2">
        <f t="shared" si="18"/>
        <v>125.52960401951817</v>
      </c>
      <c r="AS27" s="2">
        <f t="shared" si="19"/>
        <v>125.11103067782525</v>
      </c>
      <c r="AX27" s="2">
        <f t="shared" si="28"/>
        <v>1000000000</v>
      </c>
      <c r="AY27" s="37">
        <f t="shared" si="20"/>
        <v>15922.848974370625</v>
      </c>
      <c r="AZ27" s="37">
        <f t="shared" si="21"/>
        <v>13932.682294916583</v>
      </c>
      <c r="BA27" s="37">
        <f t="shared" si="22"/>
        <v>12615.310243278691</v>
      </c>
      <c r="BB27" s="37">
        <f t="shared" si="23"/>
        <v>10057.498142164573</v>
      </c>
      <c r="BC27" s="37">
        <f t="shared" si="24"/>
        <v>-3776.7753137016589</v>
      </c>
      <c r="BD27" s="37">
        <f t="shared" si="25"/>
        <v>39979.941492210644</v>
      </c>
      <c r="BE27" s="37">
        <f t="shared" si="26"/>
        <v>8200.4451201611373</v>
      </c>
    </row>
    <row r="28" spans="1:57" x14ac:dyDescent="0.25">
      <c r="A28" s="2">
        <f>'creep_res-40'!A28</f>
        <v>10000000000</v>
      </c>
      <c r="B28" s="3">
        <f>'creep_res-40'!O28</f>
        <v>-9.4754371428571436E-4</v>
      </c>
      <c r="C28" s="2">
        <f>IF('Modell einstellen'!$B$2="Ja",creep_res0!O28,creep_res0!C28)</f>
        <v>-1.0819888857142856E-3</v>
      </c>
      <c r="D28" s="2">
        <f>IF('Modell einstellen'!$B$2="Ja",creep_res25!O28,creep_res25!C28)</f>
        <v>-1.338241142857143E-3</v>
      </c>
      <c r="E28" s="2">
        <f>IF('Modell einstellen'!$B$2="Ja",creep_res50!O28,creep_res50!C28)</f>
        <v>-2.9789217142857146E-3</v>
      </c>
      <c r="F28" s="2">
        <f>IF('Modell einstellen'!$B$2="Ja",creep_res80!O28,creep_res80!C28)</f>
        <v>-2.4779278857142862E-2</v>
      </c>
      <c r="G28" s="2">
        <f>IF('Modell einstellen'!$B$2="Ja",creep_res125!O28,creep_res125!C28)</f>
        <v>-2.6895848857142857E-2</v>
      </c>
      <c r="H28" s="2">
        <f>IF('Modell einstellen'!$B$2="Ja",creep_res160!O28,creep_res160!C28)</f>
        <v>-2.6843666571428573E-2</v>
      </c>
      <c r="M28" s="9">
        <f t="shared" si="27"/>
        <v>-10</v>
      </c>
      <c r="N28" s="2">
        <f t="shared" si="4"/>
        <v>10000000000</v>
      </c>
      <c r="O28" s="2">
        <f t="shared" si="5"/>
        <v>10553.602804001805</v>
      </c>
      <c r="P28" s="2">
        <f t="shared" si="6"/>
        <v>9242.2391135731505</v>
      </c>
      <c r="Q28" s="2">
        <f t="shared" si="7"/>
        <v>7472.4948140885981</v>
      </c>
      <c r="R28" s="2">
        <f t="shared" si="8"/>
        <v>3356.9193685231835</v>
      </c>
      <c r="S28" s="2">
        <f t="shared" si="9"/>
        <v>403.56299542258085</v>
      </c>
      <c r="T28" s="2">
        <f t="shared" si="10"/>
        <v>371.80458787952523</v>
      </c>
      <c r="U28" s="2">
        <f t="shared" si="11"/>
        <v>372.52735103794049</v>
      </c>
      <c r="Z28" s="2">
        <v>10000000000</v>
      </c>
      <c r="AA28" s="3">
        <f>IF('Modell einstellen'!$B$2="Ja",'creep_res-40'!P28,'creep_res-40'!L28)</f>
        <v>0.38007223488822078</v>
      </c>
      <c r="AB28" s="2">
        <f>IF('Modell einstellen'!$B$2="Ja",creep_res0!P28,creep_res0!L28)</f>
        <v>0.38162361900152603</v>
      </c>
      <c r="AC28" s="2">
        <f>IF('Modell einstellen'!$B$2="Ja",creep_res25!P28,creep_res25!L28)</f>
        <v>0.39139655377079169</v>
      </c>
      <c r="AD28" s="2">
        <f>IF('Modell einstellen'!$B$2="Ja",creep_res50!P28,creep_res50!L28)</f>
        <v>0.43228462532847456</v>
      </c>
      <c r="AE28" s="2">
        <f>IF('Modell einstellen'!$B$2="Ja",creep_res80!P28,creep_res80!L28)</f>
        <v>0.50447018658769671</v>
      </c>
      <c r="AF28" s="2">
        <f>IF('Modell einstellen'!$B$2="Ja",creep_res125!P28,creep_res125!L28)</f>
        <v>0.48913303891579824</v>
      </c>
      <c r="AG28" s="2">
        <f>IF('Modell einstellen'!$B$2="Ja",creep_res160!P28,creep_res160!L28)</f>
        <v>0.49046885047095923</v>
      </c>
      <c r="AL28" s="2">
        <f t="shared" si="12"/>
        <v>10000000000</v>
      </c>
      <c r="AM28" s="2">
        <f t="shared" si="13"/>
        <v>3823.5689905233821</v>
      </c>
      <c r="AN28" s="2">
        <f t="shared" si="14"/>
        <v>3344.7021990881808</v>
      </c>
      <c r="AO28" s="2">
        <f t="shared" si="15"/>
        <v>2685.2498641877337</v>
      </c>
      <c r="AP28" s="2">
        <f t="shared" si="16"/>
        <v>1171.8757952014325</v>
      </c>
      <c r="AQ28" s="2">
        <f t="shared" si="17"/>
        <v>134.12130031566326</v>
      </c>
      <c r="AR28" s="2">
        <f t="shared" si="18"/>
        <v>124.83927834622055</v>
      </c>
      <c r="AS28" s="2">
        <f t="shared" si="19"/>
        <v>124.96985459314666</v>
      </c>
      <c r="AX28" s="2">
        <f t="shared" si="28"/>
        <v>10000000000</v>
      </c>
      <c r="AY28" s="37">
        <f t="shared" si="20"/>
        <v>14666.610346882935</v>
      </c>
      <c r="AZ28" s="37">
        <f t="shared" si="21"/>
        <v>13012.504459106436</v>
      </c>
      <c r="BA28" s="37">
        <f t="shared" si="22"/>
        <v>11467.553246143232</v>
      </c>
      <c r="BB28" s="37">
        <f t="shared" si="23"/>
        <v>8262.3268959892011</v>
      </c>
      <c r="BC28" s="37">
        <f t="shared" si="24"/>
        <v>-15046.463479224287</v>
      </c>
      <c r="BD28" s="37">
        <f t="shared" si="25"/>
        <v>5702.3698560346911</v>
      </c>
      <c r="BE28" s="37">
        <f t="shared" si="26"/>
        <v>6514.2081393728131</v>
      </c>
    </row>
    <row r="29" spans="1:57" x14ac:dyDescent="0.25">
      <c r="A29" s="2">
        <f>'creep_res-40'!A29</f>
        <v>100000000000</v>
      </c>
      <c r="B29" s="3">
        <f>'creep_res-40'!O29</f>
        <v>-1.0310119428571429E-3</v>
      </c>
      <c r="C29" s="2">
        <f>IF('Modell einstellen'!$B$2="Ja",creep_res0!O29,creep_res0!C29)</f>
        <v>-1.1905131142857144E-3</v>
      </c>
      <c r="D29" s="2">
        <f>IF('Modell einstellen'!$B$2="Ja",creep_res25!O29,creep_res25!C29)</f>
        <v>-1.6058572285714287E-3</v>
      </c>
      <c r="E29" s="2">
        <f>IF('Modell einstellen'!$B$2="Ja",creep_res50!O29,creep_res50!C29)</f>
        <v>-4.8967757142857147E-3</v>
      </c>
      <c r="F29" s="2">
        <f>IF('Modell einstellen'!$B$2="Ja",creep_res80!O29,creep_res80!C29)</f>
        <v>-2.6766490571428572E-2</v>
      </c>
      <c r="G29" s="2">
        <f>IF('Modell einstellen'!$B$2="Ja",creep_res125!O29,creep_res125!C29)</f>
        <v>-2.6954494571428574E-2</v>
      </c>
      <c r="H29" s="2">
        <f>IF('Modell einstellen'!$B$2="Ja",creep_res160!O29,creep_res160!C29)</f>
        <v>-2.693226342857143E-2</v>
      </c>
      <c r="M29" s="9">
        <f t="shared" si="27"/>
        <v>-10</v>
      </c>
      <c r="N29" s="2">
        <f t="shared" si="4"/>
        <v>100000000000</v>
      </c>
      <c r="O29" s="2">
        <f t="shared" si="5"/>
        <v>9699.2086942154856</v>
      </c>
      <c r="P29" s="2">
        <f t="shared" si="6"/>
        <v>8399.7394736804836</v>
      </c>
      <c r="Q29" s="2">
        <f t="shared" si="7"/>
        <v>6227.2036530271153</v>
      </c>
      <c r="R29" s="2">
        <f t="shared" si="8"/>
        <v>2042.1601036016993</v>
      </c>
      <c r="S29" s="2">
        <f t="shared" si="9"/>
        <v>373.60146162285196</v>
      </c>
      <c r="T29" s="2">
        <f t="shared" si="10"/>
        <v>370.99564132060834</v>
      </c>
      <c r="U29" s="2">
        <f t="shared" si="11"/>
        <v>371.30187837801162</v>
      </c>
      <c r="Z29" s="2">
        <v>100000000000</v>
      </c>
      <c r="AA29" s="3">
        <f>IF('Modell einstellen'!$B$2="Ja",'creep_res-40'!P29,'creep_res-40'!L29)</f>
        <v>0.38143371375107804</v>
      </c>
      <c r="AB29" s="2">
        <f>IF('Modell einstellen'!$B$2="Ja",creep_res0!P29,creep_res0!L29)</f>
        <v>0.38426244971585954</v>
      </c>
      <c r="AC29" s="2">
        <f>IF('Modell einstellen'!$B$2="Ja",creep_res25!P29,creep_res25!L29)</f>
        <v>0.39742728952438633</v>
      </c>
      <c r="AD29" s="2">
        <f>IF('Modell einstellen'!$B$2="Ja",creep_res50!P29,creep_res50!L29)</f>
        <v>0.44944640832174404</v>
      </c>
      <c r="AE29" s="2">
        <f>IF('Modell einstellen'!$B$2="Ja",creep_res80!P29,creep_res80!L29)</f>
        <v>0.49557765281295169</v>
      </c>
      <c r="AF29" s="2">
        <f>IF('Modell einstellen'!$B$2="Ja",creep_res125!P29,creep_res125!L29)</f>
        <v>0.48750283692417007</v>
      </c>
      <c r="AG29" s="2">
        <f>IF('Modell einstellen'!$B$2="Ja",creep_res160!P29,creep_res160!L29)</f>
        <v>0.48793238130258682</v>
      </c>
      <c r="AL29" s="2">
        <f t="shared" si="12"/>
        <v>100000000000</v>
      </c>
      <c r="AM29" s="2">
        <f t="shared" si="13"/>
        <v>3510.558848270296</v>
      </c>
      <c r="AN29" s="2">
        <f t="shared" si="14"/>
        <v>3034.0126163953428</v>
      </c>
      <c r="AO29" s="2">
        <f t="shared" si="15"/>
        <v>2228.0957655931211</v>
      </c>
      <c r="AP29" s="2">
        <f t="shared" si="16"/>
        <v>704.46209389908893</v>
      </c>
      <c r="AQ29" s="2">
        <f t="shared" si="17"/>
        <v>124.90206072555479</v>
      </c>
      <c r="AR29" s="2">
        <f t="shared" si="18"/>
        <v>124.70417941781746</v>
      </c>
      <c r="AS29" s="2">
        <f t="shared" si="19"/>
        <v>124.77108605330615</v>
      </c>
      <c r="AX29" s="2">
        <f t="shared" si="28"/>
        <v>100000000000</v>
      </c>
      <c r="AY29" s="37">
        <f t="shared" si="20"/>
        <v>13634.017168889319</v>
      </c>
      <c r="AZ29" s="37">
        <f t="shared" si="21"/>
        <v>12095.958273782331</v>
      </c>
      <c r="BA29" s="37">
        <f t="shared" si="22"/>
        <v>10118.356731455086</v>
      </c>
      <c r="BB29" s="37">
        <f t="shared" si="23"/>
        <v>6732.657482244631</v>
      </c>
      <c r="BC29" s="37">
        <f t="shared" si="24"/>
        <v>14080.059216706419</v>
      </c>
      <c r="BD29" s="37">
        <f t="shared" si="25"/>
        <v>4947.7314580582743</v>
      </c>
      <c r="BE29" s="37">
        <f t="shared" si="26"/>
        <v>5128.0743904844003</v>
      </c>
    </row>
    <row r="30" spans="1:57" x14ac:dyDescent="0.25">
      <c r="A30" s="2">
        <f>'creep_res-40'!A30</f>
        <v>1000000000000</v>
      </c>
      <c r="B30" s="3">
        <f>'creep_res-40'!O30</f>
        <v>-1.1241460285714286E-3</v>
      </c>
      <c r="C30" s="2">
        <f>IF('Modell einstellen'!$B$2="Ja",creep_res0!O30,creep_res0!C30)</f>
        <v>-1.357037342857143E-3</v>
      </c>
      <c r="D30" s="2">
        <f>IF('Modell einstellen'!$B$2="Ja",creep_res25!O30,creep_res25!C30)</f>
        <v>-2.0846555428571428E-3</v>
      </c>
      <c r="E30" s="2">
        <f>IF('Modell einstellen'!$B$2="Ja",creep_res50!O30,creep_res50!C30)</f>
        <v>-8.4642999999999993E-3</v>
      </c>
      <c r="F30" s="2">
        <f>IF('Modell einstellen'!$B$2="Ja",creep_res80!O30,creep_res80!C30)</f>
        <v>-2.6868412571428572E-2</v>
      </c>
      <c r="G30" s="2">
        <f>IF('Modell einstellen'!$B$2="Ja",creep_res125!O30,creep_res125!C30)</f>
        <v>-2.7217686571428569E-2</v>
      </c>
      <c r="H30" s="2">
        <f>IF('Modell einstellen'!$B$2="Ja",creep_res160!O30,creep_res160!C30)</f>
        <v>-2.7235974857142856E-2</v>
      </c>
      <c r="M30" s="9">
        <f t="shared" si="27"/>
        <v>-10</v>
      </c>
      <c r="N30" s="2">
        <f t="shared" si="4"/>
        <v>1000000000000</v>
      </c>
      <c r="O30" s="2">
        <f t="shared" si="5"/>
        <v>8895.6414432278507</v>
      </c>
      <c r="P30" s="2">
        <f t="shared" si="6"/>
        <v>7368.9939725208524</v>
      </c>
      <c r="Q30" s="2">
        <f t="shared" si="7"/>
        <v>4796.9555614422579</v>
      </c>
      <c r="R30" s="2">
        <f t="shared" si="8"/>
        <v>1181.4326051770379</v>
      </c>
      <c r="S30" s="2">
        <f t="shared" si="9"/>
        <v>372.18425068527625</v>
      </c>
      <c r="T30" s="2">
        <f t="shared" si="10"/>
        <v>367.40815475836132</v>
      </c>
      <c r="U30" s="2">
        <f t="shared" si="11"/>
        <v>367.16144923953101</v>
      </c>
      <c r="Z30" s="2">
        <v>1000000000000</v>
      </c>
      <c r="AA30" s="3">
        <f>IF('Modell einstellen'!$B$2="Ja",'creep_res-40'!P30,'creep_res-40'!L30)</f>
        <v>0.3832566389252276</v>
      </c>
      <c r="AB30" s="2">
        <f>IF('Modell einstellen'!$B$2="Ja",creep_res0!P30,creep_res0!L30)</f>
        <v>0.38851043724304701</v>
      </c>
      <c r="AC30" s="2">
        <f>IF('Modell einstellen'!$B$2="Ja",creep_res25!P30,creep_res25!L30)</f>
        <v>0.40676609759606197</v>
      </c>
      <c r="AD30" s="2">
        <f>IF('Modell einstellen'!$B$2="Ja",creep_res50!P30,creep_res50!L30)</f>
        <v>0.46486088631074041</v>
      </c>
      <c r="AE30" s="2">
        <f>IF('Modell einstellen'!$B$2="Ja",creep_res80!P30,creep_res80!L30)</f>
        <v>0.49303610302077072</v>
      </c>
      <c r="AF30" s="2">
        <f>IF('Modell einstellen'!$B$2="Ja",creep_res125!P30,creep_res125!L30)</f>
        <v>0.48236867575488179</v>
      </c>
      <c r="AG30" s="2">
        <f>IF('Modell einstellen'!$B$2="Ja",creep_res160!P30,creep_res160!L30)</f>
        <v>0.48125251610496006</v>
      </c>
      <c r="AL30" s="2">
        <f t="shared" si="12"/>
        <v>1000000000000</v>
      </c>
      <c r="AM30" s="2">
        <f t="shared" si="13"/>
        <v>3215.4703591878829</v>
      </c>
      <c r="AN30" s="2">
        <f t="shared" si="14"/>
        <v>2653.5608861364908</v>
      </c>
      <c r="AO30" s="2">
        <f t="shared" si="15"/>
        <v>1704.9584752004923</v>
      </c>
      <c r="AP30" s="2">
        <f t="shared" si="16"/>
        <v>403.25761176970258</v>
      </c>
      <c r="AQ30" s="2">
        <f t="shared" si="17"/>
        <v>124.64007063602084</v>
      </c>
      <c r="AR30" s="2">
        <f t="shared" si="18"/>
        <v>123.9260383626436</v>
      </c>
      <c r="AS30" s="2">
        <f t="shared" si="19"/>
        <v>123.93614365125383</v>
      </c>
      <c r="AX30" s="2">
        <f t="shared" si="28"/>
        <v>1000000000000</v>
      </c>
      <c r="AY30" s="37">
        <f t="shared" si="20"/>
        <v>12699.710660677774</v>
      </c>
      <c r="AZ30" s="37">
        <f t="shared" si="21"/>
        <v>11015.969851493697</v>
      </c>
      <c r="BA30" s="37">
        <f t="shared" si="22"/>
        <v>8575.1274263935629</v>
      </c>
      <c r="BB30" s="37">
        <f t="shared" si="23"/>
        <v>5603.5970610254153</v>
      </c>
      <c r="BC30" s="37">
        <f t="shared" si="24"/>
        <v>8907.4707211437271</v>
      </c>
      <c r="BD30" s="37">
        <f t="shared" si="25"/>
        <v>3473.062579328473</v>
      </c>
      <c r="BE30" s="37">
        <f t="shared" si="26"/>
        <v>3264.0953429193382</v>
      </c>
    </row>
    <row r="31" spans="1:57" x14ac:dyDescent="0.25">
      <c r="A31" s="2">
        <f>'creep_res-40'!A31</f>
        <v>10000000000000</v>
      </c>
      <c r="B31" s="3">
        <f>'creep_res-40'!O31</f>
        <v>-1.2562818285714286E-3</v>
      </c>
      <c r="C31" s="2">
        <f>IF('Modell einstellen'!$B$2="Ja",creep_res0!O31,creep_res0!C31)</f>
        <v>-1.6271212571428572E-3</v>
      </c>
      <c r="D31" s="2">
        <f>IF('Modell einstellen'!$B$2="Ja",creep_res25!O31,creep_res25!C31)</f>
        <v>-3.0967014285714287E-3</v>
      </c>
      <c r="E31" s="2">
        <f>IF('Modell einstellen'!$B$2="Ja",creep_res50!O31,creep_res50!C31)</f>
        <v>-1.4895274571428573E-2</v>
      </c>
      <c r="F31" s="2">
        <f>IF('Modell einstellen'!$B$2="Ja",creep_res80!O31,creep_res80!C31)</f>
        <v>-2.7191233999999998E-2</v>
      </c>
      <c r="G31" s="2">
        <f>IF('Modell einstellen'!$B$2="Ja",creep_res125!O31,creep_res125!C31)</f>
        <v>-2.7221723714285714E-2</v>
      </c>
      <c r="H31" s="2">
        <f>IF('Modell einstellen'!$B$2="Ja",creep_res160!O31,creep_res160!C31)</f>
        <v>-2.7240321142857141E-2</v>
      </c>
      <c r="M31" s="9">
        <f t="shared" si="27"/>
        <v>-10</v>
      </c>
      <c r="N31" s="2">
        <f t="shared" si="4"/>
        <v>10000000000000</v>
      </c>
      <c r="O31" s="2">
        <f t="shared" si="5"/>
        <v>7959.9973290797534</v>
      </c>
      <c r="P31" s="2">
        <f t="shared" si="6"/>
        <v>6145.8234634335095</v>
      </c>
      <c r="Q31" s="2">
        <f t="shared" si="7"/>
        <v>3229.2425442556155</v>
      </c>
      <c r="R31" s="2">
        <f t="shared" si="8"/>
        <v>671.35385467694152</v>
      </c>
      <c r="S31" s="2">
        <f t="shared" si="9"/>
        <v>367.76558209899559</v>
      </c>
      <c r="T31" s="2">
        <f t="shared" si="10"/>
        <v>367.35366595290549</v>
      </c>
      <c r="U31" s="2">
        <f t="shared" si="11"/>
        <v>367.10286738385844</v>
      </c>
      <c r="Z31" s="2">
        <v>10000000000000</v>
      </c>
      <c r="AA31" s="3">
        <f>IF('Modell einstellen'!$B$2="Ja",'creep_res-40'!P31,'creep_res-40'!L31)</f>
        <v>0.38666528511436832</v>
      </c>
      <c r="AB31" s="2">
        <f>IF('Modell einstellen'!$B$2="Ja",creep_res0!P31,creep_res0!L31)</f>
        <v>0.39466206083438088</v>
      </c>
      <c r="AC31" s="2">
        <f>IF('Modell einstellen'!$B$2="Ja",creep_res25!P31,creep_res25!L31)</f>
        <v>0.42195974426244331</v>
      </c>
      <c r="AD31" s="2">
        <f>IF('Modell einstellen'!$B$2="Ja",creep_res50!P31,creep_res50!L31)</f>
        <v>0.47751130507142042</v>
      </c>
      <c r="AE31" s="2">
        <f>IF('Modell einstellen'!$B$2="Ja",creep_res80!P31,creep_res80!L31)</f>
        <v>0.48418241807530432</v>
      </c>
      <c r="AF31" s="2">
        <f>IF('Modell einstellen'!$B$2="Ja",creep_res125!P31,creep_res125!L31)</f>
        <v>0.48229778836404746</v>
      </c>
      <c r="AG31" s="2">
        <f>IF('Modell einstellen'!$B$2="Ja",creep_res160!P31,creep_res160!L31)</f>
        <v>0.48117498593786245</v>
      </c>
      <c r="AL31" s="2">
        <f t="shared" si="12"/>
        <v>10000000000000</v>
      </c>
      <c r="AM31" s="2">
        <f t="shared" si="13"/>
        <v>2870.194204228324</v>
      </c>
      <c r="AN31" s="2">
        <f t="shared" si="14"/>
        <v>2203.3378680125074</v>
      </c>
      <c r="AO31" s="2">
        <f t="shared" si="15"/>
        <v>1135.4901421385146</v>
      </c>
      <c r="AP31" s="2">
        <f t="shared" si="16"/>
        <v>227.19076746573165</v>
      </c>
      <c r="AQ31" s="2">
        <f t="shared" si="17"/>
        <v>123.89500698166064</v>
      </c>
      <c r="AR31" s="2">
        <f t="shared" si="18"/>
        <v>123.91358498832378</v>
      </c>
      <c r="AS31" s="2">
        <f t="shared" si="19"/>
        <v>123.92285545904397</v>
      </c>
      <c r="AX31" s="2">
        <f t="shared" si="28"/>
        <v>10000000000000</v>
      </c>
      <c r="AY31" s="37">
        <f t="shared" si="20"/>
        <v>11705.735730239914</v>
      </c>
      <c r="AZ31" s="37">
        <f t="shared" si="21"/>
        <v>9723.9790210987012</v>
      </c>
      <c r="BA31" s="37">
        <f t="shared" si="22"/>
        <v>6896.5316120851512</v>
      </c>
      <c r="BB31" s="37">
        <f t="shared" si="23"/>
        <v>4975.4914399512863</v>
      </c>
      <c r="BC31" s="37">
        <f t="shared" si="24"/>
        <v>3875.0716749864532</v>
      </c>
      <c r="BD31" s="37">
        <f t="shared" si="25"/>
        <v>3458.6419059528112</v>
      </c>
      <c r="BE31" s="37">
        <f t="shared" si="26"/>
        <v>3250.133626922548</v>
      </c>
    </row>
    <row r="32" spans="1:57" x14ac:dyDescent="0.25">
      <c r="A32" s="2">
        <f>'creep_res-40'!A32</f>
        <v>100000000000000</v>
      </c>
      <c r="B32" s="3">
        <f>'creep_res-40'!O32</f>
        <v>-1.4614530285714286E-3</v>
      </c>
      <c r="C32" s="2">
        <f>IF('Modell einstellen'!$B$2="Ja",creep_res0!O32,creep_res0!C32)</f>
        <v>-2.1151075142857145E-3</v>
      </c>
      <c r="D32" s="2">
        <f>IF('Modell einstellen'!$B$2="Ja",creep_res25!O32,creep_res25!C32)</f>
        <v>-5.1020828571428575E-3</v>
      </c>
      <c r="E32" s="2">
        <f>IF('Modell einstellen'!$B$2="Ja",creep_res50!O32,creep_res50!C32)</f>
        <v>-2.1472374571428574E-2</v>
      </c>
      <c r="F32" s="2">
        <f>IF('Modell einstellen'!$B$2="Ja",creep_res80!O32,creep_res80!C32)</f>
        <v>-2.7195999142857145E-2</v>
      </c>
      <c r="G32" s="2">
        <f>IF('Modell einstellen'!$B$2="Ja",creep_res125!O32,creep_res125!C32)</f>
        <v>-2.7305871714285716E-2</v>
      </c>
      <c r="H32" s="2">
        <f>IF('Modell einstellen'!$B$2="Ja",creep_res160!O32,creep_res160!C32)</f>
        <v>-2.7359462000000005E-2</v>
      </c>
      <c r="M32" s="9">
        <v>-1</v>
      </c>
      <c r="N32" s="2">
        <f t="shared" si="4"/>
        <v>100000000000000</v>
      </c>
      <c r="O32" s="2">
        <f t="shared" si="5"/>
        <v>6842.5052358850062</v>
      </c>
      <c r="P32" s="2">
        <f t="shared" si="6"/>
        <v>4727.8920492025509</v>
      </c>
      <c r="Q32" s="2">
        <f t="shared" si="7"/>
        <v>1959.9838497330782</v>
      </c>
      <c r="R32" s="2">
        <f t="shared" si="8"/>
        <v>465.71467756091272</v>
      </c>
      <c r="S32" s="2">
        <f t="shared" si="9"/>
        <v>367.7011441084133</v>
      </c>
      <c r="T32" s="2">
        <f t="shared" si="10"/>
        <v>366.22159895258943</v>
      </c>
      <c r="U32" s="2">
        <f t="shared" si="11"/>
        <v>365.50426320517556</v>
      </c>
      <c r="Z32" s="2">
        <v>100000000000000</v>
      </c>
      <c r="AA32" s="3">
        <f>IF('Modell einstellen'!$B$2="Ja",'creep_res-40'!P32,'creep_res-40'!L32)</f>
        <v>0.39159123749561497</v>
      </c>
      <c r="AB32" s="2">
        <f>IF('Modell einstellen'!$B$2="Ja",creep_res0!P32,creep_res0!L32)</f>
        <v>0.4042193572787377</v>
      </c>
      <c r="AC32" s="2">
        <f>IF('Modell einstellen'!$B$2="Ja",creep_res25!P32,creep_res25!L32)</f>
        <v>0.44008362411093732</v>
      </c>
      <c r="AD32" s="2">
        <f>IF('Modell einstellen'!$B$2="Ja",creep_res50!P32,creep_res50!L32)</f>
        <v>0.48303823899388809</v>
      </c>
      <c r="AE32" s="2">
        <f>IF('Modell einstellen'!$B$2="Ja",creep_res80!P32,creep_res80!L32)</f>
        <v>0.48406377463273303</v>
      </c>
      <c r="AF32" s="2">
        <f>IF('Modell einstellen'!$B$2="Ja",creep_res125!P32,creep_res125!L32)</f>
        <v>0.48082397264822718</v>
      </c>
      <c r="AG32" s="2">
        <f>IF('Modell einstellen'!$B$2="Ja",creep_res160!P32,creep_res160!L32)</f>
        <v>0.48001299983791446</v>
      </c>
      <c r="AL32" s="2">
        <f t="shared" si="12"/>
        <v>100000000000000</v>
      </c>
      <c r="AM32" s="2">
        <f t="shared" si="13"/>
        <v>2458.5183678646754</v>
      </c>
      <c r="AN32" s="2">
        <f t="shared" si="14"/>
        <v>1683.4592204898881</v>
      </c>
      <c r="AO32" s="2">
        <f t="shared" si="15"/>
        <v>680.51042901870051</v>
      </c>
      <c r="AP32" s="2">
        <f t="shared" si="16"/>
        <v>157.01371189082064</v>
      </c>
      <c r="AQ32" s="2">
        <f t="shared" si="17"/>
        <v>123.88320178471095</v>
      </c>
      <c r="AR32" s="2">
        <f t="shared" si="18"/>
        <v>123.65466987195585</v>
      </c>
      <c r="AS32" s="2">
        <f t="shared" si="19"/>
        <v>123.48008539289999</v>
      </c>
      <c r="AX32" s="2">
        <f t="shared" si="28"/>
        <v>100000000000000</v>
      </c>
      <c r="AY32" s="37">
        <f t="shared" si="20"/>
        <v>10519.606653272505</v>
      </c>
      <c r="AZ32" s="37">
        <f t="shared" si="21"/>
        <v>8226.9442531679888</v>
      </c>
      <c r="BA32" s="37">
        <f t="shared" si="22"/>
        <v>5451.9982243309096</v>
      </c>
      <c r="BB32" s="37">
        <f t="shared" si="23"/>
        <v>4576.1234873460335</v>
      </c>
      <c r="BC32" s="37">
        <f t="shared" si="24"/>
        <v>3845.5482779470067</v>
      </c>
      <c r="BD32" s="37">
        <f t="shared" si="25"/>
        <v>3182.9811273773585</v>
      </c>
      <c r="BE32" s="37">
        <f t="shared" si="26"/>
        <v>3047.8499378020801</v>
      </c>
    </row>
    <row r="33" spans="1:60" x14ac:dyDescent="0.25">
      <c r="A33" s="2">
        <f>'creep_res-40'!A33</f>
        <v>1000000000000000</v>
      </c>
      <c r="B33" s="3">
        <f>'creep_res-40'!O33</f>
        <v>-1.802786285714286E-3</v>
      </c>
      <c r="C33" s="2">
        <f>IF('Modell einstellen'!$B$2="Ja",creep_res0!O33,creep_res0!C33)</f>
        <v>-3.1498225714285716E-3</v>
      </c>
      <c r="D33" s="2">
        <f>IF('Modell einstellen'!$B$2="Ja",creep_res25!O33,creep_res25!C33)</f>
        <v>-8.8143111428571428E-3</v>
      </c>
      <c r="E33" s="2">
        <f>IF('Modell einstellen'!$B$2="Ja",creep_res50!O33,creep_res50!C33)</f>
        <v>-2.4615299714285718E-2</v>
      </c>
      <c r="F33" s="2">
        <f>IF('Modell einstellen'!$B$2="Ja",creep_res80!O33,creep_res80!C33)</f>
        <v>-2.7336072000000003E-2</v>
      </c>
      <c r="G33" s="2">
        <f>IF('Modell einstellen'!$B$2="Ja",creep_res125!O33,creep_res125!C33)</f>
        <v>-2.7309677428571429E-2</v>
      </c>
      <c r="H33" s="2">
        <f>IF('Modell einstellen'!$B$2="Ja",creep_res160!O33,creep_res160!C33)</f>
        <v>-2.7362212285714289E-2</v>
      </c>
      <c r="M33" s="9">
        <f>M31</f>
        <v>-10</v>
      </c>
      <c r="N33" s="2">
        <f t="shared" si="4"/>
        <v>1000000000000000</v>
      </c>
      <c r="O33" s="2">
        <f t="shared" si="5"/>
        <v>5546.9691994233681</v>
      </c>
      <c r="P33" s="2">
        <f t="shared" si="6"/>
        <v>3174.7819990586318</v>
      </c>
      <c r="Q33" s="2">
        <f t="shared" si="7"/>
        <v>1134.5186070613929</v>
      </c>
      <c r="R33" s="2">
        <f t="shared" si="8"/>
        <v>406.25140120460964</v>
      </c>
      <c r="S33" s="2">
        <f t="shared" si="9"/>
        <v>365.81700545711175</v>
      </c>
      <c r="T33" s="2">
        <f t="shared" si="10"/>
        <v>366.17056448780988</v>
      </c>
      <c r="U33" s="2">
        <f t="shared" si="11"/>
        <v>365.4675249055415</v>
      </c>
      <c r="Z33" s="2">
        <v>1000000000000000</v>
      </c>
      <c r="AA33" s="3">
        <f>IF('Modell einstellen'!$B$2="Ja",'creep_res-40'!P33,'creep_res-40'!L33)</f>
        <v>0.39884466140666064</v>
      </c>
      <c r="AB33" s="2">
        <f>IF('Modell einstellen'!$B$2="Ja",creep_res0!P33,creep_res0!L33)</f>
        <v>0.41966918952985927</v>
      </c>
      <c r="AC33" s="2">
        <f>IF('Modell einstellen'!$B$2="Ja",creep_res25!P33,creep_res25!L33)</f>
        <v>0.45697800093866831</v>
      </c>
      <c r="AD33" s="2">
        <f>IF('Modell einstellen'!$B$2="Ja",creep_res50!P33,creep_res50!L33)</f>
        <v>0.48298510604595052</v>
      </c>
      <c r="AE33" s="2">
        <f>IF('Modell einstellen'!$B$2="Ja",creep_res80!P33,creep_res80!L33)</f>
        <v>0.48134369853869274</v>
      </c>
      <c r="AF33" s="2">
        <f>IF('Modell einstellen'!$B$2="Ja",creep_res125!P33,creep_res125!L33)</f>
        <v>0.48078199302055891</v>
      </c>
      <c r="AG33" s="2">
        <f>IF('Modell einstellen'!$B$2="Ja",creep_res160!P33,creep_res160!L33)</f>
        <v>0.4800012776744671</v>
      </c>
      <c r="AL33" s="2">
        <f t="shared" si="12"/>
        <v>1000000000000000</v>
      </c>
      <c r="AM33" s="2">
        <f t="shared" si="13"/>
        <v>1982.6966326072995</v>
      </c>
      <c r="AN33" s="2">
        <f t="shared" si="14"/>
        <v>1118.1414735463829</v>
      </c>
      <c r="AO33" s="2">
        <f t="shared" si="15"/>
        <v>389.33964903055204</v>
      </c>
      <c r="AP33" s="2">
        <f t="shared" si="16"/>
        <v>136.97082983111966</v>
      </c>
      <c r="AQ33" s="2">
        <f t="shared" si="17"/>
        <v>123.47472292148701</v>
      </c>
      <c r="AR33" s="2">
        <f t="shared" si="18"/>
        <v>123.64094316844046</v>
      </c>
      <c r="AS33" s="2">
        <f t="shared" si="19"/>
        <v>123.46865182434244</v>
      </c>
      <c r="AX33" s="2">
        <f>AL33</f>
        <v>1000000000000000</v>
      </c>
      <c r="AY33" s="37">
        <f t="shared" si="20"/>
        <v>9139.358134000011</v>
      </c>
      <c r="AZ33" s="37">
        <f t="shared" si="21"/>
        <v>6586.8915062561</v>
      </c>
      <c r="BA33" s="37">
        <f t="shared" si="22"/>
        <v>4395.1103769183901</v>
      </c>
      <c r="BB33" s="37">
        <f t="shared" si="23"/>
        <v>3979.3704886018731</v>
      </c>
      <c r="BC33" s="37">
        <f t="shared" si="24"/>
        <v>3268.0379353843514</v>
      </c>
      <c r="BD33" s="37">
        <f t="shared" si="25"/>
        <v>3175.5856619222559</v>
      </c>
      <c r="BE33" s="37">
        <f t="shared" si="26"/>
        <v>3045.7572818617796</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abSelected="1" topLeftCell="A100" zoomScale="120" zoomScaleNormal="120" zoomScaleSheetLayoutView="110" workbookViewId="0">
      <selection activeCell="H113" sqref="H113"/>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50</v>
      </c>
      <c r="D2" s="11">
        <f>1</f>
        <v>1</v>
      </c>
      <c r="E2" s="11">
        <f>D2+1</f>
        <v>2</v>
      </c>
      <c r="F2" s="11">
        <f t="shared" ref="F2:J2" si="0">E2+1</f>
        <v>3</v>
      </c>
      <c r="G2" s="11">
        <f t="shared" si="0"/>
        <v>4</v>
      </c>
      <c r="H2" s="11">
        <f t="shared" si="0"/>
        <v>5</v>
      </c>
      <c r="I2" s="11">
        <f t="shared" si="0"/>
        <v>6</v>
      </c>
      <c r="J2" s="11">
        <f t="shared" si="0"/>
        <v>7</v>
      </c>
    </row>
    <row r="3" spans="1:36" x14ac:dyDescent="0.25">
      <c r="A3" s="11" t="s">
        <v>111</v>
      </c>
      <c r="B3" s="35">
        <v>4</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5</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6503.9509699618966</v>
      </c>
      <c r="G16" s="26">
        <f>INDEX(Comparison!$AM$3:$AS$33,G14,$B$3)</f>
        <v>6504.0043184804708</v>
      </c>
      <c r="H16" s="26">
        <f>INDEX(Comparison!$AM$3:$AS$33,H14,$B$3)</f>
        <v>6503.9713230315656</v>
      </c>
      <c r="I16" s="26">
        <f>INDEX(Comparison!$AM$3:$AS$33,I14,$B$3)</f>
        <v>6503.9615090652051</v>
      </c>
      <c r="J16" s="26">
        <f>INDEX(Comparison!$AM$3:$AS$33,J14,$B$3)</f>
        <v>6503.9584150129849</v>
      </c>
      <c r="K16" s="26">
        <f>INDEX(Comparison!$AM$3:$AS$33,K14,$B$3)</f>
        <v>6503.9573030886877</v>
      </c>
      <c r="L16" s="26">
        <f>INDEX(Comparison!$AM$3:$AS$33,L14,$B$3)</f>
        <v>6503.9546441408229</v>
      </c>
      <c r="M16" s="26">
        <f>INDEX(Comparison!$AM$3:$AS$33,M14,$B$3)</f>
        <v>6503.932647473689</v>
      </c>
      <c r="N16" s="26">
        <f>INDEX(Comparison!$AM$3:$AS$33,N14,$B$3)</f>
        <v>6503.7133657579243</v>
      </c>
      <c r="O16" s="26">
        <f>INDEX(Comparison!$AM$3:$AS$33,O14,$B$3)</f>
        <v>6501.5374241274303</v>
      </c>
      <c r="P16" s="26">
        <f>INDEX(Comparison!$AM$3:$AS$33,P14,$B$3)</f>
        <v>6481.233154233405</v>
      </c>
      <c r="Q16" s="26">
        <f>INDEX(Comparison!$AM$3:$AS$33,Q14,$B$3)</f>
        <v>6364.7007036045688</v>
      </c>
      <c r="R16" s="26">
        <f>INDEX(Comparison!$AM$3:$AS$33,R14,$B$3)</f>
        <v>6219.55344224686</v>
      </c>
      <c r="S16" s="26">
        <f>INDEX(Comparison!$AM$3:$AS$33,S14,$B$3)</f>
        <v>6059.9785511387736</v>
      </c>
      <c r="T16" s="26">
        <f>INDEX(Comparison!$AM$3:$AS$33,T14,$B$3)</f>
        <v>5870.6317266704709</v>
      </c>
      <c r="U16" s="26">
        <f>INDEX(Comparison!$AM$3:$AS$33,U14,$B$3)</f>
        <v>5669.1325406322439</v>
      </c>
      <c r="V16" s="26">
        <f>INDEX(Comparison!$AM$3:$AS$33,V14,$B$3)</f>
        <v>5423.4324257349326</v>
      </c>
      <c r="W16" s="26">
        <f>INDEX(Comparison!$AM$3:$AS$33,W14,$B$3)</f>
        <v>5064.9009314494624</v>
      </c>
      <c r="X16" s="26">
        <f>INDEX(Comparison!$AM$3:$AS$33,X14,$B$3)</f>
        <v>4580.1850776889687</v>
      </c>
      <c r="Y16" s="26">
        <f>INDEX(Comparison!$AM$3:$AS$33,Y14,$B$3)</f>
        <v>4085.8663253030418</v>
      </c>
      <c r="Z16" s="26">
        <f>INDEX(Comparison!$AM$3:$AS$33,Z14,$B$3)</f>
        <v>3641.7022773125063</v>
      </c>
      <c r="AA16" s="26">
        <f>INDEX(Comparison!$AM$3:$AS$33,AA14,$B$3)</f>
        <v>3231.6591203117327</v>
      </c>
      <c r="AB16" s="26">
        <f>INDEX(Comparison!$AM$3:$AS$33,AB14,$B$3)</f>
        <v>2785.7203085552951</v>
      </c>
      <c r="AC16" s="26">
        <f>INDEX(Comparison!$AM$3:$AS$33,AC14,$B$3)</f>
        <v>2295.1533050928924</v>
      </c>
      <c r="AD16" s="26">
        <f>INDEX(Comparison!$AM$3:$AS$33,AD14,$B$3)</f>
        <v>1754.5150163075152</v>
      </c>
      <c r="AE16" s="26">
        <f>INDEX(Comparison!$AM$3:$AS$33,AE14,$B$3)</f>
        <v>1171.8757952014325</v>
      </c>
      <c r="AF16" s="26">
        <f>INDEX(Comparison!$AM$3:$AS$33,AF14,$B$3)</f>
        <v>704.46209389908893</v>
      </c>
      <c r="AG16" s="26">
        <f>INDEX(Comparison!$AM$3:$AS$33,AG14,$B$3)</f>
        <v>403.25761176970258</v>
      </c>
      <c r="AH16" s="26">
        <f>INDEX(Comparison!$AM$3:$AS$33,AH14,$B$3)</f>
        <v>227.19076746573165</v>
      </c>
      <c r="AI16" s="26">
        <f>INDEX(Comparison!$AM$3:$AS$33,AI14,$B$3)</f>
        <v>157.01371189082064</v>
      </c>
      <c r="AJ16" s="26">
        <f>INDEX(Comparison!$AM$3:$AS$33,AJ14,$B$3)</f>
        <v>136.97082983111966</v>
      </c>
    </row>
    <row r="17" spans="1:36" x14ac:dyDescent="0.25">
      <c r="A17" s="14" t="s">
        <v>20</v>
      </c>
      <c r="B17" s="105">
        <v>1.6109766939938219E-2</v>
      </c>
      <c r="C17" s="18">
        <f t="shared" ref="C17:C48" si="3">ABS(B17/$B$49)</f>
        <v>1.3147853577774735E-2</v>
      </c>
      <c r="D17" s="66"/>
      <c r="E17" s="65" t="s">
        <v>22</v>
      </c>
      <c r="F17" s="27">
        <f>($C$17+SUM(F18:F48))*$B$51</f>
        <v>6517.3975295592254</v>
      </c>
      <c r="G17" s="27">
        <f t="shared" ref="G17:M17" si="4">($C$17+SUM(G18:G48))*$B$51</f>
        <v>6517.3975295344935</v>
      </c>
      <c r="H17" s="27">
        <f t="shared" si="4"/>
        <v>6517.3975292871655</v>
      </c>
      <c r="I17" s="27">
        <f t="shared" si="4"/>
        <v>6517.3975268138902</v>
      </c>
      <c r="J17" s="27">
        <f t="shared" si="4"/>
        <v>6517.3975020811395</v>
      </c>
      <c r="K17" s="27">
        <f t="shared" si="4"/>
        <v>6517.3972547539834</v>
      </c>
      <c r="L17" s="27">
        <f t="shared" si="4"/>
        <v>6517.394781518532</v>
      </c>
      <c r="M17" s="27">
        <f t="shared" si="4"/>
        <v>6517.3700527743022</v>
      </c>
      <c r="N17" s="27">
        <f t="shared" ref="N17" si="5">($C$17+SUM(N18:N48))*$B$51</f>
        <v>6517.1231253325359</v>
      </c>
      <c r="O17" s="27">
        <f t="shared" ref="O17" si="6">($C$17+SUM(O18:O48))*$B$51</f>
        <v>6514.6888518020223</v>
      </c>
      <c r="P17" s="27">
        <f t="shared" ref="P17" si="7">($C$17+SUM(P18:P48))*$B$51</f>
        <v>6493.069470899417</v>
      </c>
      <c r="Q17" s="27">
        <f t="shared" ref="Q17" si="8">($C$17+SUM(Q18:Q48))*$B$51</f>
        <v>6368.8879746222265</v>
      </c>
      <c r="R17" s="27">
        <f t="shared" ref="R17" si="9">($C$17+SUM(R18:R48))*$B$51</f>
        <v>6212.3810125472528</v>
      </c>
      <c r="S17" s="27">
        <f t="shared" ref="S17:T17" si="10">($C$17+SUM(S18:S48))*$B$51</f>
        <v>6043.7821936309929</v>
      </c>
      <c r="T17" s="27">
        <f t="shared" si="10"/>
        <v>5841.0417540819926</v>
      </c>
      <c r="U17" s="27">
        <f t="shared" ref="U17" si="11">($C$17+SUM(U18:U48))*$B$51</f>
        <v>5629.7260150977309</v>
      </c>
      <c r="V17" s="27">
        <f t="shared" ref="V17" si="12">($C$17+SUM(V18:V48))*$B$51</f>
        <v>5378.0666481572516</v>
      </c>
      <c r="W17" s="27">
        <f t="shared" ref="W17" si="13">($C$17+SUM(W18:W48))*$B$51</f>
        <v>5059.7687058028232</v>
      </c>
      <c r="X17" s="27">
        <f t="shared" ref="X17" si="14">($C$17+SUM(X18:X48))*$B$51</f>
        <v>4699.9890340829343</v>
      </c>
      <c r="Y17" s="27">
        <f t="shared" ref="Y17" si="15">($C$17+SUM(Y18:Y48))*$B$51</f>
        <v>4335.7338211674341</v>
      </c>
      <c r="Z17" s="27">
        <f t="shared" ref="Z17:AA17" si="16">($C$17+SUM(Z18:Z48))*$B$51</f>
        <v>3969.7211999512988</v>
      </c>
      <c r="AA17" s="27">
        <f t="shared" si="16"/>
        <v>3589.1588088073509</v>
      </c>
      <c r="AB17" s="27">
        <f t="shared" ref="AB17" si="17">($C$17+SUM(AB18:AB48))*$B$51</f>
        <v>3125.7530429186108</v>
      </c>
      <c r="AC17" s="27">
        <f t="shared" ref="AC17" si="18">($C$17+SUM(AC18:AC48))*$B$51</f>
        <v>2585.6943823549004</v>
      </c>
      <c r="AD17" s="27">
        <f t="shared" ref="AD17" si="19">($C$17+SUM(AD18:AD48))*$B$51</f>
        <v>1973.9097661662017</v>
      </c>
      <c r="AE17" s="27">
        <f t="shared" ref="AE17" si="20">($C$17+SUM(AE18:AE48))*$B$51</f>
        <v>1312.1482824456291</v>
      </c>
      <c r="AF17" s="27">
        <f t="shared" ref="AF17" si="21">($C$17+SUM(AF18:AF48))*$B$51</f>
        <v>783.89836398612374</v>
      </c>
      <c r="AG17" s="27">
        <f t="shared" ref="AG17:AH17" si="22">($C$17+SUM(AG18:AG48))*$B$51</f>
        <v>446.42132993639513</v>
      </c>
      <c r="AH17" s="27">
        <f t="shared" si="22"/>
        <v>250.5503529344453</v>
      </c>
      <c r="AI17" s="27">
        <f t="shared" ref="AI17" si="23">($C$17+SUM(AI18:AI48))*$B$51</f>
        <v>173.0235181360998</v>
      </c>
      <c r="AJ17" s="27">
        <f t="shared" ref="AJ17" si="24">($C$17+SUM(AJ18:AJ48))*$B$51</f>
        <v>151.07472084867788</v>
      </c>
    </row>
    <row r="18" spans="1:36" x14ac:dyDescent="0.25">
      <c r="A18" s="3">
        <f>0.000000000000001/10^5</f>
        <v>1.0000000000000001E-20</v>
      </c>
      <c r="B18" s="106">
        <v>1.2573320665391591E-3</v>
      </c>
      <c r="C18" s="18">
        <f t="shared" si="3"/>
        <v>1.0261612083607946E-3</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0</v>
      </c>
      <c r="C19" s="18">
        <f t="shared" si="3"/>
        <v>0</v>
      </c>
      <c r="D19" s="17"/>
      <c r="F19" s="3">
        <f t="shared" si="25"/>
        <v>0</v>
      </c>
      <c r="G19" s="3">
        <f t="shared" si="25"/>
        <v>0</v>
      </c>
      <c r="H19" s="3">
        <f t="shared" si="25"/>
        <v>0</v>
      </c>
      <c r="I19" s="3">
        <f t="shared" si="25"/>
        <v>0</v>
      </c>
      <c r="J19" s="3">
        <f t="shared" si="25"/>
        <v>0</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0</v>
      </c>
      <c r="C20" s="18">
        <f t="shared" si="3"/>
        <v>0</v>
      </c>
      <c r="D20" s="17"/>
      <c r="F20" s="3">
        <f t="shared" si="25"/>
        <v>0</v>
      </c>
      <c r="G20" s="3">
        <f t="shared" si="25"/>
        <v>0</v>
      </c>
      <c r="H20" s="3">
        <f t="shared" si="25"/>
        <v>0</v>
      </c>
      <c r="I20" s="3">
        <f t="shared" si="25"/>
        <v>0</v>
      </c>
      <c r="J20" s="3">
        <f t="shared" si="25"/>
        <v>0</v>
      </c>
      <c r="K20" s="3">
        <f t="shared" si="25"/>
        <v>0</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0</v>
      </c>
      <c r="C21" s="18">
        <f t="shared" si="3"/>
        <v>0</v>
      </c>
      <c r="D21" s="17"/>
      <c r="F21" s="3">
        <f t="shared" si="25"/>
        <v>0</v>
      </c>
      <c r="G21" s="3">
        <f t="shared" si="25"/>
        <v>0</v>
      </c>
      <c r="H21" s="3">
        <f t="shared" si="25"/>
        <v>0</v>
      </c>
      <c r="I21" s="3">
        <f t="shared" si="25"/>
        <v>0</v>
      </c>
      <c r="J21" s="3">
        <f t="shared" si="25"/>
        <v>0</v>
      </c>
      <c r="K21" s="3">
        <f t="shared" si="25"/>
        <v>0</v>
      </c>
      <c r="L21" s="3">
        <f t="shared" si="25"/>
        <v>0</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0</v>
      </c>
      <c r="C22" s="18">
        <f t="shared" si="3"/>
        <v>0</v>
      </c>
      <c r="D22" s="17"/>
      <c r="F22" s="3">
        <f t="shared" si="25"/>
        <v>0</v>
      </c>
      <c r="G22" s="3">
        <f t="shared" si="25"/>
        <v>0</v>
      </c>
      <c r="H22" s="3">
        <f t="shared" si="25"/>
        <v>0</v>
      </c>
      <c r="I22" s="3">
        <f t="shared" si="25"/>
        <v>0</v>
      </c>
      <c r="J22" s="3">
        <f t="shared" si="25"/>
        <v>0</v>
      </c>
      <c r="K22" s="3">
        <f t="shared" si="25"/>
        <v>0</v>
      </c>
      <c r="L22" s="3">
        <f t="shared" si="25"/>
        <v>0</v>
      </c>
      <c r="M22" s="3">
        <f t="shared" si="25"/>
        <v>0</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0</v>
      </c>
      <c r="C23" s="18">
        <f t="shared" si="3"/>
        <v>0</v>
      </c>
      <c r="D23" s="17"/>
      <c r="F23" s="3">
        <f t="shared" si="25"/>
        <v>0</v>
      </c>
      <c r="G23" s="3">
        <f t="shared" si="25"/>
        <v>0</v>
      </c>
      <c r="H23" s="3">
        <f t="shared" si="25"/>
        <v>0</v>
      </c>
      <c r="I23" s="3">
        <f t="shared" si="25"/>
        <v>0</v>
      </c>
      <c r="J23" s="3">
        <f t="shared" si="25"/>
        <v>0</v>
      </c>
      <c r="K23" s="3">
        <f t="shared" si="25"/>
        <v>0</v>
      </c>
      <c r="L23" s="3">
        <f t="shared" si="25"/>
        <v>0</v>
      </c>
      <c r="M23" s="3">
        <f t="shared" si="25"/>
        <v>0</v>
      </c>
      <c r="N23" s="3">
        <f t="shared" si="25"/>
        <v>0</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0</v>
      </c>
      <c r="C24" s="18">
        <f t="shared" si="3"/>
        <v>0</v>
      </c>
      <c r="D24" s="17"/>
      <c r="F24" s="3">
        <f t="shared" si="25"/>
        <v>0</v>
      </c>
      <c r="G24" s="3">
        <f t="shared" si="25"/>
        <v>0</v>
      </c>
      <c r="H24" s="3">
        <f t="shared" si="25"/>
        <v>0</v>
      </c>
      <c r="I24" s="3">
        <f t="shared" si="25"/>
        <v>0</v>
      </c>
      <c r="J24" s="3">
        <f t="shared" si="25"/>
        <v>0</v>
      </c>
      <c r="K24" s="3">
        <f t="shared" si="25"/>
        <v>0</v>
      </c>
      <c r="L24" s="3">
        <f t="shared" si="25"/>
        <v>0</v>
      </c>
      <c r="M24" s="3">
        <f t="shared" si="25"/>
        <v>0</v>
      </c>
      <c r="N24" s="3">
        <f t="shared" si="25"/>
        <v>0</v>
      </c>
      <c r="O24" s="3">
        <f t="shared" si="25"/>
        <v>0</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0</v>
      </c>
      <c r="C25" s="18">
        <f t="shared" si="3"/>
        <v>0</v>
      </c>
      <c r="D25" s="17"/>
      <c r="F25" s="3">
        <f t="shared" si="25"/>
        <v>0</v>
      </c>
      <c r="G25" s="3">
        <f t="shared" si="25"/>
        <v>0</v>
      </c>
      <c r="H25" s="3">
        <f t="shared" si="25"/>
        <v>0</v>
      </c>
      <c r="I25" s="3">
        <f t="shared" si="25"/>
        <v>0</v>
      </c>
      <c r="J25" s="3">
        <f t="shared" si="25"/>
        <v>0</v>
      </c>
      <c r="K25" s="3">
        <f t="shared" si="25"/>
        <v>0</v>
      </c>
      <c r="L25" s="3">
        <f t="shared" si="25"/>
        <v>0</v>
      </c>
      <c r="M25" s="3">
        <f t="shared" si="25"/>
        <v>0</v>
      </c>
      <c r="N25" s="3">
        <f t="shared" si="25"/>
        <v>0</v>
      </c>
      <c r="O25" s="3">
        <f t="shared" si="25"/>
        <v>0</v>
      </c>
      <c r="P25" s="3">
        <f t="shared" si="25"/>
        <v>0</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0</v>
      </c>
      <c r="C26" s="18">
        <f t="shared" si="3"/>
        <v>0</v>
      </c>
      <c r="D26" s="17"/>
      <c r="F26" s="3">
        <f t="shared" si="25"/>
        <v>0</v>
      </c>
      <c r="G26" s="3">
        <f t="shared" si="25"/>
        <v>0</v>
      </c>
      <c r="H26" s="3">
        <f t="shared" si="25"/>
        <v>0</v>
      </c>
      <c r="I26" s="3">
        <f t="shared" si="25"/>
        <v>0</v>
      </c>
      <c r="J26" s="3">
        <f t="shared" si="25"/>
        <v>0</v>
      </c>
      <c r="K26" s="3">
        <f t="shared" si="25"/>
        <v>0</v>
      </c>
      <c r="L26" s="3">
        <f t="shared" si="25"/>
        <v>0</v>
      </c>
      <c r="M26" s="3">
        <f t="shared" si="25"/>
        <v>0</v>
      </c>
      <c r="N26" s="3">
        <f t="shared" si="25"/>
        <v>0</v>
      </c>
      <c r="O26" s="3">
        <f t="shared" si="25"/>
        <v>0</v>
      </c>
      <c r="P26" s="3">
        <f t="shared" si="25"/>
        <v>0</v>
      </c>
      <c r="Q26" s="3">
        <f t="shared" si="25"/>
        <v>0</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8.9153504022515843E-4</v>
      </c>
      <c r="C27" s="18">
        <f t="shared" si="3"/>
        <v>7.2761897872501713E-4</v>
      </c>
      <c r="D27" s="17"/>
      <c r="F27" s="3">
        <f t="shared" si="25"/>
        <v>7.2761897864328769E-4</v>
      </c>
      <c r="G27" s="3">
        <f t="shared" si="25"/>
        <v>7.2761897790772244E-4</v>
      </c>
      <c r="H27" s="3">
        <f t="shared" si="25"/>
        <v>7.2761897055207065E-4</v>
      </c>
      <c r="I27" s="3">
        <f t="shared" si="25"/>
        <v>7.2761889699555669E-4</v>
      </c>
      <c r="J27" s="3">
        <f t="shared" si="25"/>
        <v>7.2761816143082538E-4</v>
      </c>
      <c r="K27" s="3">
        <f t="shared" si="25"/>
        <v>7.2761080582441128E-4</v>
      </c>
      <c r="L27" s="3">
        <f t="shared" si="25"/>
        <v>7.2753725384988946E-4</v>
      </c>
      <c r="M27" s="3">
        <f t="shared" si="25"/>
        <v>7.2680214291374217E-4</v>
      </c>
      <c r="N27" s="3">
        <f t="shared" si="25"/>
        <v>7.1949176196071246E-4</v>
      </c>
      <c r="O27" s="3">
        <f t="shared" si="25"/>
        <v>6.5031248471175977E-4</v>
      </c>
      <c r="P27" s="3">
        <f t="shared" si="25"/>
        <v>2.3663814451550813E-4</v>
      </c>
      <c r="Q27" s="3">
        <f t="shared" si="25"/>
        <v>9.6318863173455903E-9</v>
      </c>
      <c r="R27" s="3">
        <f t="shared" si="25"/>
        <v>1.2022016379053301E-52</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3.853010189695881E-2</v>
      </c>
      <c r="C28" s="18">
        <f t="shared" si="3"/>
        <v>3.1446025257017021E-2</v>
      </c>
      <c r="D28" s="17"/>
      <c r="F28" s="3">
        <f t="shared" si="25"/>
        <v>3.1446025256698394E-2</v>
      </c>
      <c r="G28" s="3">
        <f t="shared" si="25"/>
        <v>3.1446025253830723E-2</v>
      </c>
      <c r="H28" s="3">
        <f t="shared" si="25"/>
        <v>3.1446025225153995E-2</v>
      </c>
      <c r="I28" s="3">
        <f t="shared" si="25"/>
        <v>3.1446024938386788E-2</v>
      </c>
      <c r="J28" s="3">
        <f t="shared" si="25"/>
        <v>3.1446022070714806E-2</v>
      </c>
      <c r="K28" s="3">
        <f t="shared" si="25"/>
        <v>3.1445993394009372E-2</v>
      </c>
      <c r="L28" s="3">
        <f t="shared" si="25"/>
        <v>3.1445706628393369E-2</v>
      </c>
      <c r="M28" s="3">
        <f t="shared" si="25"/>
        <v>3.1442839116060078E-2</v>
      </c>
      <c r="N28" s="3">
        <f t="shared" si="25"/>
        <v>3.1414178370549613E-2</v>
      </c>
      <c r="O28" s="3">
        <f t="shared" si="25"/>
        <v>3.1129003858197144E-2</v>
      </c>
      <c r="P28" s="3">
        <f t="shared" si="25"/>
        <v>2.8415833719674998E-2</v>
      </c>
      <c r="Q28" s="3">
        <f t="shared" si="25"/>
        <v>1.1415953664789735E-2</v>
      </c>
      <c r="R28" s="3">
        <f t="shared" si="25"/>
        <v>1.2503458119039281E-6</v>
      </c>
      <c r="S28" s="3">
        <f t="shared" si="25"/>
        <v>3.1060583307708917E-46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2.4014984873664335E-2</v>
      </c>
      <c r="C29" s="18">
        <f t="shared" si="3"/>
        <v>1.9599632072183452E-2</v>
      </c>
      <c r="D29" s="17"/>
      <c r="F29" s="3">
        <f t="shared" si="25"/>
        <v>1.9599632072165536E-2</v>
      </c>
      <c r="G29" s="3">
        <f t="shared" si="25"/>
        <v>1.9599632072004304E-2</v>
      </c>
      <c r="H29" s="3">
        <f t="shared" si="25"/>
        <v>1.9599632070391958E-2</v>
      </c>
      <c r="I29" s="3">
        <f t="shared" si="25"/>
        <v>1.9599632054268498E-2</v>
      </c>
      <c r="J29" s="3">
        <f t="shared" si="25"/>
        <v>1.9599631893033896E-2</v>
      </c>
      <c r="K29" s="3">
        <f t="shared" si="25"/>
        <v>1.9599630280687966E-2</v>
      </c>
      <c r="L29" s="3">
        <f t="shared" si="25"/>
        <v>1.9599614157235937E-2</v>
      </c>
      <c r="M29" s="3">
        <f t="shared" si="25"/>
        <v>1.9599452923445174E-2</v>
      </c>
      <c r="N29" s="3">
        <f t="shared" si="25"/>
        <v>1.9597840658486087E-2</v>
      </c>
      <c r="O29" s="3">
        <f t="shared" si="25"/>
        <v>1.9581725301528904E-2</v>
      </c>
      <c r="P29" s="3">
        <f t="shared" si="25"/>
        <v>1.9421298780490186E-2</v>
      </c>
      <c r="Q29" s="3">
        <f t="shared" si="25"/>
        <v>1.7887573308505919E-2</v>
      </c>
      <c r="R29" s="3">
        <f t="shared" si="25"/>
        <v>7.8574748092729504E-3</v>
      </c>
      <c r="S29" s="3">
        <f t="shared" si="25"/>
        <v>2.1018354110317127E-6</v>
      </c>
      <c r="T29" s="3">
        <f t="shared" si="25"/>
        <v>3.9423554375585182E-42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3.9841380595270148E-2</v>
      </c>
      <c r="C30" s="18">
        <f t="shared" si="3"/>
        <v>3.2516214564493037E-2</v>
      </c>
      <c r="D30" s="17"/>
      <c r="F30" s="3">
        <f t="shared" si="25"/>
        <v>3.2516214564490352E-2</v>
      </c>
      <c r="G30" s="3">
        <f t="shared" si="25"/>
        <v>3.2516214564466225E-2</v>
      </c>
      <c r="H30" s="3">
        <f t="shared" si="25"/>
        <v>3.2516214564224925E-2</v>
      </c>
      <c r="I30" s="3">
        <f t="shared" si="25"/>
        <v>3.2516214561811932E-2</v>
      </c>
      <c r="J30" s="3">
        <f t="shared" si="25"/>
        <v>3.2516214537681949E-2</v>
      </c>
      <c r="K30" s="3">
        <f t="shared" si="25"/>
        <v>3.2516214296382184E-2</v>
      </c>
      <c r="L30" s="3">
        <f t="shared" si="25"/>
        <v>3.2516211883384633E-2</v>
      </c>
      <c r="M30" s="3">
        <f t="shared" si="25"/>
        <v>3.2516187753418968E-2</v>
      </c>
      <c r="N30" s="3">
        <f t="shared" si="25"/>
        <v>3.2515946454747174E-2</v>
      </c>
      <c r="O30" s="3">
        <f t="shared" si="25"/>
        <v>3.2513533566512667E-2</v>
      </c>
      <c r="P30" s="3">
        <f t="shared" si="25"/>
        <v>3.2489414529809225E-2</v>
      </c>
      <c r="Q30" s="3">
        <f t="shared" si="25"/>
        <v>3.2249206028940575E-2</v>
      </c>
      <c r="R30" s="3">
        <f t="shared" si="25"/>
        <v>2.9942664372380315E-2</v>
      </c>
      <c r="S30" s="3">
        <f t="shared" si="25"/>
        <v>1.425622684529808E-2</v>
      </c>
      <c r="T30" s="3">
        <f t="shared" si="25"/>
        <v>8.5338724307411359E-6</v>
      </c>
      <c r="U30" s="3">
        <f t="shared" si="25"/>
        <v>5.0415216771250841E-38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3.9409725804921636E-2</v>
      </c>
      <c r="C31" s="18">
        <f t="shared" si="3"/>
        <v>3.2163923063268561E-2</v>
      </c>
      <c r="D31" s="17"/>
      <c r="F31" s="3">
        <f t="shared" si="25"/>
        <v>3.2163923063268325E-2</v>
      </c>
      <c r="G31" s="3">
        <f t="shared" si="25"/>
        <v>3.2163923063266167E-2</v>
      </c>
      <c r="H31" s="3">
        <f t="shared" si="25"/>
        <v>3.2163923063244636E-2</v>
      </c>
      <c r="I31" s="3">
        <f t="shared" si="25"/>
        <v>3.2163923063029322E-2</v>
      </c>
      <c r="J31" s="3">
        <f t="shared" si="25"/>
        <v>3.2163923060876183E-2</v>
      </c>
      <c r="K31" s="3">
        <f t="shared" si="25"/>
        <v>3.2163923039344768E-2</v>
      </c>
      <c r="L31" s="3">
        <f t="shared" si="25"/>
        <v>3.216392282403064E-2</v>
      </c>
      <c r="M31" s="3">
        <f t="shared" si="25"/>
        <v>3.2163920670889461E-2</v>
      </c>
      <c r="N31" s="3">
        <f t="shared" si="25"/>
        <v>3.2163899139485544E-2</v>
      </c>
      <c r="O31" s="3">
        <f t="shared" si="25"/>
        <v>3.2163683826239145E-2</v>
      </c>
      <c r="P31" s="3">
        <f t="shared" si="25"/>
        <v>3.2161530773048438E-2</v>
      </c>
      <c r="Q31" s="3">
        <f t="shared" si="25"/>
        <v>3.2140008166505252E-2</v>
      </c>
      <c r="R31" s="3">
        <f t="shared" si="25"/>
        <v>3.1925572677951715E-2</v>
      </c>
      <c r="S31" s="3">
        <f t="shared" si="25"/>
        <v>2.9858351884861828E-2</v>
      </c>
      <c r="T31" s="3">
        <f t="shared" si="25"/>
        <v>1.5287525275967117E-2</v>
      </c>
      <c r="U31" s="3">
        <f t="shared" si="25"/>
        <v>1.8925647615164907E-5</v>
      </c>
      <c r="V31" s="3">
        <f t="shared" si="26"/>
        <v>1.6002445754668752E-34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4.153760312026946E-2</v>
      </c>
      <c r="C32" s="18">
        <f t="shared" si="3"/>
        <v>3.3900572605001088E-2</v>
      </c>
      <c r="D32" s="17"/>
      <c r="F32" s="3">
        <f t="shared" si="25"/>
        <v>3.3900572605001067E-2</v>
      </c>
      <c r="G32" s="3">
        <f t="shared" si="25"/>
        <v>3.3900572605000859E-2</v>
      </c>
      <c r="H32" s="3">
        <f t="shared" si="25"/>
        <v>3.3900572604998812E-2</v>
      </c>
      <c r="I32" s="3">
        <f t="shared" si="25"/>
        <v>3.3900572604978342E-2</v>
      </c>
      <c r="J32" s="3">
        <f t="shared" si="25"/>
        <v>3.3900572604773624E-2</v>
      </c>
      <c r="K32" s="3">
        <f t="shared" si="25"/>
        <v>3.3900572602726442E-2</v>
      </c>
      <c r="L32" s="3">
        <f t="shared" si="25"/>
        <v>3.3900572582254589E-2</v>
      </c>
      <c r="M32" s="3">
        <f t="shared" si="25"/>
        <v>3.3900572377536069E-2</v>
      </c>
      <c r="N32" s="3">
        <f t="shared" si="25"/>
        <v>3.3900570330350932E-2</v>
      </c>
      <c r="O32" s="3">
        <f t="shared" si="25"/>
        <v>3.3900549858506358E-2</v>
      </c>
      <c r="P32" s="3">
        <f t="shared" si="25"/>
        <v>3.3900345140740556E-2</v>
      </c>
      <c r="Q32" s="3">
        <f t="shared" si="25"/>
        <v>3.3898298031074782E-2</v>
      </c>
      <c r="R32" s="3">
        <f t="shared" si="25"/>
        <v>3.3877833732118917E-2</v>
      </c>
      <c r="S32" s="3">
        <f t="shared" si="25"/>
        <v>3.3673868996351247E-2</v>
      </c>
      <c r="T32" s="3">
        <f t="shared" si="25"/>
        <v>3.1700555727290997E-2</v>
      </c>
      <c r="U32" s="3">
        <f t="shared" si="25"/>
        <v>1.7330274936414196E-2</v>
      </c>
      <c r="V32" s="3">
        <f t="shared" si="26"/>
        <v>4.1322940898553394E-5</v>
      </c>
      <c r="W32" s="3">
        <f t="shared" si="26"/>
        <v>2.4549854174392952E-31</v>
      </c>
      <c r="X32" s="3">
        <f t="shared" si="26"/>
        <v>1.3447014196382663E-293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5.6650616767124434E-2</v>
      </c>
      <c r="C33" s="18">
        <f t="shared" si="3"/>
        <v>4.6234934193755559E-2</v>
      </c>
      <c r="D33" s="17"/>
      <c r="F33" s="3">
        <f t="shared" si="25"/>
        <v>4.6234934193755552E-2</v>
      </c>
      <c r="G33" s="3">
        <f t="shared" si="25"/>
        <v>4.6234934193755531E-2</v>
      </c>
      <c r="H33" s="3">
        <f t="shared" si="25"/>
        <v>4.6234934193755274E-2</v>
      </c>
      <c r="I33" s="3">
        <f t="shared" si="25"/>
        <v>4.6234934193752762E-2</v>
      </c>
      <c r="J33" s="3">
        <f t="shared" si="25"/>
        <v>4.6234934193727574E-2</v>
      </c>
      <c r="K33" s="3">
        <f t="shared" si="25"/>
        <v>4.6234934193475706E-2</v>
      </c>
      <c r="L33" s="3">
        <f t="shared" si="25"/>
        <v>4.6234934190957068E-2</v>
      </c>
      <c r="M33" s="3">
        <f t="shared" si="25"/>
        <v>4.6234934165770611E-2</v>
      </c>
      <c r="N33" s="3">
        <f t="shared" si="25"/>
        <v>4.623493391390613E-2</v>
      </c>
      <c r="O33" s="3">
        <f t="shared" si="25"/>
        <v>4.6234931395261337E-2</v>
      </c>
      <c r="P33" s="3">
        <f t="shared" si="25"/>
        <v>4.6234906208820981E-2</v>
      </c>
      <c r="Q33" s="3">
        <f t="shared" si="25"/>
        <v>4.6234654345172002E-2</v>
      </c>
      <c r="R33" s="3">
        <f t="shared" si="25"/>
        <v>4.623213578414221E-2</v>
      </c>
      <c r="S33" s="3">
        <f t="shared" si="25"/>
        <v>4.6206957718319973E-2</v>
      </c>
      <c r="T33" s="3">
        <f t="shared" si="25"/>
        <v>4.5955929989233632E-2</v>
      </c>
      <c r="U33" s="3">
        <f t="shared" ref="P33:AE48" si="27">$C33*EXP(-U$15/$A33)</f>
        <v>4.3519449888254652E-2</v>
      </c>
      <c r="V33" s="3">
        <f t="shared" si="27"/>
        <v>2.524072210371928E-2</v>
      </c>
      <c r="W33" s="3">
        <f t="shared" si="27"/>
        <v>1.0871402091118267E-4</v>
      </c>
      <c r="X33" s="3">
        <f t="shared" si="27"/>
        <v>2.3884898200979105E-28</v>
      </c>
      <c r="Y33" s="3">
        <f t="shared" si="27"/>
        <v>6.2589538859155745E-265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6.9438178051778682E-2</v>
      </c>
      <c r="C34" s="18">
        <f t="shared" si="3"/>
        <v>5.6671396993887152E-2</v>
      </c>
      <c r="D34" s="17"/>
      <c r="F34" s="3">
        <f t="shared" ref="F34:O48" si="28">$C34*EXP(-F$15/$A34)</f>
        <v>5.6671396993887152E-2</v>
      </c>
      <c r="G34" s="3">
        <f t="shared" si="28"/>
        <v>5.6671396993887152E-2</v>
      </c>
      <c r="H34" s="3">
        <f t="shared" si="28"/>
        <v>5.6671396993887117E-2</v>
      </c>
      <c r="I34" s="3">
        <f t="shared" si="28"/>
        <v>5.6671396993886847E-2</v>
      </c>
      <c r="J34" s="3">
        <f t="shared" si="28"/>
        <v>5.6671396993884057E-2</v>
      </c>
      <c r="K34" s="3">
        <f t="shared" si="28"/>
        <v>5.6671396993856211E-2</v>
      </c>
      <c r="L34" s="3">
        <f t="shared" si="28"/>
        <v>5.6671396993577719E-2</v>
      </c>
      <c r="M34" s="3">
        <f t="shared" si="28"/>
        <v>5.6671396990792836E-2</v>
      </c>
      <c r="N34" s="3">
        <f t="shared" si="28"/>
        <v>5.6671396962943987E-2</v>
      </c>
      <c r="O34" s="3">
        <f t="shared" si="28"/>
        <v>5.6671396684455526E-2</v>
      </c>
      <c r="P34" s="3">
        <f t="shared" si="27"/>
        <v>5.6671393899571022E-2</v>
      </c>
      <c r="Q34" s="3">
        <f t="shared" si="27"/>
        <v>5.667136605073346E-2</v>
      </c>
      <c r="R34" s="3">
        <f t="shared" si="27"/>
        <v>5.6671087563110525E-2</v>
      </c>
      <c r="S34" s="3">
        <f t="shared" si="27"/>
        <v>5.6668302762148147E-2</v>
      </c>
      <c r="T34" s="3">
        <f t="shared" si="27"/>
        <v>5.6640462277852487E-2</v>
      </c>
      <c r="U34" s="3">
        <f t="shared" si="27"/>
        <v>5.6362808601239676E-2</v>
      </c>
      <c r="V34" s="3">
        <f t="shared" si="27"/>
        <v>5.3660040454998101E-2</v>
      </c>
      <c r="W34" s="3">
        <f t="shared" si="27"/>
        <v>3.2827264266820991E-2</v>
      </c>
      <c r="X34" s="3">
        <f t="shared" si="27"/>
        <v>2.4103030325200834E-4</v>
      </c>
      <c r="Y34" s="3">
        <f t="shared" si="27"/>
        <v>1.0975926888226822E-25</v>
      </c>
      <c r="Z34" s="3">
        <f t="shared" si="27"/>
        <v>4.2085916452074825E-239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7.1930809214183739E-2</v>
      </c>
      <c r="C35" s="18">
        <f t="shared" si="3"/>
        <v>5.870573738309863E-2</v>
      </c>
      <c r="D35" s="17"/>
      <c r="F35" s="3">
        <f t="shared" si="28"/>
        <v>5.870573738309863E-2</v>
      </c>
      <c r="G35" s="3">
        <f t="shared" si="28"/>
        <v>5.870573738309863E-2</v>
      </c>
      <c r="H35" s="3">
        <f t="shared" si="28"/>
        <v>5.870573738309863E-2</v>
      </c>
      <c r="I35" s="3">
        <f t="shared" si="28"/>
        <v>5.8705737383098602E-2</v>
      </c>
      <c r="J35" s="3">
        <f t="shared" si="28"/>
        <v>5.8705737383098346E-2</v>
      </c>
      <c r="K35" s="3">
        <f t="shared" si="28"/>
        <v>5.8705737383095737E-2</v>
      </c>
      <c r="L35" s="3">
        <f t="shared" si="28"/>
        <v>5.8705737383069716E-2</v>
      </c>
      <c r="M35" s="3">
        <f t="shared" si="28"/>
        <v>5.8705737382809473E-2</v>
      </c>
      <c r="N35" s="3">
        <f t="shared" si="28"/>
        <v>5.8705737380207096E-2</v>
      </c>
      <c r="O35" s="3">
        <f t="shared" si="28"/>
        <v>5.8705737354183316E-2</v>
      </c>
      <c r="P35" s="3">
        <f t="shared" si="27"/>
        <v>5.8705737093945491E-2</v>
      </c>
      <c r="Q35" s="3">
        <f t="shared" si="27"/>
        <v>5.8705734491567296E-2</v>
      </c>
      <c r="R35" s="3">
        <f t="shared" si="27"/>
        <v>5.8705708467791745E-2</v>
      </c>
      <c r="S35" s="3">
        <f t="shared" si="27"/>
        <v>5.870544823067067E-2</v>
      </c>
      <c r="T35" s="3">
        <f t="shared" si="27"/>
        <v>5.8702845922907532E-2</v>
      </c>
      <c r="U35" s="3">
        <f t="shared" si="27"/>
        <v>5.8676829188993702E-2</v>
      </c>
      <c r="V35" s="3">
        <f t="shared" si="27"/>
        <v>5.841729518236554E-2</v>
      </c>
      <c r="W35" s="3">
        <f t="shared" si="27"/>
        <v>5.5884261789791993E-2</v>
      </c>
      <c r="X35" s="3">
        <f t="shared" si="27"/>
        <v>3.5873211441656325E-2</v>
      </c>
      <c r="Y35" s="3">
        <f t="shared" si="27"/>
        <v>4.2616486952821178E-4</v>
      </c>
      <c r="Z35" s="3">
        <f t="shared" si="27"/>
        <v>2.3858961435974219E-23</v>
      </c>
      <c r="AA35" s="3">
        <f t="shared" si="27"/>
        <v>7.2175603681982916E-216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6.886347283427563E-2</v>
      </c>
      <c r="C36" s="18">
        <f t="shared" si="3"/>
        <v>5.620235606497212E-2</v>
      </c>
      <c r="D36" s="17"/>
      <c r="F36" s="3">
        <f t="shared" si="28"/>
        <v>5.620235606497212E-2</v>
      </c>
      <c r="G36" s="3">
        <f t="shared" si="28"/>
        <v>5.620235606497212E-2</v>
      </c>
      <c r="H36" s="3">
        <f t="shared" si="28"/>
        <v>5.620235606497212E-2</v>
      </c>
      <c r="I36" s="3">
        <f t="shared" si="28"/>
        <v>5.620235606497212E-2</v>
      </c>
      <c r="J36" s="3">
        <f t="shared" si="28"/>
        <v>5.6202356064972092E-2</v>
      </c>
      <c r="K36" s="3">
        <f t="shared" si="28"/>
        <v>5.620235606497187E-2</v>
      </c>
      <c r="L36" s="3">
        <f t="shared" si="28"/>
        <v>5.6202356064969622E-2</v>
      </c>
      <c r="M36" s="3">
        <f t="shared" si="28"/>
        <v>5.6202356064947147E-2</v>
      </c>
      <c r="N36" s="3">
        <f t="shared" si="28"/>
        <v>5.6202356064722403E-2</v>
      </c>
      <c r="O36" s="3">
        <f t="shared" si="28"/>
        <v>5.6202356062474951E-2</v>
      </c>
      <c r="P36" s="3">
        <f t="shared" si="27"/>
        <v>5.6202356040000401E-2</v>
      </c>
      <c r="Q36" s="3">
        <f t="shared" si="27"/>
        <v>5.6202355815254908E-2</v>
      </c>
      <c r="R36" s="3">
        <f t="shared" si="27"/>
        <v>5.6202353567800054E-2</v>
      </c>
      <c r="S36" s="3">
        <f t="shared" si="27"/>
        <v>5.6202331093256418E-2</v>
      </c>
      <c r="T36" s="3">
        <f t="shared" si="27"/>
        <v>5.6202106348314386E-2</v>
      </c>
      <c r="U36" s="3">
        <f t="shared" si="27"/>
        <v>5.6199858948323175E-2</v>
      </c>
      <c r="V36" s="3">
        <f t="shared" si="27"/>
        <v>5.617738989059326E-2</v>
      </c>
      <c r="W36" s="3">
        <f t="shared" si="27"/>
        <v>5.595319280105629E-2</v>
      </c>
      <c r="X36" s="3">
        <f t="shared" si="27"/>
        <v>5.3759848271926126E-2</v>
      </c>
      <c r="Y36" s="3">
        <f t="shared" si="27"/>
        <v>3.6040403512381941E-2</v>
      </c>
      <c r="Z36" s="3">
        <f t="shared" si="27"/>
        <v>6.6085434375253501E-4</v>
      </c>
      <c r="AA36" s="3">
        <f t="shared" si="27"/>
        <v>2.8396629220425699E-21</v>
      </c>
      <c r="AB36" s="3">
        <f t="shared" si="27"/>
        <v>6.0936458420746932E-195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7.7701324852147896E-2</v>
      </c>
      <c r="C37" s="18">
        <f t="shared" si="3"/>
        <v>6.3415296184233166E-2</v>
      </c>
      <c r="D37" s="17"/>
      <c r="F37" s="3">
        <f t="shared" si="28"/>
        <v>6.3415296184233166E-2</v>
      </c>
      <c r="G37" s="3">
        <f t="shared" si="28"/>
        <v>6.3415296184233166E-2</v>
      </c>
      <c r="H37" s="3">
        <f t="shared" si="28"/>
        <v>6.3415296184233166E-2</v>
      </c>
      <c r="I37" s="3">
        <f t="shared" si="28"/>
        <v>6.3415296184233166E-2</v>
      </c>
      <c r="J37" s="3">
        <f t="shared" si="28"/>
        <v>6.3415296184233166E-2</v>
      </c>
      <c r="K37" s="3">
        <f t="shared" si="28"/>
        <v>6.3415296184233139E-2</v>
      </c>
      <c r="L37" s="3">
        <f t="shared" si="28"/>
        <v>6.3415296184232917E-2</v>
      </c>
      <c r="M37" s="3">
        <f t="shared" si="28"/>
        <v>6.3415296184230627E-2</v>
      </c>
      <c r="N37" s="3">
        <f t="shared" si="28"/>
        <v>6.3415296184207756E-2</v>
      </c>
      <c r="O37" s="3">
        <f t="shared" si="28"/>
        <v>6.3415296183978995E-2</v>
      </c>
      <c r="P37" s="3">
        <f t="shared" si="27"/>
        <v>6.3415296181691408E-2</v>
      </c>
      <c r="Q37" s="3">
        <f t="shared" si="27"/>
        <v>6.3415296158815568E-2</v>
      </c>
      <c r="R37" s="3">
        <f t="shared" si="27"/>
        <v>6.3415295930057153E-2</v>
      </c>
      <c r="S37" s="3">
        <f t="shared" si="27"/>
        <v>6.3415293642473031E-2</v>
      </c>
      <c r="T37" s="3">
        <f t="shared" si="27"/>
        <v>6.3415270766636417E-2</v>
      </c>
      <c r="U37" s="3">
        <f t="shared" si="27"/>
        <v>6.341504200872404E-2</v>
      </c>
      <c r="V37" s="3">
        <f t="shared" si="27"/>
        <v>6.3412754474985816E-2</v>
      </c>
      <c r="W37" s="3">
        <f t="shared" si="27"/>
        <v>6.338988367554009E-2</v>
      </c>
      <c r="X37" s="3">
        <f t="shared" si="27"/>
        <v>6.3161628869646769E-2</v>
      </c>
      <c r="Y37" s="3">
        <f t="shared" si="27"/>
        <v>6.0923800586834956E-2</v>
      </c>
      <c r="Z37" s="3">
        <f t="shared" si="27"/>
        <v>4.2474047922776689E-2</v>
      </c>
      <c r="AA37" s="3">
        <f t="shared" si="27"/>
        <v>1.1521003286609653E-3</v>
      </c>
      <c r="AB37" s="3">
        <f t="shared" si="27"/>
        <v>2.4840296677128562E-19</v>
      </c>
      <c r="AC37" s="3">
        <f t="shared" si="27"/>
        <v>5.3928899520607241E-176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4.3312169044979122E-2</v>
      </c>
      <c r="C38" s="18">
        <f t="shared" si="3"/>
        <v>3.5348869965799563E-2</v>
      </c>
      <c r="D38" s="17"/>
      <c r="F38" s="3">
        <f t="shared" si="28"/>
        <v>3.5348869965799563E-2</v>
      </c>
      <c r="G38" s="3">
        <f t="shared" si="28"/>
        <v>3.5348869965799563E-2</v>
      </c>
      <c r="H38" s="3">
        <f t="shared" si="28"/>
        <v>3.5348869965799563E-2</v>
      </c>
      <c r="I38" s="3">
        <f t="shared" si="28"/>
        <v>3.5348869965799563E-2</v>
      </c>
      <c r="J38" s="3">
        <f t="shared" si="28"/>
        <v>3.5348869965799563E-2</v>
      </c>
      <c r="K38" s="3">
        <f t="shared" si="28"/>
        <v>3.5348869965799563E-2</v>
      </c>
      <c r="L38" s="3">
        <f t="shared" si="28"/>
        <v>3.5348869965799549E-2</v>
      </c>
      <c r="M38" s="3">
        <f t="shared" si="28"/>
        <v>3.5348869965799432E-2</v>
      </c>
      <c r="N38" s="3">
        <f t="shared" si="28"/>
        <v>3.5348869965798287E-2</v>
      </c>
      <c r="O38" s="3">
        <f t="shared" si="28"/>
        <v>3.5348869965786782E-2</v>
      </c>
      <c r="P38" s="3">
        <f t="shared" si="27"/>
        <v>3.5348869965671756E-2</v>
      </c>
      <c r="Q38" s="3">
        <f t="shared" si="27"/>
        <v>3.5348869964521475E-2</v>
      </c>
      <c r="R38" s="3">
        <f t="shared" si="27"/>
        <v>3.5348869953018627E-2</v>
      </c>
      <c r="S38" s="3">
        <f t="shared" si="27"/>
        <v>3.5348869837990196E-2</v>
      </c>
      <c r="T38" s="3">
        <f t="shared" si="27"/>
        <v>3.5348868687705946E-2</v>
      </c>
      <c r="U38" s="3">
        <f t="shared" si="27"/>
        <v>3.5348857184865495E-2</v>
      </c>
      <c r="V38" s="3">
        <f t="shared" si="27"/>
        <v>3.5348742156666828E-2</v>
      </c>
      <c r="W38" s="3">
        <f t="shared" si="27"/>
        <v>3.534759189526706E-2</v>
      </c>
      <c r="X38" s="3">
        <f t="shared" si="27"/>
        <v>3.5336091339715173E-2</v>
      </c>
      <c r="Y38" s="3">
        <f t="shared" si="27"/>
        <v>3.5221291381145159E-2</v>
      </c>
      <c r="Z38" s="3">
        <f t="shared" si="27"/>
        <v>3.4093606088711266E-2</v>
      </c>
      <c r="AA38" s="3">
        <f t="shared" si="27"/>
        <v>2.462348830366894E-2</v>
      </c>
      <c r="AB38" s="3">
        <f t="shared" si="27"/>
        <v>9.5085865200724979E-4</v>
      </c>
      <c r="AC38" s="3">
        <f t="shared" si="27"/>
        <v>7.010997500481536E-18</v>
      </c>
      <c r="AD38" s="3">
        <f t="shared" si="27"/>
        <v>3.329801230865503E-159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8.6333600448441059E-2</v>
      </c>
      <c r="C39" s="18">
        <f t="shared" si="3"/>
        <v>7.0460456800535406E-2</v>
      </c>
      <c r="D39" s="17"/>
      <c r="F39" s="3">
        <f t="shared" si="28"/>
        <v>7.0460456800535406E-2</v>
      </c>
      <c r="G39" s="3">
        <f t="shared" si="28"/>
        <v>7.0460456800535406E-2</v>
      </c>
      <c r="H39" s="3">
        <f t="shared" si="28"/>
        <v>7.0460456800535406E-2</v>
      </c>
      <c r="I39" s="3">
        <f t="shared" si="28"/>
        <v>7.0460456800535406E-2</v>
      </c>
      <c r="J39" s="3">
        <f t="shared" si="28"/>
        <v>7.0460456800535406E-2</v>
      </c>
      <c r="K39" s="3">
        <f t="shared" si="28"/>
        <v>7.0460456800535406E-2</v>
      </c>
      <c r="L39" s="3">
        <f t="shared" si="28"/>
        <v>7.0460456800535393E-2</v>
      </c>
      <c r="M39" s="3">
        <f t="shared" si="28"/>
        <v>7.0460456800535337E-2</v>
      </c>
      <c r="N39" s="3">
        <f t="shared" si="28"/>
        <v>7.0460456800534699E-2</v>
      </c>
      <c r="O39" s="3">
        <f t="shared" si="28"/>
        <v>7.0460456800528357E-2</v>
      </c>
      <c r="P39" s="3">
        <f t="shared" si="27"/>
        <v>7.0460456800464949E-2</v>
      </c>
      <c r="Q39" s="3">
        <f t="shared" si="27"/>
        <v>7.0460456799830803E-2</v>
      </c>
      <c r="R39" s="3">
        <f t="shared" si="27"/>
        <v>7.0460456793489362E-2</v>
      </c>
      <c r="S39" s="3">
        <f t="shared" si="27"/>
        <v>7.046045673007495E-2</v>
      </c>
      <c r="T39" s="3">
        <f t="shared" si="27"/>
        <v>7.0460456095930837E-2</v>
      </c>
      <c r="U39" s="3">
        <f t="shared" si="27"/>
        <v>7.0460449754490076E-2</v>
      </c>
      <c r="V39" s="3">
        <f t="shared" si="27"/>
        <v>7.046038634011384E-2</v>
      </c>
      <c r="W39" s="3">
        <f t="shared" si="27"/>
        <v>7.0459752199490411E-2</v>
      </c>
      <c r="X39" s="3">
        <f t="shared" si="27"/>
        <v>7.0453411107145897E-2</v>
      </c>
      <c r="Y39" s="3">
        <f t="shared" si="27"/>
        <v>7.0390031562222802E-2</v>
      </c>
      <c r="Z39" s="3">
        <f t="shared" si="27"/>
        <v>6.9759363541260527E-2</v>
      </c>
      <c r="AA39" s="3">
        <f t="shared" si="27"/>
        <v>6.3755257805030718E-2</v>
      </c>
      <c r="AB39" s="3">
        <f t="shared" si="27"/>
        <v>2.5920953472465518E-2</v>
      </c>
      <c r="AC39" s="3">
        <f t="shared" si="27"/>
        <v>3.1988997897769058E-6</v>
      </c>
      <c r="AD39" s="3">
        <f t="shared" si="27"/>
        <v>2.621182526031257E-45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0.10644651632969827</v>
      </c>
      <c r="C40" s="18">
        <f t="shared" si="3"/>
        <v>8.6875447409324694E-2</v>
      </c>
      <c r="D40" s="17"/>
      <c r="F40" s="3">
        <f t="shared" si="28"/>
        <v>8.6875447409324694E-2</v>
      </c>
      <c r="G40" s="3">
        <f t="shared" si="28"/>
        <v>8.6875447409324694E-2</v>
      </c>
      <c r="H40" s="3">
        <f t="shared" si="28"/>
        <v>8.6875447409324694E-2</v>
      </c>
      <c r="I40" s="3">
        <f t="shared" si="28"/>
        <v>8.6875447409324694E-2</v>
      </c>
      <c r="J40" s="3">
        <f t="shared" si="28"/>
        <v>8.6875447409324694E-2</v>
      </c>
      <c r="K40" s="3">
        <f t="shared" si="28"/>
        <v>8.6875447409324694E-2</v>
      </c>
      <c r="L40" s="3">
        <f t="shared" si="28"/>
        <v>8.6875447409324694E-2</v>
      </c>
      <c r="M40" s="3">
        <f t="shared" si="28"/>
        <v>8.687544740932468E-2</v>
      </c>
      <c r="N40" s="3">
        <f t="shared" si="28"/>
        <v>8.687544740932461E-2</v>
      </c>
      <c r="O40" s="3">
        <f t="shared" si="28"/>
        <v>8.6875447409323819E-2</v>
      </c>
      <c r="P40" s="3">
        <f t="shared" si="27"/>
        <v>8.6875447409316006E-2</v>
      </c>
      <c r="Q40" s="3">
        <f t="shared" si="27"/>
        <v>8.6875447409237819E-2</v>
      </c>
      <c r="R40" s="3">
        <f t="shared" si="27"/>
        <v>8.6875447408455944E-2</v>
      </c>
      <c r="S40" s="3">
        <f t="shared" si="27"/>
        <v>8.6875447400637143E-2</v>
      </c>
      <c r="T40" s="3">
        <f t="shared" si="27"/>
        <v>8.6875447322449242E-2</v>
      </c>
      <c r="U40" s="3">
        <f t="shared" si="27"/>
        <v>8.6875446540570223E-2</v>
      </c>
      <c r="V40" s="3">
        <f t="shared" si="27"/>
        <v>8.6875438721780385E-2</v>
      </c>
      <c r="W40" s="3">
        <f t="shared" si="27"/>
        <v>8.6875360533920726E-2</v>
      </c>
      <c r="X40" s="3">
        <f t="shared" si="27"/>
        <v>8.687457865919436E-2</v>
      </c>
      <c r="Y40" s="3">
        <f t="shared" si="27"/>
        <v>8.6866760298946522E-2</v>
      </c>
      <c r="Z40" s="3">
        <f t="shared" si="27"/>
        <v>8.6788615385163456E-2</v>
      </c>
      <c r="AA40" s="3">
        <f t="shared" si="27"/>
        <v>8.6011022264486509E-2</v>
      </c>
      <c r="AB40" s="3">
        <f t="shared" si="27"/>
        <v>7.8608155524572149E-2</v>
      </c>
      <c r="AC40" s="3">
        <f t="shared" si="27"/>
        <v>3.1959691044461398E-2</v>
      </c>
      <c r="AD40" s="3">
        <f t="shared" si="27"/>
        <v>3.9441392104677881E-6</v>
      </c>
      <c r="AE40" s="3">
        <f t="shared" si="27"/>
        <v>3.2318326481349039E-45</v>
      </c>
      <c r="AF40" s="3">
        <f t="shared" si="29"/>
        <v>0</v>
      </c>
      <c r="AG40" s="3">
        <f t="shared" si="29"/>
        <v>0</v>
      </c>
      <c r="AH40" s="3">
        <f t="shared" si="29"/>
        <v>0</v>
      </c>
      <c r="AI40" s="3">
        <f t="shared" si="29"/>
        <v>0</v>
      </c>
      <c r="AJ40" s="3">
        <f t="shared" si="29"/>
        <v>0</v>
      </c>
    </row>
    <row r="41" spans="1:36" x14ac:dyDescent="0.25">
      <c r="A41" s="3">
        <f t="shared" si="30"/>
        <v>1000000000</v>
      </c>
      <c r="B41" s="106">
        <v>0.11789125917135572</v>
      </c>
      <c r="C41" s="18">
        <f t="shared" si="3"/>
        <v>9.6215979999175721E-2</v>
      </c>
      <c r="D41" s="17"/>
      <c r="F41" s="3">
        <f t="shared" si="28"/>
        <v>9.6215979999175721E-2</v>
      </c>
      <c r="G41" s="3">
        <f t="shared" si="28"/>
        <v>9.6215979999175721E-2</v>
      </c>
      <c r="H41" s="3">
        <f t="shared" si="28"/>
        <v>9.6215979999175721E-2</v>
      </c>
      <c r="I41" s="3">
        <f t="shared" si="28"/>
        <v>9.6215979999175721E-2</v>
      </c>
      <c r="J41" s="3">
        <f t="shared" si="28"/>
        <v>9.6215979999175721E-2</v>
      </c>
      <c r="K41" s="3">
        <f t="shared" si="28"/>
        <v>9.6215979999175721E-2</v>
      </c>
      <c r="L41" s="3">
        <f t="shared" si="28"/>
        <v>9.6215979999175721E-2</v>
      </c>
      <c r="M41" s="3">
        <f t="shared" si="28"/>
        <v>9.6215979999175721E-2</v>
      </c>
      <c r="N41" s="3">
        <f t="shared" si="28"/>
        <v>9.6215979999175708E-2</v>
      </c>
      <c r="O41" s="3">
        <f t="shared" si="28"/>
        <v>9.6215979999175624E-2</v>
      </c>
      <c r="P41" s="3">
        <f t="shared" si="27"/>
        <v>9.6215979999174764E-2</v>
      </c>
      <c r="Q41" s="3">
        <f t="shared" si="27"/>
        <v>9.621597999916609E-2</v>
      </c>
      <c r="R41" s="3">
        <f t="shared" si="27"/>
        <v>9.6215979999079507E-2</v>
      </c>
      <c r="S41" s="3">
        <f t="shared" si="27"/>
        <v>9.6215979998213561E-2</v>
      </c>
      <c r="T41" s="3">
        <f t="shared" si="27"/>
        <v>9.6215979989554126E-2</v>
      </c>
      <c r="U41" s="3">
        <f t="shared" si="27"/>
        <v>9.6215979902959742E-2</v>
      </c>
      <c r="V41" s="3">
        <f t="shared" si="27"/>
        <v>9.6215979037015925E-2</v>
      </c>
      <c r="W41" s="3">
        <f t="shared" si="27"/>
        <v>9.6215970377578203E-2</v>
      </c>
      <c r="X41" s="3">
        <f t="shared" si="27"/>
        <v>9.6215883783243833E-2</v>
      </c>
      <c r="Y41" s="3">
        <f t="shared" si="27"/>
        <v>9.6215017844186512E-2</v>
      </c>
      <c r="Z41" s="3">
        <f t="shared" si="27"/>
        <v>9.6206358882239662E-2</v>
      </c>
      <c r="AA41" s="3">
        <f t="shared" si="27"/>
        <v>9.6119812111134559E-2</v>
      </c>
      <c r="AB41" s="3">
        <f t="shared" si="27"/>
        <v>9.5258615002197206E-2</v>
      </c>
      <c r="AC41" s="3">
        <f t="shared" si="27"/>
        <v>8.7059818916253681E-2</v>
      </c>
      <c r="AD41" s="3">
        <f t="shared" si="27"/>
        <v>3.539588095385944E-2</v>
      </c>
      <c r="AE41" s="3">
        <f t="shared" si="27"/>
        <v>4.3681987339912254E-6</v>
      </c>
      <c r="AF41" s="3">
        <f t="shared" si="29"/>
        <v>3.5793075570423486E-45</v>
      </c>
      <c r="AG41" s="3">
        <f t="shared" si="29"/>
        <v>0</v>
      </c>
      <c r="AH41" s="3">
        <f t="shared" si="29"/>
        <v>0</v>
      </c>
      <c r="AI41" s="3">
        <f t="shared" si="29"/>
        <v>0</v>
      </c>
      <c r="AJ41" s="3">
        <f t="shared" si="29"/>
        <v>0</v>
      </c>
    </row>
    <row r="42" spans="1:36" x14ac:dyDescent="0.25">
      <c r="A42" s="3">
        <f t="shared" si="30"/>
        <v>10000000000</v>
      </c>
      <c r="B42" s="106">
        <v>0.13675831029111093</v>
      </c>
      <c r="C42" s="18">
        <f t="shared" si="3"/>
        <v>0.11161416834614406</v>
      </c>
      <c r="D42" s="17"/>
      <c r="F42" s="3">
        <f t="shared" si="28"/>
        <v>0.11161416834614406</v>
      </c>
      <c r="G42" s="3">
        <f t="shared" si="28"/>
        <v>0.11161416834614406</v>
      </c>
      <c r="H42" s="3">
        <f t="shared" si="28"/>
        <v>0.11161416834614406</v>
      </c>
      <c r="I42" s="3">
        <f t="shared" si="28"/>
        <v>0.11161416834614406</v>
      </c>
      <c r="J42" s="3">
        <f t="shared" si="28"/>
        <v>0.11161416834614406</v>
      </c>
      <c r="K42" s="3">
        <f t="shared" si="28"/>
        <v>0.11161416834614406</v>
      </c>
      <c r="L42" s="3">
        <f t="shared" si="28"/>
        <v>0.11161416834614406</v>
      </c>
      <c r="M42" s="3">
        <f t="shared" si="28"/>
        <v>0.11161416834614406</v>
      </c>
      <c r="N42" s="3">
        <f t="shared" si="28"/>
        <v>0.11161416834614406</v>
      </c>
      <c r="O42" s="3">
        <f t="shared" si="28"/>
        <v>0.11161416834614404</v>
      </c>
      <c r="P42" s="3">
        <f t="shared" si="27"/>
        <v>0.11161416834614395</v>
      </c>
      <c r="Q42" s="3">
        <f t="shared" si="27"/>
        <v>0.11161416834614295</v>
      </c>
      <c r="R42" s="3">
        <f t="shared" si="27"/>
        <v>0.11161416834613289</v>
      </c>
      <c r="S42" s="3">
        <f t="shared" si="27"/>
        <v>0.11161416834603245</v>
      </c>
      <c r="T42" s="3">
        <f t="shared" si="27"/>
        <v>0.11161416834502792</v>
      </c>
      <c r="U42" s="3">
        <f t="shared" si="27"/>
        <v>0.11161416833498264</v>
      </c>
      <c r="V42" s="3">
        <f t="shared" si="27"/>
        <v>0.1116141682345299</v>
      </c>
      <c r="W42" s="3">
        <f t="shared" si="27"/>
        <v>0.11161416723000238</v>
      </c>
      <c r="X42" s="3">
        <f t="shared" si="27"/>
        <v>0.11161415718472778</v>
      </c>
      <c r="Y42" s="3">
        <f t="shared" si="27"/>
        <v>0.11161405673203152</v>
      </c>
      <c r="Z42" s="3">
        <f t="shared" si="27"/>
        <v>0.11161305221004128</v>
      </c>
      <c r="AA42" s="3">
        <f t="shared" si="27"/>
        <v>0.11160300748736168</v>
      </c>
      <c r="AB42" s="3">
        <f t="shared" si="27"/>
        <v>0.11150260996628437</v>
      </c>
      <c r="AC42" s="3">
        <f t="shared" si="27"/>
        <v>0.11050358881515158</v>
      </c>
      <c r="AD42" s="3">
        <f t="shared" si="27"/>
        <v>0.10099267590255591</v>
      </c>
      <c r="AE42" s="3">
        <f t="shared" si="27"/>
        <v>4.1060557877994765E-2</v>
      </c>
      <c r="AF42" s="3">
        <f t="shared" si="29"/>
        <v>5.0672754034131009E-6</v>
      </c>
      <c r="AG42" s="3">
        <f t="shared" si="29"/>
        <v>4.1521318624803578E-45</v>
      </c>
      <c r="AH42" s="3">
        <f t="shared" si="29"/>
        <v>0</v>
      </c>
      <c r="AI42" s="3">
        <f t="shared" si="29"/>
        <v>0</v>
      </c>
      <c r="AJ42" s="3">
        <f t="shared" si="29"/>
        <v>0</v>
      </c>
    </row>
    <row r="43" spans="1:36" x14ac:dyDescent="0.25">
      <c r="A43" s="3">
        <f t="shared" si="30"/>
        <v>100000000000</v>
      </c>
      <c r="B43" s="106">
        <v>8.1434812071614959E-2</v>
      </c>
      <c r="C43" s="18">
        <f t="shared" si="3"/>
        <v>6.6462351022397975E-2</v>
      </c>
      <c r="D43" s="17"/>
      <c r="F43" s="3">
        <f t="shared" si="28"/>
        <v>6.6462351022397975E-2</v>
      </c>
      <c r="G43" s="3">
        <f t="shared" si="28"/>
        <v>6.6462351022397975E-2</v>
      </c>
      <c r="H43" s="3">
        <f t="shared" si="28"/>
        <v>6.6462351022397975E-2</v>
      </c>
      <c r="I43" s="3">
        <f t="shared" si="28"/>
        <v>6.6462351022397975E-2</v>
      </c>
      <c r="J43" s="3">
        <f t="shared" si="28"/>
        <v>6.6462351022397975E-2</v>
      </c>
      <c r="K43" s="3">
        <f t="shared" si="28"/>
        <v>6.6462351022397975E-2</v>
      </c>
      <c r="L43" s="3">
        <f t="shared" si="28"/>
        <v>6.6462351022397975E-2</v>
      </c>
      <c r="M43" s="3">
        <f t="shared" si="28"/>
        <v>6.6462351022397975E-2</v>
      </c>
      <c r="N43" s="3">
        <f t="shared" si="28"/>
        <v>6.6462351022397975E-2</v>
      </c>
      <c r="O43" s="3">
        <f t="shared" si="28"/>
        <v>6.6462351022397975E-2</v>
      </c>
      <c r="P43" s="3">
        <f t="shared" si="27"/>
        <v>6.6462351022397961E-2</v>
      </c>
      <c r="Q43" s="3">
        <f t="shared" si="27"/>
        <v>6.6462351022397906E-2</v>
      </c>
      <c r="R43" s="3">
        <f t="shared" si="27"/>
        <v>6.6462351022397309E-2</v>
      </c>
      <c r="S43" s="3">
        <f t="shared" si="27"/>
        <v>6.6462351022391328E-2</v>
      </c>
      <c r="T43" s="3">
        <f t="shared" si="27"/>
        <v>6.6462351022331514E-2</v>
      </c>
      <c r="U43" s="3">
        <f t="shared" si="27"/>
        <v>6.6462351021733354E-2</v>
      </c>
      <c r="V43" s="3">
        <f t="shared" si="27"/>
        <v>6.6462351015751736E-2</v>
      </c>
      <c r="W43" s="3">
        <f t="shared" si="27"/>
        <v>6.6462350955935626E-2</v>
      </c>
      <c r="X43" s="3">
        <f t="shared" si="27"/>
        <v>6.6462350357774466E-2</v>
      </c>
      <c r="Y43" s="3">
        <f t="shared" si="27"/>
        <v>6.6462344376163204E-2</v>
      </c>
      <c r="Z43" s="3">
        <f t="shared" si="27"/>
        <v>6.6462284560080187E-2</v>
      </c>
      <c r="AA43" s="3">
        <f t="shared" si="27"/>
        <v>6.6461686402210854E-2</v>
      </c>
      <c r="AB43" s="3">
        <f t="shared" si="27"/>
        <v>6.645570511959642E-2</v>
      </c>
      <c r="AC43" s="3">
        <f t="shared" si="27"/>
        <v>6.6395921891476806E-2</v>
      </c>
      <c r="AD43" s="3">
        <f t="shared" si="27"/>
        <v>6.5801039580303963E-2</v>
      </c>
      <c r="AE43" s="3">
        <f t="shared" si="27"/>
        <v>6.0137622095706202E-2</v>
      </c>
      <c r="AF43" s="3">
        <f t="shared" si="29"/>
        <v>2.4450132553060007E-2</v>
      </c>
      <c r="AG43" s="3">
        <f t="shared" si="29"/>
        <v>3.0173860682664816E-6</v>
      </c>
      <c r="AH43" s="3">
        <f t="shared" si="29"/>
        <v>2.4724499534828656E-45</v>
      </c>
      <c r="AI43" s="3">
        <f t="shared" si="29"/>
        <v>0</v>
      </c>
      <c r="AJ43" s="3">
        <f t="shared" si="29"/>
        <v>0</v>
      </c>
    </row>
    <row r="44" spans="1:36" x14ac:dyDescent="0.25">
      <c r="A44" s="3">
        <f t="shared" si="30"/>
        <v>1000000000000</v>
      </c>
      <c r="B44" s="106">
        <v>5.7711673127904255E-2</v>
      </c>
      <c r="C44" s="18">
        <f t="shared" si="3"/>
        <v>4.7100906601755713E-2</v>
      </c>
      <c r="D44" s="17"/>
      <c r="F44" s="3">
        <f t="shared" si="28"/>
        <v>4.7100906601755713E-2</v>
      </c>
      <c r="G44" s="3">
        <f t="shared" si="28"/>
        <v>4.7100906601755713E-2</v>
      </c>
      <c r="H44" s="3">
        <f t="shared" si="28"/>
        <v>4.7100906601755713E-2</v>
      </c>
      <c r="I44" s="3">
        <f t="shared" si="28"/>
        <v>4.7100906601755713E-2</v>
      </c>
      <c r="J44" s="3">
        <f t="shared" si="28"/>
        <v>4.7100906601755713E-2</v>
      </c>
      <c r="K44" s="3">
        <f t="shared" si="28"/>
        <v>4.7100906601755713E-2</v>
      </c>
      <c r="L44" s="3">
        <f t="shared" si="28"/>
        <v>4.7100906601755713E-2</v>
      </c>
      <c r="M44" s="3">
        <f t="shared" si="28"/>
        <v>4.7100906601755713E-2</v>
      </c>
      <c r="N44" s="3">
        <f t="shared" si="28"/>
        <v>4.7100906601755713E-2</v>
      </c>
      <c r="O44" s="3">
        <f t="shared" si="28"/>
        <v>4.7100906601755713E-2</v>
      </c>
      <c r="P44" s="3">
        <f t="shared" si="27"/>
        <v>4.7100906601755713E-2</v>
      </c>
      <c r="Q44" s="3">
        <f t="shared" si="27"/>
        <v>4.7100906601755706E-2</v>
      </c>
      <c r="R44" s="3">
        <f t="shared" si="27"/>
        <v>4.7100906601755664E-2</v>
      </c>
      <c r="S44" s="3">
        <f t="shared" si="27"/>
        <v>4.7100906601755241E-2</v>
      </c>
      <c r="T44" s="3">
        <f t="shared" si="27"/>
        <v>4.7100906601751001E-2</v>
      </c>
      <c r="U44" s="3">
        <f t="shared" si="27"/>
        <v>4.7100906601708611E-2</v>
      </c>
      <c r="V44" s="3">
        <f t="shared" si="27"/>
        <v>4.7100906601284701E-2</v>
      </c>
      <c r="W44" s="3">
        <f t="shared" si="27"/>
        <v>4.7100906597045619E-2</v>
      </c>
      <c r="X44" s="3">
        <f t="shared" si="27"/>
        <v>4.7100906554654806E-2</v>
      </c>
      <c r="Y44" s="3">
        <f t="shared" si="27"/>
        <v>4.7100906130746648E-2</v>
      </c>
      <c r="Z44" s="3">
        <f t="shared" si="27"/>
        <v>4.7100901891665291E-2</v>
      </c>
      <c r="AA44" s="3">
        <f t="shared" si="27"/>
        <v>4.7100859500872665E-2</v>
      </c>
      <c r="AB44" s="3">
        <f t="shared" si="27"/>
        <v>4.7100435595044732E-2</v>
      </c>
      <c r="AC44" s="3">
        <f t="shared" si="27"/>
        <v>4.7096196746592218E-2</v>
      </c>
      <c r="AD44" s="3">
        <f t="shared" si="27"/>
        <v>4.7053829237759068E-2</v>
      </c>
      <c r="AE44" s="3">
        <f t="shared" si="27"/>
        <v>4.6632244750503336E-2</v>
      </c>
      <c r="AF44" s="3">
        <f t="shared" si="29"/>
        <v>4.2618662716685518E-2</v>
      </c>
      <c r="AG44" s="3">
        <f t="shared" si="29"/>
        <v>1.7327455199322189E-2</v>
      </c>
      <c r="AH44" s="3">
        <f t="shared" si="29"/>
        <v>2.1383778514690686E-6</v>
      </c>
      <c r="AI44" s="3">
        <f t="shared" si="29"/>
        <v>1.7521895109799264E-45</v>
      </c>
      <c r="AJ44" s="3">
        <f t="shared" si="29"/>
        <v>0</v>
      </c>
    </row>
    <row r="45" spans="1:36" x14ac:dyDescent="0.25">
      <c r="A45" s="3">
        <f t="shared" si="30"/>
        <v>10000000000000</v>
      </c>
      <c r="B45" s="106">
        <v>2.7688974908889007E-2</v>
      </c>
      <c r="C45" s="18">
        <f t="shared" si="3"/>
        <v>2.2598128773559236E-2</v>
      </c>
      <c r="D45" s="17"/>
      <c r="F45" s="3">
        <f t="shared" si="28"/>
        <v>2.2598128773559236E-2</v>
      </c>
      <c r="G45" s="3">
        <f t="shared" si="28"/>
        <v>2.2598128773559236E-2</v>
      </c>
      <c r="H45" s="3">
        <f t="shared" si="28"/>
        <v>2.2598128773559236E-2</v>
      </c>
      <c r="I45" s="3">
        <f t="shared" si="28"/>
        <v>2.2598128773559236E-2</v>
      </c>
      <c r="J45" s="3">
        <f t="shared" si="28"/>
        <v>2.2598128773559236E-2</v>
      </c>
      <c r="K45" s="3">
        <f t="shared" si="28"/>
        <v>2.2598128773559236E-2</v>
      </c>
      <c r="L45" s="3">
        <f t="shared" si="28"/>
        <v>2.2598128773559236E-2</v>
      </c>
      <c r="M45" s="3">
        <f t="shared" si="28"/>
        <v>2.2598128773559236E-2</v>
      </c>
      <c r="N45" s="3">
        <f t="shared" si="28"/>
        <v>2.2598128773559236E-2</v>
      </c>
      <c r="O45" s="3">
        <f t="shared" si="28"/>
        <v>2.2598128773559236E-2</v>
      </c>
      <c r="P45" s="3">
        <f t="shared" si="27"/>
        <v>2.2598128773559236E-2</v>
      </c>
      <c r="Q45" s="3">
        <f t="shared" si="27"/>
        <v>2.2598128773559236E-2</v>
      </c>
      <c r="R45" s="3">
        <f t="shared" si="27"/>
        <v>2.2598128773559233E-2</v>
      </c>
      <c r="S45" s="3">
        <f t="shared" si="27"/>
        <v>2.2598128773559212E-2</v>
      </c>
      <c r="T45" s="3">
        <f t="shared" si="27"/>
        <v>2.2598128773559011E-2</v>
      </c>
      <c r="U45" s="3">
        <f t="shared" si="27"/>
        <v>2.2598128773556974E-2</v>
      </c>
      <c r="V45" s="3">
        <f t="shared" si="27"/>
        <v>2.259812877353664E-2</v>
      </c>
      <c r="W45" s="3">
        <f t="shared" si="27"/>
        <v>2.2598128773333254E-2</v>
      </c>
      <c r="X45" s="3">
        <f t="shared" si="27"/>
        <v>2.2598128771299422E-2</v>
      </c>
      <c r="Y45" s="3">
        <f t="shared" si="27"/>
        <v>2.2598128750961108E-2</v>
      </c>
      <c r="Z45" s="3">
        <f t="shared" si="27"/>
        <v>2.259812854757795E-2</v>
      </c>
      <c r="AA45" s="3">
        <f t="shared" si="27"/>
        <v>2.2598126513746472E-2</v>
      </c>
      <c r="AB45" s="3">
        <f t="shared" si="27"/>
        <v>2.2598106175441762E-2</v>
      </c>
      <c r="AC45" s="3">
        <f t="shared" si="27"/>
        <v>2.2597902793401403E-2</v>
      </c>
      <c r="AD45" s="3">
        <f t="shared" si="27"/>
        <v>2.2595869073668756E-2</v>
      </c>
      <c r="AE45" s="3">
        <f t="shared" si="27"/>
        <v>2.257554194008465E-2</v>
      </c>
      <c r="AF45" s="3">
        <f t="shared" si="29"/>
        <v>2.2373273635304614E-2</v>
      </c>
      <c r="AG45" s="3">
        <f t="shared" si="29"/>
        <v>2.0447632491911463E-2</v>
      </c>
      <c r="AH45" s="3">
        <f t="shared" si="29"/>
        <v>8.313386984737263E-3</v>
      </c>
      <c r="AI45" s="3">
        <f t="shared" si="29"/>
        <v>1.0259534590831774E-6</v>
      </c>
      <c r="AJ45" s="3">
        <f t="shared" si="29"/>
        <v>8.4066755953542913E-46</v>
      </c>
    </row>
    <row r="46" spans="1:36" x14ac:dyDescent="0.25">
      <c r="A46" s="3">
        <f t="shared" si="30"/>
        <v>100000000000000</v>
      </c>
      <c r="B46" s="106">
        <v>7.8990696155778039E-3</v>
      </c>
      <c r="C46" s="18">
        <f t="shared" si="3"/>
        <v>6.4467605952010509E-3</v>
      </c>
      <c r="D46" s="17"/>
      <c r="F46" s="3">
        <f t="shared" si="28"/>
        <v>6.4467605952010509E-3</v>
      </c>
      <c r="G46" s="3">
        <f t="shared" si="28"/>
        <v>6.4467605952010509E-3</v>
      </c>
      <c r="H46" s="3">
        <f t="shared" si="28"/>
        <v>6.4467605952010509E-3</v>
      </c>
      <c r="I46" s="3">
        <f t="shared" si="28"/>
        <v>6.4467605952010509E-3</v>
      </c>
      <c r="J46" s="3">
        <f t="shared" si="28"/>
        <v>6.4467605952010509E-3</v>
      </c>
      <c r="K46" s="3">
        <f t="shared" si="28"/>
        <v>6.4467605952010509E-3</v>
      </c>
      <c r="L46" s="3">
        <f t="shared" si="28"/>
        <v>6.4467605952010509E-3</v>
      </c>
      <c r="M46" s="3">
        <f t="shared" si="28"/>
        <v>6.4467605952010509E-3</v>
      </c>
      <c r="N46" s="3">
        <f t="shared" si="28"/>
        <v>6.4467605952010509E-3</v>
      </c>
      <c r="O46" s="3">
        <f t="shared" si="28"/>
        <v>6.4467605952010509E-3</v>
      </c>
      <c r="P46" s="3">
        <f t="shared" si="27"/>
        <v>6.4467605952010509E-3</v>
      </c>
      <c r="Q46" s="3">
        <f t="shared" si="27"/>
        <v>6.4467605952010509E-3</v>
      </c>
      <c r="R46" s="3">
        <f t="shared" si="27"/>
        <v>6.4467605952010509E-3</v>
      </c>
      <c r="S46" s="3">
        <f t="shared" si="27"/>
        <v>6.4467605952010501E-3</v>
      </c>
      <c r="T46" s="3">
        <f t="shared" si="27"/>
        <v>6.4467605952010449E-3</v>
      </c>
      <c r="U46" s="3">
        <f t="shared" si="27"/>
        <v>6.4467605952009868E-3</v>
      </c>
      <c r="V46" s="3">
        <f t="shared" si="27"/>
        <v>6.4467605952004065E-3</v>
      </c>
      <c r="W46" s="3">
        <f t="shared" si="27"/>
        <v>6.4467605951946047E-3</v>
      </c>
      <c r="X46" s="3">
        <f t="shared" si="27"/>
        <v>6.4467605951365834E-3</v>
      </c>
      <c r="Y46" s="3">
        <f t="shared" si="27"/>
        <v>6.4467605945563748E-3</v>
      </c>
      <c r="Z46" s="3">
        <f t="shared" si="27"/>
        <v>6.4467605887542903E-3</v>
      </c>
      <c r="AA46" s="3">
        <f t="shared" si="27"/>
        <v>6.4467605307334452E-3</v>
      </c>
      <c r="AB46" s="3">
        <f t="shared" si="27"/>
        <v>6.446759950525024E-3</v>
      </c>
      <c r="AC46" s="3">
        <f t="shared" si="27"/>
        <v>6.4467541484436791E-3</v>
      </c>
      <c r="AD46" s="3">
        <f t="shared" si="27"/>
        <v>6.4466961279174362E-3</v>
      </c>
      <c r="AE46" s="3">
        <f t="shared" si="27"/>
        <v>6.4461159513742594E-3</v>
      </c>
      <c r="AF46" s="3">
        <f t="shared" si="29"/>
        <v>6.4403170569119561E-3</v>
      </c>
      <c r="AG46" s="3">
        <f t="shared" si="29"/>
        <v>6.3826142554994887E-3</v>
      </c>
      <c r="AH46" s="3">
        <f t="shared" si="29"/>
        <v>5.8332702116576842E-3</v>
      </c>
      <c r="AI46" s="3">
        <f t="shared" si="29"/>
        <v>2.3716306851286374E-3</v>
      </c>
      <c r="AJ46" s="3">
        <f t="shared" si="29"/>
        <v>2.9268247821768274E-7</v>
      </c>
    </row>
    <row r="47" spans="1:36" x14ac:dyDescent="0.25">
      <c r="A47" s="3">
        <f t="shared" si="30"/>
        <v>1000000000000000</v>
      </c>
      <c r="B47" s="106">
        <v>1.2045346678596411E-4</v>
      </c>
      <c r="C47" s="18">
        <f t="shared" si="3"/>
        <v>9.8307104636690784E-5</v>
      </c>
      <c r="D47" s="17"/>
      <c r="F47" s="3">
        <f t="shared" si="28"/>
        <v>9.8307104636690784E-5</v>
      </c>
      <c r="G47" s="3">
        <f t="shared" si="28"/>
        <v>9.8307104636690784E-5</v>
      </c>
      <c r="H47" s="3">
        <f t="shared" si="28"/>
        <v>9.8307104636690784E-5</v>
      </c>
      <c r="I47" s="3">
        <f t="shared" si="28"/>
        <v>9.8307104636690784E-5</v>
      </c>
      <c r="J47" s="3">
        <f t="shared" si="28"/>
        <v>9.8307104636690784E-5</v>
      </c>
      <c r="K47" s="3">
        <f t="shared" si="28"/>
        <v>9.8307104636690784E-5</v>
      </c>
      <c r="L47" s="3">
        <f t="shared" si="28"/>
        <v>9.8307104636690784E-5</v>
      </c>
      <c r="M47" s="3">
        <f t="shared" si="28"/>
        <v>9.8307104636690784E-5</v>
      </c>
      <c r="N47" s="3">
        <f t="shared" si="28"/>
        <v>9.8307104636690784E-5</v>
      </c>
      <c r="O47" s="3">
        <f t="shared" si="28"/>
        <v>9.8307104636690784E-5</v>
      </c>
      <c r="P47" s="3">
        <f t="shared" si="27"/>
        <v>9.8307104636690784E-5</v>
      </c>
      <c r="Q47" s="3">
        <f t="shared" si="27"/>
        <v>9.8307104636690784E-5</v>
      </c>
      <c r="R47" s="3">
        <f t="shared" si="27"/>
        <v>9.8307104636690784E-5</v>
      </c>
      <c r="S47" s="3">
        <f t="shared" si="27"/>
        <v>9.8307104636690784E-5</v>
      </c>
      <c r="T47" s="3">
        <f t="shared" si="27"/>
        <v>9.830710463669077E-5</v>
      </c>
      <c r="U47" s="3">
        <f t="shared" si="27"/>
        <v>9.8307104636690689E-5</v>
      </c>
      <c r="V47" s="3">
        <f t="shared" si="27"/>
        <v>9.8307104636689808E-5</v>
      </c>
      <c r="W47" s="3">
        <f t="shared" si="27"/>
        <v>9.8307104636680945E-5</v>
      </c>
      <c r="X47" s="3">
        <f t="shared" si="27"/>
        <v>9.8307104636592474E-5</v>
      </c>
      <c r="Y47" s="3">
        <f t="shared" si="27"/>
        <v>9.8307104635707711E-5</v>
      </c>
      <c r="Z47" s="3">
        <f t="shared" si="27"/>
        <v>9.8307104626860079E-5</v>
      </c>
      <c r="AA47" s="3">
        <f t="shared" si="27"/>
        <v>9.8307104538383679E-5</v>
      </c>
      <c r="AB47" s="3">
        <f t="shared" si="27"/>
        <v>9.8307103653619737E-5</v>
      </c>
      <c r="AC47" s="3">
        <f t="shared" si="27"/>
        <v>9.8307094805980821E-5</v>
      </c>
      <c r="AD47" s="3">
        <f t="shared" si="27"/>
        <v>9.8307006329635308E-5</v>
      </c>
      <c r="AE47" s="3">
        <f t="shared" si="27"/>
        <v>9.8306121570559762E-5</v>
      </c>
      <c r="AF47" s="3">
        <f t="shared" si="29"/>
        <v>9.8297274417746255E-5</v>
      </c>
      <c r="AG47" s="3">
        <f t="shared" si="29"/>
        <v>9.8208846669225986E-5</v>
      </c>
      <c r="AH47" s="3">
        <f t="shared" si="29"/>
        <v>9.7328932601917784E-5</v>
      </c>
      <c r="AI47" s="3">
        <f t="shared" si="29"/>
        <v>8.8951946734054199E-5</v>
      </c>
      <c r="AJ47" s="3">
        <f t="shared" si="29"/>
        <v>3.6165162716928314E-5</v>
      </c>
    </row>
    <row r="48" spans="1:36" x14ac:dyDescent="0.25">
      <c r="A48" s="3">
        <f t="shared" si="30"/>
        <v>1E+16</v>
      </c>
      <c r="B48" s="106">
        <v>1.3503660449885834E-2</v>
      </c>
      <c r="C48" s="18">
        <f t="shared" si="3"/>
        <v>1.1020901234699522E-2</v>
      </c>
      <c r="D48" s="17"/>
      <c r="F48" s="3">
        <f t="shared" si="28"/>
        <v>1.1020901234699522E-2</v>
      </c>
      <c r="G48" s="3">
        <f t="shared" si="28"/>
        <v>1.1020901234699522E-2</v>
      </c>
      <c r="H48" s="3">
        <f t="shared" si="28"/>
        <v>1.1020901234699522E-2</v>
      </c>
      <c r="I48" s="3">
        <f t="shared" si="28"/>
        <v>1.1020901234699522E-2</v>
      </c>
      <c r="J48" s="3">
        <f t="shared" si="28"/>
        <v>1.1020901234699522E-2</v>
      </c>
      <c r="K48" s="3">
        <f t="shared" si="28"/>
        <v>1.1020901234699522E-2</v>
      </c>
      <c r="L48" s="3">
        <f t="shared" si="28"/>
        <v>1.1020901234699522E-2</v>
      </c>
      <c r="M48" s="3">
        <f t="shared" si="28"/>
        <v>1.1020901234699522E-2</v>
      </c>
      <c r="N48" s="3">
        <f t="shared" si="28"/>
        <v>1.1020901234699522E-2</v>
      </c>
      <c r="O48" s="3">
        <f t="shared" si="28"/>
        <v>1.1020901234699522E-2</v>
      </c>
      <c r="P48" s="3">
        <f t="shared" si="27"/>
        <v>1.1020901234699522E-2</v>
      </c>
      <c r="Q48" s="3">
        <f t="shared" si="27"/>
        <v>1.1020901234699522E-2</v>
      </c>
      <c r="R48" s="3">
        <f t="shared" si="27"/>
        <v>1.1020901234699522E-2</v>
      </c>
      <c r="S48" s="3">
        <f t="shared" si="27"/>
        <v>1.1020901234699522E-2</v>
      </c>
      <c r="T48" s="3">
        <f t="shared" si="27"/>
        <v>1.1020901234699522E-2</v>
      </c>
      <c r="U48" s="3">
        <f t="shared" si="27"/>
        <v>1.102090123469952E-2</v>
      </c>
      <c r="V48" s="3">
        <f t="shared" si="27"/>
        <v>1.1020901234699511E-2</v>
      </c>
      <c r="W48" s="3">
        <f t="shared" si="27"/>
        <v>1.1020901234699412E-2</v>
      </c>
      <c r="X48" s="3">
        <f t="shared" si="27"/>
        <v>1.1020901234698418E-2</v>
      </c>
      <c r="Y48" s="3">
        <f t="shared" si="27"/>
        <v>1.1020901234688501E-2</v>
      </c>
      <c r="Z48" s="3">
        <f t="shared" si="27"/>
        <v>1.1020901234589313E-2</v>
      </c>
      <c r="AA48" s="3">
        <f t="shared" si="27"/>
        <v>1.1020901233597431E-2</v>
      </c>
      <c r="AB48" s="3">
        <f t="shared" si="27"/>
        <v>1.102090122367862E-2</v>
      </c>
      <c r="AC48" s="3">
        <f t="shared" si="27"/>
        <v>1.102090112449051E-2</v>
      </c>
      <c r="AD48" s="3">
        <f t="shared" si="27"/>
        <v>1.1020900132609453E-2</v>
      </c>
      <c r="AE48" s="3">
        <f t="shared" si="27"/>
        <v>1.1020890213803798E-2</v>
      </c>
      <c r="AF48" s="3">
        <f t="shared" si="29"/>
        <v>1.1020791026238218E-2</v>
      </c>
      <c r="AG48" s="3">
        <f t="shared" si="29"/>
        <v>1.1019799199678722E-2</v>
      </c>
      <c r="AH48" s="3">
        <f t="shared" si="29"/>
        <v>1.1009885842079082E-2</v>
      </c>
      <c r="AI48" s="3">
        <f t="shared" si="29"/>
        <v>1.0911241435180264E-2</v>
      </c>
      <c r="AJ48" s="3">
        <f t="shared" si="29"/>
        <v>9.9721238176348342E-3</v>
      </c>
    </row>
    <row r="49" spans="1:36" x14ac:dyDescent="0.25">
      <c r="B49" s="16">
        <f>SUM(B17:B48)</f>
        <v>1.2252773309835403</v>
      </c>
      <c r="C49" s="18">
        <f>SUM(C17:C48)</f>
        <v>0.99999999999999989</v>
      </c>
      <c r="F49" s="3">
        <f t="shared" ref="F49:AJ49" si="31">F16-F17</f>
        <v>-13.446559597328815</v>
      </c>
      <c r="G49" s="3">
        <f t="shared" si="31"/>
        <v>-13.393211054022686</v>
      </c>
      <c r="H49" s="3">
        <f t="shared" si="31"/>
        <v>-13.426206255599936</v>
      </c>
      <c r="I49" s="3">
        <f t="shared" si="31"/>
        <v>-13.436017748685117</v>
      </c>
      <c r="J49" s="3">
        <f t="shared" si="31"/>
        <v>-13.439087068154549</v>
      </c>
      <c r="K49" s="3">
        <f t="shared" si="31"/>
        <v>-13.439951665295666</v>
      </c>
      <c r="L49" s="3">
        <f t="shared" si="31"/>
        <v>-13.440137377709107</v>
      </c>
      <c r="M49" s="3">
        <f t="shared" si="31"/>
        <v>-13.437405300613136</v>
      </c>
      <c r="N49" s="3">
        <f t="shared" si="31"/>
        <v>-13.409759574611599</v>
      </c>
      <c r="O49" s="3">
        <f t="shared" si="31"/>
        <v>-13.151427674592014</v>
      </c>
      <c r="P49" s="3">
        <f t="shared" si="31"/>
        <v>-11.836316666011953</v>
      </c>
      <c r="Q49" s="3">
        <f t="shared" si="31"/>
        <v>-4.187271017657622</v>
      </c>
      <c r="R49" s="3">
        <f t="shared" si="31"/>
        <v>7.1724296996071644</v>
      </c>
      <c r="S49" s="3">
        <f t="shared" si="31"/>
        <v>16.196357507780704</v>
      </c>
      <c r="T49" s="3">
        <f t="shared" si="31"/>
        <v>29.589972588478304</v>
      </c>
      <c r="U49" s="3">
        <f t="shared" si="31"/>
        <v>39.406525534513094</v>
      </c>
      <c r="V49" s="3">
        <f t="shared" si="31"/>
        <v>45.365777577681001</v>
      </c>
      <c r="W49" s="3">
        <f t="shared" si="31"/>
        <v>5.1322256466391991</v>
      </c>
      <c r="X49" s="3">
        <f t="shared" si="31"/>
        <v>-119.80395639396556</v>
      </c>
      <c r="Y49" s="3">
        <f t="shared" si="31"/>
        <v>-249.86749586439237</v>
      </c>
      <c r="Z49" s="3">
        <f t="shared" si="31"/>
        <v>-328.01892263879245</v>
      </c>
      <c r="AA49" s="3">
        <f t="shared" si="31"/>
        <v>-357.4996884956181</v>
      </c>
      <c r="AB49" s="3">
        <f t="shared" si="31"/>
        <v>-340.03273436331574</v>
      </c>
      <c r="AC49" s="3">
        <f t="shared" si="31"/>
        <v>-290.541077262008</v>
      </c>
      <c r="AD49" s="3">
        <f t="shared" si="31"/>
        <v>-219.39474985868651</v>
      </c>
      <c r="AE49" s="3">
        <f t="shared" si="31"/>
        <v>-140.27248724419655</v>
      </c>
      <c r="AF49" s="3">
        <f t="shared" si="31"/>
        <v>-79.436270087034814</v>
      </c>
      <c r="AG49" s="3">
        <f t="shared" si="31"/>
        <v>-43.163718166692547</v>
      </c>
      <c r="AH49" s="3">
        <f t="shared" si="31"/>
        <v>-23.359585468713647</v>
      </c>
      <c r="AI49" s="3">
        <f t="shared" si="31"/>
        <v>-16.009806245279151</v>
      </c>
      <c r="AJ49" s="3">
        <f t="shared" si="31"/>
        <v>-14.103891017558226</v>
      </c>
    </row>
    <row r="50" spans="1:36" x14ac:dyDescent="0.25">
      <c r="F50" s="57">
        <f t="shared" ref="F50:AJ50" si="32">F49/F17</f>
        <v>-2.0631792884111843E-3</v>
      </c>
      <c r="G50" s="57">
        <f t="shared" si="32"/>
        <v>-2.0549937292192915E-3</v>
      </c>
      <c r="H50" s="57">
        <f t="shared" si="32"/>
        <v>-2.06005636379655E-3</v>
      </c>
      <c r="I50" s="57">
        <f t="shared" si="32"/>
        <v>-2.0615617957024449E-3</v>
      </c>
      <c r="J50" s="57">
        <f t="shared" si="32"/>
        <v>-2.0620327460252612E-3</v>
      </c>
      <c r="K50" s="57">
        <f t="shared" si="32"/>
        <v>-2.0621654841573708E-3</v>
      </c>
      <c r="L50" s="57">
        <f t="shared" si="32"/>
        <v>-2.0621947615973015E-3</v>
      </c>
      <c r="M50" s="57">
        <f t="shared" si="32"/>
        <v>-2.0617833868268884E-3</v>
      </c>
      <c r="N50" s="57">
        <f t="shared" si="32"/>
        <v>-2.0576194920250744E-3</v>
      </c>
      <c r="O50" s="57">
        <f t="shared" si="32"/>
        <v>-2.018734581768124E-3</v>
      </c>
      <c r="P50" s="57">
        <f t="shared" si="32"/>
        <v>-1.8229154514763557E-3</v>
      </c>
      <c r="Q50" s="57">
        <f t="shared" si="32"/>
        <v>-6.5745716274841399E-4</v>
      </c>
      <c r="R50" s="57">
        <f t="shared" si="32"/>
        <v>1.1545379597807804E-3</v>
      </c>
      <c r="S50" s="57">
        <f t="shared" si="32"/>
        <v>2.6798380532059231E-3</v>
      </c>
      <c r="T50" s="57">
        <f t="shared" si="32"/>
        <v>5.0658724649245059E-3</v>
      </c>
      <c r="U50" s="57">
        <f t="shared" si="32"/>
        <v>6.9997235085389863E-3</v>
      </c>
      <c r="V50" s="57">
        <f t="shared" si="32"/>
        <v>8.4353319781236245E-3</v>
      </c>
      <c r="W50" s="57">
        <f t="shared" si="32"/>
        <v>1.0143202081062082E-3</v>
      </c>
      <c r="X50" s="57">
        <f t="shared" si="32"/>
        <v>-2.549026296129259E-2</v>
      </c>
      <c r="Y50" s="57">
        <f t="shared" si="32"/>
        <v>-5.7629805281061597E-2</v>
      </c>
      <c r="Z50" s="57">
        <f t="shared" si="32"/>
        <v>-8.2630216611387378E-2</v>
      </c>
      <c r="AA50" s="57">
        <f t="shared" si="32"/>
        <v>-9.9605424986589669E-2</v>
      </c>
      <c r="AB50" s="57">
        <f t="shared" si="32"/>
        <v>-0.10878426084672921</v>
      </c>
      <c r="AC50" s="57">
        <f t="shared" si="32"/>
        <v>-0.11236481745278808</v>
      </c>
      <c r="AD50" s="57">
        <f t="shared" si="32"/>
        <v>-0.11114730451169652</v>
      </c>
      <c r="AE50" s="57">
        <f t="shared" si="32"/>
        <v>-0.10690292333634097</v>
      </c>
      <c r="AF50" s="57">
        <f t="shared" si="32"/>
        <v>-0.10133490990222421</v>
      </c>
      <c r="AG50" s="57">
        <f t="shared" si="32"/>
        <v>-9.6688297068696055E-2</v>
      </c>
      <c r="AH50" s="57">
        <f t="shared" si="32"/>
        <v>-9.3233097439800905E-2</v>
      </c>
      <c r="AI50" s="57">
        <f t="shared" si="32"/>
        <v>-9.2529653874485918E-2</v>
      </c>
      <c r="AJ50" s="57">
        <f t="shared" si="32"/>
        <v>-9.3357054961466471E-2</v>
      </c>
    </row>
    <row r="51" spans="1:36" x14ac:dyDescent="0.25">
      <c r="A51" s="13" t="s">
        <v>21</v>
      </c>
      <c r="B51" s="3">
        <f>STUTT!D8</f>
        <v>6524.0923000000003</v>
      </c>
      <c r="E51" s="11" t="s">
        <v>24</v>
      </c>
      <c r="F51" s="20">
        <f t="shared" ref="F51:AJ51" si="33">(F16-F17)^2</f>
        <v>180.80996500451565</v>
      </c>
      <c r="G51" s="20">
        <f t="shared" si="33"/>
        <v>179.37810233759546</v>
      </c>
      <c r="H51" s="20">
        <f t="shared" si="33"/>
        <v>180.26301441791085</v>
      </c>
      <c r="I51" s="20">
        <f t="shared" si="33"/>
        <v>180.52657294298149</v>
      </c>
      <c r="J51" s="20">
        <f t="shared" si="33"/>
        <v>180.60906122543884</v>
      </c>
      <c r="K51" s="20">
        <f t="shared" si="33"/>
        <v>180.63230076548376</v>
      </c>
      <c r="L51" s="20">
        <f t="shared" si="33"/>
        <v>180.63729273169344</v>
      </c>
      <c r="M51" s="20">
        <f t="shared" si="33"/>
        <v>180.56386121294602</v>
      </c>
      <c r="N51" s="20">
        <f t="shared" si="33"/>
        <v>179.82165184888743</v>
      </c>
      <c r="O51" s="20">
        <f t="shared" si="33"/>
        <v>172.96004988002471</v>
      </c>
      <c r="P51" s="20">
        <f t="shared" si="33"/>
        <v>140.09839221811231</v>
      </c>
      <c r="Q51" s="20">
        <f t="shared" si="33"/>
        <v>17.533238575315497</v>
      </c>
      <c r="R51" s="20">
        <f t="shared" si="33"/>
        <v>51.443747795806921</v>
      </c>
      <c r="S51" s="20">
        <f t="shared" si="33"/>
        <v>262.32199651984439</v>
      </c>
      <c r="T51" s="20">
        <f t="shared" si="33"/>
        <v>875.56647778689739</v>
      </c>
      <c r="U51" s="20">
        <f t="shared" si="33"/>
        <v>1552.8742547022325</v>
      </c>
      <c r="V51" s="20">
        <f t="shared" si="33"/>
        <v>2058.0537752276241</v>
      </c>
      <c r="W51" s="20">
        <f t="shared" si="33"/>
        <v>26.339740088021145</v>
      </c>
      <c r="X51" s="20">
        <f t="shared" si="33"/>
        <v>14352.987967647203</v>
      </c>
      <c r="Y51" s="20">
        <f t="shared" si="33"/>
        <v>62433.765489542136</v>
      </c>
      <c r="Z51" s="20">
        <f t="shared" si="33"/>
        <v>107596.4136091141</v>
      </c>
      <c r="AA51" s="20">
        <f t="shared" si="33"/>
        <v>127806.02727446398</v>
      </c>
      <c r="AB51" s="20">
        <f t="shared" si="33"/>
        <v>115622.26043859325</v>
      </c>
      <c r="AC51" s="20">
        <f t="shared" si="33"/>
        <v>84414.117576568096</v>
      </c>
      <c r="AD51" s="20">
        <f t="shared" si="33"/>
        <v>48134.056265555628</v>
      </c>
      <c r="AE51" s="20">
        <f t="shared" si="33"/>
        <v>19676.370677673283</v>
      </c>
      <c r="AF51" s="20">
        <f t="shared" si="33"/>
        <v>6310.121005340342</v>
      </c>
      <c r="AG51" s="20">
        <f t="shared" si="33"/>
        <v>1863.1065659736641</v>
      </c>
      <c r="AH51" s="20">
        <f t="shared" si="33"/>
        <v>545.67023327013771</v>
      </c>
      <c r="AI51" s="20">
        <f t="shared" si="33"/>
        <v>256.31389601137931</v>
      </c>
      <c r="AJ51" s="20">
        <f t="shared" si="33"/>
        <v>198.91974183515961</v>
      </c>
    </row>
    <row r="52" spans="1:36" x14ac:dyDescent="0.25">
      <c r="A52" s="13"/>
    </row>
    <row r="53" spans="1:36" x14ac:dyDescent="0.25">
      <c r="E53" s="118" t="s">
        <v>25</v>
      </c>
      <c r="F53" s="118"/>
      <c r="G53" s="104">
        <f>SUM(F51:AJ51)</f>
        <v>595990.56423686969</v>
      </c>
      <c r="I53" s="3">
        <f>G53+C123</f>
        <v>595990.56423686969</v>
      </c>
      <c r="K53" s="3">
        <f>SUM(Z51:AJ51)</f>
        <v>512423.37728439906</v>
      </c>
    </row>
    <row r="55" spans="1:36" x14ac:dyDescent="0.25">
      <c r="E55" s="30" t="s">
        <v>30</v>
      </c>
      <c r="F55" s="31">
        <f t="shared" ref="F55:AJ55" si="34">ABS(F17-F16)/F16</f>
        <v>2.0674447976977281E-3</v>
      </c>
      <c r="G55" s="31">
        <f t="shared" si="34"/>
        <v>2.0592254245537984E-3</v>
      </c>
      <c r="H55" s="31">
        <f t="shared" si="34"/>
        <v>2.0643089565994346E-3</v>
      </c>
      <c r="I55" s="31">
        <f t="shared" si="34"/>
        <v>2.0658206125540612E-3</v>
      </c>
      <c r="J55" s="31">
        <f t="shared" si="34"/>
        <v>2.066293510907652E-3</v>
      </c>
      <c r="K55" s="31">
        <f t="shared" si="34"/>
        <v>2.0664267981761074E-3</v>
      </c>
      <c r="L55" s="31">
        <f t="shared" si="34"/>
        <v>2.0664561967412916E-3</v>
      </c>
      <c r="M55" s="31">
        <f t="shared" si="34"/>
        <v>2.0660431202086022E-3</v>
      </c>
      <c r="N55" s="31">
        <f t="shared" si="34"/>
        <v>2.0618620195062766E-3</v>
      </c>
      <c r="O55" s="31">
        <f t="shared" si="34"/>
        <v>2.0228181146487922E-3</v>
      </c>
      <c r="P55" s="31">
        <f t="shared" si="34"/>
        <v>1.8262445408680785E-3</v>
      </c>
      <c r="Q55" s="31">
        <f t="shared" si="34"/>
        <v>6.5788969704203264E-4</v>
      </c>
      <c r="R55" s="31">
        <f t="shared" si="34"/>
        <v>1.153206539055973E-3</v>
      </c>
      <c r="S55" s="31">
        <f t="shared" si="34"/>
        <v>2.6726757151206634E-3</v>
      </c>
      <c r="T55" s="31">
        <f t="shared" si="34"/>
        <v>5.0403387516287377E-3</v>
      </c>
      <c r="U55" s="31">
        <f t="shared" si="34"/>
        <v>6.9510679547665549E-3</v>
      </c>
      <c r="V55" s="31">
        <f t="shared" si="34"/>
        <v>8.3647723464598082E-3</v>
      </c>
      <c r="W55" s="31">
        <f t="shared" si="34"/>
        <v>1.0132924051429511E-3</v>
      </c>
      <c r="X55" s="31">
        <f t="shared" si="34"/>
        <v>2.6157012077427936E-2</v>
      </c>
      <c r="Y55" s="31">
        <f t="shared" si="34"/>
        <v>6.1154104410368865E-2</v>
      </c>
      <c r="Z55" s="31">
        <f t="shared" si="34"/>
        <v>9.0072965239998415E-2</v>
      </c>
      <c r="AA55" s="31">
        <f t="shared" si="34"/>
        <v>0.11062419493709873</v>
      </c>
      <c r="AB55" s="31">
        <f t="shared" si="34"/>
        <v>0.12206276894311059</v>
      </c>
      <c r="AC55" s="31">
        <f t="shared" si="34"/>
        <v>0.12658896319357144</v>
      </c>
      <c r="AD55" s="31">
        <f t="shared" si="34"/>
        <v>0.12504580913785296</v>
      </c>
      <c r="AE55" s="31">
        <f t="shared" si="34"/>
        <v>0.11969910789059796</v>
      </c>
      <c r="AF55" s="31">
        <f t="shared" si="34"/>
        <v>0.11276159608158236</v>
      </c>
      <c r="AG55" s="31">
        <f t="shared" si="34"/>
        <v>0.10703757823012408</v>
      </c>
      <c r="AH55" s="31">
        <f t="shared" si="34"/>
        <v>0.10281925506606289</v>
      </c>
      <c r="AI55" s="31">
        <f t="shared" si="34"/>
        <v>0.10196438293498568</v>
      </c>
      <c r="AJ55" s="31">
        <f t="shared" si="34"/>
        <v>0.10297003409373981</v>
      </c>
    </row>
    <row r="56" spans="1:36" x14ac:dyDescent="0.25">
      <c r="E56" s="13" t="s">
        <v>31</v>
      </c>
      <c r="F56" s="32">
        <f>AVERAGE(F55:AJ55)</f>
        <v>4.3782063217361306E-2</v>
      </c>
    </row>
    <row r="57" spans="1:36" x14ac:dyDescent="0.25">
      <c r="A57" s="42"/>
      <c r="B57" s="15"/>
      <c r="C57" s="15"/>
      <c r="D57" s="15"/>
      <c r="F57" s="60">
        <f>AVERAGE(S55:X55)</f>
        <v>8.3665265417577749E-3</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19"/>
      <c r="D63" s="119"/>
      <c r="E63" s="119"/>
      <c r="F63" s="119"/>
      <c r="G63" s="119"/>
      <c r="H63" s="119"/>
      <c r="I63" s="119"/>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-14.406800109604639</v>
      </c>
    </row>
    <row r="119" spans="1:14" x14ac:dyDescent="0.25">
      <c r="L119" s="11">
        <f>L118+1</f>
        <v>2</v>
      </c>
      <c r="M119" s="11">
        <f t="shared" ref="M119:M124" si="35">INDEX($B$125:$K$126,1,L119)</f>
        <v>0</v>
      </c>
      <c r="N119" s="11">
        <f t="shared" ref="N119:N124" si="36">IF(L119=$B$3,0,INDEX($B$125:$K$126,2,L119))</f>
        <v>-10.950515452938541</v>
      </c>
    </row>
    <row r="120" spans="1:14" x14ac:dyDescent="0.25">
      <c r="L120" s="11">
        <f t="shared" ref="L120:L124" si="37">L119+1</f>
        <v>3</v>
      </c>
      <c r="M120" s="11">
        <f t="shared" si="35"/>
        <v>25</v>
      </c>
      <c r="N120" s="11">
        <f t="shared" si="36"/>
        <v>-6.5770330385822291</v>
      </c>
    </row>
    <row r="121" spans="1:14" x14ac:dyDescent="0.25">
      <c r="A121" s="103">
        <f>(A165+A204+A243+A282+A321+A360+A399)*10^9</f>
        <v>7167353580230345</v>
      </c>
      <c r="L121" s="11">
        <f t="shared" si="37"/>
        <v>4</v>
      </c>
      <c r="M121" s="11">
        <f t="shared" si="35"/>
        <v>50</v>
      </c>
      <c r="N121" s="11">
        <f t="shared" si="36"/>
        <v>0</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12.063922953615501</v>
      </c>
    </row>
    <row r="123" spans="1:14" x14ac:dyDescent="0.25">
      <c r="A123" s="118"/>
      <c r="B123" s="118"/>
      <c r="C123" s="3"/>
      <c r="D123" s="3"/>
      <c r="E123" s="3"/>
      <c r="F123" s="3"/>
      <c r="G123" s="3"/>
      <c r="H123" s="3"/>
      <c r="I123" s="3"/>
      <c r="J123" s="3"/>
      <c r="K123" s="3"/>
      <c r="L123" s="11">
        <f t="shared" si="37"/>
        <v>6</v>
      </c>
      <c r="M123" s="11">
        <f t="shared" si="35"/>
        <v>125</v>
      </c>
      <c r="N123" s="11">
        <f t="shared" si="36"/>
        <v>31.8000897176249</v>
      </c>
    </row>
    <row r="124" spans="1:14" x14ac:dyDescent="0.25">
      <c r="B124" s="3"/>
      <c r="C124" s="3"/>
      <c r="D124" s="3"/>
      <c r="E124" s="3"/>
      <c r="F124" s="3"/>
      <c r="G124" s="3"/>
      <c r="H124" s="3"/>
      <c r="I124" s="3"/>
      <c r="J124" s="3"/>
      <c r="K124" s="3"/>
      <c r="L124" s="11">
        <f t="shared" si="37"/>
        <v>7</v>
      </c>
      <c r="M124" s="11">
        <f t="shared" si="35"/>
        <v>160</v>
      </c>
      <c r="N124" s="11">
        <f t="shared" si="36"/>
        <v>35.861537922668312</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-14.406800109604639</v>
      </c>
      <c r="C126" s="107">
        <v>-10.950515452938541</v>
      </c>
      <c r="D126" s="107">
        <v>-6.5770330385822291</v>
      </c>
      <c r="E126" s="107">
        <v>1.3428687777918219E-4</v>
      </c>
      <c r="F126" s="107">
        <v>12.063922953615501</v>
      </c>
      <c r="G126" s="107">
        <v>31.8000897176249</v>
      </c>
      <c r="H126" s="107">
        <v>35.861537922668312</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6574.1423129756067</v>
      </c>
      <c r="C130" s="26">
        <f>INDEX(Comparison!$AM$3:$AS$33,G14,$B$122)</f>
        <v>6574.1983504239388</v>
      </c>
      <c r="D130" s="26">
        <f>INDEX(Comparison!$AM$3:$AS$33,H14,$B$122)</f>
        <v>6574.1641202956771</v>
      </c>
      <c r="E130" s="26">
        <f>INDEX(Comparison!$AM$3:$AS$33,I14,$B$122)</f>
        <v>6574.1538463873376</v>
      </c>
      <c r="F130" s="26">
        <f>INDEX(Comparison!$AM$3:$AS$33,J14,$B$122)</f>
        <v>6574.1506604943988</v>
      </c>
      <c r="G130" s="26">
        <f>INDEX(Comparison!$AM$3:$AS$33,K14,$B$122)</f>
        <v>6574.149598530772</v>
      </c>
      <c r="H130" s="26">
        <f>INDEX(Comparison!$AM$3:$AS$33,L14,$B$122)</f>
        <v>6574.1492527752453</v>
      </c>
      <c r="I130" s="26">
        <f>INDEX(Comparison!$AM$3:$AS$33,M14,$B$122)</f>
        <v>6574.149203381603</v>
      </c>
      <c r="J130" s="26">
        <f>INDEX(Comparison!$AM$3:$AS$33,N14,$B$122)</f>
        <v>6574.149203381603</v>
      </c>
      <c r="K130" s="26">
        <f>INDEX(Comparison!$AM$3:$AS$33,O14,$B$122)</f>
        <v>6574.149203381603</v>
      </c>
      <c r="L130" s="26">
        <f>INDEX(Comparison!$AM$3:$AS$33,P14,$B$122)</f>
        <v>6574.1491786847801</v>
      </c>
      <c r="M130" s="26">
        <f>INDEX(Comparison!$AM$3:$AS$33,Q14,$B$122)</f>
        <v>6574.1489070197567</v>
      </c>
      <c r="N130" s="26">
        <f>INDEX(Comparison!$AM$3:$AS$33,R14,$B$122)</f>
        <v>6574.1483883865922</v>
      </c>
      <c r="O130" s="26">
        <f>INDEX(Comparison!$AM$3:$AS$33,S14,$B$122)</f>
        <v>6574.141102834109</v>
      </c>
      <c r="P130" s="26">
        <f>INDEX(Comparison!$AM$3:$AS$33,T14,$B$122)</f>
        <v>6574.0681741087647</v>
      </c>
      <c r="Q130" s="26">
        <f>INDEX(Comparison!$AM$3:$AS$33,U14,$B$122)</f>
        <v>6573.3425313051102</v>
      </c>
      <c r="R130" s="26">
        <f>INDEX(Comparison!$AM$3:$AS$33,V14,$B$122)</f>
        <v>6566.2492544539882</v>
      </c>
      <c r="S130" s="26">
        <f>INDEX(Comparison!$AM$3:$AS$33,W14,$B$122)</f>
        <v>6509.2168204054406</v>
      </c>
      <c r="T130" s="26">
        <f>INDEX(Comparison!$AM$3:$AS$33,X14,$B$122)</f>
        <v>6358.877795711509</v>
      </c>
      <c r="U130" s="26">
        <f>INDEX(Comparison!$AM$3:$AS$33,Y14,$B$122)</f>
        <v>6198.1657141301985</v>
      </c>
      <c r="V130" s="26">
        <f>INDEX(Comparison!$AM$3:$AS$33,Z14,$B$122)</f>
        <v>5965.2165970487267</v>
      </c>
      <c r="W130" s="26">
        <f>INDEX(Comparison!$AM$3:$AS$33,AA14,$B$122)</f>
        <v>5562.9083959530062</v>
      </c>
      <c r="X130" s="26">
        <f>INDEX(Comparison!$AM$3:$AS$33,AB14,$B$122)</f>
        <v>5068.6144859756578</v>
      </c>
      <c r="Y130" s="26">
        <f>INDEX(Comparison!$AM$3:$AS$33,AC14,$B$122)</f>
        <v>4583.1082918040429</v>
      </c>
      <c r="Z130" s="26">
        <f>INDEX(Comparison!$AM$3:$AS$33,AD14,$B$122)</f>
        <v>4165.9762057055259</v>
      </c>
      <c r="AA130" s="26">
        <f>INDEX(Comparison!$AM$3:$AS$33,AE14,$B$122)</f>
        <v>3823.5689905233821</v>
      </c>
      <c r="AB130" s="26">
        <f>INDEX(Comparison!$AM$3:$AS$33,AF14,$B$122)</f>
        <v>3510.558848270296</v>
      </c>
      <c r="AC130" s="26">
        <f>INDEX(Comparison!$AM$3:$AS$33,AG14,$B$122)</f>
        <v>3215.4703591878829</v>
      </c>
      <c r="AD130" s="26">
        <f>INDEX(Comparison!$AM$3:$AS$33,AH14,$B$122)</f>
        <v>2870.194204228324</v>
      </c>
      <c r="AE130" s="26">
        <f>INDEX(Comparison!$AM$3:$AS$33,AI14,$B$122)</f>
        <v>2458.5183678646754</v>
      </c>
      <c r="AF130" s="26">
        <f>INDEX(Comparison!$AM$3:$AS$33,AJ14,$B$122)</f>
        <v>1982.6966326072995</v>
      </c>
    </row>
    <row r="131" spans="1:33" x14ac:dyDescent="0.25">
      <c r="A131" s="68" t="s">
        <v>22</v>
      </c>
      <c r="B131" s="27">
        <f>($C$17+SUM(B132:B162))*$B$51</f>
        <v>6523.7317414421923</v>
      </c>
      <c r="C131" s="27">
        <f t="shared" ref="C131:AF131" si="40">($C$17+SUM(C132:C162))*$B$51</f>
        <v>6521.2461462356723</v>
      </c>
      <c r="D131" s="27">
        <f t="shared" si="40"/>
        <v>6517.4239187096064</v>
      </c>
      <c r="E131" s="27">
        <f t="shared" si="40"/>
        <v>6517.3975295619721</v>
      </c>
      <c r="F131" s="27">
        <f t="shared" si="40"/>
        <v>6517.3975295619593</v>
      </c>
      <c r="G131" s="27">
        <f t="shared" si="40"/>
        <v>6517.397529561822</v>
      </c>
      <c r="H131" s="27">
        <f t="shared" si="40"/>
        <v>6517.3975295604523</v>
      </c>
      <c r="I131" s="27">
        <f t="shared" si="40"/>
        <v>6517.3975295467599</v>
      </c>
      <c r="J131" s="27">
        <f t="shared" si="40"/>
        <v>6517.3975294098364</v>
      </c>
      <c r="K131" s="27">
        <f t="shared" si="40"/>
        <v>6517.3975280405994</v>
      </c>
      <c r="L131" s="27">
        <f t="shared" si="40"/>
        <v>6517.3975143482267</v>
      </c>
      <c r="M131" s="27">
        <f t="shared" si="40"/>
        <v>6517.3973774246224</v>
      </c>
      <c r="N131" s="27">
        <f t="shared" si="40"/>
        <v>6517.3960081996265</v>
      </c>
      <c r="O131" s="27">
        <f t="shared" si="40"/>
        <v>6517.3823170563346</v>
      </c>
      <c r="P131" s="27">
        <f t="shared" si="40"/>
        <v>6517.2455161148546</v>
      </c>
      <c r="Q131" s="27">
        <f t="shared" si="40"/>
        <v>6515.8883840260469</v>
      </c>
      <c r="R131" s="27">
        <f t="shared" si="40"/>
        <v>6503.2560874952633</v>
      </c>
      <c r="S131" s="27">
        <f t="shared" si="40"/>
        <v>6417.2073205042216</v>
      </c>
      <c r="T131" s="27">
        <f t="shared" si="40"/>
        <v>6247.0444521902718</v>
      </c>
      <c r="U131" s="27">
        <f t="shared" si="40"/>
        <v>6093.2896519438291</v>
      </c>
      <c r="V131" s="27">
        <f t="shared" si="40"/>
        <v>5889.6690518159603</v>
      </c>
      <c r="W131" s="27">
        <f t="shared" si="40"/>
        <v>5681.2668167976726</v>
      </c>
      <c r="X131" s="27">
        <f t="shared" si="40"/>
        <v>5443.8261303189729</v>
      </c>
      <c r="Y131" s="27">
        <f t="shared" si="40"/>
        <v>5137.6535323671824</v>
      </c>
      <c r="Z131" s="27">
        <f t="shared" si="40"/>
        <v>4781.7868555374798</v>
      </c>
      <c r="AA131" s="27">
        <f t="shared" si="40"/>
        <v>4417.3743945847245</v>
      </c>
      <c r="AB131" s="27">
        <f t="shared" si="40"/>
        <v>4056.9726390812684</v>
      </c>
      <c r="AC131" s="27">
        <f t="shared" si="40"/>
        <v>3676.5748625551296</v>
      </c>
      <c r="AD131" s="27">
        <f t="shared" si="40"/>
        <v>3272.3969073213034</v>
      </c>
      <c r="AE131" s="27">
        <f t="shared" si="40"/>
        <v>2734.1655471539007</v>
      </c>
      <c r="AF131" s="27">
        <f t="shared" si="40"/>
        <v>2138.1926601143705</v>
      </c>
    </row>
    <row r="132" spans="1:33" x14ac:dyDescent="0.25">
      <c r="B132" s="3">
        <f t="shared" ref="B132:Z133" si="41">$C18*EXP(-B$129/$A18/EXP(-$B$126))</f>
        <v>9.7089550376501196E-4</v>
      </c>
      <c r="C132" s="3">
        <f t="shared" ref="C132:AF132" si="42">$C18*EXP(-C$129/$A18/EXP(-$B$126))</f>
        <v>5.8990837295444824E-4</v>
      </c>
      <c r="D132" s="3">
        <f t="shared" si="42"/>
        <v>4.0448765007162145E-6</v>
      </c>
      <c r="E132" s="3">
        <f t="shared" si="42"/>
        <v>9.2920668008895392E-28</v>
      </c>
      <c r="F132" s="3">
        <f t="shared" si="42"/>
        <v>3.8034953943228884E-244</v>
      </c>
      <c r="G132" s="3">
        <f t="shared" si="42"/>
        <v>0</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0</v>
      </c>
      <c r="C133" s="3">
        <f t="shared" si="41"/>
        <v>0</v>
      </c>
      <c r="D133" s="3">
        <f t="shared" si="41"/>
        <v>0</v>
      </c>
      <c r="E133" s="3">
        <f t="shared" si="41"/>
        <v>0</v>
      </c>
      <c r="F133" s="3">
        <f t="shared" si="41"/>
        <v>0</v>
      </c>
      <c r="G133" s="3">
        <f t="shared" si="41"/>
        <v>0</v>
      </c>
      <c r="H133" s="3">
        <f t="shared" si="41"/>
        <v>0</v>
      </c>
      <c r="I133" s="3">
        <f t="shared" si="41"/>
        <v>0</v>
      </c>
      <c r="J133" s="3">
        <f t="shared" si="41"/>
        <v>0</v>
      </c>
      <c r="K133" s="3">
        <f t="shared" si="41"/>
        <v>0</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0</v>
      </c>
      <c r="C134" s="3">
        <f t="shared" si="44"/>
        <v>0</v>
      </c>
      <c r="D134" s="3">
        <f t="shared" si="44"/>
        <v>0</v>
      </c>
      <c r="E134" s="3">
        <f t="shared" si="44"/>
        <v>0</v>
      </c>
      <c r="F134" s="3">
        <f t="shared" si="44"/>
        <v>0</v>
      </c>
      <c r="G134" s="3">
        <f t="shared" si="44"/>
        <v>0</v>
      </c>
      <c r="H134" s="3">
        <f t="shared" si="44"/>
        <v>0</v>
      </c>
      <c r="I134" s="3">
        <f t="shared" si="44"/>
        <v>0</v>
      </c>
      <c r="J134" s="3">
        <f t="shared" si="44"/>
        <v>0</v>
      </c>
      <c r="K134" s="3">
        <f t="shared" si="44"/>
        <v>0</v>
      </c>
      <c r="L134" s="3">
        <f t="shared" si="44"/>
        <v>0</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0</v>
      </c>
      <c r="C135" s="3">
        <f t="shared" si="47"/>
        <v>0</v>
      </c>
      <c r="D135" s="3">
        <f t="shared" si="47"/>
        <v>0</v>
      </c>
      <c r="E135" s="3">
        <f t="shared" si="47"/>
        <v>0</v>
      </c>
      <c r="F135" s="3">
        <f t="shared" si="47"/>
        <v>0</v>
      </c>
      <c r="G135" s="3">
        <f t="shared" si="47"/>
        <v>0</v>
      </c>
      <c r="H135" s="3">
        <f t="shared" si="47"/>
        <v>0</v>
      </c>
      <c r="I135" s="3">
        <f t="shared" si="47"/>
        <v>0</v>
      </c>
      <c r="J135" s="3">
        <f t="shared" si="47"/>
        <v>0</v>
      </c>
      <c r="K135" s="3">
        <f t="shared" si="47"/>
        <v>0</v>
      </c>
      <c r="L135" s="3">
        <f t="shared" si="47"/>
        <v>0</v>
      </c>
      <c r="M135" s="3">
        <f t="shared" si="47"/>
        <v>0</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0</v>
      </c>
      <c r="C136" s="3">
        <f t="shared" si="49"/>
        <v>0</v>
      </c>
      <c r="D136" s="3">
        <f t="shared" si="49"/>
        <v>0</v>
      </c>
      <c r="E136" s="3">
        <f t="shared" si="49"/>
        <v>0</v>
      </c>
      <c r="F136" s="3">
        <f t="shared" si="49"/>
        <v>0</v>
      </c>
      <c r="G136" s="3">
        <f t="shared" si="49"/>
        <v>0</v>
      </c>
      <c r="H136" s="3">
        <f t="shared" si="49"/>
        <v>0</v>
      </c>
      <c r="I136" s="3">
        <f t="shared" si="49"/>
        <v>0</v>
      </c>
      <c r="J136" s="3">
        <f t="shared" si="49"/>
        <v>0</v>
      </c>
      <c r="K136" s="3">
        <f t="shared" si="49"/>
        <v>0</v>
      </c>
      <c r="L136" s="3">
        <f t="shared" si="49"/>
        <v>0</v>
      </c>
      <c r="M136" s="3">
        <f t="shared" si="49"/>
        <v>0</v>
      </c>
      <c r="N136" s="3">
        <f t="shared" si="49"/>
        <v>0</v>
      </c>
      <c r="O136" s="3">
        <f t="shared" si="49"/>
        <v>0</v>
      </c>
      <c r="P136" s="3">
        <f t="shared" si="49"/>
        <v>0</v>
      </c>
      <c r="Q136" s="3">
        <f t="shared" si="49"/>
        <v>0</v>
      </c>
      <c r="R136" s="3">
        <f t="shared" si="49"/>
        <v>0</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0</v>
      </c>
      <c r="C137" s="3">
        <f t="shared" si="51"/>
        <v>0</v>
      </c>
      <c r="D137" s="3">
        <f t="shared" si="51"/>
        <v>0</v>
      </c>
      <c r="E137" s="3">
        <f t="shared" si="51"/>
        <v>0</v>
      </c>
      <c r="F137" s="3">
        <f t="shared" si="51"/>
        <v>0</v>
      </c>
      <c r="G137" s="3">
        <f t="shared" si="51"/>
        <v>0</v>
      </c>
      <c r="H137" s="3">
        <f t="shared" si="51"/>
        <v>0</v>
      </c>
      <c r="I137" s="3">
        <f t="shared" si="51"/>
        <v>0</v>
      </c>
      <c r="J137" s="3">
        <f t="shared" si="51"/>
        <v>0</v>
      </c>
      <c r="K137" s="3">
        <f t="shared" si="51"/>
        <v>0</v>
      </c>
      <c r="L137" s="3">
        <f t="shared" si="51"/>
        <v>0</v>
      </c>
      <c r="M137" s="3">
        <f t="shared" si="51"/>
        <v>0</v>
      </c>
      <c r="N137" s="3">
        <f t="shared" si="51"/>
        <v>0</v>
      </c>
      <c r="O137" s="3">
        <f t="shared" si="51"/>
        <v>0</v>
      </c>
      <c r="P137" s="3">
        <f t="shared" si="51"/>
        <v>0</v>
      </c>
      <c r="Q137" s="3">
        <f t="shared" si="51"/>
        <v>0</v>
      </c>
      <c r="R137" s="3">
        <f t="shared" si="51"/>
        <v>0</v>
      </c>
      <c r="S137" s="3">
        <f t="shared" si="51"/>
        <v>0</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0</v>
      </c>
      <c r="C138" s="3">
        <f t="shared" si="53"/>
        <v>0</v>
      </c>
      <c r="D138" s="3">
        <f t="shared" si="53"/>
        <v>0</v>
      </c>
      <c r="E138" s="3">
        <f t="shared" si="53"/>
        <v>0</v>
      </c>
      <c r="F138" s="3">
        <f t="shared" si="53"/>
        <v>0</v>
      </c>
      <c r="G138" s="3">
        <f t="shared" si="53"/>
        <v>0</v>
      </c>
      <c r="H138" s="3">
        <f t="shared" si="53"/>
        <v>0</v>
      </c>
      <c r="I138" s="3">
        <f t="shared" si="53"/>
        <v>0</v>
      </c>
      <c r="J138" s="3">
        <f t="shared" si="53"/>
        <v>0</v>
      </c>
      <c r="K138" s="3">
        <f t="shared" si="53"/>
        <v>0</v>
      </c>
      <c r="L138" s="3">
        <f t="shared" si="53"/>
        <v>0</v>
      </c>
      <c r="M138" s="3">
        <f t="shared" si="53"/>
        <v>0</v>
      </c>
      <c r="N138" s="3">
        <f t="shared" si="53"/>
        <v>0</v>
      </c>
      <c r="O138" s="3">
        <f t="shared" si="53"/>
        <v>0</v>
      </c>
      <c r="P138" s="3">
        <f t="shared" si="53"/>
        <v>0</v>
      </c>
      <c r="Q138" s="3">
        <f t="shared" si="53"/>
        <v>0</v>
      </c>
      <c r="R138" s="3">
        <f t="shared" si="53"/>
        <v>0</v>
      </c>
      <c r="S138" s="3">
        <f t="shared" si="53"/>
        <v>0</v>
      </c>
      <c r="T138" s="3">
        <f t="shared" si="53"/>
        <v>0</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0</v>
      </c>
      <c r="C139" s="3">
        <f t="shared" si="55"/>
        <v>0</v>
      </c>
      <c r="D139" s="3">
        <f t="shared" si="55"/>
        <v>0</v>
      </c>
      <c r="E139" s="3">
        <f t="shared" si="55"/>
        <v>0</v>
      </c>
      <c r="F139" s="3">
        <f t="shared" si="55"/>
        <v>0</v>
      </c>
      <c r="G139" s="3">
        <f t="shared" si="55"/>
        <v>0</v>
      </c>
      <c r="H139" s="3">
        <f t="shared" si="55"/>
        <v>0</v>
      </c>
      <c r="I139" s="3">
        <f t="shared" si="55"/>
        <v>0</v>
      </c>
      <c r="J139" s="3">
        <f t="shared" si="55"/>
        <v>0</v>
      </c>
      <c r="K139" s="3">
        <f t="shared" si="55"/>
        <v>0</v>
      </c>
      <c r="L139" s="3">
        <f t="shared" si="55"/>
        <v>0</v>
      </c>
      <c r="M139" s="3">
        <f t="shared" si="55"/>
        <v>0</v>
      </c>
      <c r="N139" s="3">
        <f t="shared" si="55"/>
        <v>0</v>
      </c>
      <c r="O139" s="3">
        <f t="shared" si="55"/>
        <v>0</v>
      </c>
      <c r="P139" s="3">
        <f t="shared" si="55"/>
        <v>0</v>
      </c>
      <c r="Q139" s="3">
        <f t="shared" si="55"/>
        <v>0</v>
      </c>
      <c r="R139" s="3">
        <f t="shared" si="55"/>
        <v>0</v>
      </c>
      <c r="S139" s="3">
        <f t="shared" si="55"/>
        <v>0</v>
      </c>
      <c r="T139" s="3">
        <f t="shared" si="55"/>
        <v>0</v>
      </c>
      <c r="U139" s="3">
        <f t="shared" si="55"/>
        <v>0</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0</v>
      </c>
      <c r="C140" s="3">
        <f t="shared" si="57"/>
        <v>0</v>
      </c>
      <c r="D140" s="3">
        <f t="shared" si="57"/>
        <v>0</v>
      </c>
      <c r="E140" s="3">
        <f t="shared" si="57"/>
        <v>0</v>
      </c>
      <c r="F140" s="3">
        <f t="shared" si="57"/>
        <v>0</v>
      </c>
      <c r="G140" s="3">
        <f t="shared" si="57"/>
        <v>0</v>
      </c>
      <c r="H140" s="3">
        <f t="shared" si="57"/>
        <v>0</v>
      </c>
      <c r="I140" s="3">
        <f t="shared" si="57"/>
        <v>0</v>
      </c>
      <c r="J140" s="3">
        <f t="shared" si="57"/>
        <v>0</v>
      </c>
      <c r="K140" s="3">
        <f t="shared" si="57"/>
        <v>0</v>
      </c>
      <c r="L140" s="3">
        <f t="shared" si="57"/>
        <v>0</v>
      </c>
      <c r="M140" s="3">
        <f t="shared" si="57"/>
        <v>0</v>
      </c>
      <c r="N140" s="3">
        <f t="shared" si="57"/>
        <v>0</v>
      </c>
      <c r="O140" s="3">
        <f t="shared" si="57"/>
        <v>0</v>
      </c>
      <c r="P140" s="3">
        <f t="shared" si="57"/>
        <v>0</v>
      </c>
      <c r="Q140" s="3">
        <f t="shared" si="57"/>
        <v>0</v>
      </c>
      <c r="R140" s="3">
        <f t="shared" si="57"/>
        <v>0</v>
      </c>
      <c r="S140" s="3">
        <f t="shared" si="57"/>
        <v>0</v>
      </c>
      <c r="T140" s="3">
        <f t="shared" si="57"/>
        <v>0</v>
      </c>
      <c r="U140" s="3">
        <f t="shared" si="57"/>
        <v>0</v>
      </c>
      <c r="V140" s="3">
        <f t="shared" si="57"/>
        <v>0</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7.2761897872501702E-4</v>
      </c>
      <c r="C141" s="3">
        <f t="shared" si="59"/>
        <v>7.2761897872501669E-4</v>
      </c>
      <c r="D141" s="3">
        <f t="shared" si="59"/>
        <v>7.2761897872501257E-4</v>
      </c>
      <c r="E141" s="3">
        <f t="shared" si="59"/>
        <v>7.2761897872497192E-4</v>
      </c>
      <c r="F141" s="3">
        <f t="shared" si="59"/>
        <v>7.2761897872456469E-4</v>
      </c>
      <c r="G141" s="3">
        <f t="shared" si="59"/>
        <v>7.2761897872049243E-4</v>
      </c>
      <c r="H141" s="3">
        <f t="shared" si="59"/>
        <v>7.2761897867977055E-4</v>
      </c>
      <c r="I141" s="3">
        <f t="shared" si="59"/>
        <v>7.2761897827255224E-4</v>
      </c>
      <c r="J141" s="3">
        <f t="shared" si="59"/>
        <v>7.2761897420036835E-4</v>
      </c>
      <c r="K141" s="3">
        <f t="shared" si="59"/>
        <v>7.2761893347853142E-4</v>
      </c>
      <c r="L141" s="3">
        <f t="shared" si="59"/>
        <v>7.2761852626028641E-4</v>
      </c>
      <c r="M141" s="3">
        <f t="shared" si="59"/>
        <v>7.2761445409037166E-4</v>
      </c>
      <c r="N141" s="3">
        <f t="shared" si="59"/>
        <v>7.2757373364466403E-4</v>
      </c>
      <c r="O141" s="3">
        <f t="shared" si="59"/>
        <v>7.2716665450560088E-4</v>
      </c>
      <c r="P141" s="3">
        <f t="shared" si="59"/>
        <v>7.2310836900512851E-4</v>
      </c>
      <c r="Q141" s="3">
        <f t="shared" si="59"/>
        <v>6.8375058970298686E-4</v>
      </c>
      <c r="R141" s="3">
        <f t="shared" si="59"/>
        <v>3.9069780701572336E-4</v>
      </c>
      <c r="S141" s="3">
        <f t="shared" si="59"/>
        <v>1.449684748571527E-6</v>
      </c>
      <c r="T141" s="3">
        <f t="shared" si="59"/>
        <v>7.1713271290970387E-31</v>
      </c>
      <c r="U141" s="3">
        <f t="shared" si="59"/>
        <v>6.2930208833870769E-274</v>
      </c>
      <c r="V141" s="3">
        <f t="shared" si="59"/>
        <v>0</v>
      </c>
      <c r="W141" s="3">
        <f t="shared" si="59"/>
        <v>0</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3.1446025257017021E-2</v>
      </c>
      <c r="C142" s="3">
        <f t="shared" si="61"/>
        <v>3.1446025257017014E-2</v>
      </c>
      <c r="D142" s="3">
        <f t="shared" si="61"/>
        <v>3.1446025257017E-2</v>
      </c>
      <c r="E142" s="3">
        <f t="shared" si="61"/>
        <v>3.1446025257016841E-2</v>
      </c>
      <c r="F142" s="3">
        <f t="shared" si="61"/>
        <v>3.1446025257015259E-2</v>
      </c>
      <c r="G142" s="3">
        <f t="shared" si="61"/>
        <v>3.1446025256999383E-2</v>
      </c>
      <c r="H142" s="3">
        <f t="shared" si="61"/>
        <v>3.1446025256840628E-2</v>
      </c>
      <c r="I142" s="3">
        <f t="shared" si="61"/>
        <v>3.1446025255253043E-2</v>
      </c>
      <c r="J142" s="3">
        <f t="shared" si="61"/>
        <v>3.1446025239377236E-2</v>
      </c>
      <c r="K142" s="3">
        <f t="shared" si="61"/>
        <v>3.1446025080619208E-2</v>
      </c>
      <c r="L142" s="3">
        <f t="shared" si="61"/>
        <v>3.1446023493038933E-2</v>
      </c>
      <c r="M142" s="3">
        <f t="shared" si="61"/>
        <v>3.144600761724059E-2</v>
      </c>
      <c r="N142" s="3">
        <f t="shared" si="61"/>
        <v>3.1445848859697971E-2</v>
      </c>
      <c r="O142" s="3">
        <f t="shared" si="61"/>
        <v>3.1444261328353644E-2</v>
      </c>
      <c r="P142" s="3">
        <f t="shared" si="61"/>
        <v>3.1428390422267118E-2</v>
      </c>
      <c r="Q142" s="3">
        <f t="shared" si="61"/>
        <v>3.1270121274908094E-2</v>
      </c>
      <c r="R142" s="3">
        <f t="shared" si="61"/>
        <v>2.9730610382466501E-2</v>
      </c>
      <c r="S142" s="3">
        <f t="shared" si="61"/>
        <v>1.7945122419054948E-2</v>
      </c>
      <c r="T142" s="3">
        <f t="shared" si="61"/>
        <v>1.1517876661162853E-4</v>
      </c>
      <c r="U142" s="3">
        <f t="shared" si="61"/>
        <v>1.3665716463819422E-26</v>
      </c>
      <c r="V142" s="3">
        <f t="shared" si="61"/>
        <v>7.5549610084418059E-246</v>
      </c>
      <c r="W142" s="3">
        <f t="shared" si="61"/>
        <v>0</v>
      </c>
      <c r="X142" s="3">
        <f t="shared" si="61"/>
        <v>0</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1.9599632072183452E-2</v>
      </c>
      <c r="C143" s="3">
        <f t="shared" si="63"/>
        <v>1.9599632072183452E-2</v>
      </c>
      <c r="D143" s="3">
        <f t="shared" si="63"/>
        <v>1.9599632072183452E-2</v>
      </c>
      <c r="E143" s="3">
        <f t="shared" si="63"/>
        <v>1.9599632072183442E-2</v>
      </c>
      <c r="F143" s="3">
        <f t="shared" si="63"/>
        <v>1.9599632072183352E-2</v>
      </c>
      <c r="G143" s="3">
        <f t="shared" si="63"/>
        <v>1.959963207218246E-2</v>
      </c>
      <c r="H143" s="3">
        <f t="shared" si="63"/>
        <v>1.9599632072173533E-2</v>
      </c>
      <c r="I143" s="3">
        <f t="shared" si="63"/>
        <v>1.9599632072084271E-2</v>
      </c>
      <c r="J143" s="3">
        <f t="shared" si="63"/>
        <v>1.9599632071191659E-2</v>
      </c>
      <c r="K143" s="3">
        <f t="shared" si="63"/>
        <v>1.9599632062265501E-2</v>
      </c>
      <c r="L143" s="3">
        <f t="shared" si="63"/>
        <v>1.9599631973003944E-2</v>
      </c>
      <c r="M143" s="3">
        <f t="shared" si="63"/>
        <v>1.95996310803884E-2</v>
      </c>
      <c r="N143" s="3">
        <f t="shared" si="63"/>
        <v>1.959962215423517E-2</v>
      </c>
      <c r="O143" s="3">
        <f t="shared" si="63"/>
        <v>1.9599532892926479E-2</v>
      </c>
      <c r="P143" s="3">
        <f t="shared" si="63"/>
        <v>1.9598640302197684E-2</v>
      </c>
      <c r="Q143" s="3">
        <f t="shared" si="63"/>
        <v>1.9589716630346449E-2</v>
      </c>
      <c r="R143" s="3">
        <f t="shared" si="63"/>
        <v>1.9500703079276094E-2</v>
      </c>
      <c r="S143" s="3">
        <f t="shared" si="63"/>
        <v>1.8632512796848272E-2</v>
      </c>
      <c r="T143" s="3">
        <f t="shared" si="63"/>
        <v>1.1816340925289225E-2</v>
      </c>
      <c r="U143" s="3">
        <f t="shared" si="63"/>
        <v>1.2433656312636526E-4</v>
      </c>
      <c r="V143" s="3">
        <f t="shared" si="63"/>
        <v>2.0689848786730264E-24</v>
      </c>
      <c r="W143" s="3">
        <f t="shared" si="63"/>
        <v>3.3677659140880428E-222</v>
      </c>
      <c r="X143" s="3">
        <f t="shared" si="63"/>
        <v>0</v>
      </c>
      <c r="Y143" s="3">
        <f t="shared" si="63"/>
        <v>0</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3.2516214564493037E-2</v>
      </c>
      <c r="C144" s="3">
        <f t="shared" si="65"/>
        <v>3.2516214564493037E-2</v>
      </c>
      <c r="D144" s="3">
        <f t="shared" si="65"/>
        <v>3.2516214564493037E-2</v>
      </c>
      <c r="E144" s="3">
        <f t="shared" si="65"/>
        <v>3.2516214564493037E-2</v>
      </c>
      <c r="F144" s="3">
        <f t="shared" si="65"/>
        <v>3.2516214564493023E-2</v>
      </c>
      <c r="G144" s="3">
        <f t="shared" si="65"/>
        <v>3.2516214564492892E-2</v>
      </c>
      <c r="H144" s="3">
        <f t="shared" si="65"/>
        <v>3.2516214564491552E-2</v>
      </c>
      <c r="I144" s="3">
        <f t="shared" si="65"/>
        <v>3.2516214564478195E-2</v>
      </c>
      <c r="J144" s="3">
        <f t="shared" si="65"/>
        <v>3.2516214564344607E-2</v>
      </c>
      <c r="K144" s="3">
        <f t="shared" si="65"/>
        <v>3.2516214563008738E-2</v>
      </c>
      <c r="L144" s="3">
        <f t="shared" si="65"/>
        <v>3.251621454965007E-2</v>
      </c>
      <c r="M144" s="3">
        <f t="shared" si="65"/>
        <v>3.2516214416063408E-2</v>
      </c>
      <c r="N144" s="3">
        <f t="shared" si="65"/>
        <v>3.2516213080196782E-2</v>
      </c>
      <c r="O144" s="3">
        <f t="shared" si="65"/>
        <v>3.2516199721533523E-2</v>
      </c>
      <c r="P144" s="3">
        <f t="shared" si="65"/>
        <v>3.2516066135202797E-2</v>
      </c>
      <c r="Q144" s="3">
        <f t="shared" si="65"/>
        <v>3.2514730302079832E-2</v>
      </c>
      <c r="R144" s="3">
        <f t="shared" si="65"/>
        <v>3.2501374988824841E-2</v>
      </c>
      <c r="S144" s="3">
        <f t="shared" si="65"/>
        <v>3.2368123195485765E-2</v>
      </c>
      <c r="T144" s="3">
        <f t="shared" si="65"/>
        <v>3.1065286115241231E-2</v>
      </c>
      <c r="U144" s="3">
        <f t="shared" si="65"/>
        <v>2.0599361197179505E-2</v>
      </c>
      <c r="V144" s="3">
        <f t="shared" si="65"/>
        <v>3.3856160242783545E-4</v>
      </c>
      <c r="W144" s="3">
        <f t="shared" si="65"/>
        <v>4.86941948902407E-22</v>
      </c>
      <c r="X144" s="3">
        <f t="shared" si="65"/>
        <v>1.8444720137773943E-200</v>
      </c>
      <c r="Y144" s="3">
        <f t="shared" si="65"/>
        <v>0</v>
      </c>
      <c r="Z144" s="3">
        <f t="shared" si="65"/>
        <v>0</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3.2163923063268561E-2</v>
      </c>
      <c r="C145" s="3">
        <f t="shared" si="68"/>
        <v>3.2163923063268561E-2</v>
      </c>
      <c r="D145" s="3">
        <f t="shared" si="68"/>
        <v>3.2163923063268561E-2</v>
      </c>
      <c r="E145" s="3">
        <f t="shared" si="68"/>
        <v>3.2163923063268561E-2</v>
      </c>
      <c r="F145" s="3">
        <f t="shared" si="68"/>
        <v>3.2163923063268561E-2</v>
      </c>
      <c r="G145" s="3">
        <f t="shared" si="68"/>
        <v>3.2163923063268547E-2</v>
      </c>
      <c r="H145" s="3">
        <f t="shared" si="68"/>
        <v>3.2163923063268429E-2</v>
      </c>
      <c r="I145" s="3">
        <f t="shared" si="68"/>
        <v>3.2163923063267236E-2</v>
      </c>
      <c r="J145" s="3">
        <f t="shared" si="68"/>
        <v>3.2163923063255315E-2</v>
      </c>
      <c r="K145" s="3">
        <f t="shared" si="68"/>
        <v>3.2163923063136118E-2</v>
      </c>
      <c r="L145" s="3">
        <f t="shared" si="68"/>
        <v>3.2163923061944107E-2</v>
      </c>
      <c r="M145" s="3">
        <f t="shared" si="68"/>
        <v>3.2163923050024044E-2</v>
      </c>
      <c r="N145" s="3">
        <f t="shared" si="68"/>
        <v>3.216392293082336E-2</v>
      </c>
      <c r="O145" s="3">
        <f t="shared" si="68"/>
        <v>3.2163921738816575E-2</v>
      </c>
      <c r="P145" s="3">
        <f t="shared" si="68"/>
        <v>3.2163909818751182E-2</v>
      </c>
      <c r="Q145" s="3">
        <f t="shared" si="68"/>
        <v>3.2163790618340224E-2</v>
      </c>
      <c r="R145" s="3">
        <f t="shared" si="68"/>
        <v>3.2162598638527162E-2</v>
      </c>
      <c r="S145" s="3">
        <f t="shared" si="68"/>
        <v>3.2150681269717957E-2</v>
      </c>
      <c r="T145" s="3">
        <f t="shared" si="68"/>
        <v>3.2031750180981727E-2</v>
      </c>
      <c r="U145" s="3">
        <f t="shared" si="68"/>
        <v>3.0866369840766149E-2</v>
      </c>
      <c r="V145" s="3">
        <f t="shared" si="68"/>
        <v>2.1307594563781149E-2</v>
      </c>
      <c r="W145" s="3">
        <f t="shared" si="68"/>
        <v>5.2362830421547968E-4</v>
      </c>
      <c r="X145" s="3">
        <f t="shared" si="68"/>
        <v>4.2063945621388239E-20</v>
      </c>
      <c r="Y145" s="3">
        <f t="shared" si="68"/>
        <v>4.707376574343268E-181</v>
      </c>
      <c r="Z145" s="3">
        <f t="shared" si="68"/>
        <v>0</v>
      </c>
      <c r="AA145" s="3">
        <f t="shared" ref="AA145" si="69">$C31*EXP(-AA$129/$A31/EXP(-$B$126))</f>
        <v>0</v>
      </c>
      <c r="AB145" s="3">
        <f t="shared" si="67"/>
        <v>0</v>
      </c>
      <c r="AC145" s="3">
        <f t="shared" si="67"/>
        <v>0</v>
      </c>
      <c r="AD145" s="3">
        <f t="shared" si="67"/>
        <v>0</v>
      </c>
      <c r="AE145" s="3">
        <f t="shared" si="67"/>
        <v>0</v>
      </c>
      <c r="AF145" s="3">
        <f t="shared" si="67"/>
        <v>0</v>
      </c>
    </row>
    <row r="146" spans="1:32" x14ac:dyDescent="0.25">
      <c r="B146" s="3">
        <f t="shared" ref="B146:Z146" si="70">$C32*EXP(-B$129/$A32/EXP(-$B$126))</f>
        <v>3.3900572605001088E-2</v>
      </c>
      <c r="C146" s="3">
        <f t="shared" si="70"/>
        <v>3.3900572605001088E-2</v>
      </c>
      <c r="D146" s="3">
        <f t="shared" si="70"/>
        <v>3.3900572605001088E-2</v>
      </c>
      <c r="E146" s="3">
        <f t="shared" si="70"/>
        <v>3.3900572605001088E-2</v>
      </c>
      <c r="F146" s="3">
        <f t="shared" si="70"/>
        <v>3.3900572605001088E-2</v>
      </c>
      <c r="G146" s="3">
        <f t="shared" si="70"/>
        <v>3.3900572605001088E-2</v>
      </c>
      <c r="H146" s="3">
        <f t="shared" si="70"/>
        <v>3.3900572605001074E-2</v>
      </c>
      <c r="I146" s="3">
        <f t="shared" si="70"/>
        <v>3.3900572605000963E-2</v>
      </c>
      <c r="J146" s="3">
        <f t="shared" si="70"/>
        <v>3.3900572604999825E-2</v>
      </c>
      <c r="K146" s="3">
        <f t="shared" si="70"/>
        <v>3.3900572604988494E-2</v>
      </c>
      <c r="L146" s="3">
        <f t="shared" si="70"/>
        <v>3.3900572604875161E-2</v>
      </c>
      <c r="M146" s="3">
        <f t="shared" si="70"/>
        <v>3.390057260374181E-2</v>
      </c>
      <c r="N146" s="3">
        <f t="shared" si="70"/>
        <v>3.3900572592408328E-2</v>
      </c>
      <c r="O146" s="3">
        <f t="shared" si="70"/>
        <v>3.3900572479073514E-2</v>
      </c>
      <c r="P146" s="3">
        <f t="shared" si="70"/>
        <v>3.3900571345725369E-2</v>
      </c>
      <c r="Q146" s="3">
        <f t="shared" si="70"/>
        <v>3.390056001224602E-2</v>
      </c>
      <c r="R146" s="3">
        <f t="shared" si="70"/>
        <v>3.39004466776609E-2</v>
      </c>
      <c r="S146" s="3">
        <f t="shared" si="70"/>
        <v>3.3899313352648709E-2</v>
      </c>
      <c r="T146" s="3">
        <f t="shared" si="70"/>
        <v>3.3887982186166614E-2</v>
      </c>
      <c r="U146" s="3">
        <f t="shared" si="70"/>
        <v>3.3774878627824315E-2</v>
      </c>
      <c r="V146" s="3">
        <f t="shared" si="70"/>
        <v>3.2664398557222855E-2</v>
      </c>
      <c r="W146" s="3">
        <f t="shared" si="70"/>
        <v>2.3382091514914317E-2</v>
      </c>
      <c r="X146" s="3">
        <f t="shared" si="70"/>
        <v>8.2598137643331859E-4</v>
      </c>
      <c r="Y146" s="3">
        <f t="shared" si="70"/>
        <v>2.4994200466634358E-18</v>
      </c>
      <c r="Z146" s="3">
        <f t="shared" si="70"/>
        <v>1.6089004880147802E-163</v>
      </c>
      <c r="AA146" s="3">
        <f t="shared" ref="AA146" si="71">$C32*EXP(-AA$129/$A32/EXP(-$B$126))</f>
        <v>0</v>
      </c>
      <c r="AB146" s="3">
        <f t="shared" si="67"/>
        <v>0</v>
      </c>
      <c r="AC146" s="3">
        <f t="shared" si="67"/>
        <v>0</v>
      </c>
      <c r="AD146" s="3">
        <f t="shared" si="67"/>
        <v>0</v>
      </c>
      <c r="AE146" s="3">
        <f t="shared" si="67"/>
        <v>0</v>
      </c>
      <c r="AF146" s="3">
        <f t="shared" si="67"/>
        <v>0</v>
      </c>
    </row>
    <row r="147" spans="1:32" x14ac:dyDescent="0.25">
      <c r="B147" s="3">
        <f t="shared" ref="B147:Z147" si="72">$C33*EXP(-B$129/$A33/EXP(-$B$126))</f>
        <v>4.6234934193755559E-2</v>
      </c>
      <c r="C147" s="3">
        <f t="shared" si="72"/>
        <v>4.6234934193755559E-2</v>
      </c>
      <c r="D147" s="3">
        <f t="shared" si="72"/>
        <v>4.6234934193755559E-2</v>
      </c>
      <c r="E147" s="3">
        <f t="shared" si="72"/>
        <v>4.6234934193755559E-2</v>
      </c>
      <c r="F147" s="3">
        <f t="shared" si="72"/>
        <v>4.6234934193755559E-2</v>
      </c>
      <c r="G147" s="3">
        <f t="shared" si="72"/>
        <v>4.6234934193755559E-2</v>
      </c>
      <c r="H147" s="3">
        <f t="shared" si="72"/>
        <v>4.6234934193755559E-2</v>
      </c>
      <c r="I147" s="3">
        <f t="shared" si="72"/>
        <v>4.6234934193755545E-2</v>
      </c>
      <c r="J147" s="3">
        <f t="shared" si="72"/>
        <v>4.6234934193755406E-2</v>
      </c>
      <c r="K147" s="3">
        <f t="shared" si="72"/>
        <v>4.6234934193754011E-2</v>
      </c>
      <c r="L147" s="3">
        <f t="shared" si="72"/>
        <v>4.6234934193740064E-2</v>
      </c>
      <c r="M147" s="3">
        <f t="shared" si="72"/>
        <v>4.6234934193600634E-2</v>
      </c>
      <c r="N147" s="3">
        <f t="shared" si="72"/>
        <v>4.6234934192206277E-2</v>
      </c>
      <c r="O147" s="3">
        <f t="shared" si="72"/>
        <v>4.6234934178262729E-2</v>
      </c>
      <c r="P147" s="3">
        <f t="shared" si="72"/>
        <v>4.6234934038827301E-2</v>
      </c>
      <c r="Q147" s="3">
        <f t="shared" si="72"/>
        <v>4.6234932644473002E-2</v>
      </c>
      <c r="R147" s="3">
        <f t="shared" si="72"/>
        <v>4.6234918700932347E-2</v>
      </c>
      <c r="S147" s="3">
        <f t="shared" si="72"/>
        <v>4.6234779265757059E-2</v>
      </c>
      <c r="T147" s="3">
        <f t="shared" si="72"/>
        <v>4.6233384937131937E-2</v>
      </c>
      <c r="U147" s="3">
        <f t="shared" si="72"/>
        <v>4.6219443963397527E-2</v>
      </c>
      <c r="V147" s="3">
        <f t="shared" si="72"/>
        <v>4.6080265219899948E-2</v>
      </c>
      <c r="W147" s="3">
        <f t="shared" si="72"/>
        <v>4.4711321481853229E-2</v>
      </c>
      <c r="X147" s="3">
        <f t="shared" si="72"/>
        <v>3.3070660247013696E-2</v>
      </c>
      <c r="Y147" s="3">
        <f t="shared" si="72"/>
        <v>1.6206769717159028E-3</v>
      </c>
      <c r="Z147" s="3">
        <f t="shared" si="72"/>
        <v>1.2948886315671937E-16</v>
      </c>
      <c r="AA147" s="3">
        <f t="shared" ref="AA147" si="73">$C33*EXP(-AA$129/$A33/EXP(-$B$126))</f>
        <v>1.3727516854802753E-147</v>
      </c>
      <c r="AB147" s="3">
        <f t="shared" si="67"/>
        <v>0</v>
      </c>
      <c r="AC147" s="3">
        <f t="shared" si="67"/>
        <v>0</v>
      </c>
      <c r="AD147" s="3">
        <f t="shared" si="67"/>
        <v>0</v>
      </c>
      <c r="AE147" s="3">
        <f t="shared" si="67"/>
        <v>0</v>
      </c>
      <c r="AF147" s="3">
        <f t="shared" si="67"/>
        <v>0</v>
      </c>
    </row>
    <row r="148" spans="1:32" x14ac:dyDescent="0.25">
      <c r="B148" s="3">
        <f t="shared" ref="B148:Z148" si="74">$C34*EXP(-B$129/$A34/EXP(-$B$126))</f>
        <v>5.6671396993887152E-2</v>
      </c>
      <c r="C148" s="3">
        <f t="shared" si="74"/>
        <v>5.6671396993887152E-2</v>
      </c>
      <c r="D148" s="3">
        <f t="shared" si="74"/>
        <v>5.6671396993887152E-2</v>
      </c>
      <c r="E148" s="3">
        <f t="shared" si="74"/>
        <v>5.6671396993887152E-2</v>
      </c>
      <c r="F148" s="3">
        <f t="shared" si="74"/>
        <v>5.6671396993887152E-2</v>
      </c>
      <c r="G148" s="3">
        <f t="shared" si="74"/>
        <v>5.6671396993887152E-2</v>
      </c>
      <c r="H148" s="3">
        <f t="shared" si="74"/>
        <v>5.6671396993887152E-2</v>
      </c>
      <c r="I148" s="3">
        <f t="shared" si="74"/>
        <v>5.6671396993887152E-2</v>
      </c>
      <c r="J148" s="3">
        <f t="shared" si="74"/>
        <v>5.6671396993887131E-2</v>
      </c>
      <c r="K148" s="3">
        <f t="shared" si="74"/>
        <v>5.6671396993886985E-2</v>
      </c>
      <c r="L148" s="3">
        <f t="shared" si="74"/>
        <v>5.6671396993885438E-2</v>
      </c>
      <c r="M148" s="3">
        <f t="shared" si="74"/>
        <v>5.667139699387002E-2</v>
      </c>
      <c r="N148" s="3">
        <f t="shared" si="74"/>
        <v>5.6671396993715845E-2</v>
      </c>
      <c r="O148" s="3">
        <f t="shared" si="74"/>
        <v>5.6671396992174099E-2</v>
      </c>
      <c r="P148" s="3">
        <f t="shared" si="74"/>
        <v>5.6671396976756619E-2</v>
      </c>
      <c r="Q148" s="3">
        <f t="shared" si="74"/>
        <v>5.6671396822581807E-2</v>
      </c>
      <c r="R148" s="3">
        <f t="shared" si="74"/>
        <v>5.6671395280833772E-2</v>
      </c>
      <c r="S148" s="3">
        <f t="shared" si="74"/>
        <v>5.6671379863355652E-2</v>
      </c>
      <c r="T148" s="3">
        <f t="shared" si="74"/>
        <v>5.6671225688805144E-2</v>
      </c>
      <c r="U148" s="3">
        <f t="shared" si="74"/>
        <v>5.6669683966368692E-2</v>
      </c>
      <c r="V148" s="3">
        <f t="shared" si="74"/>
        <v>5.6654269048629247E-2</v>
      </c>
      <c r="W148" s="3">
        <f t="shared" si="74"/>
        <v>5.6500350301738035E-2</v>
      </c>
      <c r="X148" s="3">
        <f t="shared" si="74"/>
        <v>5.4983975613055486E-2</v>
      </c>
      <c r="Y148" s="3">
        <f t="shared" si="74"/>
        <v>4.1887661623242041E-2</v>
      </c>
      <c r="Z148" s="3">
        <f t="shared" si="74"/>
        <v>2.7579468949943918E-3</v>
      </c>
      <c r="AA148" s="3">
        <f>$C34*EXP(-AA$129/$A34/EXP(-$B$126))</f>
        <v>4.2226368017957473E-15</v>
      </c>
      <c r="AB148" s="3">
        <f t="shared" si="67"/>
        <v>2.9892484858352057E-133</v>
      </c>
      <c r="AC148" s="3">
        <f t="shared" si="67"/>
        <v>0</v>
      </c>
      <c r="AD148" s="3">
        <f t="shared" si="67"/>
        <v>0</v>
      </c>
      <c r="AE148" s="3">
        <f t="shared" si="67"/>
        <v>0</v>
      </c>
      <c r="AF148" s="3">
        <f t="shared" si="67"/>
        <v>0</v>
      </c>
    </row>
    <row r="149" spans="1:32" x14ac:dyDescent="0.25">
      <c r="B149" s="3">
        <f t="shared" ref="B149:Z149" si="75">$C35*EXP(-B$129/$A35/EXP(-$B$126))</f>
        <v>5.870573738309863E-2</v>
      </c>
      <c r="C149" s="3">
        <f t="shared" si="75"/>
        <v>5.870573738309863E-2</v>
      </c>
      <c r="D149" s="3">
        <f t="shared" si="75"/>
        <v>5.870573738309863E-2</v>
      </c>
      <c r="E149" s="3">
        <f t="shared" si="75"/>
        <v>5.870573738309863E-2</v>
      </c>
      <c r="F149" s="3">
        <f t="shared" si="75"/>
        <v>5.870573738309863E-2</v>
      </c>
      <c r="G149" s="3">
        <f t="shared" si="75"/>
        <v>5.870573738309863E-2</v>
      </c>
      <c r="H149" s="3">
        <f t="shared" si="75"/>
        <v>5.870573738309863E-2</v>
      </c>
      <c r="I149" s="3">
        <f t="shared" si="75"/>
        <v>5.870573738309863E-2</v>
      </c>
      <c r="J149" s="3">
        <f t="shared" si="75"/>
        <v>5.870573738309863E-2</v>
      </c>
      <c r="K149" s="3">
        <f t="shared" si="75"/>
        <v>5.8705737383098616E-2</v>
      </c>
      <c r="L149" s="3">
        <f t="shared" si="75"/>
        <v>5.8705737383098471E-2</v>
      </c>
      <c r="M149" s="3">
        <f t="shared" si="75"/>
        <v>5.8705737383097027E-2</v>
      </c>
      <c r="N149" s="3">
        <f t="shared" si="75"/>
        <v>5.8705737383082622E-2</v>
      </c>
      <c r="O149" s="3">
        <f t="shared" si="75"/>
        <v>5.870573738293855E-2</v>
      </c>
      <c r="P149" s="3">
        <f t="shared" si="75"/>
        <v>5.8705737381497841E-2</v>
      </c>
      <c r="Q149" s="3">
        <f t="shared" si="75"/>
        <v>5.8705737367090741E-2</v>
      </c>
      <c r="R149" s="3">
        <f t="shared" si="75"/>
        <v>5.8705737223019722E-2</v>
      </c>
      <c r="S149" s="3">
        <f t="shared" si="75"/>
        <v>5.8705735782309539E-2</v>
      </c>
      <c r="T149" s="3">
        <f t="shared" si="75"/>
        <v>5.870572137520963E-2</v>
      </c>
      <c r="U149" s="3">
        <f t="shared" si="75"/>
        <v>5.8705577304405059E-2</v>
      </c>
      <c r="V149" s="3">
        <f t="shared" si="75"/>
        <v>5.8704136615805383E-2</v>
      </c>
      <c r="W149" s="3">
        <f t="shared" si="75"/>
        <v>5.8689731674235378E-2</v>
      </c>
      <c r="X149" s="3">
        <f t="shared" si="75"/>
        <v>5.8545876524769461E-2</v>
      </c>
      <c r="Y149" s="3">
        <f t="shared" si="75"/>
        <v>5.7126576406900519E-2</v>
      </c>
      <c r="Z149" s="3">
        <f t="shared" si="75"/>
        <v>4.4694805210961482E-2</v>
      </c>
      <c r="AA149" s="3">
        <f t="shared" ref="AA149" si="76">$C35*EXP(-AA$129/$A35/EXP(-$B$126))</f>
        <v>3.841011095375125E-3</v>
      </c>
      <c r="AB149" s="3">
        <f t="shared" si="67"/>
        <v>8.4397715253030266E-14</v>
      </c>
      <c r="AC149" s="3">
        <f t="shared" si="67"/>
        <v>2.2140222043947349E-120</v>
      </c>
      <c r="AD149" s="3">
        <f t="shared" si="67"/>
        <v>0</v>
      </c>
      <c r="AE149" s="3">
        <f t="shared" si="67"/>
        <v>0</v>
      </c>
      <c r="AF149" s="3">
        <f t="shared" si="67"/>
        <v>0</v>
      </c>
    </row>
    <row r="150" spans="1:32" x14ac:dyDescent="0.25">
      <c r="B150" s="3">
        <f t="shared" ref="B150:Z150" si="77">$C36*EXP(-B$129/$A36/EXP(-$B$126))</f>
        <v>5.620235606497212E-2</v>
      </c>
      <c r="C150" s="3">
        <f t="shared" si="77"/>
        <v>5.620235606497212E-2</v>
      </c>
      <c r="D150" s="3">
        <f t="shared" si="77"/>
        <v>5.620235606497212E-2</v>
      </c>
      <c r="E150" s="3">
        <f t="shared" si="77"/>
        <v>5.620235606497212E-2</v>
      </c>
      <c r="F150" s="3">
        <f t="shared" si="77"/>
        <v>5.620235606497212E-2</v>
      </c>
      <c r="G150" s="3">
        <f t="shared" si="77"/>
        <v>5.620235606497212E-2</v>
      </c>
      <c r="H150" s="3">
        <f t="shared" si="77"/>
        <v>5.620235606497212E-2</v>
      </c>
      <c r="I150" s="3">
        <f t="shared" si="77"/>
        <v>5.620235606497212E-2</v>
      </c>
      <c r="J150" s="3">
        <f t="shared" si="77"/>
        <v>5.620235606497212E-2</v>
      </c>
      <c r="K150" s="3">
        <f t="shared" si="77"/>
        <v>5.620235606497212E-2</v>
      </c>
      <c r="L150" s="3">
        <f t="shared" si="77"/>
        <v>5.6202356064972106E-2</v>
      </c>
      <c r="M150" s="3">
        <f t="shared" si="77"/>
        <v>5.6202356064971981E-2</v>
      </c>
      <c r="N150" s="3">
        <f t="shared" si="77"/>
        <v>5.6202356064970732E-2</v>
      </c>
      <c r="O150" s="3">
        <f t="shared" si="77"/>
        <v>5.6202356064958291E-2</v>
      </c>
      <c r="P150" s="3">
        <f t="shared" si="77"/>
        <v>5.6202356064833869E-2</v>
      </c>
      <c r="Q150" s="3">
        <f t="shared" si="77"/>
        <v>5.6202356063589656E-2</v>
      </c>
      <c r="R150" s="3">
        <f t="shared" si="77"/>
        <v>5.6202356051147449E-2</v>
      </c>
      <c r="S150" s="3">
        <f t="shared" si="77"/>
        <v>5.6202355926725442E-2</v>
      </c>
      <c r="T150" s="3">
        <f t="shared" si="77"/>
        <v>5.6202354682505409E-2</v>
      </c>
      <c r="U150" s="3">
        <f t="shared" si="77"/>
        <v>5.6202342240306506E-2</v>
      </c>
      <c r="V150" s="3">
        <f t="shared" si="77"/>
        <v>5.6202217818469007E-2</v>
      </c>
      <c r="W150" s="3">
        <f t="shared" si="77"/>
        <v>5.6200973615243573E-2</v>
      </c>
      <c r="X150" s="3">
        <f t="shared" si="77"/>
        <v>5.6188533097816212E-2</v>
      </c>
      <c r="Y150" s="3">
        <f t="shared" si="77"/>
        <v>5.60642792822348E-2</v>
      </c>
      <c r="Z150" s="3">
        <f t="shared" si="77"/>
        <v>5.4836753746358248E-2</v>
      </c>
      <c r="AA150" s="3">
        <f t="shared" ref="AA150" si="78">$C36*EXP(-AA$129/$A36/EXP(-$B$126))</f>
        <v>4.3946741024023642E-2</v>
      </c>
      <c r="AB150" s="3">
        <f t="shared" si="67"/>
        <v>4.8025959030276273E-3</v>
      </c>
      <c r="AC150" s="3">
        <f t="shared" si="67"/>
        <v>1.1667283799854471E-12</v>
      </c>
      <c r="AD150" s="3">
        <f t="shared" si="67"/>
        <v>8.3542394913058739E-109</v>
      </c>
      <c r="AE150" s="3">
        <f t="shared" si="67"/>
        <v>0</v>
      </c>
      <c r="AF150" s="3">
        <f t="shared" si="67"/>
        <v>0</v>
      </c>
    </row>
    <row r="151" spans="1:32" x14ac:dyDescent="0.25">
      <c r="B151" s="3">
        <f t="shared" ref="B151:Z151" si="79">$C37*EXP(-B$129/$A37/EXP(-$B$126))</f>
        <v>6.3415296184233166E-2</v>
      </c>
      <c r="C151" s="3">
        <f t="shared" si="79"/>
        <v>6.3415296184233166E-2</v>
      </c>
      <c r="D151" s="3">
        <f t="shared" si="79"/>
        <v>6.3415296184233166E-2</v>
      </c>
      <c r="E151" s="3">
        <f t="shared" si="79"/>
        <v>6.3415296184233166E-2</v>
      </c>
      <c r="F151" s="3">
        <f t="shared" si="79"/>
        <v>6.3415296184233166E-2</v>
      </c>
      <c r="G151" s="3">
        <f t="shared" si="79"/>
        <v>6.3415296184233166E-2</v>
      </c>
      <c r="H151" s="3">
        <f t="shared" si="79"/>
        <v>6.3415296184233166E-2</v>
      </c>
      <c r="I151" s="3">
        <f t="shared" si="79"/>
        <v>6.3415296184233166E-2</v>
      </c>
      <c r="J151" s="3">
        <f t="shared" si="79"/>
        <v>6.3415296184233166E-2</v>
      </c>
      <c r="K151" s="3">
        <f t="shared" si="79"/>
        <v>6.3415296184233166E-2</v>
      </c>
      <c r="L151" s="3">
        <f t="shared" si="79"/>
        <v>6.3415296184233166E-2</v>
      </c>
      <c r="M151" s="3">
        <f t="shared" si="79"/>
        <v>6.3415296184233153E-2</v>
      </c>
      <c r="N151" s="3">
        <f t="shared" si="79"/>
        <v>6.3415296184233028E-2</v>
      </c>
      <c r="O151" s="3">
        <f t="shared" si="79"/>
        <v>6.3415296184231765E-2</v>
      </c>
      <c r="P151" s="3">
        <f t="shared" si="79"/>
        <v>6.3415296184219094E-2</v>
      </c>
      <c r="Q151" s="3">
        <f t="shared" si="79"/>
        <v>6.3415296184092459E-2</v>
      </c>
      <c r="R151" s="3">
        <f t="shared" si="79"/>
        <v>6.3415296182826014E-2</v>
      </c>
      <c r="S151" s="3">
        <f t="shared" si="79"/>
        <v>6.3415296170161659E-2</v>
      </c>
      <c r="T151" s="3">
        <f t="shared" si="79"/>
        <v>6.3415296043518046E-2</v>
      </c>
      <c r="U151" s="3">
        <f t="shared" si="79"/>
        <v>6.3415294777081924E-2</v>
      </c>
      <c r="V151" s="3">
        <f t="shared" si="79"/>
        <v>6.3415282112722154E-2</v>
      </c>
      <c r="W151" s="3">
        <f t="shared" si="79"/>
        <v>6.3415155469263573E-2</v>
      </c>
      <c r="X151" s="3">
        <f t="shared" si="79"/>
        <v>6.3413889048587913E-2</v>
      </c>
      <c r="Y151" s="3">
        <f t="shared" si="79"/>
        <v>6.3401226232743052E-2</v>
      </c>
      <c r="Z151" s="3">
        <f t="shared" si="79"/>
        <v>6.327473706275441E-2</v>
      </c>
      <c r="AA151" s="3">
        <f t="shared" ref="AA151" si="80">$C37*EXP(-AA$129/$A37/EXP(-$B$126))</f>
        <v>6.2023642055322799E-2</v>
      </c>
      <c r="AB151" s="3">
        <f t="shared" si="67"/>
        <v>5.0795637992870873E-2</v>
      </c>
      <c r="AC151" s="3">
        <f t="shared" si="67"/>
        <v>6.8947411748294871E-3</v>
      </c>
      <c r="AD151" s="3">
        <f t="shared" si="67"/>
        <v>1.4636372352287467E-11</v>
      </c>
      <c r="AE151" s="3">
        <f t="shared" si="67"/>
        <v>2.7201212814896373E-98</v>
      </c>
      <c r="AF151" s="3">
        <f t="shared" si="67"/>
        <v>0</v>
      </c>
    </row>
    <row r="152" spans="1:32" x14ac:dyDescent="0.25">
      <c r="B152" s="3">
        <f t="shared" ref="B152:Z152" si="81">$C38*EXP(-B$129/$A38/EXP(-$B$126))</f>
        <v>3.5348869965799563E-2</v>
      </c>
      <c r="C152" s="3">
        <f t="shared" si="81"/>
        <v>3.5348869965799563E-2</v>
      </c>
      <c r="D152" s="3">
        <f t="shared" si="81"/>
        <v>3.5348869965799563E-2</v>
      </c>
      <c r="E152" s="3">
        <f t="shared" si="81"/>
        <v>3.5348869965799563E-2</v>
      </c>
      <c r="F152" s="3">
        <f t="shared" si="81"/>
        <v>3.5348869965799563E-2</v>
      </c>
      <c r="G152" s="3">
        <f t="shared" si="81"/>
        <v>3.5348869965799563E-2</v>
      </c>
      <c r="H152" s="3">
        <f t="shared" si="81"/>
        <v>3.5348869965799563E-2</v>
      </c>
      <c r="I152" s="3">
        <f t="shared" si="81"/>
        <v>3.5348869965799563E-2</v>
      </c>
      <c r="J152" s="3">
        <f t="shared" si="81"/>
        <v>3.5348869965799563E-2</v>
      </c>
      <c r="K152" s="3">
        <f t="shared" si="81"/>
        <v>3.5348869965799563E-2</v>
      </c>
      <c r="L152" s="3">
        <f t="shared" si="81"/>
        <v>3.5348869965799563E-2</v>
      </c>
      <c r="M152" s="3">
        <f t="shared" si="81"/>
        <v>3.5348869965799563E-2</v>
      </c>
      <c r="N152" s="3">
        <f t="shared" si="81"/>
        <v>3.5348869965799556E-2</v>
      </c>
      <c r="O152" s="3">
        <f t="shared" si="81"/>
        <v>3.5348869965799494E-2</v>
      </c>
      <c r="P152" s="3">
        <f t="shared" si="81"/>
        <v>3.5348869965798856E-2</v>
      </c>
      <c r="Q152" s="3">
        <f t="shared" si="81"/>
        <v>3.5348869965792486E-2</v>
      </c>
      <c r="R152" s="3">
        <f t="shared" si="81"/>
        <v>3.5348869965728807E-2</v>
      </c>
      <c r="S152" s="3">
        <f t="shared" si="81"/>
        <v>3.534886996509199E-2</v>
      </c>
      <c r="T152" s="3">
        <f t="shared" si="81"/>
        <v>3.5348869958723869E-2</v>
      </c>
      <c r="U152" s="3">
        <f t="shared" si="81"/>
        <v>3.5348869895042649E-2</v>
      </c>
      <c r="V152" s="3">
        <f t="shared" si="81"/>
        <v>3.5348869258230428E-2</v>
      </c>
      <c r="W152" s="3">
        <f t="shared" si="81"/>
        <v>3.534886289010887E-2</v>
      </c>
      <c r="X152" s="3">
        <f t="shared" si="81"/>
        <v>3.5348799208956339E-2</v>
      </c>
      <c r="Y152" s="3">
        <f t="shared" si="81"/>
        <v>3.5348162403740682E-2</v>
      </c>
      <c r="Z152" s="3">
        <f t="shared" si="81"/>
        <v>3.534179498250925E-2</v>
      </c>
      <c r="AA152" s="3">
        <f t="shared" ref="AA152" si="82">$C38*EXP(-AA$129/$A38/EXP(-$B$126))</f>
        <v>3.5278183820666227E-2</v>
      </c>
      <c r="AB152" s="3">
        <f t="shared" si="67"/>
        <v>3.464833542435608E-2</v>
      </c>
      <c r="AC152" s="3">
        <f t="shared" si="67"/>
        <v>2.8936362566447618E-2</v>
      </c>
      <c r="AD152" s="3">
        <f t="shared" si="67"/>
        <v>4.7759476828600402E-3</v>
      </c>
      <c r="AE152" s="3">
        <f t="shared" si="67"/>
        <v>7.164993393381231E-11</v>
      </c>
      <c r="AF152" s="3">
        <f t="shared" si="67"/>
        <v>4.1378822650738599E-89</v>
      </c>
    </row>
    <row r="153" spans="1:32" x14ac:dyDescent="0.25">
      <c r="B153" s="3">
        <f t="shared" ref="B153:Z153" si="83">$C39*EXP(-B$129/$A39/EXP(-$B$126))</f>
        <v>7.0460456800535406E-2</v>
      </c>
      <c r="C153" s="3">
        <f t="shared" si="83"/>
        <v>7.0460456800535406E-2</v>
      </c>
      <c r="D153" s="3">
        <f t="shared" si="83"/>
        <v>7.0460456800535406E-2</v>
      </c>
      <c r="E153" s="3">
        <f t="shared" si="83"/>
        <v>7.0460456800535406E-2</v>
      </c>
      <c r="F153" s="3">
        <f t="shared" si="83"/>
        <v>7.0460456800535406E-2</v>
      </c>
      <c r="G153" s="3">
        <f t="shared" si="83"/>
        <v>7.0460456800535406E-2</v>
      </c>
      <c r="H153" s="3">
        <f t="shared" si="83"/>
        <v>7.0460456800535406E-2</v>
      </c>
      <c r="I153" s="3">
        <f t="shared" si="83"/>
        <v>7.0460456800535406E-2</v>
      </c>
      <c r="J153" s="3">
        <f t="shared" si="83"/>
        <v>7.0460456800535406E-2</v>
      </c>
      <c r="K153" s="3">
        <f t="shared" si="83"/>
        <v>7.0460456800535406E-2</v>
      </c>
      <c r="L153" s="3">
        <f t="shared" si="83"/>
        <v>7.0460456800535406E-2</v>
      </c>
      <c r="M153" s="3">
        <f t="shared" si="83"/>
        <v>7.0460456800535406E-2</v>
      </c>
      <c r="N153" s="3">
        <f t="shared" si="83"/>
        <v>7.0460456800535406E-2</v>
      </c>
      <c r="O153" s="3">
        <f t="shared" si="83"/>
        <v>7.0460456800535365E-2</v>
      </c>
      <c r="P153" s="3">
        <f t="shared" si="83"/>
        <v>7.0460456800535018E-2</v>
      </c>
      <c r="Q153" s="3">
        <f t="shared" si="83"/>
        <v>7.0460456800531507E-2</v>
      </c>
      <c r="R153" s="3">
        <f t="shared" si="83"/>
        <v>7.0460456800496396E-2</v>
      </c>
      <c r="S153" s="3">
        <f t="shared" si="83"/>
        <v>7.046045680014533E-2</v>
      </c>
      <c r="T153" s="3">
        <f t="shared" si="83"/>
        <v>7.0460456796634624E-2</v>
      </c>
      <c r="U153" s="3">
        <f t="shared" si="83"/>
        <v>7.0460456761527582E-2</v>
      </c>
      <c r="V153" s="3">
        <f t="shared" si="83"/>
        <v>7.0460456410457215E-2</v>
      </c>
      <c r="W153" s="3">
        <f t="shared" si="83"/>
        <v>7.0460452899753653E-2</v>
      </c>
      <c r="X153" s="3">
        <f t="shared" si="83"/>
        <v>7.0460417792727548E-2</v>
      </c>
      <c r="Y153" s="3">
        <f t="shared" si="83"/>
        <v>7.046006672342861E-2</v>
      </c>
      <c r="Z153" s="3">
        <f t="shared" si="83"/>
        <v>7.0456556126644074E-2</v>
      </c>
      <c r="AA153" s="3">
        <f t="shared" ref="AA153" si="84">$C39*EXP(-AA$129/$A39/EXP(-$B$126))</f>
        <v>7.0421459777504136E-2</v>
      </c>
      <c r="AB153" s="3">
        <f t="shared" si="67"/>
        <v>7.0071456385776817E-2</v>
      </c>
      <c r="AC153" s="3">
        <f t="shared" si="67"/>
        <v>6.6665685804034078E-2</v>
      </c>
      <c r="AD153" s="3">
        <f t="shared" si="67"/>
        <v>4.0505539568415308E-2</v>
      </c>
      <c r="AE153" s="3">
        <f t="shared" si="67"/>
        <v>2.7773788720534962E-4</v>
      </c>
      <c r="AF153" s="3">
        <f t="shared" si="67"/>
        <v>6.3803159394187404E-26</v>
      </c>
    </row>
    <row r="154" spans="1:32" x14ac:dyDescent="0.25">
      <c r="B154" s="3">
        <f t="shared" ref="B154:Z154" si="85">$C40*EXP(-B$129/$A40/EXP(-$B$126))</f>
        <v>8.6875447409324694E-2</v>
      </c>
      <c r="C154" s="3">
        <f t="shared" si="85"/>
        <v>8.6875447409324694E-2</v>
      </c>
      <c r="D154" s="3">
        <f t="shared" si="85"/>
        <v>8.6875447409324694E-2</v>
      </c>
      <c r="E154" s="3">
        <f t="shared" si="85"/>
        <v>8.6875447409324694E-2</v>
      </c>
      <c r="F154" s="3">
        <f t="shared" si="85"/>
        <v>8.6875447409324694E-2</v>
      </c>
      <c r="G154" s="3">
        <f t="shared" si="85"/>
        <v>8.6875447409324694E-2</v>
      </c>
      <c r="H154" s="3">
        <f t="shared" si="85"/>
        <v>8.6875447409324694E-2</v>
      </c>
      <c r="I154" s="3">
        <f t="shared" si="85"/>
        <v>8.6875447409324694E-2</v>
      </c>
      <c r="J154" s="3">
        <f t="shared" si="85"/>
        <v>8.6875447409324694E-2</v>
      </c>
      <c r="K154" s="3">
        <f t="shared" si="85"/>
        <v>8.6875447409324694E-2</v>
      </c>
      <c r="L154" s="3">
        <f t="shared" si="85"/>
        <v>8.6875447409324694E-2</v>
      </c>
      <c r="M154" s="3">
        <f t="shared" si="85"/>
        <v>8.6875447409324694E-2</v>
      </c>
      <c r="N154" s="3">
        <f t="shared" si="85"/>
        <v>8.6875447409324694E-2</v>
      </c>
      <c r="O154" s="3">
        <f t="shared" si="85"/>
        <v>8.6875447409324694E-2</v>
      </c>
      <c r="P154" s="3">
        <f t="shared" si="85"/>
        <v>8.6875447409324652E-2</v>
      </c>
      <c r="Q154" s="3">
        <f t="shared" si="85"/>
        <v>8.6875447409324208E-2</v>
      </c>
      <c r="R154" s="3">
        <f t="shared" si="85"/>
        <v>8.6875447409319878E-2</v>
      </c>
      <c r="S154" s="3">
        <f t="shared" si="85"/>
        <v>8.6875447409276593E-2</v>
      </c>
      <c r="T154" s="3">
        <f t="shared" si="85"/>
        <v>8.6875447408843745E-2</v>
      </c>
      <c r="U154" s="3">
        <f t="shared" si="85"/>
        <v>8.6875447404515152E-2</v>
      </c>
      <c r="V154" s="3">
        <f t="shared" si="85"/>
        <v>8.6875447361229319E-2</v>
      </c>
      <c r="W154" s="3">
        <f t="shared" si="85"/>
        <v>8.6875446928371E-2</v>
      </c>
      <c r="X154" s="3">
        <f t="shared" si="85"/>
        <v>8.6875442599787883E-2</v>
      </c>
      <c r="Y154" s="3">
        <f t="shared" si="85"/>
        <v>8.6875399313968607E-2</v>
      </c>
      <c r="Z154" s="3">
        <f t="shared" si="85"/>
        <v>8.687496645696198E-2</v>
      </c>
      <c r="AA154" s="3">
        <f t="shared" ref="AA154:AF154" si="86">$C40*EXP(-AA$129/$A40/EXP(-$B$126))</f>
        <v>8.6870638005513034E-2</v>
      </c>
      <c r="AB154" s="3">
        <f t="shared" si="86"/>
        <v>8.6827365350574143E-2</v>
      </c>
      <c r="AC154" s="3">
        <f t="shared" si="86"/>
        <v>8.6395822572797834E-2</v>
      </c>
      <c r="AD154" s="3">
        <f t="shared" si="86"/>
        <v>8.2196618416344389E-2</v>
      </c>
      <c r="AE154" s="3">
        <f t="shared" si="86"/>
        <v>4.9942010488575841E-2</v>
      </c>
      <c r="AF154" s="3">
        <f t="shared" si="86"/>
        <v>3.4244176534066917E-4</v>
      </c>
    </row>
    <row r="155" spans="1:32" x14ac:dyDescent="0.25">
      <c r="B155" s="3">
        <f t="shared" ref="B155:Z155" si="87">$C41*EXP(-B$129/$A41/EXP(-$B$126))</f>
        <v>9.6215979999175721E-2</v>
      </c>
      <c r="C155" s="3">
        <f t="shared" si="87"/>
        <v>9.6215979999175721E-2</v>
      </c>
      <c r="D155" s="3">
        <f t="shared" si="87"/>
        <v>9.6215979999175721E-2</v>
      </c>
      <c r="E155" s="3">
        <f t="shared" si="87"/>
        <v>9.6215979999175721E-2</v>
      </c>
      <c r="F155" s="3">
        <f t="shared" si="87"/>
        <v>9.6215979999175721E-2</v>
      </c>
      <c r="G155" s="3">
        <f t="shared" si="87"/>
        <v>9.6215979999175721E-2</v>
      </c>
      <c r="H155" s="3">
        <f t="shared" si="87"/>
        <v>9.6215979999175721E-2</v>
      </c>
      <c r="I155" s="3">
        <f t="shared" si="87"/>
        <v>9.6215979999175721E-2</v>
      </c>
      <c r="J155" s="3">
        <f t="shared" si="87"/>
        <v>9.6215979999175721E-2</v>
      </c>
      <c r="K155" s="3">
        <f t="shared" si="87"/>
        <v>9.6215979999175721E-2</v>
      </c>
      <c r="L155" s="3">
        <f t="shared" si="87"/>
        <v>9.6215979999175721E-2</v>
      </c>
      <c r="M155" s="3">
        <f t="shared" si="87"/>
        <v>9.6215979999175721E-2</v>
      </c>
      <c r="N155" s="3">
        <f t="shared" si="87"/>
        <v>9.6215979999175721E-2</v>
      </c>
      <c r="O155" s="3">
        <f t="shared" si="87"/>
        <v>9.6215979999175721E-2</v>
      </c>
      <c r="P155" s="3">
        <f t="shared" si="87"/>
        <v>9.6215979999175721E-2</v>
      </c>
      <c r="Q155" s="3">
        <f t="shared" si="87"/>
        <v>9.6215979999175666E-2</v>
      </c>
      <c r="R155" s="3">
        <f t="shared" si="87"/>
        <v>9.6215979999175194E-2</v>
      </c>
      <c r="S155" s="3">
        <f t="shared" si="87"/>
        <v>9.6215979999170392E-2</v>
      </c>
      <c r="T155" s="3">
        <f t="shared" si="87"/>
        <v>9.6215979999122445E-2</v>
      </c>
      <c r="U155" s="3">
        <f t="shared" si="87"/>
        <v>9.6215979998643064E-2</v>
      </c>
      <c r="V155" s="3">
        <f t="shared" si="87"/>
        <v>9.621597999384908E-2</v>
      </c>
      <c r="W155" s="3">
        <f t="shared" si="87"/>
        <v>9.6215979945909316E-2</v>
      </c>
      <c r="X155" s="3">
        <f t="shared" si="87"/>
        <v>9.6215979466511628E-2</v>
      </c>
      <c r="Y155" s="3">
        <f t="shared" si="87"/>
        <v>9.6215974672534982E-2</v>
      </c>
      <c r="Z155" s="3">
        <f t="shared" si="87"/>
        <v>9.621592673278162E-2</v>
      </c>
      <c r="AA155" s="3">
        <f t="shared" ref="AA155:AF155" si="88">$C41*EXP(-AA$129/$A41/EXP(-$B$126))</f>
        <v>9.6215447336561691E-2</v>
      </c>
      <c r="AB155" s="3">
        <f t="shared" si="88"/>
        <v>9.6210653505733101E-2</v>
      </c>
      <c r="AC155" s="3">
        <f t="shared" si="88"/>
        <v>9.6162728332093481E-2</v>
      </c>
      <c r="AD155" s="3">
        <f t="shared" si="88"/>
        <v>9.5684787642134422E-2</v>
      </c>
      <c r="AE155" s="3">
        <f t="shared" si="88"/>
        <v>9.1034100305513996E-2</v>
      </c>
      <c r="AF155" s="3">
        <f t="shared" si="88"/>
        <v>5.5311594076137942E-2</v>
      </c>
    </row>
    <row r="156" spans="1:32" x14ac:dyDescent="0.25">
      <c r="B156" s="3">
        <f t="shared" ref="B156:Z156" si="89">$C42*EXP(-B$129/$A42/EXP(-$B$126))</f>
        <v>0.11161416834614406</v>
      </c>
      <c r="C156" s="3">
        <f t="shared" si="89"/>
        <v>0.11161416834614406</v>
      </c>
      <c r="D156" s="3">
        <f t="shared" si="89"/>
        <v>0.11161416834614406</v>
      </c>
      <c r="E156" s="3">
        <f t="shared" si="89"/>
        <v>0.11161416834614406</v>
      </c>
      <c r="F156" s="3">
        <f t="shared" si="89"/>
        <v>0.11161416834614406</v>
      </c>
      <c r="G156" s="3">
        <f t="shared" si="89"/>
        <v>0.11161416834614406</v>
      </c>
      <c r="H156" s="3">
        <f t="shared" si="89"/>
        <v>0.11161416834614406</v>
      </c>
      <c r="I156" s="3">
        <f t="shared" si="89"/>
        <v>0.11161416834614406</v>
      </c>
      <c r="J156" s="3">
        <f t="shared" si="89"/>
        <v>0.11161416834614406</v>
      </c>
      <c r="K156" s="3">
        <f t="shared" si="89"/>
        <v>0.11161416834614406</v>
      </c>
      <c r="L156" s="3">
        <f t="shared" si="89"/>
        <v>0.11161416834614406</v>
      </c>
      <c r="M156" s="3">
        <f t="shared" si="89"/>
        <v>0.11161416834614406</v>
      </c>
      <c r="N156" s="3">
        <f t="shared" si="89"/>
        <v>0.11161416834614406</v>
      </c>
      <c r="O156" s="3">
        <f t="shared" si="89"/>
        <v>0.11161416834614406</v>
      </c>
      <c r="P156" s="3">
        <f t="shared" si="89"/>
        <v>0.11161416834614406</v>
      </c>
      <c r="Q156" s="3">
        <f t="shared" si="89"/>
        <v>0.11161416834614406</v>
      </c>
      <c r="R156" s="3">
        <f t="shared" si="89"/>
        <v>0.111614168346144</v>
      </c>
      <c r="S156" s="3">
        <f t="shared" si="89"/>
        <v>0.11161416834614343</v>
      </c>
      <c r="T156" s="3">
        <f t="shared" si="89"/>
        <v>0.11161416834613787</v>
      </c>
      <c r="U156" s="3">
        <f t="shared" si="89"/>
        <v>0.11161416834608226</v>
      </c>
      <c r="V156" s="3">
        <f t="shared" si="89"/>
        <v>0.11161416834552615</v>
      </c>
      <c r="W156" s="3">
        <f t="shared" si="89"/>
        <v>0.11161416833996496</v>
      </c>
      <c r="X156" s="3">
        <f t="shared" si="89"/>
        <v>0.11161416828435301</v>
      </c>
      <c r="Y156" s="3">
        <f t="shared" si="89"/>
        <v>0.11161416772823361</v>
      </c>
      <c r="Z156" s="3">
        <f t="shared" si="89"/>
        <v>0.11161416216703976</v>
      </c>
      <c r="AA156" s="3">
        <f t="shared" ref="AA156:AF156" si="90">$C42*EXP(-AA$129/$A42/EXP(-$B$126))</f>
        <v>0.11161410655511643</v>
      </c>
      <c r="AB156" s="3">
        <f t="shared" si="90"/>
        <v>0.11161355043740713</v>
      </c>
      <c r="AC156" s="3">
        <f t="shared" si="90"/>
        <v>0.11160798941270905</v>
      </c>
      <c r="AD156" s="3">
        <f t="shared" si="90"/>
        <v>0.11155239440241371</v>
      </c>
      <c r="AE156" s="3">
        <f t="shared" si="90"/>
        <v>0.1109979651628111</v>
      </c>
      <c r="AF156" s="3">
        <f t="shared" si="90"/>
        <v>0.10560299231818301</v>
      </c>
    </row>
    <row r="157" spans="1:32" x14ac:dyDescent="0.25">
      <c r="B157" s="3">
        <f t="shared" ref="B157:Z157" si="91">$C43*EXP(-B$129/$A43/EXP(-$B$126))</f>
        <v>6.6462351022397975E-2</v>
      </c>
      <c r="C157" s="3">
        <f t="shared" si="91"/>
        <v>6.6462351022397975E-2</v>
      </c>
      <c r="D157" s="3">
        <f t="shared" si="91"/>
        <v>6.6462351022397975E-2</v>
      </c>
      <c r="E157" s="3">
        <f t="shared" si="91"/>
        <v>6.6462351022397975E-2</v>
      </c>
      <c r="F157" s="3">
        <f t="shared" si="91"/>
        <v>6.6462351022397975E-2</v>
      </c>
      <c r="G157" s="3">
        <f t="shared" si="91"/>
        <v>6.6462351022397975E-2</v>
      </c>
      <c r="H157" s="3">
        <f t="shared" si="91"/>
        <v>6.6462351022397975E-2</v>
      </c>
      <c r="I157" s="3">
        <f t="shared" si="91"/>
        <v>6.6462351022397975E-2</v>
      </c>
      <c r="J157" s="3">
        <f t="shared" si="91"/>
        <v>6.6462351022397975E-2</v>
      </c>
      <c r="K157" s="3">
        <f t="shared" si="91"/>
        <v>6.6462351022397975E-2</v>
      </c>
      <c r="L157" s="3">
        <f t="shared" si="91"/>
        <v>6.6462351022397975E-2</v>
      </c>
      <c r="M157" s="3">
        <f t="shared" si="91"/>
        <v>6.6462351022397975E-2</v>
      </c>
      <c r="N157" s="3">
        <f t="shared" si="91"/>
        <v>6.6462351022397975E-2</v>
      </c>
      <c r="O157" s="3">
        <f t="shared" si="91"/>
        <v>6.6462351022397975E-2</v>
      </c>
      <c r="P157" s="3">
        <f t="shared" si="91"/>
        <v>6.6462351022397975E-2</v>
      </c>
      <c r="Q157" s="3">
        <f t="shared" si="91"/>
        <v>6.6462351022397975E-2</v>
      </c>
      <c r="R157" s="3">
        <f t="shared" si="91"/>
        <v>6.6462351022397975E-2</v>
      </c>
      <c r="S157" s="3">
        <f t="shared" si="91"/>
        <v>6.6462351022397934E-2</v>
      </c>
      <c r="T157" s="3">
        <f t="shared" si="91"/>
        <v>6.6462351022397601E-2</v>
      </c>
      <c r="U157" s="3">
        <f t="shared" si="91"/>
        <v>6.6462351022394298E-2</v>
      </c>
      <c r="V157" s="3">
        <f t="shared" si="91"/>
        <v>6.6462351022361171E-2</v>
      </c>
      <c r="W157" s="3">
        <f t="shared" si="91"/>
        <v>6.6462351022030033E-2</v>
      </c>
      <c r="X157" s="3">
        <f t="shared" si="91"/>
        <v>6.646235101871853E-2</v>
      </c>
      <c r="Y157" s="3">
        <f t="shared" si="91"/>
        <v>6.646235098560356E-2</v>
      </c>
      <c r="Z157" s="3">
        <f t="shared" si="91"/>
        <v>6.6462350654453814E-2</v>
      </c>
      <c r="AA157" s="3">
        <f t="shared" ref="AA157:AF157" si="92">$C43*EXP(-AA$129/$A43/EXP(-$B$126))</f>
        <v>6.6462347342956515E-2</v>
      </c>
      <c r="AB157" s="3">
        <f t="shared" si="92"/>
        <v>6.6462314227992494E-2</v>
      </c>
      <c r="AC157" s="3">
        <f t="shared" si="92"/>
        <v>6.6461983079259726E-2</v>
      </c>
      <c r="AD157" s="3">
        <f t="shared" si="92"/>
        <v>6.6458671682678064E-2</v>
      </c>
      <c r="AE157" s="3">
        <f t="shared" si="92"/>
        <v>6.6425566789776971E-2</v>
      </c>
      <c r="AF157" s="3">
        <f t="shared" si="92"/>
        <v>6.6095423481937476E-2</v>
      </c>
    </row>
    <row r="158" spans="1:32" x14ac:dyDescent="0.25">
      <c r="B158" s="3">
        <f t="shared" ref="B158:Z158" si="93">$C44*EXP(-B$129/$A44/EXP(-$B$126))</f>
        <v>4.7100906601755713E-2</v>
      </c>
      <c r="C158" s="3">
        <f t="shared" si="93"/>
        <v>4.7100906601755713E-2</v>
      </c>
      <c r="D158" s="3">
        <f t="shared" si="93"/>
        <v>4.7100906601755713E-2</v>
      </c>
      <c r="E158" s="3">
        <f t="shared" si="93"/>
        <v>4.7100906601755713E-2</v>
      </c>
      <c r="F158" s="3">
        <f t="shared" si="93"/>
        <v>4.7100906601755713E-2</v>
      </c>
      <c r="G158" s="3">
        <f t="shared" si="93"/>
        <v>4.7100906601755713E-2</v>
      </c>
      <c r="H158" s="3">
        <f t="shared" si="93"/>
        <v>4.7100906601755713E-2</v>
      </c>
      <c r="I158" s="3">
        <f t="shared" si="93"/>
        <v>4.7100906601755713E-2</v>
      </c>
      <c r="J158" s="3">
        <f t="shared" si="93"/>
        <v>4.7100906601755713E-2</v>
      </c>
      <c r="K158" s="3">
        <f t="shared" si="93"/>
        <v>4.7100906601755713E-2</v>
      </c>
      <c r="L158" s="3">
        <f t="shared" si="93"/>
        <v>4.7100906601755713E-2</v>
      </c>
      <c r="M158" s="3">
        <f t="shared" si="93"/>
        <v>4.7100906601755713E-2</v>
      </c>
      <c r="N158" s="3">
        <f t="shared" si="93"/>
        <v>4.7100906601755713E-2</v>
      </c>
      <c r="O158" s="3">
        <f t="shared" si="93"/>
        <v>4.7100906601755713E-2</v>
      </c>
      <c r="P158" s="3">
        <f t="shared" si="93"/>
        <v>4.7100906601755713E-2</v>
      </c>
      <c r="Q158" s="3">
        <f t="shared" si="93"/>
        <v>4.7100906601755713E-2</v>
      </c>
      <c r="R158" s="3">
        <f t="shared" si="93"/>
        <v>4.7100906601755713E-2</v>
      </c>
      <c r="S158" s="3">
        <f t="shared" si="93"/>
        <v>4.7100906601755713E-2</v>
      </c>
      <c r="T158" s="3">
        <f t="shared" si="93"/>
        <v>4.7100906601755685E-2</v>
      </c>
      <c r="U158" s="3">
        <f t="shared" si="93"/>
        <v>4.7100906601755449E-2</v>
      </c>
      <c r="V158" s="3">
        <f t="shared" si="93"/>
        <v>4.7100906601753104E-2</v>
      </c>
      <c r="W158" s="3">
        <f t="shared" si="93"/>
        <v>4.7100906601729636E-2</v>
      </c>
      <c r="X158" s="3">
        <f t="shared" si="93"/>
        <v>4.7100906601494956E-2</v>
      </c>
      <c r="Y158" s="3">
        <f t="shared" si="93"/>
        <v>4.7100906599148146E-2</v>
      </c>
      <c r="Z158" s="3">
        <f t="shared" si="93"/>
        <v>4.7100906575680043E-2</v>
      </c>
      <c r="AA158" s="3">
        <f t="shared" ref="AA158:AF158" si="94">$C44*EXP(-AA$129/$A44/EXP(-$B$126))</f>
        <v>4.7100906340999012E-2</v>
      </c>
      <c r="AB158" s="3">
        <f t="shared" si="94"/>
        <v>4.7100903994188779E-2</v>
      </c>
      <c r="AC158" s="3">
        <f t="shared" si="94"/>
        <v>4.7100880526092882E-2</v>
      </c>
      <c r="AD158" s="3">
        <f t="shared" si="94"/>
        <v>4.7100645845776987E-2</v>
      </c>
      <c r="AE158" s="3">
        <f t="shared" si="94"/>
        <v>4.7098299106928372E-2</v>
      </c>
      <c r="AF158" s="3">
        <f t="shared" si="94"/>
        <v>4.7074838148286238E-2</v>
      </c>
    </row>
    <row r="159" spans="1:32" x14ac:dyDescent="0.25">
      <c r="A159" s="11" t="s">
        <v>75</v>
      </c>
      <c r="B159" s="3">
        <f t="shared" ref="B159:Z159" si="95">$C45*EXP(-B$129/$A45/EXP(-$B$126))</f>
        <v>2.2598128773559236E-2</v>
      </c>
      <c r="C159" s="3">
        <f t="shared" si="95"/>
        <v>2.2598128773559236E-2</v>
      </c>
      <c r="D159" s="3">
        <f t="shared" si="95"/>
        <v>2.2598128773559236E-2</v>
      </c>
      <c r="E159" s="3">
        <f t="shared" si="95"/>
        <v>2.2598128773559236E-2</v>
      </c>
      <c r="F159" s="3">
        <f t="shared" si="95"/>
        <v>2.2598128773559236E-2</v>
      </c>
      <c r="G159" s="3">
        <f t="shared" si="95"/>
        <v>2.2598128773559236E-2</v>
      </c>
      <c r="H159" s="3">
        <f t="shared" si="95"/>
        <v>2.2598128773559236E-2</v>
      </c>
      <c r="I159" s="3">
        <f t="shared" si="95"/>
        <v>2.2598128773559236E-2</v>
      </c>
      <c r="J159" s="3">
        <f t="shared" si="95"/>
        <v>2.2598128773559236E-2</v>
      </c>
      <c r="K159" s="3">
        <f t="shared" si="95"/>
        <v>2.2598128773559236E-2</v>
      </c>
      <c r="L159" s="3">
        <f t="shared" si="95"/>
        <v>2.2598128773559236E-2</v>
      </c>
      <c r="M159" s="3">
        <f t="shared" si="95"/>
        <v>2.2598128773559236E-2</v>
      </c>
      <c r="N159" s="3">
        <f t="shared" si="95"/>
        <v>2.2598128773559236E-2</v>
      </c>
      <c r="O159" s="3">
        <f t="shared" si="95"/>
        <v>2.2598128773559236E-2</v>
      </c>
      <c r="P159" s="3">
        <f t="shared" si="95"/>
        <v>2.2598128773559236E-2</v>
      </c>
      <c r="Q159" s="3">
        <f t="shared" si="95"/>
        <v>2.2598128773559236E-2</v>
      </c>
      <c r="R159" s="3">
        <f t="shared" si="95"/>
        <v>2.2598128773559236E-2</v>
      </c>
      <c r="S159" s="3">
        <f t="shared" si="95"/>
        <v>2.2598128773559236E-2</v>
      </c>
      <c r="T159" s="3">
        <f t="shared" si="95"/>
        <v>2.2598128773559236E-2</v>
      </c>
      <c r="U159" s="3">
        <f t="shared" si="95"/>
        <v>2.2598128773559222E-2</v>
      </c>
      <c r="V159" s="3">
        <f t="shared" si="95"/>
        <v>2.2598128773559111E-2</v>
      </c>
      <c r="W159" s="3">
        <f t="shared" si="95"/>
        <v>2.2598128773557984E-2</v>
      </c>
      <c r="X159" s="3">
        <f t="shared" si="95"/>
        <v>2.2598128773546725E-2</v>
      </c>
      <c r="Y159" s="3">
        <f t="shared" si="95"/>
        <v>2.2598128773434131E-2</v>
      </c>
      <c r="Z159" s="3">
        <f t="shared" si="95"/>
        <v>2.2598128772308174E-2</v>
      </c>
      <c r="AA159" s="3">
        <f t="shared" ref="AA159:AF159" si="96">$C45*EXP(-AA$129/$A45/EXP(-$B$126))</f>
        <v>2.2598128761048619E-2</v>
      </c>
      <c r="AB159" s="3">
        <f t="shared" si="96"/>
        <v>2.2598128648453078E-2</v>
      </c>
      <c r="AC159" s="3">
        <f t="shared" si="96"/>
        <v>2.2598127522497683E-2</v>
      </c>
      <c r="AD159" s="3">
        <f t="shared" si="96"/>
        <v>2.2598116262946829E-2</v>
      </c>
      <c r="AE159" s="3">
        <f t="shared" si="96"/>
        <v>2.2598003667746825E-2</v>
      </c>
      <c r="AF159" s="3">
        <f t="shared" si="96"/>
        <v>2.2596877746601667E-2</v>
      </c>
    </row>
    <row r="160" spans="1:32" x14ac:dyDescent="0.25">
      <c r="B160" s="3">
        <f t="shared" ref="B160:Z160" si="97">$C46*EXP(-B$129/$A46/EXP(-$B$126))</f>
        <v>6.4467605952010509E-3</v>
      </c>
      <c r="C160" s="3">
        <f t="shared" si="97"/>
        <v>6.4467605952010509E-3</v>
      </c>
      <c r="D160" s="3">
        <f t="shared" si="97"/>
        <v>6.4467605952010509E-3</v>
      </c>
      <c r="E160" s="3">
        <f t="shared" si="97"/>
        <v>6.4467605952010509E-3</v>
      </c>
      <c r="F160" s="3">
        <f t="shared" si="97"/>
        <v>6.4467605952010509E-3</v>
      </c>
      <c r="G160" s="3">
        <f t="shared" si="97"/>
        <v>6.4467605952010509E-3</v>
      </c>
      <c r="H160" s="3">
        <f t="shared" si="97"/>
        <v>6.4467605952010509E-3</v>
      </c>
      <c r="I160" s="3">
        <f t="shared" si="97"/>
        <v>6.4467605952010509E-3</v>
      </c>
      <c r="J160" s="3">
        <f t="shared" si="97"/>
        <v>6.4467605952010509E-3</v>
      </c>
      <c r="K160" s="3">
        <f t="shared" si="97"/>
        <v>6.4467605952010509E-3</v>
      </c>
      <c r="L160" s="3">
        <f t="shared" si="97"/>
        <v>6.4467605952010509E-3</v>
      </c>
      <c r="M160" s="3">
        <f t="shared" si="97"/>
        <v>6.4467605952010509E-3</v>
      </c>
      <c r="N160" s="3">
        <f t="shared" si="97"/>
        <v>6.4467605952010509E-3</v>
      </c>
      <c r="O160" s="3">
        <f t="shared" si="97"/>
        <v>6.4467605952010509E-3</v>
      </c>
      <c r="P160" s="3">
        <f t="shared" si="97"/>
        <v>6.4467605952010509E-3</v>
      </c>
      <c r="Q160" s="3">
        <f t="shared" si="97"/>
        <v>6.4467605952010509E-3</v>
      </c>
      <c r="R160" s="3">
        <f t="shared" si="97"/>
        <v>6.4467605952010509E-3</v>
      </c>
      <c r="S160" s="3">
        <f t="shared" si="97"/>
        <v>6.4467605952010509E-3</v>
      </c>
      <c r="T160" s="3">
        <f t="shared" si="97"/>
        <v>6.4467605952010509E-3</v>
      </c>
      <c r="U160" s="3">
        <f t="shared" si="97"/>
        <v>6.4467605952010509E-3</v>
      </c>
      <c r="V160" s="3">
        <f t="shared" si="97"/>
        <v>6.4467605952010475E-3</v>
      </c>
      <c r="W160" s="3">
        <f t="shared" si="97"/>
        <v>6.4467605952010154E-3</v>
      </c>
      <c r="X160" s="3">
        <f t="shared" si="97"/>
        <v>6.4467605952006936E-3</v>
      </c>
      <c r="Y160" s="3">
        <f t="shared" si="97"/>
        <v>6.4467605951974817E-3</v>
      </c>
      <c r="Z160" s="3">
        <f t="shared" si="97"/>
        <v>6.4467605951653607E-3</v>
      </c>
      <c r="AA160" s="3">
        <f t="shared" ref="AA160:AF160" si="98">$C46*EXP(-AA$129/$A46/EXP(-$B$126))</f>
        <v>6.4467605948441498E-3</v>
      </c>
      <c r="AB160" s="3">
        <f t="shared" si="98"/>
        <v>6.4467605916320413E-3</v>
      </c>
      <c r="AC160" s="3">
        <f t="shared" si="98"/>
        <v>6.4467605595109516E-3</v>
      </c>
      <c r="AD160" s="3">
        <f t="shared" si="98"/>
        <v>6.4467602383000699E-3</v>
      </c>
      <c r="AE160" s="3">
        <f t="shared" si="98"/>
        <v>6.4467570261921344E-3</v>
      </c>
      <c r="AF160" s="3">
        <f t="shared" si="98"/>
        <v>6.4467249052007963E-3</v>
      </c>
    </row>
    <row r="161" spans="1:34" x14ac:dyDescent="0.25">
      <c r="A161" s="11" t="s">
        <v>75</v>
      </c>
      <c r="B161" s="3">
        <f t="shared" ref="B161:Z161" si="99">$C47*EXP(-B$129/$A47/EXP(-$B$126))</f>
        <v>9.8307104636690784E-5</v>
      </c>
      <c r="C161" s="3">
        <f t="shared" si="99"/>
        <v>9.8307104636690784E-5</v>
      </c>
      <c r="D161" s="3">
        <f t="shared" si="99"/>
        <v>9.8307104636690784E-5</v>
      </c>
      <c r="E161" s="3">
        <f t="shared" si="99"/>
        <v>9.8307104636690784E-5</v>
      </c>
      <c r="F161" s="3">
        <f t="shared" si="99"/>
        <v>9.8307104636690784E-5</v>
      </c>
      <c r="G161" s="3">
        <f t="shared" si="99"/>
        <v>9.8307104636690784E-5</v>
      </c>
      <c r="H161" s="3">
        <f t="shared" si="99"/>
        <v>9.8307104636690784E-5</v>
      </c>
      <c r="I161" s="3">
        <f t="shared" si="99"/>
        <v>9.8307104636690784E-5</v>
      </c>
      <c r="J161" s="3">
        <f t="shared" si="99"/>
        <v>9.8307104636690784E-5</v>
      </c>
      <c r="K161" s="3">
        <f t="shared" si="99"/>
        <v>9.8307104636690784E-5</v>
      </c>
      <c r="L161" s="3">
        <f t="shared" si="99"/>
        <v>9.8307104636690784E-5</v>
      </c>
      <c r="M161" s="3">
        <f t="shared" si="99"/>
        <v>9.8307104636690784E-5</v>
      </c>
      <c r="N161" s="3">
        <f t="shared" si="99"/>
        <v>9.8307104636690784E-5</v>
      </c>
      <c r="O161" s="3">
        <f t="shared" si="99"/>
        <v>9.8307104636690784E-5</v>
      </c>
      <c r="P161" s="3">
        <f t="shared" si="99"/>
        <v>9.8307104636690784E-5</v>
      </c>
      <c r="Q161" s="3">
        <f t="shared" si="99"/>
        <v>9.8307104636690784E-5</v>
      </c>
      <c r="R161" s="3">
        <f t="shared" si="99"/>
        <v>9.8307104636690784E-5</v>
      </c>
      <c r="S161" s="3">
        <f t="shared" si="99"/>
        <v>9.8307104636690784E-5</v>
      </c>
      <c r="T161" s="3">
        <f t="shared" si="99"/>
        <v>9.8307104636690784E-5</v>
      </c>
      <c r="U161" s="3">
        <f t="shared" si="99"/>
        <v>9.8307104636690784E-5</v>
      </c>
      <c r="V161" s="3">
        <f t="shared" si="99"/>
        <v>9.8307104636690784E-5</v>
      </c>
      <c r="W161" s="3">
        <f t="shared" si="99"/>
        <v>9.830710463669073E-5</v>
      </c>
      <c r="X161" s="3">
        <f t="shared" si="99"/>
        <v>9.8307104636690242E-5</v>
      </c>
      <c r="Y161" s="3">
        <f t="shared" si="99"/>
        <v>9.8307104636685336E-5</v>
      </c>
      <c r="Z161" s="3">
        <f t="shared" si="99"/>
        <v>9.8307104636636357E-5</v>
      </c>
      <c r="AA161" s="3">
        <f t="shared" ref="AA161:AF161" si="100">$C47*EXP(-AA$129/$A47/EXP(-$B$126))</f>
        <v>9.8307104636146541E-5</v>
      </c>
      <c r="AB161" s="3">
        <f t="shared" si="100"/>
        <v>9.8307104631248374E-5</v>
      </c>
      <c r="AC161" s="3">
        <f t="shared" si="100"/>
        <v>9.8307104582266694E-5</v>
      </c>
      <c r="AD161" s="3">
        <f t="shared" si="100"/>
        <v>9.8307104092449957E-5</v>
      </c>
      <c r="AE161" s="3">
        <f t="shared" si="100"/>
        <v>9.830709919428269E-5</v>
      </c>
      <c r="AF161" s="3">
        <f t="shared" si="100"/>
        <v>9.8307050212623399E-5</v>
      </c>
    </row>
    <row r="162" spans="1:34" x14ac:dyDescent="0.25">
      <c r="B162" s="3">
        <f t="shared" ref="B162:Z162" si="101">$C48*EXP(-B$129/$A48/EXP(-$B$126))</f>
        <v>1.1020901234699522E-2</v>
      </c>
      <c r="C162" s="3">
        <f t="shared" si="101"/>
        <v>1.1020901234699522E-2</v>
      </c>
      <c r="D162" s="3">
        <f t="shared" si="101"/>
        <v>1.1020901234699522E-2</v>
      </c>
      <c r="E162" s="3">
        <f t="shared" si="101"/>
        <v>1.1020901234699522E-2</v>
      </c>
      <c r="F162" s="3">
        <f t="shared" si="101"/>
        <v>1.1020901234699522E-2</v>
      </c>
      <c r="G162" s="3">
        <f t="shared" si="101"/>
        <v>1.1020901234699522E-2</v>
      </c>
      <c r="H162" s="3">
        <f t="shared" si="101"/>
        <v>1.1020901234699522E-2</v>
      </c>
      <c r="I162" s="3">
        <f t="shared" si="101"/>
        <v>1.1020901234699522E-2</v>
      </c>
      <c r="J162" s="3">
        <f t="shared" si="101"/>
        <v>1.1020901234699522E-2</v>
      </c>
      <c r="K162" s="3">
        <f t="shared" si="101"/>
        <v>1.1020901234699522E-2</v>
      </c>
      <c r="L162" s="3">
        <f t="shared" si="101"/>
        <v>1.1020901234699522E-2</v>
      </c>
      <c r="M162" s="3">
        <f t="shared" si="101"/>
        <v>1.1020901234699522E-2</v>
      </c>
      <c r="N162" s="3">
        <f t="shared" si="101"/>
        <v>1.1020901234699522E-2</v>
      </c>
      <c r="O162" s="3">
        <f t="shared" si="101"/>
        <v>1.1020901234699522E-2</v>
      </c>
      <c r="P162" s="3">
        <f t="shared" si="101"/>
        <v>1.1020901234699522E-2</v>
      </c>
      <c r="Q162" s="3">
        <f t="shared" si="101"/>
        <v>1.1020901234699522E-2</v>
      </c>
      <c r="R162" s="3">
        <f t="shared" si="101"/>
        <v>1.1020901234699522E-2</v>
      </c>
      <c r="S162" s="3">
        <f t="shared" si="101"/>
        <v>1.1020901234699522E-2</v>
      </c>
      <c r="T162" s="3">
        <f t="shared" si="101"/>
        <v>1.1020901234699522E-2</v>
      </c>
      <c r="U162" s="3">
        <f t="shared" si="101"/>
        <v>1.1020901234699522E-2</v>
      </c>
      <c r="V162" s="3">
        <f t="shared" si="101"/>
        <v>1.1020901234699522E-2</v>
      </c>
      <c r="W162" s="3">
        <f t="shared" si="101"/>
        <v>1.1020901234699522E-2</v>
      </c>
      <c r="X162" s="3">
        <f t="shared" si="101"/>
        <v>1.1020901234699515E-2</v>
      </c>
      <c r="Y162" s="3">
        <f t="shared" si="101"/>
        <v>1.1020901234699461E-2</v>
      </c>
      <c r="Z162" s="3">
        <f t="shared" si="101"/>
        <v>1.1020901234698911E-2</v>
      </c>
      <c r="AA162" s="3">
        <f t="shared" ref="AA162:AF162" si="102">$C48*EXP(-AA$129/$A48/EXP(-$B$126))</f>
        <v>1.1020901234693419E-2</v>
      </c>
      <c r="AB162" s="3">
        <f t="shared" si="102"/>
        <v>1.1020901234638508E-2</v>
      </c>
      <c r="AC162" s="3">
        <f t="shared" si="102"/>
        <v>1.102090123408939E-2</v>
      </c>
      <c r="AD162" s="3">
        <f t="shared" si="102"/>
        <v>1.1020901228598208E-2</v>
      </c>
      <c r="AE162" s="3">
        <f t="shared" si="102"/>
        <v>1.102090117368639E-2</v>
      </c>
      <c r="AF162" s="3">
        <f t="shared" si="102"/>
        <v>1.1020900624568217E-2</v>
      </c>
    </row>
    <row r="163" spans="1:34" x14ac:dyDescent="0.25">
      <c r="A163" s="79">
        <f>AVERAGE(B163:AF163)</f>
        <v>4.3766011841891231E-2</v>
      </c>
      <c r="B163" s="80">
        <f>IF($A$64&lt;=B129,IF($B$64&gt;=B129,ABS((B131-B130)/B130),0),0)</f>
        <v>7.6680073435461526E-3</v>
      </c>
      <c r="C163" s="80">
        <f t="shared" ref="C163:AF163" si="103">IF($A$64&lt;=C129,IF($B$64&gt;=C129,ABS((C131-C130)/C130),0),0)</f>
        <v>8.0545492188947784E-3</v>
      </c>
      <c r="D163" s="80">
        <f t="shared" si="103"/>
        <v>8.6307856858795304E-3</v>
      </c>
      <c r="E163" s="80">
        <f t="shared" si="103"/>
        <v>8.6332504762654007E-3</v>
      </c>
      <c r="F163" s="80">
        <f t="shared" si="103"/>
        <v>8.6327700509637329E-3</v>
      </c>
      <c r="G163" s="80">
        <f t="shared" si="103"/>
        <v>8.632609909216736E-3</v>
      </c>
      <c r="H163" s="80">
        <f t="shared" si="103"/>
        <v>8.6325577702446414E-3</v>
      </c>
      <c r="I163" s="80">
        <f t="shared" si="103"/>
        <v>8.6325503238732816E-3</v>
      </c>
      <c r="J163" s="80">
        <f t="shared" si="103"/>
        <v>8.6325503447008452E-3</v>
      </c>
      <c r="K163" s="80">
        <f t="shared" si="103"/>
        <v>8.6325505529767695E-3</v>
      </c>
      <c r="L163" s="80">
        <f t="shared" si="103"/>
        <v>8.6325489115090491E-3</v>
      </c>
      <c r="M163" s="80">
        <f t="shared" si="103"/>
        <v>8.632528772589269E-3</v>
      </c>
      <c r="N163" s="80">
        <f t="shared" si="103"/>
        <v>8.6326588379447323E-3</v>
      </c>
      <c r="O163" s="80">
        <f t="shared" si="103"/>
        <v>8.6336427663996611E-3</v>
      </c>
      <c r="P163" s="80">
        <f t="shared" si="103"/>
        <v>8.6434543252380293E-3</v>
      </c>
      <c r="Q163" s="80">
        <f t="shared" si="103"/>
        <v>8.7404767065525305E-3</v>
      </c>
      <c r="R163" s="80">
        <f t="shared" si="103"/>
        <v>9.5934778771908039E-3</v>
      </c>
      <c r="S163" s="80">
        <f t="shared" si="103"/>
        <v>1.4135264262942156E-2</v>
      </c>
      <c r="T163" s="80">
        <f t="shared" si="103"/>
        <v>1.7586962214725787E-2</v>
      </c>
      <c r="U163" s="80">
        <f t="shared" si="103"/>
        <v>1.692049987422559E-2</v>
      </c>
      <c r="V163" s="80">
        <f t="shared" si="103"/>
        <v>1.2664677636373396E-2</v>
      </c>
      <c r="W163" s="80">
        <f t="shared" si="103"/>
        <v>2.1276356254719506E-2</v>
      </c>
      <c r="X163" s="80">
        <f t="shared" si="103"/>
        <v>7.4026471214468509E-2</v>
      </c>
      <c r="Y163" s="80">
        <f t="shared" si="103"/>
        <v>0.12099762983013752</v>
      </c>
      <c r="Z163" s="80">
        <f t="shared" si="103"/>
        <v>0.14781905114786026</v>
      </c>
      <c r="AA163" s="80">
        <f t="shared" si="103"/>
        <v>0.15530134425011655</v>
      </c>
      <c r="AB163" s="80">
        <f t="shared" si="103"/>
        <v>0.15564866291308532</v>
      </c>
      <c r="AC163" s="80">
        <f t="shared" si="103"/>
        <v>0.14340188272912763</v>
      </c>
      <c r="AD163" s="80">
        <f t="shared" si="103"/>
        <v>0.14013083243651625</v>
      </c>
      <c r="AE163" s="80">
        <f t="shared" si="103"/>
        <v>0.11211922712972701</v>
      </c>
      <c r="AF163" s="80">
        <f t="shared" si="103"/>
        <v>7.8426535330616609E-2</v>
      </c>
    </row>
    <row r="164" spans="1:34" x14ac:dyDescent="0.25">
      <c r="B164" s="21">
        <f>(B131-B130)^2</f>
        <v>2541.2257223254942</v>
      </c>
      <c r="C164" s="21">
        <f t="shared" ref="C164:AF164" si="104">(C131-C130)^2</f>
        <v>2803.9359283958661</v>
      </c>
      <c r="D164" s="21">
        <f t="shared" si="104"/>
        <v>3219.4504760279428</v>
      </c>
      <c r="E164" s="21">
        <f t="shared" si="104"/>
        <v>3221.2794995812674</v>
      </c>
      <c r="F164" s="21">
        <f t="shared" si="104"/>
        <v>3220.9178706346202</v>
      </c>
      <c r="G164" s="21">
        <f t="shared" si="104"/>
        <v>3220.797332256454</v>
      </c>
      <c r="H164" s="21">
        <f t="shared" si="104"/>
        <v>3220.7580878484687</v>
      </c>
      <c r="I164" s="21">
        <f t="shared" si="104"/>
        <v>3220.7524830564184</v>
      </c>
      <c r="J164" s="21">
        <f t="shared" si="104"/>
        <v>3220.7524985976961</v>
      </c>
      <c r="K164" s="21">
        <f t="shared" si="104"/>
        <v>3220.7526540106815</v>
      </c>
      <c r="L164" s="21">
        <f t="shared" si="104"/>
        <v>3220.7514049688275</v>
      </c>
      <c r="M164" s="21">
        <f t="shared" si="104"/>
        <v>3220.7361113874094</v>
      </c>
      <c r="N164" s="21">
        <f t="shared" si="104"/>
        <v>3220.8326568858897</v>
      </c>
      <c r="O164" s="21">
        <f t="shared" si="104"/>
        <v>3221.5597629672848</v>
      </c>
      <c r="P164" s="21">
        <f t="shared" si="104"/>
        <v>3228.8144614928719</v>
      </c>
      <c r="Q164" s="21">
        <f t="shared" si="104"/>
        <v>3300.979039564304</v>
      </c>
      <c r="R164" s="21">
        <f t="shared" si="104"/>
        <v>3968.1390834897957</v>
      </c>
      <c r="S164" s="21">
        <f t="shared" si="104"/>
        <v>8465.7480720724161</v>
      </c>
      <c r="T164" s="21">
        <f t="shared" si="104"/>
        <v>12506.696723139026</v>
      </c>
      <c r="U164" s="21">
        <f t="shared" si="104"/>
        <v>10998.988419719217</v>
      </c>
      <c r="V164" s="21">
        <f t="shared" si="104"/>
        <v>5707.4315906968886</v>
      </c>
      <c r="W164" s="21">
        <f t="shared" si="104"/>
        <v>14008.715784843162</v>
      </c>
      <c r="X164" s="21">
        <f t="shared" si="104"/>
        <v>140783.77805081441</v>
      </c>
      <c r="Y164" s="21">
        <f t="shared" si="104"/>
        <v>307520.42383123026</v>
      </c>
      <c r="Z164" s="21">
        <f t="shared" si="104"/>
        <v>379222.75644645339</v>
      </c>
      <c r="AA164" s="21">
        <f t="shared" si="104"/>
        <v>352604.85789245414</v>
      </c>
      <c r="AB164" s="21">
        <f t="shared" si="104"/>
        <v>298568.03078841709</v>
      </c>
      <c r="AC164" s="21">
        <f t="shared" si="104"/>
        <v>212617.36302555524</v>
      </c>
      <c r="AD164" s="21">
        <f t="shared" si="104"/>
        <v>161767.01437529933</v>
      </c>
      <c r="AE164" s="21">
        <f t="shared" si="104"/>
        <v>75981.367450106307</v>
      </c>
      <c r="AF164" s="21">
        <f t="shared" si="104"/>
        <v>24179.014570479765</v>
      </c>
    </row>
    <row r="165" spans="1:34" x14ac:dyDescent="0.25">
      <c r="A165" s="71">
        <f>SUM(B165:AF165)</f>
        <v>2059424.6220947718</v>
      </c>
      <c r="B165" s="60">
        <f>IF($A$64&lt;=B129,IF($B$64&gt;=B129,ABS(B164),0),0)</f>
        <v>2541.2257223254942</v>
      </c>
      <c r="C165" s="60">
        <f t="shared" ref="C165:AF165" si="105">IF($A$64&lt;=C129,IF($B$64&gt;=C129,ABS(C164),0),0)</f>
        <v>2803.9359283958661</v>
      </c>
      <c r="D165" s="60">
        <f t="shared" si="105"/>
        <v>3219.4504760279428</v>
      </c>
      <c r="E165" s="60">
        <f t="shared" si="105"/>
        <v>3221.2794995812674</v>
      </c>
      <c r="F165" s="60">
        <f t="shared" si="105"/>
        <v>3220.9178706346202</v>
      </c>
      <c r="G165" s="60">
        <f t="shared" si="105"/>
        <v>3220.797332256454</v>
      </c>
      <c r="H165" s="60">
        <f t="shared" si="105"/>
        <v>3220.7580878484687</v>
      </c>
      <c r="I165" s="60">
        <f t="shared" si="105"/>
        <v>3220.7524830564184</v>
      </c>
      <c r="J165" s="60">
        <f t="shared" si="105"/>
        <v>3220.7524985976961</v>
      </c>
      <c r="K165" s="60">
        <f t="shared" si="105"/>
        <v>3220.7526540106815</v>
      </c>
      <c r="L165" s="60">
        <f t="shared" si="105"/>
        <v>3220.7514049688275</v>
      </c>
      <c r="M165" s="60">
        <f t="shared" si="105"/>
        <v>3220.7361113874094</v>
      </c>
      <c r="N165" s="60">
        <f t="shared" si="105"/>
        <v>3220.8326568858897</v>
      </c>
      <c r="O165" s="60">
        <f t="shared" si="105"/>
        <v>3221.5597629672848</v>
      </c>
      <c r="P165" s="60">
        <f t="shared" si="105"/>
        <v>3228.8144614928719</v>
      </c>
      <c r="Q165" s="60">
        <f t="shared" si="105"/>
        <v>3300.979039564304</v>
      </c>
      <c r="R165" s="60">
        <f t="shared" si="105"/>
        <v>3968.1390834897957</v>
      </c>
      <c r="S165" s="60">
        <f t="shared" si="105"/>
        <v>8465.7480720724161</v>
      </c>
      <c r="T165" s="60">
        <f t="shared" si="105"/>
        <v>12506.696723139026</v>
      </c>
      <c r="U165" s="60">
        <f t="shared" si="105"/>
        <v>10998.988419719217</v>
      </c>
      <c r="V165" s="60">
        <f t="shared" si="105"/>
        <v>5707.4315906968886</v>
      </c>
      <c r="W165" s="60">
        <f t="shared" si="105"/>
        <v>14008.715784843162</v>
      </c>
      <c r="X165" s="60">
        <f t="shared" si="105"/>
        <v>140783.77805081441</v>
      </c>
      <c r="Y165" s="60">
        <f t="shared" si="105"/>
        <v>307520.42383123026</v>
      </c>
      <c r="Z165" s="60">
        <f t="shared" si="105"/>
        <v>379222.75644645339</v>
      </c>
      <c r="AA165" s="60">
        <f t="shared" si="105"/>
        <v>352604.85789245414</v>
      </c>
      <c r="AB165" s="60">
        <f t="shared" si="105"/>
        <v>298568.03078841709</v>
      </c>
      <c r="AC165" s="60">
        <f t="shared" si="105"/>
        <v>212617.36302555524</v>
      </c>
      <c r="AD165" s="60">
        <f t="shared" si="105"/>
        <v>161767.01437529933</v>
      </c>
      <c r="AE165" s="60">
        <f t="shared" si="105"/>
        <v>75981.367450106307</v>
      </c>
      <c r="AF165" s="60">
        <f t="shared" si="105"/>
        <v>24179.014570479765</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6543.7252261807771</v>
      </c>
      <c r="C169" s="26">
        <f>INDEX(Comparison!$AM$3:$AS$33,G$14,$C$122)</f>
        <v>6543.7799387981568</v>
      </c>
      <c r="D169" s="26">
        <f>INDEX(Comparison!$AM$3:$AS$33,H$14,$C$122)</f>
        <v>6543.7462938558028</v>
      </c>
      <c r="E169" s="26">
        <f>INDEX(Comparison!$AM$3:$AS$33,I$14,$C$122)</f>
        <v>6543.7363350192272</v>
      </c>
      <c r="F169" s="26">
        <f>INDEX(Comparison!$AM$3:$AS$33,J$14,$C$122)</f>
        <v>6543.7332030080934</v>
      </c>
      <c r="G169" s="26">
        <f>INDEX(Comparison!$AM$3:$AS$33,K$14,$C$122)</f>
        <v>6543.7321508487757</v>
      </c>
      <c r="H169" s="26">
        <f>INDEX(Comparison!$AM$3:$AS$33,L$14,$C$122)</f>
        <v>6543.7318082853499</v>
      </c>
      <c r="I169" s="26">
        <f>INDEX(Comparison!$AM$3:$AS$33,M$14,$C$122)</f>
        <v>6543.7317593477201</v>
      </c>
      <c r="J169" s="26">
        <f>INDEX(Comparison!$AM$3:$AS$33,N$14,$C$122)</f>
        <v>6543.7315146595847</v>
      </c>
      <c r="K169" s="26">
        <f>INDEX(Comparison!$AM$3:$AS$33,O$14,$C$122)</f>
        <v>6543.731490190773</v>
      </c>
      <c r="L169" s="26">
        <f>INDEX(Comparison!$AM$3:$AS$33,P$14,$C$122)</f>
        <v>6543.7313923155243</v>
      </c>
      <c r="M169" s="26">
        <f>INDEX(Comparison!$AM$3:$AS$33,Q$14,$C$122)</f>
        <v>6543.7286518097571</v>
      </c>
      <c r="N169" s="26">
        <f>INDEX(Comparison!$AM$3:$AS$33,R$14,$C$122)</f>
        <v>6543.7023234963144</v>
      </c>
      <c r="O169" s="26">
        <f>INDEX(Comparison!$AM$3:$AS$33,S$14,$C$122)</f>
        <v>6543.4393456132884</v>
      </c>
      <c r="P169" s="26">
        <f>INDEX(Comparison!$AM$3:$AS$33,T$14,$C$122)</f>
        <v>6540.8297975507394</v>
      </c>
      <c r="Q169" s="26">
        <f>INDEX(Comparison!$AM$3:$AS$33,U$14,$C$122)</f>
        <v>6516.7915822655277</v>
      </c>
      <c r="R169" s="26">
        <f>INDEX(Comparison!$AM$3:$AS$33,V$14,$C$122)</f>
        <v>6390.814079024768</v>
      </c>
      <c r="S169" s="26">
        <f>INDEX(Comparison!$AM$3:$AS$33,W$14,$C$122)</f>
        <v>6240.1474757230608</v>
      </c>
      <c r="T169" s="26">
        <f>INDEX(Comparison!$AM$3:$AS$33,X$14,$C$122)</f>
        <v>6044.4265071962272</v>
      </c>
      <c r="U169" s="26">
        <f>INDEX(Comparison!$AM$3:$AS$33,Y$14,$C$122)</f>
        <v>5697.9764219559002</v>
      </c>
      <c r="V169" s="26">
        <f>INDEX(Comparison!$AM$3:$AS$33,Z$14,$C$122)</f>
        <v>5222.1642197271249</v>
      </c>
      <c r="W169" s="26">
        <f>INDEX(Comparison!$AM$3:$AS$33,AA$14,$C$122)</f>
        <v>4741.2273341563377</v>
      </c>
      <c r="X169" s="26">
        <f>INDEX(Comparison!$AM$3:$AS$33,AB$14,$C$122)</f>
        <v>4311.1706397553053</v>
      </c>
      <c r="Y169" s="26">
        <f>INDEX(Comparison!$AM$3:$AS$33,AC$14,$C$122)</f>
        <v>3952.2593271118144</v>
      </c>
      <c r="Z169" s="26">
        <f>INDEX(Comparison!$AM$3:$AS$33,AD$14,$C$122)</f>
        <v>3639.2172363975619</v>
      </c>
      <c r="AA169" s="26">
        <f>INDEX(Comparison!$AM$3:$AS$33,AE$14,$C$122)</f>
        <v>3344.7021990881808</v>
      </c>
      <c r="AB169" s="26">
        <f>INDEX(Comparison!$AM$3:$AS$33,AF$14,$C$122)</f>
        <v>3034.0126163953428</v>
      </c>
      <c r="AC169" s="26">
        <f>INDEX(Comparison!$AM$3:$AS$33,AG$14,$C$122)</f>
        <v>2653.5608861364908</v>
      </c>
      <c r="AD169" s="26">
        <f>INDEX(Comparison!$AM$3:$AS$33,AH$14,$C$122)</f>
        <v>2203.3378680125074</v>
      </c>
      <c r="AE169" s="26">
        <f>INDEX(Comparison!$AM$3:$AS$33,AI$14,$C$122)</f>
        <v>1683.4592204898881</v>
      </c>
      <c r="AF169" s="26">
        <f>INDEX(Comparison!$AM$3:$AS$33,AJ$14,$C$122)</f>
        <v>1118.1414735463829</v>
      </c>
      <c r="AG169" s="26"/>
      <c r="AH169" s="26"/>
    </row>
    <row r="170" spans="1:34" x14ac:dyDescent="0.25">
      <c r="A170" s="70" t="s">
        <v>22</v>
      </c>
      <c r="B170" s="27">
        <f>($C$17+SUM(B171:B201))*$B$51</f>
        <v>6518.5552234047536</v>
      </c>
      <c r="C170" s="27">
        <f t="shared" ref="C170:AF170" si="106">($C$17+SUM(C171:C201))*$B$51</f>
        <v>6517.3975297220459</v>
      </c>
      <c r="D170" s="27">
        <f t="shared" si="106"/>
        <v>6517.3975295619693</v>
      </c>
      <c r="E170" s="27">
        <f t="shared" si="106"/>
        <v>6517.3975295619257</v>
      </c>
      <c r="F170" s="27">
        <f t="shared" si="106"/>
        <v>6517.397529561491</v>
      </c>
      <c r="G170" s="27">
        <f t="shared" si="106"/>
        <v>6517.3975295571508</v>
      </c>
      <c r="H170" s="27">
        <f t="shared" si="106"/>
        <v>6517.3975295137489</v>
      </c>
      <c r="I170" s="27">
        <f t="shared" si="106"/>
        <v>6517.3975290797143</v>
      </c>
      <c r="J170" s="27">
        <f t="shared" si="106"/>
        <v>6517.3975247393701</v>
      </c>
      <c r="K170" s="27">
        <f t="shared" si="106"/>
        <v>6517.3974813359509</v>
      </c>
      <c r="L170" s="27">
        <f t="shared" si="106"/>
        <v>6517.3970473028648</v>
      </c>
      <c r="M170" s="27">
        <f t="shared" si="106"/>
        <v>6517.3927070832151</v>
      </c>
      <c r="N170" s="27">
        <f t="shared" si="106"/>
        <v>6517.3493160024709</v>
      </c>
      <c r="O170" s="27">
        <f t="shared" si="106"/>
        <v>6516.916511235454</v>
      </c>
      <c r="P170" s="27">
        <f t="shared" si="106"/>
        <v>6512.6937873788747</v>
      </c>
      <c r="Q170" s="27">
        <f t="shared" si="106"/>
        <v>6477.5189643934036</v>
      </c>
      <c r="R170" s="27">
        <f t="shared" si="106"/>
        <v>6319.852984818087</v>
      </c>
      <c r="S170" s="27">
        <f t="shared" si="106"/>
        <v>6173.7396126615513</v>
      </c>
      <c r="T170" s="27">
        <f t="shared" si="106"/>
        <v>5988.7699703143653</v>
      </c>
      <c r="U170" s="27">
        <f t="shared" si="106"/>
        <v>5786.38496595986</v>
      </c>
      <c r="V170" s="27">
        <f t="shared" si="106"/>
        <v>5570.3203771436238</v>
      </c>
      <c r="W170" s="27">
        <f t="shared" si="106"/>
        <v>5301.7143665999347</v>
      </c>
      <c r="X170" s="27">
        <f t="shared" si="106"/>
        <v>4972.0565219518303</v>
      </c>
      <c r="Y170" s="27">
        <f t="shared" si="106"/>
        <v>4612.8508234836618</v>
      </c>
      <c r="Z170" s="27">
        <f t="shared" si="106"/>
        <v>4253.1512557907281</v>
      </c>
      <c r="AA170" s="27">
        <f t="shared" si="106"/>
        <v>3883.3204524344887</v>
      </c>
      <c r="AB170" s="27">
        <f t="shared" si="106"/>
        <v>3508.6389499443067</v>
      </c>
      <c r="AC170" s="27">
        <f t="shared" si="106"/>
        <v>2987.7883038811869</v>
      </c>
      <c r="AD170" s="27">
        <f t="shared" si="106"/>
        <v>2428.1049081181432</v>
      </c>
      <c r="AE170" s="27">
        <f t="shared" si="106"/>
        <v>1800.1272914726735</v>
      </c>
      <c r="AF170" s="27">
        <f t="shared" si="106"/>
        <v>1139.2277889805109</v>
      </c>
      <c r="AG170" s="27"/>
      <c r="AH170" s="27"/>
    </row>
    <row r="171" spans="1:34" x14ac:dyDescent="0.25">
      <c r="B171" s="3">
        <f t="shared" ref="B171:AF171" si="107">$C18*EXP(-B$168/$A18/EXP(-$C$126))</f>
        <v>1.7744902885270559E-4</v>
      </c>
      <c r="C171" s="3">
        <f t="shared" si="107"/>
        <v>2.4535557498853858E-11</v>
      </c>
      <c r="D171" s="3">
        <f t="shared" si="107"/>
        <v>6.2664123116422647E-80</v>
      </c>
      <c r="E171" s="3">
        <f t="shared" si="107"/>
        <v>0</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0</v>
      </c>
      <c r="C172" s="3">
        <f t="shared" si="108"/>
        <v>0</v>
      </c>
      <c r="D172" s="3">
        <f t="shared" si="108"/>
        <v>0</v>
      </c>
      <c r="E172" s="3">
        <f t="shared" si="108"/>
        <v>0</v>
      </c>
      <c r="F172" s="3">
        <f t="shared" si="108"/>
        <v>0</v>
      </c>
      <c r="G172" s="3">
        <f t="shared" si="108"/>
        <v>0</v>
      </c>
      <c r="H172" s="3">
        <f t="shared" si="108"/>
        <v>0</v>
      </c>
      <c r="I172" s="3">
        <f t="shared" si="108"/>
        <v>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0</v>
      </c>
      <c r="C173" s="3">
        <f t="shared" si="109"/>
        <v>0</v>
      </c>
      <c r="D173" s="3">
        <f t="shared" si="109"/>
        <v>0</v>
      </c>
      <c r="E173" s="3">
        <f t="shared" si="109"/>
        <v>0</v>
      </c>
      <c r="F173" s="3">
        <f t="shared" si="109"/>
        <v>0</v>
      </c>
      <c r="G173" s="3">
        <f t="shared" si="109"/>
        <v>0</v>
      </c>
      <c r="H173" s="3">
        <f t="shared" si="109"/>
        <v>0</v>
      </c>
      <c r="I173" s="3">
        <f t="shared" si="109"/>
        <v>0</v>
      </c>
      <c r="J173" s="3">
        <f t="shared" si="109"/>
        <v>0</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0</v>
      </c>
      <c r="C174" s="3">
        <f t="shared" si="110"/>
        <v>0</v>
      </c>
      <c r="D174" s="3">
        <f t="shared" si="110"/>
        <v>0</v>
      </c>
      <c r="E174" s="3">
        <f t="shared" si="110"/>
        <v>0</v>
      </c>
      <c r="F174" s="3">
        <f t="shared" si="110"/>
        <v>0</v>
      </c>
      <c r="G174" s="3">
        <f t="shared" si="110"/>
        <v>0</v>
      </c>
      <c r="H174" s="3">
        <f t="shared" si="110"/>
        <v>0</v>
      </c>
      <c r="I174" s="3">
        <f t="shared" si="110"/>
        <v>0</v>
      </c>
      <c r="J174" s="3">
        <f t="shared" si="110"/>
        <v>0</v>
      </c>
      <c r="K174" s="3">
        <f t="shared" si="110"/>
        <v>0</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0</v>
      </c>
      <c r="C175" s="3">
        <f t="shared" si="111"/>
        <v>0</v>
      </c>
      <c r="D175" s="3">
        <f t="shared" si="111"/>
        <v>0</v>
      </c>
      <c r="E175" s="3">
        <f t="shared" si="111"/>
        <v>0</v>
      </c>
      <c r="F175" s="3">
        <f t="shared" si="111"/>
        <v>0</v>
      </c>
      <c r="G175" s="3">
        <f t="shared" si="111"/>
        <v>0</v>
      </c>
      <c r="H175" s="3">
        <f t="shared" si="111"/>
        <v>0</v>
      </c>
      <c r="I175" s="3">
        <f t="shared" si="111"/>
        <v>0</v>
      </c>
      <c r="J175" s="3">
        <f t="shared" si="111"/>
        <v>0</v>
      </c>
      <c r="K175" s="3">
        <f t="shared" si="111"/>
        <v>0</v>
      </c>
      <c r="L175" s="3">
        <f t="shared" si="111"/>
        <v>0</v>
      </c>
      <c r="M175" s="3">
        <f t="shared" si="111"/>
        <v>0</v>
      </c>
      <c r="N175" s="3">
        <f t="shared" si="111"/>
        <v>0</v>
      </c>
      <c r="O175" s="3">
        <f t="shared" si="111"/>
        <v>0</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0</v>
      </c>
      <c r="C176" s="3">
        <f t="shared" si="112"/>
        <v>0</v>
      </c>
      <c r="D176" s="3">
        <f t="shared" si="112"/>
        <v>0</v>
      </c>
      <c r="E176" s="3">
        <f t="shared" si="112"/>
        <v>0</v>
      </c>
      <c r="F176" s="3">
        <f t="shared" si="112"/>
        <v>0</v>
      </c>
      <c r="G176" s="3">
        <f t="shared" si="112"/>
        <v>0</v>
      </c>
      <c r="H176" s="3">
        <f t="shared" si="112"/>
        <v>0</v>
      </c>
      <c r="I176" s="3">
        <f t="shared" si="112"/>
        <v>0</v>
      </c>
      <c r="J176" s="3">
        <f t="shared" si="112"/>
        <v>0</v>
      </c>
      <c r="K176" s="3">
        <f t="shared" si="112"/>
        <v>0</v>
      </c>
      <c r="L176" s="3">
        <f t="shared" si="112"/>
        <v>0</v>
      </c>
      <c r="M176" s="3">
        <f t="shared" si="112"/>
        <v>0</v>
      </c>
      <c r="N176" s="3">
        <f t="shared" si="112"/>
        <v>0</v>
      </c>
      <c r="O176" s="3">
        <f t="shared" si="112"/>
        <v>0</v>
      </c>
      <c r="P176" s="3">
        <f t="shared" si="112"/>
        <v>0</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0</v>
      </c>
      <c r="C177" s="3">
        <f t="shared" si="113"/>
        <v>0</v>
      </c>
      <c r="D177" s="3">
        <f t="shared" si="113"/>
        <v>0</v>
      </c>
      <c r="E177" s="3">
        <f t="shared" si="113"/>
        <v>0</v>
      </c>
      <c r="F177" s="3">
        <f t="shared" si="113"/>
        <v>0</v>
      </c>
      <c r="G177" s="3">
        <f t="shared" si="113"/>
        <v>0</v>
      </c>
      <c r="H177" s="3">
        <f t="shared" si="113"/>
        <v>0</v>
      </c>
      <c r="I177" s="3">
        <f t="shared" si="113"/>
        <v>0</v>
      </c>
      <c r="J177" s="3">
        <f t="shared" si="113"/>
        <v>0</v>
      </c>
      <c r="K177" s="3">
        <f t="shared" si="113"/>
        <v>0</v>
      </c>
      <c r="L177" s="3">
        <f t="shared" si="113"/>
        <v>0</v>
      </c>
      <c r="M177" s="3">
        <f t="shared" si="113"/>
        <v>0</v>
      </c>
      <c r="N177" s="3">
        <f t="shared" si="113"/>
        <v>0</v>
      </c>
      <c r="O177" s="3">
        <f t="shared" si="113"/>
        <v>0</v>
      </c>
      <c r="P177" s="3">
        <f t="shared" si="113"/>
        <v>0</v>
      </c>
      <c r="Q177" s="3">
        <f t="shared" si="113"/>
        <v>0</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0</v>
      </c>
      <c r="C178" s="3">
        <f t="shared" si="114"/>
        <v>0</v>
      </c>
      <c r="D178" s="3">
        <f t="shared" si="114"/>
        <v>0</v>
      </c>
      <c r="E178" s="3">
        <f t="shared" si="114"/>
        <v>0</v>
      </c>
      <c r="F178" s="3">
        <f t="shared" si="114"/>
        <v>0</v>
      </c>
      <c r="G178" s="3">
        <f t="shared" si="114"/>
        <v>0</v>
      </c>
      <c r="H178" s="3">
        <f t="shared" si="114"/>
        <v>0</v>
      </c>
      <c r="I178" s="3">
        <f t="shared" si="114"/>
        <v>0</v>
      </c>
      <c r="J178" s="3">
        <f t="shared" si="114"/>
        <v>0</v>
      </c>
      <c r="K178" s="3">
        <f t="shared" si="114"/>
        <v>0</v>
      </c>
      <c r="L178" s="3">
        <f t="shared" si="114"/>
        <v>0</v>
      </c>
      <c r="M178" s="3">
        <f t="shared" si="114"/>
        <v>0</v>
      </c>
      <c r="N178" s="3">
        <f t="shared" si="114"/>
        <v>0</v>
      </c>
      <c r="O178" s="3">
        <f t="shared" si="114"/>
        <v>0</v>
      </c>
      <c r="P178" s="3">
        <f t="shared" si="114"/>
        <v>0</v>
      </c>
      <c r="Q178" s="3">
        <f t="shared" si="114"/>
        <v>0</v>
      </c>
      <c r="R178" s="3">
        <f t="shared" si="114"/>
        <v>0</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0</v>
      </c>
      <c r="C179" s="3">
        <f t="shared" si="115"/>
        <v>0</v>
      </c>
      <c r="D179" s="3">
        <f t="shared" si="115"/>
        <v>0</v>
      </c>
      <c r="E179" s="3">
        <f t="shared" si="115"/>
        <v>0</v>
      </c>
      <c r="F179" s="3">
        <f t="shared" si="115"/>
        <v>0</v>
      </c>
      <c r="G179" s="3">
        <f t="shared" si="115"/>
        <v>0</v>
      </c>
      <c r="H179" s="3">
        <f t="shared" si="115"/>
        <v>0</v>
      </c>
      <c r="I179" s="3">
        <f t="shared" si="115"/>
        <v>0</v>
      </c>
      <c r="J179" s="3">
        <f t="shared" si="115"/>
        <v>0</v>
      </c>
      <c r="K179" s="3">
        <f t="shared" si="115"/>
        <v>0</v>
      </c>
      <c r="L179" s="3">
        <f t="shared" si="115"/>
        <v>0</v>
      </c>
      <c r="M179" s="3">
        <f t="shared" si="115"/>
        <v>0</v>
      </c>
      <c r="N179" s="3">
        <f t="shared" si="115"/>
        <v>0</v>
      </c>
      <c r="O179" s="3">
        <f t="shared" si="115"/>
        <v>0</v>
      </c>
      <c r="P179" s="3">
        <f t="shared" si="115"/>
        <v>0</v>
      </c>
      <c r="Q179" s="3">
        <f t="shared" si="115"/>
        <v>0</v>
      </c>
      <c r="R179" s="3">
        <f t="shared" si="115"/>
        <v>0</v>
      </c>
      <c r="S179" s="3">
        <f t="shared" si="115"/>
        <v>0</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7.2761897872501572E-4</v>
      </c>
      <c r="C180" s="3">
        <f t="shared" si="116"/>
        <v>7.2761897872500271E-4</v>
      </c>
      <c r="D180" s="3">
        <f t="shared" si="116"/>
        <v>7.2761897872487369E-4</v>
      </c>
      <c r="E180" s="3">
        <f t="shared" si="116"/>
        <v>7.2761897872358284E-4</v>
      </c>
      <c r="F180" s="3">
        <f t="shared" si="116"/>
        <v>7.2761897871067443E-4</v>
      </c>
      <c r="G180" s="3">
        <f t="shared" si="116"/>
        <v>7.276189785815903E-4</v>
      </c>
      <c r="H180" s="3">
        <f t="shared" si="116"/>
        <v>7.2761897729074938E-4</v>
      </c>
      <c r="I180" s="3">
        <f t="shared" si="116"/>
        <v>7.2761896438234023E-4</v>
      </c>
      <c r="J180" s="3">
        <f t="shared" si="116"/>
        <v>7.2761883529826022E-4</v>
      </c>
      <c r="K180" s="3">
        <f t="shared" si="116"/>
        <v>7.2761754445872058E-4</v>
      </c>
      <c r="L180" s="3">
        <f t="shared" si="116"/>
        <v>7.2760463618927473E-4</v>
      </c>
      <c r="M180" s="3">
        <f t="shared" si="116"/>
        <v>7.2747556608907091E-4</v>
      </c>
      <c r="N180" s="3">
        <f t="shared" si="116"/>
        <v>7.2618612368616372E-4</v>
      </c>
      <c r="O180" s="3">
        <f t="shared" si="116"/>
        <v>7.1341673732799914E-4</v>
      </c>
      <c r="P180" s="3">
        <f t="shared" si="116"/>
        <v>5.9744340950376924E-4</v>
      </c>
      <c r="Q180" s="3">
        <f t="shared" si="116"/>
        <v>1.0135182697306648E-4</v>
      </c>
      <c r="R180" s="3">
        <f t="shared" si="116"/>
        <v>2.0006893101395275E-12</v>
      </c>
      <c r="S180" s="3">
        <f t="shared" si="116"/>
        <v>1.7974646218308895E-89</v>
      </c>
      <c r="T180" s="3">
        <f t="shared" si="116"/>
        <v>0</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3.1446025257017014E-2</v>
      </c>
      <c r="C181" s="3">
        <f t="shared" si="117"/>
        <v>3.1446025257016966E-2</v>
      </c>
      <c r="D181" s="3">
        <f t="shared" si="117"/>
        <v>3.1446025257016459E-2</v>
      </c>
      <c r="E181" s="3">
        <f t="shared" si="117"/>
        <v>3.1446025257011428E-2</v>
      </c>
      <c r="F181" s="3">
        <f t="shared" si="117"/>
        <v>3.1446025256961108E-2</v>
      </c>
      <c r="G181" s="3">
        <f t="shared" si="117"/>
        <v>3.1446025256457857E-2</v>
      </c>
      <c r="H181" s="3">
        <f t="shared" si="117"/>
        <v>3.144602525142539E-2</v>
      </c>
      <c r="I181" s="3">
        <f t="shared" si="117"/>
        <v>3.1446025201100701E-2</v>
      </c>
      <c r="J181" s="3">
        <f t="shared" si="117"/>
        <v>3.1446024697853861E-2</v>
      </c>
      <c r="K181" s="3">
        <f t="shared" si="117"/>
        <v>3.1446019665385891E-2</v>
      </c>
      <c r="L181" s="3">
        <f t="shared" si="117"/>
        <v>3.1445969340750467E-2</v>
      </c>
      <c r="M181" s="3">
        <f t="shared" si="117"/>
        <v>3.1445466098825724E-2</v>
      </c>
      <c r="N181" s="3">
        <f t="shared" si="117"/>
        <v>3.1440434122503601E-2</v>
      </c>
      <c r="O181" s="3">
        <f t="shared" si="117"/>
        <v>3.1390158625596021E-2</v>
      </c>
      <c r="P181" s="3">
        <f t="shared" si="117"/>
        <v>3.0891804188304173E-2</v>
      </c>
      <c r="Q181" s="3">
        <f t="shared" si="117"/>
        <v>2.6323334544838685E-2</v>
      </c>
      <c r="R181" s="3">
        <f t="shared" si="117"/>
        <v>5.3127233649909456E-3</v>
      </c>
      <c r="S181" s="3">
        <f t="shared" si="117"/>
        <v>5.9577214817417102E-10</v>
      </c>
      <c r="T181" s="3">
        <f t="shared" si="117"/>
        <v>1.8737434793959943E-79</v>
      </c>
      <c r="U181" s="3">
        <f t="shared" si="117"/>
        <v>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1.9599632072183452E-2</v>
      </c>
      <c r="C182" s="3">
        <f t="shared" si="118"/>
        <v>1.9599632072183449E-2</v>
      </c>
      <c r="D182" s="3">
        <f t="shared" si="118"/>
        <v>1.9599632072183421E-2</v>
      </c>
      <c r="E182" s="3">
        <f t="shared" si="118"/>
        <v>1.959963207218314E-2</v>
      </c>
      <c r="F182" s="3">
        <f t="shared" si="118"/>
        <v>1.9599632072180309E-2</v>
      </c>
      <c r="G182" s="3">
        <f t="shared" si="118"/>
        <v>1.9599632072152012E-2</v>
      </c>
      <c r="H182" s="3">
        <f t="shared" si="118"/>
        <v>1.9599632071869065E-2</v>
      </c>
      <c r="I182" s="3">
        <f t="shared" si="118"/>
        <v>1.9599632069039561E-2</v>
      </c>
      <c r="J182" s="3">
        <f t="shared" si="118"/>
        <v>1.9599632040744556E-2</v>
      </c>
      <c r="K182" s="3">
        <f t="shared" si="118"/>
        <v>1.9599631757794483E-2</v>
      </c>
      <c r="L182" s="3">
        <f t="shared" si="118"/>
        <v>1.9599628928293988E-2</v>
      </c>
      <c r="M182" s="3">
        <f t="shared" si="118"/>
        <v>1.9599600633311481E-2</v>
      </c>
      <c r="N182" s="3">
        <f t="shared" si="118"/>
        <v>1.9599317685733066E-2</v>
      </c>
      <c r="O182" s="3">
        <f t="shared" si="118"/>
        <v>1.9596488434600056E-2</v>
      </c>
      <c r="P182" s="3">
        <f t="shared" si="118"/>
        <v>1.9568218376388564E-2</v>
      </c>
      <c r="Q182" s="3">
        <f t="shared" si="118"/>
        <v>1.9287751158962894E-2</v>
      </c>
      <c r="R182" s="3">
        <f t="shared" si="118"/>
        <v>1.669493277052711E-2</v>
      </c>
      <c r="S182" s="3">
        <f t="shared" si="118"/>
        <v>3.9410820459321533E-3</v>
      </c>
      <c r="T182" s="3">
        <f t="shared" si="118"/>
        <v>2.1179879871999299E-9</v>
      </c>
      <c r="U182" s="3">
        <f t="shared" si="118"/>
        <v>4.2560199640224414E-72</v>
      </c>
      <c r="V182" s="3">
        <f t="shared" si="118"/>
        <v>0</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3.2516214564493037E-2</v>
      </c>
      <c r="C183" s="3">
        <f t="shared" si="119"/>
        <v>3.2516214564493037E-2</v>
      </c>
      <c r="D183" s="3">
        <f t="shared" si="119"/>
        <v>3.251621456449303E-2</v>
      </c>
      <c r="E183" s="3">
        <f t="shared" si="119"/>
        <v>3.2516214564492989E-2</v>
      </c>
      <c r="F183" s="3">
        <f t="shared" si="119"/>
        <v>3.2516214564492565E-2</v>
      </c>
      <c r="G183" s="3">
        <f t="shared" si="119"/>
        <v>3.2516214564488333E-2</v>
      </c>
      <c r="H183" s="3">
        <f t="shared" si="119"/>
        <v>3.2516214564445985E-2</v>
      </c>
      <c r="I183" s="3">
        <f t="shared" si="119"/>
        <v>3.2516214564022532E-2</v>
      </c>
      <c r="J183" s="3">
        <f t="shared" si="119"/>
        <v>3.2516214559787968E-2</v>
      </c>
      <c r="K183" s="3">
        <f t="shared" si="119"/>
        <v>3.2516214517442348E-2</v>
      </c>
      <c r="L183" s="3">
        <f t="shared" si="119"/>
        <v>3.2516214093986189E-2</v>
      </c>
      <c r="M183" s="3">
        <f t="shared" si="119"/>
        <v>3.2516209859424813E-2</v>
      </c>
      <c r="N183" s="3">
        <f t="shared" si="119"/>
        <v>3.2516167513841461E-2</v>
      </c>
      <c r="O183" s="3">
        <f t="shared" si="119"/>
        <v>3.2515744061040984E-2</v>
      </c>
      <c r="P183" s="3">
        <f t="shared" si="119"/>
        <v>3.251150983632501E-2</v>
      </c>
      <c r="Q183" s="3">
        <f t="shared" si="119"/>
        <v>3.2469197903437524E-2</v>
      </c>
      <c r="R183" s="3">
        <f t="shared" si="119"/>
        <v>3.2049095445660147E-2</v>
      </c>
      <c r="S183" s="3">
        <f t="shared" si="119"/>
        <v>2.8135713883202355E-2</v>
      </c>
      <c r="T183" s="3">
        <f t="shared" si="119"/>
        <v>7.6503193278512262E-3</v>
      </c>
      <c r="U183" s="3">
        <f t="shared" si="119"/>
        <v>1.6900354166034422E-8</v>
      </c>
      <c r="V183" s="3">
        <f t="shared" si="119"/>
        <v>4.6779786180159862E-65</v>
      </c>
      <c r="W183" s="3">
        <f t="shared" si="119"/>
        <v>0</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3.2163923063268561E-2</v>
      </c>
      <c r="C184" s="3">
        <f t="shared" si="120"/>
        <v>3.2163923063268561E-2</v>
      </c>
      <c r="D184" s="3">
        <f t="shared" si="120"/>
        <v>3.2163923063268561E-2</v>
      </c>
      <c r="E184" s="3">
        <f t="shared" si="120"/>
        <v>3.2163923063268554E-2</v>
      </c>
      <c r="F184" s="3">
        <f t="shared" si="120"/>
        <v>3.2163923063268519E-2</v>
      </c>
      <c r="G184" s="3">
        <f t="shared" si="120"/>
        <v>3.2163923063268138E-2</v>
      </c>
      <c r="H184" s="3">
        <f t="shared" si="120"/>
        <v>3.2163923063264363E-2</v>
      </c>
      <c r="I184" s="3">
        <f t="shared" si="120"/>
        <v>3.2163923063226581E-2</v>
      </c>
      <c r="J184" s="3">
        <f t="shared" si="120"/>
        <v>3.2163923062848723E-2</v>
      </c>
      <c r="K184" s="3">
        <f t="shared" si="120"/>
        <v>3.2163923059070183E-2</v>
      </c>
      <c r="L184" s="3">
        <f t="shared" si="120"/>
        <v>3.2163923021284777E-2</v>
      </c>
      <c r="M184" s="3">
        <f t="shared" si="120"/>
        <v>3.2163922643430723E-2</v>
      </c>
      <c r="N184" s="3">
        <f t="shared" si="120"/>
        <v>3.2163918864890416E-2</v>
      </c>
      <c r="O184" s="3">
        <f t="shared" si="120"/>
        <v>3.2163881079511757E-2</v>
      </c>
      <c r="P184" s="3">
        <f t="shared" si="120"/>
        <v>3.2163503228166565E-2</v>
      </c>
      <c r="Q184" s="3">
        <f t="shared" si="120"/>
        <v>3.2159724958844525E-2</v>
      </c>
      <c r="R184" s="3">
        <f t="shared" si="120"/>
        <v>3.2121966668000747E-2</v>
      </c>
      <c r="S184" s="3">
        <f t="shared" si="120"/>
        <v>3.1746813423565848E-2</v>
      </c>
      <c r="T184" s="3">
        <f t="shared" si="120"/>
        <v>2.8228010154615169E-2</v>
      </c>
      <c r="U184" s="3">
        <f t="shared" si="120"/>
        <v>8.7192979531281484E-3</v>
      </c>
      <c r="V184" s="3">
        <f t="shared" si="120"/>
        <v>6.8943615310216147E-8</v>
      </c>
      <c r="W184" s="3">
        <f t="shared" si="120"/>
        <v>6.5859647728845167E-59</v>
      </c>
      <c r="X184" s="3">
        <f t="shared" si="120"/>
        <v>0</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3.3900572605001088E-2</v>
      </c>
      <c r="C185" s="3">
        <f t="shared" si="121"/>
        <v>3.3900572605001088E-2</v>
      </c>
      <c r="D185" s="3">
        <f t="shared" si="121"/>
        <v>3.3900572605001088E-2</v>
      </c>
      <c r="E185" s="3">
        <f t="shared" si="121"/>
        <v>3.3900572605001088E-2</v>
      </c>
      <c r="F185" s="3">
        <f t="shared" si="121"/>
        <v>3.3900572605001081E-2</v>
      </c>
      <c r="G185" s="3">
        <f t="shared" si="121"/>
        <v>3.3900572605001046E-2</v>
      </c>
      <c r="H185" s="3">
        <f t="shared" si="121"/>
        <v>3.3900572605000692E-2</v>
      </c>
      <c r="I185" s="3">
        <f t="shared" si="121"/>
        <v>3.3900572604997098E-2</v>
      </c>
      <c r="J185" s="3">
        <f t="shared" si="121"/>
        <v>3.3900572604961168E-2</v>
      </c>
      <c r="K185" s="3">
        <f t="shared" si="121"/>
        <v>3.3900572604601914E-2</v>
      </c>
      <c r="L185" s="3">
        <f t="shared" si="121"/>
        <v>3.3900572601009316E-2</v>
      </c>
      <c r="M185" s="3">
        <f t="shared" si="121"/>
        <v>3.3900572565083324E-2</v>
      </c>
      <c r="N185" s="3">
        <f t="shared" si="121"/>
        <v>3.3900572205823466E-2</v>
      </c>
      <c r="O185" s="3">
        <f t="shared" si="121"/>
        <v>3.390056861322506E-2</v>
      </c>
      <c r="P185" s="3">
        <f t="shared" si="121"/>
        <v>3.3900532687261967E-2</v>
      </c>
      <c r="Q185" s="3">
        <f t="shared" si="121"/>
        <v>3.3900173429724977E-2</v>
      </c>
      <c r="R185" s="3">
        <f t="shared" si="121"/>
        <v>3.3896581063744227E-2</v>
      </c>
      <c r="S185" s="3">
        <f t="shared" si="121"/>
        <v>3.3860678334641986E-2</v>
      </c>
      <c r="T185" s="3">
        <f t="shared" si="121"/>
        <v>3.3503735930302918E-2</v>
      </c>
      <c r="U185" s="3">
        <f t="shared" si="121"/>
        <v>3.0134852189718626E-2</v>
      </c>
      <c r="V185" s="3">
        <f t="shared" si="121"/>
        <v>1.0443049866907493E-2</v>
      </c>
      <c r="W185" s="3">
        <f t="shared" si="121"/>
        <v>2.6086163616522053E-7</v>
      </c>
      <c r="X185" s="3">
        <f t="shared" si="121"/>
        <v>2.4673958779032481E-53</v>
      </c>
      <c r="Y185" s="3">
        <f t="shared" si="121"/>
        <v>0</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4.6234934193755559E-2</v>
      </c>
      <c r="C186" s="3">
        <f t="shared" si="122"/>
        <v>4.6234934193755559E-2</v>
      </c>
      <c r="D186" s="3">
        <f t="shared" si="122"/>
        <v>4.6234934193755559E-2</v>
      </c>
      <c r="E186" s="3">
        <f t="shared" si="122"/>
        <v>4.6234934193755559E-2</v>
      </c>
      <c r="F186" s="3">
        <f t="shared" si="122"/>
        <v>4.6234934193755559E-2</v>
      </c>
      <c r="G186" s="3">
        <f t="shared" si="122"/>
        <v>4.6234934193755552E-2</v>
      </c>
      <c r="H186" s="3">
        <f t="shared" si="122"/>
        <v>4.623493419375551E-2</v>
      </c>
      <c r="I186" s="3">
        <f t="shared" si="122"/>
        <v>4.6234934193755066E-2</v>
      </c>
      <c r="J186" s="3">
        <f t="shared" si="122"/>
        <v>4.6234934193750646E-2</v>
      </c>
      <c r="K186" s="3">
        <f t="shared" si="122"/>
        <v>4.6234934193706452E-2</v>
      </c>
      <c r="L186" s="3">
        <f t="shared" si="122"/>
        <v>4.6234934193264451E-2</v>
      </c>
      <c r="M186" s="3">
        <f t="shared" si="122"/>
        <v>4.6234934188844494E-2</v>
      </c>
      <c r="N186" s="3">
        <f t="shared" si="122"/>
        <v>4.6234934144644871E-2</v>
      </c>
      <c r="O186" s="3">
        <f t="shared" si="122"/>
        <v>4.6234933702648709E-2</v>
      </c>
      <c r="P186" s="3">
        <f t="shared" si="122"/>
        <v>4.6234929282687312E-2</v>
      </c>
      <c r="Q186" s="3">
        <f t="shared" si="122"/>
        <v>4.6234885083096589E-2</v>
      </c>
      <c r="R186" s="3">
        <f t="shared" si="122"/>
        <v>4.6234443089513293E-2</v>
      </c>
      <c r="S186" s="3">
        <f t="shared" si="122"/>
        <v>4.6230023386067604E-2</v>
      </c>
      <c r="T186" s="3">
        <f t="shared" si="122"/>
        <v>4.6185849582122483E-2</v>
      </c>
      <c r="U186" s="3">
        <f t="shared" si="122"/>
        <v>4.5746426397904619E-2</v>
      </c>
      <c r="V186" s="3">
        <f t="shared" si="122"/>
        <v>4.1575697337179231E-2</v>
      </c>
      <c r="W186" s="3">
        <f t="shared" si="122"/>
        <v>1.5983181381903151E-2</v>
      </c>
      <c r="X186" s="3">
        <f t="shared" si="122"/>
        <v>1.1269381607823358E-6</v>
      </c>
      <c r="Y186" s="3">
        <f t="shared" si="122"/>
        <v>3.4219106012213539E-48</v>
      </c>
      <c r="Z186" s="3">
        <f t="shared" si="122"/>
        <v>0</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5.6671396993887152E-2</v>
      </c>
      <c r="C187" s="3">
        <f t="shared" si="123"/>
        <v>5.6671396993887152E-2</v>
      </c>
      <c r="D187" s="3">
        <f t="shared" si="123"/>
        <v>5.6671396993887152E-2</v>
      </c>
      <c r="E187" s="3">
        <f t="shared" si="123"/>
        <v>5.6671396993887152E-2</v>
      </c>
      <c r="F187" s="3">
        <f t="shared" si="123"/>
        <v>5.6671396993887152E-2</v>
      </c>
      <c r="G187" s="3">
        <f t="shared" si="123"/>
        <v>5.6671396993887152E-2</v>
      </c>
      <c r="H187" s="3">
        <f t="shared" si="123"/>
        <v>5.6671396993887145E-2</v>
      </c>
      <c r="I187" s="3">
        <f t="shared" si="123"/>
        <v>5.6671396993887097E-2</v>
      </c>
      <c r="J187" s="3">
        <f t="shared" si="123"/>
        <v>5.6671396993886611E-2</v>
      </c>
      <c r="K187" s="3">
        <f t="shared" si="123"/>
        <v>5.6671396993881719E-2</v>
      </c>
      <c r="L187" s="3">
        <f t="shared" si="123"/>
        <v>5.6671396993832848E-2</v>
      </c>
      <c r="M187" s="3">
        <f t="shared" si="123"/>
        <v>5.6671396993344135E-2</v>
      </c>
      <c r="N187" s="3">
        <f t="shared" si="123"/>
        <v>5.6671396988456947E-2</v>
      </c>
      <c r="O187" s="3">
        <f t="shared" si="123"/>
        <v>5.6671396939585103E-2</v>
      </c>
      <c r="P187" s="3">
        <f t="shared" si="123"/>
        <v>5.6671396450866614E-2</v>
      </c>
      <c r="Q187" s="3">
        <f t="shared" si="123"/>
        <v>5.6671391563682012E-2</v>
      </c>
      <c r="R187" s="3">
        <f t="shared" si="123"/>
        <v>5.6671342691859111E-2</v>
      </c>
      <c r="S187" s="3">
        <f t="shared" si="123"/>
        <v>5.6670853975948121E-2</v>
      </c>
      <c r="T187" s="3">
        <f t="shared" si="123"/>
        <v>5.6665967048631548E-2</v>
      </c>
      <c r="U187" s="3">
        <f t="shared" si="123"/>
        <v>5.661712094740317E-2</v>
      </c>
      <c r="V187" s="3">
        <f t="shared" si="123"/>
        <v>5.6130969752223064E-2</v>
      </c>
      <c r="W187" s="3">
        <f t="shared" si="123"/>
        <v>5.1493236331175439E-2</v>
      </c>
      <c r="X187" s="3">
        <f t="shared" si="123"/>
        <v>2.1738351815107339E-2</v>
      </c>
      <c r="Y187" s="3">
        <f t="shared" si="123"/>
        <v>3.9083267494983508E-6</v>
      </c>
      <c r="Z187" s="3">
        <f t="shared" si="123"/>
        <v>1.3792194863853702E-43</v>
      </c>
      <c r="AA187" s="3">
        <f t="shared" si="123"/>
        <v>0</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5.870573738309863E-2</v>
      </c>
      <c r="C188" s="3">
        <f t="shared" si="124"/>
        <v>5.870573738309863E-2</v>
      </c>
      <c r="D188" s="3">
        <f t="shared" si="124"/>
        <v>5.870573738309863E-2</v>
      </c>
      <c r="E188" s="3">
        <f t="shared" si="124"/>
        <v>5.870573738309863E-2</v>
      </c>
      <c r="F188" s="3">
        <f t="shared" si="124"/>
        <v>5.870573738309863E-2</v>
      </c>
      <c r="G188" s="3">
        <f t="shared" si="124"/>
        <v>5.870573738309863E-2</v>
      </c>
      <c r="H188" s="3">
        <f t="shared" si="124"/>
        <v>5.870573738309863E-2</v>
      </c>
      <c r="I188" s="3">
        <f t="shared" si="124"/>
        <v>5.8705737383098623E-2</v>
      </c>
      <c r="J188" s="3">
        <f t="shared" si="124"/>
        <v>5.8705737383098575E-2</v>
      </c>
      <c r="K188" s="3">
        <f t="shared" si="124"/>
        <v>5.8705737383098124E-2</v>
      </c>
      <c r="L188" s="3">
        <f t="shared" si="124"/>
        <v>5.8705737383093551E-2</v>
      </c>
      <c r="M188" s="3">
        <f t="shared" si="124"/>
        <v>5.8705737383047886E-2</v>
      </c>
      <c r="N188" s="3">
        <f t="shared" si="124"/>
        <v>5.8705737382591196E-2</v>
      </c>
      <c r="O188" s="3">
        <f t="shared" si="124"/>
        <v>5.8705737378024293E-2</v>
      </c>
      <c r="P188" s="3">
        <f t="shared" si="124"/>
        <v>5.8705737332355241E-2</v>
      </c>
      <c r="Q188" s="3">
        <f t="shared" si="124"/>
        <v>5.870573687566473E-2</v>
      </c>
      <c r="R188" s="3">
        <f t="shared" si="124"/>
        <v>5.8705732308759848E-2</v>
      </c>
      <c r="S188" s="3">
        <f t="shared" si="124"/>
        <v>5.8705686639730553E-2</v>
      </c>
      <c r="T188" s="3">
        <f t="shared" si="124"/>
        <v>5.870522995139163E-2</v>
      </c>
      <c r="U188" s="3">
        <f t="shared" si="124"/>
        <v>5.8700663263396818E-2</v>
      </c>
      <c r="V188" s="3">
        <f t="shared" si="124"/>
        <v>5.8655015917270875E-2</v>
      </c>
      <c r="W188" s="3">
        <f t="shared" si="124"/>
        <v>5.820049022739824E-2</v>
      </c>
      <c r="X188" s="3">
        <f t="shared" si="124"/>
        <v>5.3844518860236459E-2</v>
      </c>
      <c r="Y188" s="3">
        <f t="shared" si="124"/>
        <v>2.4733756376564255E-2</v>
      </c>
      <c r="Z188" s="3">
        <f t="shared" si="124"/>
        <v>1.0346080671114907E-5</v>
      </c>
      <c r="AA188" s="3">
        <f t="shared" si="124"/>
        <v>1.6968118046986209E-39</v>
      </c>
      <c r="AB188" s="3">
        <f t="shared" si="124"/>
        <v>0</v>
      </c>
      <c r="AC188" s="3">
        <f t="shared" si="124"/>
        <v>0</v>
      </c>
      <c r="AD188" s="3">
        <f t="shared" si="124"/>
        <v>0</v>
      </c>
      <c r="AE188" s="3">
        <f t="shared" si="124"/>
        <v>0</v>
      </c>
      <c r="AF188" s="3">
        <f t="shared" si="124"/>
        <v>0</v>
      </c>
      <c r="AG188" s="3"/>
      <c r="AH188" s="3"/>
    </row>
    <row r="189" spans="2:34" x14ac:dyDescent="0.25">
      <c r="B189" s="3">
        <f t="shared" ref="B189:AF189" si="125">$C36*EXP(-B$168/$A36/EXP(-$C$126))</f>
        <v>5.620235606497212E-2</v>
      </c>
      <c r="C189" s="3">
        <f t="shared" si="125"/>
        <v>5.620235606497212E-2</v>
      </c>
      <c r="D189" s="3">
        <f t="shared" si="125"/>
        <v>5.620235606497212E-2</v>
      </c>
      <c r="E189" s="3">
        <f t="shared" si="125"/>
        <v>5.620235606497212E-2</v>
      </c>
      <c r="F189" s="3">
        <f t="shared" si="125"/>
        <v>5.620235606497212E-2</v>
      </c>
      <c r="G189" s="3">
        <f t="shared" si="125"/>
        <v>5.620235606497212E-2</v>
      </c>
      <c r="H189" s="3">
        <f t="shared" si="125"/>
        <v>5.620235606497212E-2</v>
      </c>
      <c r="I189" s="3">
        <f t="shared" si="125"/>
        <v>5.620235606497212E-2</v>
      </c>
      <c r="J189" s="3">
        <f t="shared" si="125"/>
        <v>5.6202356064972113E-2</v>
      </c>
      <c r="K189" s="3">
        <f t="shared" si="125"/>
        <v>5.6202356064972078E-2</v>
      </c>
      <c r="L189" s="3">
        <f t="shared" si="125"/>
        <v>5.6202356064971683E-2</v>
      </c>
      <c r="M189" s="3">
        <f t="shared" si="125"/>
        <v>5.6202356064967741E-2</v>
      </c>
      <c r="N189" s="3">
        <f t="shared" si="125"/>
        <v>5.6202356064928301E-2</v>
      </c>
      <c r="O189" s="3">
        <f t="shared" si="125"/>
        <v>5.6202356064533894E-2</v>
      </c>
      <c r="P189" s="3">
        <f t="shared" si="125"/>
        <v>5.6202356060589841E-2</v>
      </c>
      <c r="Q189" s="3">
        <f t="shared" si="125"/>
        <v>5.6202356021149327E-2</v>
      </c>
      <c r="R189" s="3">
        <f t="shared" si="125"/>
        <v>5.6202355626744201E-2</v>
      </c>
      <c r="S189" s="3">
        <f t="shared" si="125"/>
        <v>5.6202351682693094E-2</v>
      </c>
      <c r="T189" s="3">
        <f t="shared" si="125"/>
        <v>5.6202312242197232E-2</v>
      </c>
      <c r="U189" s="3">
        <f t="shared" si="125"/>
        <v>5.6201917838760898E-2</v>
      </c>
      <c r="V189" s="3">
        <f t="shared" si="125"/>
        <v>5.6197973956620746E-2</v>
      </c>
      <c r="W189" s="3">
        <f t="shared" si="125"/>
        <v>5.615855035358381E-2</v>
      </c>
      <c r="X189" s="3">
        <f t="shared" si="125"/>
        <v>5.5765832215620759E-2</v>
      </c>
      <c r="Y189" s="3">
        <f t="shared" si="125"/>
        <v>5.1986571745849759E-2</v>
      </c>
      <c r="Z189" s="3">
        <f t="shared" si="125"/>
        <v>2.5770395859369469E-2</v>
      </c>
      <c r="AA189" s="3">
        <f t="shared" si="125"/>
        <v>2.3089801509869365E-5</v>
      </c>
      <c r="AB189" s="3">
        <f t="shared" si="125"/>
        <v>7.698591874024102E-36</v>
      </c>
      <c r="AC189" s="3">
        <f t="shared" si="125"/>
        <v>0</v>
      </c>
      <c r="AD189" s="3">
        <f t="shared" si="125"/>
        <v>0</v>
      </c>
      <c r="AE189" s="3">
        <f t="shared" si="125"/>
        <v>0</v>
      </c>
      <c r="AF189" s="3">
        <f t="shared" si="125"/>
        <v>0</v>
      </c>
      <c r="AG189" s="3"/>
      <c r="AH189" s="3"/>
    </row>
    <row r="190" spans="2:34" x14ac:dyDescent="0.25">
      <c r="B190" s="3">
        <f t="shared" ref="B190:AF190" si="126">$C37*EXP(-B$168/$A37/EXP(-$C$126))</f>
        <v>6.3415296184233166E-2</v>
      </c>
      <c r="C190" s="3">
        <f t="shared" si="126"/>
        <v>6.3415296184233166E-2</v>
      </c>
      <c r="D190" s="3">
        <f t="shared" si="126"/>
        <v>6.3415296184233166E-2</v>
      </c>
      <c r="E190" s="3">
        <f t="shared" si="126"/>
        <v>6.3415296184233166E-2</v>
      </c>
      <c r="F190" s="3">
        <f t="shared" si="126"/>
        <v>6.3415296184233166E-2</v>
      </c>
      <c r="G190" s="3">
        <f t="shared" si="126"/>
        <v>6.3415296184233166E-2</v>
      </c>
      <c r="H190" s="3">
        <f t="shared" si="126"/>
        <v>6.3415296184233166E-2</v>
      </c>
      <c r="I190" s="3">
        <f t="shared" si="126"/>
        <v>6.3415296184233166E-2</v>
      </c>
      <c r="J190" s="3">
        <f t="shared" si="126"/>
        <v>6.3415296184233166E-2</v>
      </c>
      <c r="K190" s="3">
        <f t="shared" si="126"/>
        <v>6.3415296184233153E-2</v>
      </c>
      <c r="L190" s="3">
        <f t="shared" si="126"/>
        <v>6.3415296184233125E-2</v>
      </c>
      <c r="M190" s="3">
        <f t="shared" si="126"/>
        <v>6.3415296184232722E-2</v>
      </c>
      <c r="N190" s="3">
        <f t="shared" si="126"/>
        <v>6.3415296184228698E-2</v>
      </c>
      <c r="O190" s="3">
        <f t="shared" si="126"/>
        <v>6.3415296184188563E-2</v>
      </c>
      <c r="P190" s="3">
        <f t="shared" si="126"/>
        <v>6.341529618378712E-2</v>
      </c>
      <c r="Q190" s="3">
        <f t="shared" si="126"/>
        <v>6.3415296179772637E-2</v>
      </c>
      <c r="R190" s="3">
        <f t="shared" si="126"/>
        <v>6.3415296139627902E-2</v>
      </c>
      <c r="S190" s="3">
        <f t="shared" si="126"/>
        <v>6.3415295738180499E-2</v>
      </c>
      <c r="T190" s="3">
        <f t="shared" si="126"/>
        <v>6.3415291723706677E-2</v>
      </c>
      <c r="U190" s="3">
        <f t="shared" si="126"/>
        <v>6.3415251578982479E-2</v>
      </c>
      <c r="V190" s="3">
        <f t="shared" si="126"/>
        <v>6.3414850133138106E-2</v>
      </c>
      <c r="W190" s="3">
        <f t="shared" si="126"/>
        <v>6.3410835814464647E-2</v>
      </c>
      <c r="X190" s="3">
        <f t="shared" si="126"/>
        <v>6.337070660147899E-2</v>
      </c>
      <c r="Y190" s="3">
        <f t="shared" si="126"/>
        <v>6.2970808579029841E-2</v>
      </c>
      <c r="Z190" s="3">
        <f t="shared" si="126"/>
        <v>5.9108028280412651E-2</v>
      </c>
      <c r="AA190" s="3">
        <f t="shared" si="126"/>
        <v>3.1384737291821445E-2</v>
      </c>
      <c r="AB190" s="3">
        <f t="shared" si="126"/>
        <v>5.5903468000615912E-5</v>
      </c>
      <c r="AC190" s="3">
        <f t="shared" si="126"/>
        <v>1.7973856803316964E-32</v>
      </c>
      <c r="AD190" s="3">
        <f t="shared" si="126"/>
        <v>2.121614852333546E-307</v>
      </c>
      <c r="AE190" s="3">
        <f t="shared" si="126"/>
        <v>0</v>
      </c>
      <c r="AF190" s="3">
        <f t="shared" si="126"/>
        <v>0</v>
      </c>
      <c r="AG190" s="3"/>
      <c r="AH190" s="3"/>
    </row>
    <row r="191" spans="2:34" x14ac:dyDescent="0.25">
      <c r="B191" s="3">
        <f t="shared" ref="B191:AF191" si="127">$C38*EXP(-B$168/$A38/EXP(-$C$126))</f>
        <v>3.5348869965799563E-2</v>
      </c>
      <c r="C191" s="3">
        <f t="shared" si="127"/>
        <v>3.5348869965799563E-2</v>
      </c>
      <c r="D191" s="3">
        <f t="shared" si="127"/>
        <v>3.5348869965799563E-2</v>
      </c>
      <c r="E191" s="3">
        <f t="shared" si="127"/>
        <v>3.5348869965799563E-2</v>
      </c>
      <c r="F191" s="3">
        <f t="shared" si="127"/>
        <v>3.5348869965799563E-2</v>
      </c>
      <c r="G191" s="3">
        <f t="shared" si="127"/>
        <v>3.5348869965799563E-2</v>
      </c>
      <c r="H191" s="3">
        <f t="shared" si="127"/>
        <v>3.5348869965799563E-2</v>
      </c>
      <c r="I191" s="3">
        <f t="shared" si="127"/>
        <v>3.5348869965799563E-2</v>
      </c>
      <c r="J191" s="3">
        <f t="shared" si="127"/>
        <v>3.5348869965799563E-2</v>
      </c>
      <c r="K191" s="3">
        <f t="shared" si="127"/>
        <v>3.5348869965799563E-2</v>
      </c>
      <c r="L191" s="3">
        <f t="shared" si="127"/>
        <v>3.5348869965799556E-2</v>
      </c>
      <c r="M191" s="3">
        <f t="shared" si="127"/>
        <v>3.5348869965799543E-2</v>
      </c>
      <c r="N191" s="3">
        <f t="shared" si="127"/>
        <v>3.5348869965799341E-2</v>
      </c>
      <c r="O191" s="3">
        <f t="shared" si="127"/>
        <v>3.5348869965797315E-2</v>
      </c>
      <c r="P191" s="3">
        <f t="shared" si="127"/>
        <v>3.5348869965777137E-2</v>
      </c>
      <c r="Q191" s="3">
        <f t="shared" si="127"/>
        <v>3.5348869965575271E-2</v>
      </c>
      <c r="R191" s="3">
        <f t="shared" si="127"/>
        <v>3.5348869963556642E-2</v>
      </c>
      <c r="S191" s="3">
        <f t="shared" si="127"/>
        <v>3.5348869943370338E-2</v>
      </c>
      <c r="T191" s="3">
        <f t="shared" si="127"/>
        <v>3.5348869741507333E-2</v>
      </c>
      <c r="U191" s="3">
        <f t="shared" si="127"/>
        <v>3.5348867722877292E-2</v>
      </c>
      <c r="V191" s="3">
        <f t="shared" si="127"/>
        <v>3.5348847536583218E-2</v>
      </c>
      <c r="W191" s="3">
        <f t="shared" si="127"/>
        <v>3.5348645674276515E-2</v>
      </c>
      <c r="X191" s="3">
        <f t="shared" si="127"/>
        <v>3.5346627114609709E-2</v>
      </c>
      <c r="Y191" s="3">
        <f t="shared" si="127"/>
        <v>3.5326447856619633E-2</v>
      </c>
      <c r="Z191" s="3">
        <f t="shared" si="127"/>
        <v>3.5125287807256989E-2</v>
      </c>
      <c r="AA191" s="3">
        <f t="shared" si="127"/>
        <v>3.3175624050864175E-2</v>
      </c>
      <c r="AB191" s="3">
        <f t="shared" si="127"/>
        <v>1.8741795548277308E-2</v>
      </c>
      <c r="AC191" s="3">
        <f t="shared" si="127"/>
        <v>6.2048622691219252E-5</v>
      </c>
      <c r="AD191" s="3">
        <f t="shared" si="127"/>
        <v>9.8161603632100815E-30</v>
      </c>
      <c r="AE191" s="3">
        <f t="shared" si="127"/>
        <v>9.6391032807979644E-278</v>
      </c>
      <c r="AF191" s="3">
        <f t="shared" si="127"/>
        <v>0</v>
      </c>
      <c r="AG191" s="3"/>
      <c r="AH191" s="3"/>
    </row>
    <row r="192" spans="2:34" x14ac:dyDescent="0.25">
      <c r="B192" s="3">
        <f t="shared" ref="B192:AF192" si="128">$C39*EXP(-B$168/$A39/EXP(-$C$126))</f>
        <v>7.0460456800535406E-2</v>
      </c>
      <c r="C192" s="3">
        <f t="shared" si="128"/>
        <v>7.0460456800535406E-2</v>
      </c>
      <c r="D192" s="3">
        <f t="shared" si="128"/>
        <v>7.0460456800535406E-2</v>
      </c>
      <c r="E192" s="3">
        <f t="shared" si="128"/>
        <v>7.0460456800535406E-2</v>
      </c>
      <c r="F192" s="3">
        <f t="shared" si="128"/>
        <v>7.0460456800535406E-2</v>
      </c>
      <c r="G192" s="3">
        <f t="shared" si="128"/>
        <v>7.0460456800535406E-2</v>
      </c>
      <c r="H192" s="3">
        <f t="shared" si="128"/>
        <v>7.0460456800535406E-2</v>
      </c>
      <c r="I192" s="3">
        <f t="shared" si="128"/>
        <v>7.0460456800535406E-2</v>
      </c>
      <c r="J192" s="3">
        <f t="shared" si="128"/>
        <v>7.0460456800535406E-2</v>
      </c>
      <c r="K192" s="3">
        <f t="shared" si="128"/>
        <v>7.0460456800535406E-2</v>
      </c>
      <c r="L192" s="3">
        <f t="shared" si="128"/>
        <v>7.0460456800535406E-2</v>
      </c>
      <c r="M192" s="3">
        <f t="shared" si="128"/>
        <v>7.0460456800535393E-2</v>
      </c>
      <c r="N192" s="3">
        <f t="shared" si="128"/>
        <v>7.0460456800535282E-2</v>
      </c>
      <c r="O192" s="3">
        <f t="shared" si="128"/>
        <v>7.0460456800534171E-2</v>
      </c>
      <c r="P192" s="3">
        <f t="shared" si="128"/>
        <v>7.0460456800523041E-2</v>
      </c>
      <c r="Q192" s="3">
        <f t="shared" si="128"/>
        <v>7.0460456800411755E-2</v>
      </c>
      <c r="R192" s="3">
        <f t="shared" si="128"/>
        <v>7.0460456799298896E-2</v>
      </c>
      <c r="S192" s="3">
        <f t="shared" si="128"/>
        <v>7.0460456788170325E-2</v>
      </c>
      <c r="T192" s="3">
        <f t="shared" si="128"/>
        <v>7.0460456676884581E-2</v>
      </c>
      <c r="U192" s="3">
        <f t="shared" si="128"/>
        <v>7.0460455564027163E-2</v>
      </c>
      <c r="V192" s="3">
        <f t="shared" si="128"/>
        <v>7.0460444435453976E-2</v>
      </c>
      <c r="W192" s="3">
        <f t="shared" si="128"/>
        <v>7.0460333149818657E-2</v>
      </c>
      <c r="X192" s="3">
        <f t="shared" si="128"/>
        <v>7.045922030313255E-2</v>
      </c>
      <c r="Y192" s="3">
        <f t="shared" si="128"/>
        <v>7.0448092802918874E-2</v>
      </c>
      <c r="Z192" s="3">
        <f t="shared" si="128"/>
        <v>7.0336914409058454E-2</v>
      </c>
      <c r="AA192" s="3">
        <f t="shared" si="128"/>
        <v>6.92347350797963E-2</v>
      </c>
      <c r="AB192" s="3">
        <f t="shared" si="128"/>
        <v>5.9119568800652472E-2</v>
      </c>
      <c r="AC192" s="3">
        <f t="shared" si="128"/>
        <v>1.2184381488894641E-2</v>
      </c>
      <c r="AD192" s="3">
        <f t="shared" si="128"/>
        <v>1.6847124751350019E-9</v>
      </c>
      <c r="AE192" s="3">
        <f t="shared" si="128"/>
        <v>4.3027768968593788E-78</v>
      </c>
      <c r="AF192" s="3">
        <f t="shared" si="128"/>
        <v>0</v>
      </c>
      <c r="AG192" s="3"/>
      <c r="AH192" s="3"/>
    </row>
    <row r="193" spans="1:34" x14ac:dyDescent="0.25">
      <c r="B193" s="3">
        <f t="shared" ref="B193:AF193" si="129">$C40*EXP(-B$168/$A40/EXP(-$C$126))</f>
        <v>8.6875447409324694E-2</v>
      </c>
      <c r="C193" s="3">
        <f t="shared" si="129"/>
        <v>8.6875447409324694E-2</v>
      </c>
      <c r="D193" s="3">
        <f t="shared" si="129"/>
        <v>8.6875447409324694E-2</v>
      </c>
      <c r="E193" s="3">
        <f t="shared" si="129"/>
        <v>8.6875447409324694E-2</v>
      </c>
      <c r="F193" s="3">
        <f t="shared" si="129"/>
        <v>8.6875447409324694E-2</v>
      </c>
      <c r="G193" s="3">
        <f t="shared" si="129"/>
        <v>8.6875447409324694E-2</v>
      </c>
      <c r="H193" s="3">
        <f t="shared" si="129"/>
        <v>8.6875447409324694E-2</v>
      </c>
      <c r="I193" s="3">
        <f t="shared" si="129"/>
        <v>8.6875447409324694E-2</v>
      </c>
      <c r="J193" s="3">
        <f t="shared" si="129"/>
        <v>8.6875447409324694E-2</v>
      </c>
      <c r="K193" s="3">
        <f t="shared" si="129"/>
        <v>8.6875447409324694E-2</v>
      </c>
      <c r="L193" s="3">
        <f t="shared" si="129"/>
        <v>8.6875447409324694E-2</v>
      </c>
      <c r="M193" s="3">
        <f t="shared" si="129"/>
        <v>8.6875447409324694E-2</v>
      </c>
      <c r="N193" s="3">
        <f t="shared" si="129"/>
        <v>8.687544740932468E-2</v>
      </c>
      <c r="O193" s="3">
        <f t="shared" si="129"/>
        <v>8.6875447409324541E-2</v>
      </c>
      <c r="P193" s="3">
        <f t="shared" si="129"/>
        <v>8.6875447409323167E-2</v>
      </c>
      <c r="Q193" s="3">
        <f t="shared" si="129"/>
        <v>8.6875447409309442E-2</v>
      </c>
      <c r="R193" s="3">
        <f t="shared" si="129"/>
        <v>8.6875447409172232E-2</v>
      </c>
      <c r="S193" s="3">
        <f t="shared" si="129"/>
        <v>8.6875447407800122E-2</v>
      </c>
      <c r="T193" s="3">
        <f t="shared" si="129"/>
        <v>8.6875447394078958E-2</v>
      </c>
      <c r="U193" s="3">
        <f t="shared" si="129"/>
        <v>8.6875447256867244E-2</v>
      </c>
      <c r="V193" s="3">
        <f t="shared" si="129"/>
        <v>8.6875445884750324E-2</v>
      </c>
      <c r="W193" s="3">
        <f t="shared" si="129"/>
        <v>8.6875432163582178E-2</v>
      </c>
      <c r="X193" s="3">
        <f t="shared" si="129"/>
        <v>8.6875294952019871E-2</v>
      </c>
      <c r="Y193" s="3">
        <f t="shared" si="129"/>
        <v>8.6873922848315979E-2</v>
      </c>
      <c r="Z193" s="3">
        <f t="shared" si="129"/>
        <v>8.6860203003121875E-2</v>
      </c>
      <c r="AA193" s="3">
        <f t="shared" si="129"/>
        <v>8.6723123666037571E-2</v>
      </c>
      <c r="AB193" s="3">
        <f t="shared" si="129"/>
        <v>8.5364172465564631E-2</v>
      </c>
      <c r="AC193" s="3">
        <f t="shared" si="129"/>
        <v>7.2892502027662273E-2</v>
      </c>
      <c r="AD193" s="3">
        <f t="shared" si="129"/>
        <v>1.5022945369913814E-2</v>
      </c>
      <c r="AE193" s="3">
        <f t="shared" si="129"/>
        <v>2.0771955885519031E-9</v>
      </c>
      <c r="AF193" s="3">
        <f t="shared" si="129"/>
        <v>5.3051837156741771E-78</v>
      </c>
      <c r="AG193" s="3"/>
      <c r="AH193" s="3"/>
    </row>
    <row r="194" spans="1:34" x14ac:dyDescent="0.25">
      <c r="B194" s="3">
        <f t="shared" ref="B194:AF194" si="130">$C41*EXP(-B$168/$A41/EXP(-$C$126))</f>
        <v>9.6215979999175721E-2</v>
      </c>
      <c r="C194" s="3">
        <f t="shared" si="130"/>
        <v>9.6215979999175721E-2</v>
      </c>
      <c r="D194" s="3">
        <f t="shared" si="130"/>
        <v>9.6215979999175721E-2</v>
      </c>
      <c r="E194" s="3">
        <f t="shared" si="130"/>
        <v>9.6215979999175721E-2</v>
      </c>
      <c r="F194" s="3">
        <f t="shared" si="130"/>
        <v>9.6215979999175721E-2</v>
      </c>
      <c r="G194" s="3">
        <f t="shared" si="130"/>
        <v>9.6215979999175721E-2</v>
      </c>
      <c r="H194" s="3">
        <f t="shared" si="130"/>
        <v>9.6215979999175721E-2</v>
      </c>
      <c r="I194" s="3">
        <f t="shared" si="130"/>
        <v>9.6215979999175721E-2</v>
      </c>
      <c r="J194" s="3">
        <f t="shared" si="130"/>
        <v>9.6215979999175721E-2</v>
      </c>
      <c r="K194" s="3">
        <f t="shared" si="130"/>
        <v>9.6215979999175721E-2</v>
      </c>
      <c r="L194" s="3">
        <f t="shared" si="130"/>
        <v>9.6215979999175721E-2</v>
      </c>
      <c r="M194" s="3">
        <f t="shared" si="130"/>
        <v>9.6215979999175721E-2</v>
      </c>
      <c r="N194" s="3">
        <f t="shared" si="130"/>
        <v>9.6215979999175721E-2</v>
      </c>
      <c r="O194" s="3">
        <f t="shared" si="130"/>
        <v>9.6215979999175694E-2</v>
      </c>
      <c r="P194" s="3">
        <f t="shared" si="130"/>
        <v>9.6215979999175555E-2</v>
      </c>
      <c r="Q194" s="3">
        <f t="shared" si="130"/>
        <v>9.6215979999174028E-2</v>
      </c>
      <c r="R194" s="3">
        <f t="shared" si="130"/>
        <v>9.6215979999158832E-2</v>
      </c>
      <c r="S194" s="3">
        <f t="shared" si="130"/>
        <v>9.621597999900687E-2</v>
      </c>
      <c r="T194" s="3">
        <f t="shared" si="130"/>
        <v>9.6215979997487225E-2</v>
      </c>
      <c r="U194" s="3">
        <f t="shared" si="130"/>
        <v>9.6215979982290811E-2</v>
      </c>
      <c r="V194" s="3">
        <f t="shared" si="130"/>
        <v>9.6215979830326606E-2</v>
      </c>
      <c r="W194" s="3">
        <f t="shared" si="130"/>
        <v>9.6215978310684652E-2</v>
      </c>
      <c r="X194" s="3">
        <f t="shared" si="130"/>
        <v>9.6215963114266334E-2</v>
      </c>
      <c r="Y194" s="3">
        <f t="shared" si="130"/>
        <v>9.6215811150215186E-2</v>
      </c>
      <c r="Z194" s="3">
        <f t="shared" si="130"/>
        <v>9.6214291522904283E-2</v>
      </c>
      <c r="AA194" s="3">
        <f t="shared" si="130"/>
        <v>9.6199096569782844E-2</v>
      </c>
      <c r="AB194" s="3">
        <f t="shared" si="130"/>
        <v>9.6047278960222096E-2</v>
      </c>
      <c r="AC194" s="3">
        <f t="shared" si="130"/>
        <v>9.4542218262134395E-2</v>
      </c>
      <c r="AD194" s="3">
        <f t="shared" si="130"/>
        <v>8.0729639113555227E-2</v>
      </c>
      <c r="AE194" s="3">
        <f t="shared" si="130"/>
        <v>1.6638157895520561E-2</v>
      </c>
      <c r="AF194" s="3">
        <f t="shared" si="130"/>
        <v>2.3005281142417948E-9</v>
      </c>
      <c r="AG194" s="3"/>
      <c r="AH194" s="3"/>
    </row>
    <row r="195" spans="1:34" x14ac:dyDescent="0.25">
      <c r="B195" s="3">
        <f t="shared" ref="B195:AF195" si="131">$C42*EXP(-B$168/$A42/EXP(-$C$126))</f>
        <v>0.11161416834614406</v>
      </c>
      <c r="C195" s="3">
        <f t="shared" si="131"/>
        <v>0.11161416834614406</v>
      </c>
      <c r="D195" s="3">
        <f t="shared" si="131"/>
        <v>0.11161416834614406</v>
      </c>
      <c r="E195" s="3">
        <f t="shared" si="131"/>
        <v>0.11161416834614406</v>
      </c>
      <c r="F195" s="3">
        <f t="shared" si="131"/>
        <v>0.11161416834614406</v>
      </c>
      <c r="G195" s="3">
        <f t="shared" si="131"/>
        <v>0.11161416834614406</v>
      </c>
      <c r="H195" s="3">
        <f t="shared" si="131"/>
        <v>0.11161416834614406</v>
      </c>
      <c r="I195" s="3">
        <f t="shared" si="131"/>
        <v>0.11161416834614406</v>
      </c>
      <c r="J195" s="3">
        <f t="shared" si="131"/>
        <v>0.11161416834614406</v>
      </c>
      <c r="K195" s="3">
        <f t="shared" si="131"/>
        <v>0.11161416834614406</v>
      </c>
      <c r="L195" s="3">
        <f t="shared" si="131"/>
        <v>0.11161416834614406</v>
      </c>
      <c r="M195" s="3">
        <f t="shared" si="131"/>
        <v>0.11161416834614406</v>
      </c>
      <c r="N195" s="3">
        <f t="shared" si="131"/>
        <v>0.11161416834614406</v>
      </c>
      <c r="O195" s="3">
        <f t="shared" si="131"/>
        <v>0.11161416834614406</v>
      </c>
      <c r="P195" s="3">
        <f t="shared" si="131"/>
        <v>0.11161416834614403</v>
      </c>
      <c r="Q195" s="3">
        <f t="shared" si="131"/>
        <v>0.11161416834614386</v>
      </c>
      <c r="R195" s="3">
        <f t="shared" si="131"/>
        <v>0.1116141683461421</v>
      </c>
      <c r="S195" s="3">
        <f t="shared" si="131"/>
        <v>0.11161416834612446</v>
      </c>
      <c r="T195" s="3">
        <f t="shared" si="131"/>
        <v>0.11161416834594819</v>
      </c>
      <c r="U195" s="3">
        <f t="shared" si="131"/>
        <v>0.11161416834418535</v>
      </c>
      <c r="V195" s="3">
        <f t="shared" si="131"/>
        <v>0.11161416832655693</v>
      </c>
      <c r="W195" s="3">
        <f t="shared" si="131"/>
        <v>0.11161416815027271</v>
      </c>
      <c r="X195" s="3">
        <f t="shared" si="131"/>
        <v>0.11161416638743069</v>
      </c>
      <c r="Y195" s="3">
        <f t="shared" si="131"/>
        <v>0.11161414875901188</v>
      </c>
      <c r="Z195" s="3">
        <f t="shared" si="131"/>
        <v>0.11161397247497684</v>
      </c>
      <c r="AA195" s="3">
        <f t="shared" si="131"/>
        <v>0.11161220964993984</v>
      </c>
      <c r="AB195" s="3">
        <f t="shared" si="131"/>
        <v>0.11159458293080522</v>
      </c>
      <c r="AC195" s="3">
        <f t="shared" si="131"/>
        <v>0.11141846877355643</v>
      </c>
      <c r="AD195" s="3">
        <f t="shared" si="131"/>
        <v>0.10967254155721497</v>
      </c>
      <c r="AE195" s="3">
        <f t="shared" si="131"/>
        <v>9.3649428407017232E-2</v>
      </c>
      <c r="AF195" s="3">
        <f t="shared" si="131"/>
        <v>1.9300891144446768E-2</v>
      </c>
      <c r="AG195" s="3"/>
      <c r="AH195" s="3"/>
    </row>
    <row r="196" spans="1:34" x14ac:dyDescent="0.25">
      <c r="B196" s="3">
        <f t="shared" ref="B196:AF196" si="132">$C43*EXP(-B$168/$A43/EXP(-$C$126))</f>
        <v>6.6462351022397975E-2</v>
      </c>
      <c r="C196" s="3">
        <f t="shared" si="132"/>
        <v>6.6462351022397975E-2</v>
      </c>
      <c r="D196" s="3">
        <f t="shared" si="132"/>
        <v>6.6462351022397975E-2</v>
      </c>
      <c r="E196" s="3">
        <f t="shared" si="132"/>
        <v>6.6462351022397975E-2</v>
      </c>
      <c r="F196" s="3">
        <f t="shared" si="132"/>
        <v>6.6462351022397975E-2</v>
      </c>
      <c r="G196" s="3">
        <f t="shared" si="132"/>
        <v>6.6462351022397975E-2</v>
      </c>
      <c r="H196" s="3">
        <f t="shared" si="132"/>
        <v>6.6462351022397975E-2</v>
      </c>
      <c r="I196" s="3">
        <f t="shared" si="132"/>
        <v>6.6462351022397975E-2</v>
      </c>
      <c r="J196" s="3">
        <f t="shared" si="132"/>
        <v>6.6462351022397975E-2</v>
      </c>
      <c r="K196" s="3">
        <f t="shared" si="132"/>
        <v>6.6462351022397975E-2</v>
      </c>
      <c r="L196" s="3">
        <f t="shared" si="132"/>
        <v>6.6462351022397975E-2</v>
      </c>
      <c r="M196" s="3">
        <f t="shared" si="132"/>
        <v>6.6462351022397975E-2</v>
      </c>
      <c r="N196" s="3">
        <f t="shared" si="132"/>
        <v>6.6462351022397975E-2</v>
      </c>
      <c r="O196" s="3">
        <f t="shared" si="132"/>
        <v>6.6462351022397975E-2</v>
      </c>
      <c r="P196" s="3">
        <f t="shared" si="132"/>
        <v>6.6462351022397975E-2</v>
      </c>
      <c r="Q196" s="3">
        <f t="shared" si="132"/>
        <v>6.6462351022397961E-2</v>
      </c>
      <c r="R196" s="3">
        <f t="shared" si="132"/>
        <v>6.646235102239785E-2</v>
      </c>
      <c r="S196" s="3">
        <f t="shared" si="132"/>
        <v>6.6462351022396809E-2</v>
      </c>
      <c r="T196" s="3">
        <f t="shared" si="132"/>
        <v>6.6462351022386304E-2</v>
      </c>
      <c r="U196" s="3">
        <f t="shared" si="132"/>
        <v>6.6462351022281332E-2</v>
      </c>
      <c r="V196" s="3">
        <f t="shared" si="132"/>
        <v>6.646235102123163E-2</v>
      </c>
      <c r="W196" s="3">
        <f t="shared" si="132"/>
        <v>6.6462351010734527E-2</v>
      </c>
      <c r="X196" s="3">
        <f t="shared" si="132"/>
        <v>6.6462350905763412E-2</v>
      </c>
      <c r="Y196" s="3">
        <f t="shared" si="132"/>
        <v>6.6462349856052358E-2</v>
      </c>
      <c r="Z196" s="3">
        <f t="shared" si="132"/>
        <v>6.6462339358942746E-2</v>
      </c>
      <c r="AA196" s="3">
        <f t="shared" si="132"/>
        <v>6.646223438793783E-2</v>
      </c>
      <c r="AB196" s="3">
        <f t="shared" si="132"/>
        <v>6.6461184687007055E-2</v>
      </c>
      <c r="AC196" s="3">
        <f t="shared" si="132"/>
        <v>6.6450688589496695E-2</v>
      </c>
      <c r="AD196" s="3">
        <f t="shared" si="132"/>
        <v>6.6345818740869741E-2</v>
      </c>
      <c r="AE196" s="3">
        <f t="shared" si="132"/>
        <v>6.5306179873945797E-2</v>
      </c>
      <c r="AF196" s="3">
        <f t="shared" si="132"/>
        <v>5.576497389230544E-2</v>
      </c>
      <c r="AG196" s="3"/>
      <c r="AH196" s="3"/>
    </row>
    <row r="197" spans="1:34" x14ac:dyDescent="0.25">
      <c r="B197" s="3">
        <f t="shared" ref="B197:AF197" si="133">$C44*EXP(-B$168/$A44/EXP(-$C$126))</f>
        <v>4.7100906601755713E-2</v>
      </c>
      <c r="C197" s="3">
        <f t="shared" si="133"/>
        <v>4.7100906601755713E-2</v>
      </c>
      <c r="D197" s="3">
        <f t="shared" si="133"/>
        <v>4.7100906601755713E-2</v>
      </c>
      <c r="E197" s="3">
        <f t="shared" si="133"/>
        <v>4.7100906601755713E-2</v>
      </c>
      <c r="F197" s="3">
        <f t="shared" si="133"/>
        <v>4.7100906601755713E-2</v>
      </c>
      <c r="G197" s="3">
        <f t="shared" si="133"/>
        <v>4.7100906601755713E-2</v>
      </c>
      <c r="H197" s="3">
        <f t="shared" si="133"/>
        <v>4.7100906601755713E-2</v>
      </c>
      <c r="I197" s="3">
        <f t="shared" si="133"/>
        <v>4.7100906601755713E-2</v>
      </c>
      <c r="J197" s="3">
        <f t="shared" si="133"/>
        <v>4.7100906601755713E-2</v>
      </c>
      <c r="K197" s="3">
        <f t="shared" si="133"/>
        <v>4.7100906601755713E-2</v>
      </c>
      <c r="L197" s="3">
        <f t="shared" si="133"/>
        <v>4.7100906601755713E-2</v>
      </c>
      <c r="M197" s="3">
        <f t="shared" si="133"/>
        <v>4.7100906601755713E-2</v>
      </c>
      <c r="N197" s="3">
        <f t="shared" si="133"/>
        <v>4.7100906601755713E-2</v>
      </c>
      <c r="O197" s="3">
        <f t="shared" si="133"/>
        <v>4.7100906601755713E-2</v>
      </c>
      <c r="P197" s="3">
        <f t="shared" si="133"/>
        <v>4.7100906601755713E-2</v>
      </c>
      <c r="Q197" s="3">
        <f t="shared" si="133"/>
        <v>4.7100906601755713E-2</v>
      </c>
      <c r="R197" s="3">
        <f t="shared" si="133"/>
        <v>4.7100906601755699E-2</v>
      </c>
      <c r="S197" s="3">
        <f t="shared" si="133"/>
        <v>4.7100906601755629E-2</v>
      </c>
      <c r="T197" s="3">
        <f t="shared" si="133"/>
        <v>4.7100906601754887E-2</v>
      </c>
      <c r="U197" s="3">
        <f t="shared" si="133"/>
        <v>4.7100906601747448E-2</v>
      </c>
      <c r="V197" s="3">
        <f t="shared" si="133"/>
        <v>4.7100906601673057E-2</v>
      </c>
      <c r="W197" s="3">
        <f t="shared" si="133"/>
        <v>4.7100906600929138E-2</v>
      </c>
      <c r="X197" s="3">
        <f t="shared" si="133"/>
        <v>4.7100906593489991E-2</v>
      </c>
      <c r="Y197" s="3">
        <f t="shared" si="133"/>
        <v>4.7100906519098484E-2</v>
      </c>
      <c r="Z197" s="3">
        <f t="shared" si="133"/>
        <v>4.7100905775183451E-2</v>
      </c>
      <c r="AA197" s="3">
        <f t="shared" si="133"/>
        <v>4.7100898336033745E-2</v>
      </c>
      <c r="AB197" s="3">
        <f t="shared" si="133"/>
        <v>4.7100823944601251E-2</v>
      </c>
      <c r="AC197" s="3">
        <f t="shared" si="133"/>
        <v>4.7100080036738538E-2</v>
      </c>
      <c r="AD197" s="3">
        <f t="shared" si="133"/>
        <v>4.7092641604288991E-2</v>
      </c>
      <c r="AE197" s="3">
        <f t="shared" si="133"/>
        <v>4.7018321859809087E-2</v>
      </c>
      <c r="AF197" s="3">
        <f t="shared" si="133"/>
        <v>4.628154483616697E-2</v>
      </c>
      <c r="AG197" s="3"/>
      <c r="AH197" s="3"/>
    </row>
    <row r="198" spans="1:34" x14ac:dyDescent="0.25">
      <c r="B198" s="3">
        <f t="shared" ref="B198:AF198" si="134">$C45*EXP(-B$168/$A45/EXP(-$C$126))</f>
        <v>2.2598128773559236E-2</v>
      </c>
      <c r="C198" s="3">
        <f t="shared" si="134"/>
        <v>2.2598128773559236E-2</v>
      </c>
      <c r="D198" s="3">
        <f t="shared" si="134"/>
        <v>2.2598128773559236E-2</v>
      </c>
      <c r="E198" s="3">
        <f t="shared" si="134"/>
        <v>2.2598128773559236E-2</v>
      </c>
      <c r="F198" s="3">
        <f t="shared" si="134"/>
        <v>2.2598128773559236E-2</v>
      </c>
      <c r="G198" s="3">
        <f t="shared" si="134"/>
        <v>2.2598128773559236E-2</v>
      </c>
      <c r="H198" s="3">
        <f t="shared" si="134"/>
        <v>2.2598128773559236E-2</v>
      </c>
      <c r="I198" s="3">
        <f t="shared" si="134"/>
        <v>2.2598128773559236E-2</v>
      </c>
      <c r="J198" s="3">
        <f t="shared" si="134"/>
        <v>2.2598128773559236E-2</v>
      </c>
      <c r="K198" s="3">
        <f t="shared" si="134"/>
        <v>2.2598128773559236E-2</v>
      </c>
      <c r="L198" s="3">
        <f t="shared" si="134"/>
        <v>2.2598128773559236E-2</v>
      </c>
      <c r="M198" s="3">
        <f t="shared" si="134"/>
        <v>2.2598128773559236E-2</v>
      </c>
      <c r="N198" s="3">
        <f t="shared" si="134"/>
        <v>2.2598128773559236E-2</v>
      </c>
      <c r="O198" s="3">
        <f t="shared" si="134"/>
        <v>2.2598128773559236E-2</v>
      </c>
      <c r="P198" s="3">
        <f t="shared" si="134"/>
        <v>2.2598128773559236E-2</v>
      </c>
      <c r="Q198" s="3">
        <f t="shared" si="134"/>
        <v>2.2598128773559236E-2</v>
      </c>
      <c r="R198" s="3">
        <f t="shared" si="134"/>
        <v>2.2598128773559236E-2</v>
      </c>
      <c r="S198" s="3">
        <f t="shared" si="134"/>
        <v>2.2598128773559233E-2</v>
      </c>
      <c r="T198" s="3">
        <f t="shared" si="134"/>
        <v>2.2598128773559194E-2</v>
      </c>
      <c r="U198" s="3">
        <f t="shared" si="134"/>
        <v>2.2598128773558841E-2</v>
      </c>
      <c r="V198" s="3">
        <f t="shared" si="134"/>
        <v>2.259812877355527E-2</v>
      </c>
      <c r="W198" s="3">
        <f t="shared" si="134"/>
        <v>2.2598128773519577E-2</v>
      </c>
      <c r="X198" s="3">
        <f t="shared" si="134"/>
        <v>2.2598128773162661E-2</v>
      </c>
      <c r="Y198" s="3">
        <f t="shared" si="134"/>
        <v>2.2598128769593499E-2</v>
      </c>
      <c r="Z198" s="3">
        <f t="shared" si="134"/>
        <v>2.2598128733901851E-2</v>
      </c>
      <c r="AA198" s="3">
        <f t="shared" si="134"/>
        <v>2.2598128376985417E-2</v>
      </c>
      <c r="AB198" s="3">
        <f t="shared" si="134"/>
        <v>2.2598124807821356E-2</v>
      </c>
      <c r="AC198" s="3">
        <f t="shared" si="134"/>
        <v>2.259808911621174E-2</v>
      </c>
      <c r="AD198" s="3">
        <f t="shared" si="134"/>
        <v>2.2597732203215998E-2</v>
      </c>
      <c r="AE198" s="3">
        <f t="shared" si="134"/>
        <v>2.2594163383282455E-2</v>
      </c>
      <c r="AF198" s="3">
        <f t="shared" si="134"/>
        <v>2.255850616822341E-2</v>
      </c>
      <c r="AG198" s="3"/>
      <c r="AH198" s="3"/>
    </row>
    <row r="199" spans="1:34" x14ac:dyDescent="0.25">
      <c r="B199" s="3">
        <f t="shared" ref="B199:AF199" si="135">$C46*EXP(-B$168/$A46/EXP(-$C$126))</f>
        <v>6.4467605952010509E-3</v>
      </c>
      <c r="C199" s="3">
        <f t="shared" si="135"/>
        <v>6.4467605952010509E-3</v>
      </c>
      <c r="D199" s="3">
        <f t="shared" si="135"/>
        <v>6.4467605952010509E-3</v>
      </c>
      <c r="E199" s="3">
        <f t="shared" si="135"/>
        <v>6.4467605952010509E-3</v>
      </c>
      <c r="F199" s="3">
        <f t="shared" si="135"/>
        <v>6.4467605952010509E-3</v>
      </c>
      <c r="G199" s="3">
        <f t="shared" si="135"/>
        <v>6.4467605952010509E-3</v>
      </c>
      <c r="H199" s="3">
        <f t="shared" si="135"/>
        <v>6.4467605952010509E-3</v>
      </c>
      <c r="I199" s="3">
        <f t="shared" si="135"/>
        <v>6.4467605952010509E-3</v>
      </c>
      <c r="J199" s="3">
        <f t="shared" si="135"/>
        <v>6.4467605952010509E-3</v>
      </c>
      <c r="K199" s="3">
        <f t="shared" si="135"/>
        <v>6.4467605952010509E-3</v>
      </c>
      <c r="L199" s="3">
        <f t="shared" si="135"/>
        <v>6.4467605952010509E-3</v>
      </c>
      <c r="M199" s="3">
        <f t="shared" si="135"/>
        <v>6.4467605952010509E-3</v>
      </c>
      <c r="N199" s="3">
        <f t="shared" si="135"/>
        <v>6.4467605952010509E-3</v>
      </c>
      <c r="O199" s="3">
        <f t="shared" si="135"/>
        <v>6.4467605952010509E-3</v>
      </c>
      <c r="P199" s="3">
        <f t="shared" si="135"/>
        <v>6.4467605952010509E-3</v>
      </c>
      <c r="Q199" s="3">
        <f t="shared" si="135"/>
        <v>6.4467605952010509E-3</v>
      </c>
      <c r="R199" s="3">
        <f t="shared" si="135"/>
        <v>6.4467605952010509E-3</v>
      </c>
      <c r="S199" s="3">
        <f t="shared" si="135"/>
        <v>6.4467605952010509E-3</v>
      </c>
      <c r="T199" s="3">
        <f t="shared" si="135"/>
        <v>6.4467605952010492E-3</v>
      </c>
      <c r="U199" s="3">
        <f t="shared" si="135"/>
        <v>6.4467605952010397E-3</v>
      </c>
      <c r="V199" s="3">
        <f t="shared" si="135"/>
        <v>6.4467605952009382E-3</v>
      </c>
      <c r="W199" s="3">
        <f t="shared" si="135"/>
        <v>6.446760595199919E-3</v>
      </c>
      <c r="X199" s="3">
        <f t="shared" si="135"/>
        <v>6.4467605951897371E-3</v>
      </c>
      <c r="Y199" s="3">
        <f t="shared" si="135"/>
        <v>6.4467605950879166E-3</v>
      </c>
      <c r="Z199" s="3">
        <f t="shared" si="135"/>
        <v>6.4467605940697111E-3</v>
      </c>
      <c r="AA199" s="3">
        <f t="shared" si="135"/>
        <v>6.4467605838876519E-3</v>
      </c>
      <c r="AB199" s="3">
        <f t="shared" si="135"/>
        <v>6.4467604820670609E-3</v>
      </c>
      <c r="AC199" s="3">
        <f t="shared" si="135"/>
        <v>6.4467594638612418E-3</v>
      </c>
      <c r="AD199" s="3">
        <f t="shared" si="135"/>
        <v>6.4467492818118888E-3</v>
      </c>
      <c r="AE199" s="3">
        <f t="shared" si="135"/>
        <v>6.4466474622028444E-3</v>
      </c>
      <c r="AF199" s="3">
        <f t="shared" si="135"/>
        <v>6.4456293545555486E-3</v>
      </c>
      <c r="AG199" s="3"/>
      <c r="AH199" s="3"/>
    </row>
    <row r="200" spans="1:34" x14ac:dyDescent="0.25">
      <c r="B200" s="3">
        <f t="shared" ref="B200:AF200" si="136">$C47*EXP(-B$168/$A47/EXP(-$C$126))</f>
        <v>9.8307104636690784E-5</v>
      </c>
      <c r="C200" s="3">
        <f t="shared" si="136"/>
        <v>9.8307104636690784E-5</v>
      </c>
      <c r="D200" s="3">
        <f t="shared" si="136"/>
        <v>9.8307104636690784E-5</v>
      </c>
      <c r="E200" s="3">
        <f t="shared" si="136"/>
        <v>9.8307104636690784E-5</v>
      </c>
      <c r="F200" s="3">
        <f t="shared" si="136"/>
        <v>9.8307104636690784E-5</v>
      </c>
      <c r="G200" s="3">
        <f t="shared" si="136"/>
        <v>9.8307104636690784E-5</v>
      </c>
      <c r="H200" s="3">
        <f t="shared" si="136"/>
        <v>9.8307104636690784E-5</v>
      </c>
      <c r="I200" s="3">
        <f t="shared" si="136"/>
        <v>9.8307104636690784E-5</v>
      </c>
      <c r="J200" s="3">
        <f t="shared" si="136"/>
        <v>9.8307104636690784E-5</v>
      </c>
      <c r="K200" s="3">
        <f t="shared" si="136"/>
        <v>9.8307104636690784E-5</v>
      </c>
      <c r="L200" s="3">
        <f t="shared" si="136"/>
        <v>9.8307104636690784E-5</v>
      </c>
      <c r="M200" s="3">
        <f t="shared" si="136"/>
        <v>9.8307104636690784E-5</v>
      </c>
      <c r="N200" s="3">
        <f t="shared" si="136"/>
        <v>9.8307104636690784E-5</v>
      </c>
      <c r="O200" s="3">
        <f t="shared" si="136"/>
        <v>9.8307104636690784E-5</v>
      </c>
      <c r="P200" s="3">
        <f t="shared" si="136"/>
        <v>9.8307104636690784E-5</v>
      </c>
      <c r="Q200" s="3">
        <f t="shared" si="136"/>
        <v>9.8307104636690784E-5</v>
      </c>
      <c r="R200" s="3">
        <f t="shared" si="136"/>
        <v>9.8307104636690784E-5</v>
      </c>
      <c r="S200" s="3">
        <f t="shared" si="136"/>
        <v>9.8307104636690784E-5</v>
      </c>
      <c r="T200" s="3">
        <f t="shared" si="136"/>
        <v>9.8307104636690784E-5</v>
      </c>
      <c r="U200" s="3">
        <f t="shared" si="136"/>
        <v>9.8307104636690757E-5</v>
      </c>
      <c r="V200" s="3">
        <f t="shared" si="136"/>
        <v>9.8307104636690608E-5</v>
      </c>
      <c r="W200" s="3">
        <f t="shared" si="136"/>
        <v>9.8307104636689063E-5</v>
      </c>
      <c r="X200" s="3">
        <f t="shared" si="136"/>
        <v>9.8307104636673531E-5</v>
      </c>
      <c r="Y200" s="3">
        <f t="shared" si="136"/>
        <v>9.830710463651826E-5</v>
      </c>
      <c r="Z200" s="3">
        <f t="shared" si="136"/>
        <v>9.8307104634965601E-5</v>
      </c>
      <c r="AA200" s="3">
        <f t="shared" si="136"/>
        <v>9.8307104619438905E-5</v>
      </c>
      <c r="AB200" s="3">
        <f t="shared" si="136"/>
        <v>9.8307104464171965E-5</v>
      </c>
      <c r="AC200" s="3">
        <f t="shared" si="136"/>
        <v>9.8307102911502636E-5</v>
      </c>
      <c r="AD200" s="3">
        <f t="shared" si="136"/>
        <v>9.8307087384810656E-5</v>
      </c>
      <c r="AE200" s="3">
        <f t="shared" si="136"/>
        <v>9.8306932118025672E-5</v>
      </c>
      <c r="AF200" s="3">
        <f t="shared" si="136"/>
        <v>9.8305379463663442E-5</v>
      </c>
      <c r="AG200" s="3"/>
      <c r="AH200" s="3"/>
    </row>
    <row r="201" spans="1:34" x14ac:dyDescent="0.25">
      <c r="B201" s="3">
        <f t="shared" ref="B201:AF201" si="137">$C48*EXP(-B$168/$A48/EXP(-$C$126))</f>
        <v>1.1020901234699522E-2</v>
      </c>
      <c r="C201" s="3">
        <f t="shared" si="137"/>
        <v>1.1020901234699522E-2</v>
      </c>
      <c r="D201" s="3">
        <f t="shared" si="137"/>
        <v>1.1020901234699522E-2</v>
      </c>
      <c r="E201" s="3">
        <f t="shared" si="137"/>
        <v>1.1020901234699522E-2</v>
      </c>
      <c r="F201" s="3">
        <f t="shared" si="137"/>
        <v>1.1020901234699522E-2</v>
      </c>
      <c r="G201" s="3">
        <f t="shared" si="137"/>
        <v>1.1020901234699522E-2</v>
      </c>
      <c r="H201" s="3">
        <f t="shared" si="137"/>
        <v>1.1020901234699522E-2</v>
      </c>
      <c r="I201" s="3">
        <f t="shared" si="137"/>
        <v>1.1020901234699522E-2</v>
      </c>
      <c r="J201" s="3">
        <f t="shared" si="137"/>
        <v>1.1020901234699522E-2</v>
      </c>
      <c r="K201" s="3">
        <f t="shared" si="137"/>
        <v>1.1020901234699522E-2</v>
      </c>
      <c r="L201" s="3">
        <f t="shared" si="137"/>
        <v>1.1020901234699522E-2</v>
      </c>
      <c r="M201" s="3">
        <f t="shared" si="137"/>
        <v>1.1020901234699522E-2</v>
      </c>
      <c r="N201" s="3">
        <f t="shared" si="137"/>
        <v>1.1020901234699522E-2</v>
      </c>
      <c r="O201" s="3">
        <f t="shared" si="137"/>
        <v>1.1020901234699522E-2</v>
      </c>
      <c r="P201" s="3">
        <f t="shared" si="137"/>
        <v>1.1020901234699522E-2</v>
      </c>
      <c r="Q201" s="3">
        <f t="shared" si="137"/>
        <v>1.1020901234699522E-2</v>
      </c>
      <c r="R201" s="3">
        <f t="shared" si="137"/>
        <v>1.1020901234699522E-2</v>
      </c>
      <c r="S201" s="3">
        <f t="shared" si="137"/>
        <v>1.1020901234699522E-2</v>
      </c>
      <c r="T201" s="3">
        <f t="shared" si="137"/>
        <v>1.1020901234699522E-2</v>
      </c>
      <c r="U201" s="3">
        <f t="shared" si="137"/>
        <v>1.1020901234699522E-2</v>
      </c>
      <c r="V201" s="3">
        <f t="shared" si="137"/>
        <v>1.102090123469952E-2</v>
      </c>
      <c r="W201" s="3">
        <f t="shared" si="137"/>
        <v>1.1020901234699503E-2</v>
      </c>
      <c r="X201" s="3">
        <f t="shared" si="137"/>
        <v>1.1020901234699329E-2</v>
      </c>
      <c r="Y201" s="3">
        <f t="shared" si="137"/>
        <v>1.1020901234697587E-2</v>
      </c>
      <c r="Z201" s="3">
        <f t="shared" si="137"/>
        <v>1.1020901234680181E-2</v>
      </c>
      <c r="AA201" s="3">
        <f t="shared" si="137"/>
        <v>1.1020901234506116E-2</v>
      </c>
      <c r="AB201" s="3">
        <f t="shared" si="137"/>
        <v>1.1020901232765468E-2</v>
      </c>
      <c r="AC201" s="3">
        <f t="shared" si="137"/>
        <v>1.1020901215358977E-2</v>
      </c>
      <c r="AD201" s="3">
        <f t="shared" si="137"/>
        <v>1.1020901041294088E-2</v>
      </c>
      <c r="AE201" s="3">
        <f t="shared" si="137"/>
        <v>1.1020899300645337E-2</v>
      </c>
      <c r="AF201" s="3">
        <f t="shared" si="137"/>
        <v>1.1020881894172951E-2</v>
      </c>
      <c r="AG201" s="3"/>
      <c r="AH201" s="3"/>
    </row>
    <row r="202" spans="1:34" x14ac:dyDescent="0.25">
      <c r="A202" s="79">
        <f>AVERAGE(B202:AF202)</f>
        <v>4.5826596554674269E-2</v>
      </c>
      <c r="B202" s="80">
        <f>IF($A$64&lt;=B168,IF($B$64&gt;=B168,ABS((B170-B169)/B169),0),0)</f>
        <v>3.8464333244496349E-3</v>
      </c>
      <c r="C202" s="80">
        <f t="shared" ref="C202:AF202" si="138">IF($A$64&lt;=C168,IF($B$64&gt;=C168,ABS((C170-C169)/C169),0),0)</f>
        <v>4.0316773062139882E-3</v>
      </c>
      <c r="D202" s="80">
        <f t="shared" si="138"/>
        <v>4.026556518331623E-3</v>
      </c>
      <c r="E202" s="80">
        <f t="shared" si="138"/>
        <v>4.0250407578844086E-3</v>
      </c>
      <c r="F202" s="80">
        <f t="shared" si="138"/>
        <v>4.0245640568744691E-3</v>
      </c>
      <c r="G202" s="80">
        <f t="shared" si="138"/>
        <v>4.0244039157698534E-3</v>
      </c>
      <c r="H202" s="80">
        <f t="shared" si="138"/>
        <v>4.0243517832222065E-3</v>
      </c>
      <c r="I202" s="80">
        <f t="shared" si="138"/>
        <v>4.0243444010961017E-3</v>
      </c>
      <c r="J202" s="80">
        <f t="shared" si="138"/>
        <v>4.0243078221073071E-3</v>
      </c>
      <c r="K202" s="80">
        <f t="shared" si="138"/>
        <v>4.0243107307042529E-3</v>
      </c>
      <c r="L202" s="80">
        <f t="shared" si="138"/>
        <v>4.0243621618675516E-3</v>
      </c>
      <c r="M202" s="80">
        <f t="shared" si="138"/>
        <v>4.0246083124578329E-3</v>
      </c>
      <c r="N202" s="80">
        <f t="shared" si="138"/>
        <v>4.027232015004472E-3</v>
      </c>
      <c r="O202" s="80">
        <f t="shared" si="138"/>
        <v>4.053347632176847E-3</v>
      </c>
      <c r="P202" s="80">
        <f t="shared" si="138"/>
        <v>4.3015964400113862E-3</v>
      </c>
      <c r="Q202" s="80">
        <f t="shared" si="138"/>
        <v>6.0263731586872671E-3</v>
      </c>
      <c r="R202" s="80">
        <f t="shared" si="138"/>
        <v>1.1103607980019609E-2</v>
      </c>
      <c r="S202" s="80">
        <f t="shared" si="138"/>
        <v>1.0642034233944872E-2</v>
      </c>
      <c r="T202" s="80">
        <f t="shared" si="138"/>
        <v>9.2079102650350249E-3</v>
      </c>
      <c r="U202" s="80">
        <f t="shared" si="138"/>
        <v>1.5515779191942062E-2</v>
      </c>
      <c r="V202" s="80">
        <f t="shared" si="138"/>
        <v>6.6668940838993995E-2</v>
      </c>
      <c r="W202" s="80">
        <f t="shared" si="138"/>
        <v>0.1182155996625146</v>
      </c>
      <c r="X202" s="80">
        <f t="shared" si="138"/>
        <v>0.15329615490098897</v>
      </c>
      <c r="Y202" s="80">
        <f t="shared" si="138"/>
        <v>0.16714275094255687</v>
      </c>
      <c r="Z202" s="80">
        <f t="shared" si="138"/>
        <v>0.1686994701093732</v>
      </c>
      <c r="AA202" s="80">
        <f t="shared" si="138"/>
        <v>0.16103623619859009</v>
      </c>
      <c r="AB202" s="80">
        <f t="shared" si="138"/>
        <v>0.15643518783809776</v>
      </c>
      <c r="AC202" s="80">
        <f t="shared" si="138"/>
        <v>0.12595430520960149</v>
      </c>
      <c r="AD202" s="80">
        <f t="shared" si="138"/>
        <v>0.10201206241164634</v>
      </c>
      <c r="AE202" s="80">
        <f t="shared" si="138"/>
        <v>6.9302582184815179E-2</v>
      </c>
      <c r="AF202" s="80">
        <f t="shared" si="138"/>
        <v>1.8858360889923001E-2</v>
      </c>
    </row>
    <row r="203" spans="1:34" x14ac:dyDescent="0.25">
      <c r="B203" s="21">
        <f>(B170-B169)^2</f>
        <v>633.52903974502897</v>
      </c>
      <c r="C203" s="21">
        <f t="shared" ref="C203:AF203" si="139">(C170-C169)^2</f>
        <v>696.03150865925818</v>
      </c>
      <c r="D203" s="21">
        <f t="shared" si="139"/>
        <v>694.25737981199427</v>
      </c>
      <c r="E203" s="21">
        <f t="shared" si="139"/>
        <v>693.73267291757702</v>
      </c>
      <c r="F203" s="21">
        <f t="shared" si="139"/>
        <v>693.56769588607949</v>
      </c>
      <c r="G203" s="21">
        <f t="shared" si="139"/>
        <v>693.51227857330343</v>
      </c>
      <c r="H203" s="21">
        <f t="shared" si="139"/>
        <v>693.49423842039619</v>
      </c>
      <c r="I203" s="21">
        <f t="shared" si="139"/>
        <v>693.49168380834965</v>
      </c>
      <c r="J203" s="21">
        <f t="shared" si="139"/>
        <v>693.47902511796747</v>
      </c>
      <c r="K203" s="21">
        <f t="shared" si="139"/>
        <v>693.48002236584659</v>
      </c>
      <c r="L203" s="21">
        <f t="shared" si="139"/>
        <v>693.4977272457827</v>
      </c>
      <c r="M203" s="21">
        <f t="shared" si="139"/>
        <v>693.58198463947735</v>
      </c>
      <c r="N203" s="21">
        <f t="shared" si="139"/>
        <v>694.48100397057203</v>
      </c>
      <c r="O203" s="21">
        <f t="shared" si="139"/>
        <v>703.46074343403654</v>
      </c>
      <c r="P203" s="21">
        <f t="shared" si="139"/>
        <v>791.63506839127126</v>
      </c>
      <c r="Q203" s="21">
        <f t="shared" si="139"/>
        <v>1542.3385145298814</v>
      </c>
      <c r="R203" s="21">
        <f t="shared" si="139"/>
        <v>5035.4768910094672</v>
      </c>
      <c r="S203" s="21">
        <f t="shared" si="139"/>
        <v>4410.0042763961965</v>
      </c>
      <c r="T203" s="21">
        <f t="shared" si="139"/>
        <v>3097.6500976820585</v>
      </c>
      <c r="U203" s="21">
        <f t="shared" si="139"/>
        <v>7816.0706529001018</v>
      </c>
      <c r="V203" s="21">
        <f t="shared" si="139"/>
        <v>121212.70994702195</v>
      </c>
      <c r="W203" s="21">
        <f t="shared" si="139"/>
        <v>314145.71353742969</v>
      </c>
      <c r="X203" s="21">
        <f t="shared" si="139"/>
        <v>436770.14928667917</v>
      </c>
      <c r="Y203" s="21">
        <f t="shared" si="139"/>
        <v>436381.12507879641</v>
      </c>
      <c r="Z203" s="21">
        <f t="shared" si="139"/>
        <v>376914.98016824853</v>
      </c>
      <c r="AA203" s="21">
        <f t="shared" si="139"/>
        <v>290109.62283782754</v>
      </c>
      <c r="AB203" s="21">
        <f t="shared" si="139"/>
        <v>225270.15649813233</v>
      </c>
      <c r="AC203" s="21">
        <f t="shared" si="139"/>
        <v>111707.96677228762</v>
      </c>
      <c r="AD203" s="21">
        <f t="shared" si="139"/>
        <v>50520.222317848456</v>
      </c>
      <c r="AE203" s="21">
        <f t="shared" si="139"/>
        <v>13611.438786844245</v>
      </c>
      <c r="AF203" s="21">
        <f t="shared" si="139"/>
        <v>444.63269858754398</v>
      </c>
      <c r="AG203" s="3"/>
      <c r="AH203" s="3"/>
    </row>
    <row r="204" spans="1:34" x14ac:dyDescent="0.25">
      <c r="A204" s="71">
        <f>SUM(B204:AF204)</f>
        <v>2409445.4904352082</v>
      </c>
      <c r="B204" s="60">
        <f>IF($A$64&lt;=B168,IF($B$64&gt;=B168,ABS(B203),0),0)</f>
        <v>633.52903974502897</v>
      </c>
      <c r="C204" s="60">
        <f t="shared" ref="C204" si="140">IF($A$64&lt;=C168,IF($B$64&gt;=C168,ABS(C203),0),0)</f>
        <v>696.03150865925818</v>
      </c>
      <c r="D204" s="60">
        <f t="shared" ref="D204" si="141">IF($A$64&lt;=D168,IF($B$64&gt;=D168,ABS(D203),0),0)</f>
        <v>694.25737981199427</v>
      </c>
      <c r="E204" s="60">
        <f t="shared" ref="E204" si="142">IF($A$64&lt;=E168,IF($B$64&gt;=E168,ABS(E203),0),0)</f>
        <v>693.73267291757702</v>
      </c>
      <c r="F204" s="60">
        <f t="shared" ref="F204" si="143">IF($A$64&lt;=F168,IF($B$64&gt;=F168,ABS(F203),0),0)</f>
        <v>693.56769588607949</v>
      </c>
      <c r="G204" s="60">
        <f t="shared" ref="G204" si="144">IF($A$64&lt;=G168,IF($B$64&gt;=G168,ABS(G203),0),0)</f>
        <v>693.51227857330343</v>
      </c>
      <c r="H204" s="60">
        <f t="shared" ref="H204" si="145">IF($A$64&lt;=H168,IF($B$64&gt;=H168,ABS(H203),0),0)</f>
        <v>693.49423842039619</v>
      </c>
      <c r="I204" s="60">
        <f t="shared" ref="I204" si="146">IF($A$64&lt;=I168,IF($B$64&gt;=I168,ABS(I203),0),0)</f>
        <v>693.49168380834965</v>
      </c>
      <c r="J204" s="60">
        <f t="shared" ref="J204" si="147">IF($A$64&lt;=J168,IF($B$64&gt;=J168,ABS(J203),0),0)</f>
        <v>693.47902511796747</v>
      </c>
      <c r="K204" s="60">
        <f t="shared" ref="K204" si="148">IF($A$64&lt;=K168,IF($B$64&gt;=K168,ABS(K203),0),0)</f>
        <v>693.48002236584659</v>
      </c>
      <c r="L204" s="60">
        <f t="shared" ref="L204" si="149">IF($A$64&lt;=L168,IF($B$64&gt;=L168,ABS(L203),0),0)</f>
        <v>693.4977272457827</v>
      </c>
      <c r="M204" s="60">
        <f t="shared" ref="M204" si="150">IF($A$64&lt;=M168,IF($B$64&gt;=M168,ABS(M203),0),0)</f>
        <v>693.58198463947735</v>
      </c>
      <c r="N204" s="60">
        <f t="shared" ref="N204" si="151">IF($A$64&lt;=N168,IF($B$64&gt;=N168,ABS(N203),0),0)</f>
        <v>694.48100397057203</v>
      </c>
      <c r="O204" s="60">
        <f t="shared" ref="O204" si="152">IF($A$64&lt;=O168,IF($B$64&gt;=O168,ABS(O203),0),0)</f>
        <v>703.46074343403654</v>
      </c>
      <c r="P204" s="60">
        <f t="shared" ref="P204" si="153">IF($A$64&lt;=P168,IF($B$64&gt;=P168,ABS(P203),0),0)</f>
        <v>791.63506839127126</v>
      </c>
      <c r="Q204" s="60">
        <f t="shared" ref="Q204" si="154">IF($A$64&lt;=Q168,IF($B$64&gt;=Q168,ABS(Q203),0),0)</f>
        <v>1542.3385145298814</v>
      </c>
      <c r="R204" s="60">
        <f t="shared" ref="R204" si="155">IF($A$64&lt;=R168,IF($B$64&gt;=R168,ABS(R203),0),0)</f>
        <v>5035.4768910094672</v>
      </c>
      <c r="S204" s="60">
        <f t="shared" ref="S204" si="156">IF($A$64&lt;=S168,IF($B$64&gt;=S168,ABS(S203),0),0)</f>
        <v>4410.0042763961965</v>
      </c>
      <c r="T204" s="60">
        <f t="shared" ref="T204" si="157">IF($A$64&lt;=T168,IF($B$64&gt;=T168,ABS(T203),0),0)</f>
        <v>3097.6500976820585</v>
      </c>
      <c r="U204" s="60">
        <f t="shared" ref="U204" si="158">IF($A$64&lt;=U168,IF($B$64&gt;=U168,ABS(U203),0),0)</f>
        <v>7816.0706529001018</v>
      </c>
      <c r="V204" s="60">
        <f t="shared" ref="V204" si="159">IF($A$64&lt;=V168,IF($B$64&gt;=V168,ABS(V203),0),0)</f>
        <v>121212.70994702195</v>
      </c>
      <c r="W204" s="60">
        <f t="shared" ref="W204" si="160">IF($A$64&lt;=W168,IF($B$64&gt;=W168,ABS(W203),0),0)</f>
        <v>314145.71353742969</v>
      </c>
      <c r="X204" s="60">
        <f t="shared" ref="X204" si="161">IF($A$64&lt;=X168,IF($B$64&gt;=X168,ABS(X203),0),0)</f>
        <v>436770.14928667917</v>
      </c>
      <c r="Y204" s="60">
        <f t="shared" ref="Y204" si="162">IF($A$64&lt;=Y168,IF($B$64&gt;=Y168,ABS(Y203),0),0)</f>
        <v>436381.12507879641</v>
      </c>
      <c r="Z204" s="60">
        <f t="shared" ref="Z204" si="163">IF($A$64&lt;=Z168,IF($B$64&gt;=Z168,ABS(Z203),0),0)</f>
        <v>376914.98016824853</v>
      </c>
      <c r="AA204" s="60">
        <f t="shared" ref="AA204" si="164">IF($A$64&lt;=AA168,IF($B$64&gt;=AA168,ABS(AA203),0),0)</f>
        <v>290109.62283782754</v>
      </c>
      <c r="AB204" s="60">
        <f t="shared" ref="AB204" si="165">IF($A$64&lt;=AB168,IF($B$64&gt;=AB168,ABS(AB203),0),0)</f>
        <v>225270.15649813233</v>
      </c>
      <c r="AC204" s="60">
        <f t="shared" ref="AC204" si="166">IF($A$64&lt;=AC168,IF($B$64&gt;=AC168,ABS(AC203),0),0)</f>
        <v>111707.96677228762</v>
      </c>
      <c r="AD204" s="60">
        <f t="shared" ref="AD204" si="167">IF($A$64&lt;=AD168,IF($B$64&gt;=AD168,ABS(AD203),0),0)</f>
        <v>50520.222317848456</v>
      </c>
      <c r="AE204" s="60">
        <f t="shared" ref="AE204" si="168">IF($A$64&lt;=AE168,IF($B$64&gt;=AE168,ABS(AE203),0),0)</f>
        <v>13611.438786844245</v>
      </c>
      <c r="AF204" s="60">
        <f t="shared" ref="AF204" si="169">IF($A$64&lt;=AF168,IF($B$64&gt;=AF168,ABS(AF203),0),0)</f>
        <v>444.63269858754398</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6524.0904126194901</v>
      </c>
      <c r="C208" s="26">
        <f>INDEX(Comparison!$AM$3:$AS$33,G$14,$D$122)</f>
        <v>6524.1443595856636</v>
      </c>
      <c r="D208" s="26">
        <f>INDEX(Comparison!$AM$3:$AS$33,H$14,$D$122)</f>
        <v>6524.1111351538066</v>
      </c>
      <c r="E208" s="26">
        <f>INDEX(Comparison!$AM$3:$AS$33,I$14,$D$122)</f>
        <v>6524.1012603146964</v>
      </c>
      <c r="F208" s="26">
        <f>INDEX(Comparison!$AM$3:$AS$33,J$14,$D$122)</f>
        <v>6524.0981470711258</v>
      </c>
      <c r="G208" s="26">
        <f>INDEX(Comparison!$AM$3:$AS$33,K$14,$D$122)</f>
        <v>6524.0971012165301</v>
      </c>
      <c r="H208" s="26">
        <f>INDEX(Comparison!$AM$3:$AS$33,L$14,$D$122)</f>
        <v>6524.0967607058046</v>
      </c>
      <c r="I208" s="26">
        <f>INDEX(Comparison!$AM$3:$AS$33,M$14,$D$122)</f>
        <v>6524.0967120614177</v>
      </c>
      <c r="J208" s="26">
        <f>INDEX(Comparison!$AM$3:$AS$33,N$14,$D$122)</f>
        <v>6524.0963715507314</v>
      </c>
      <c r="K208" s="26">
        <f>INDEX(Comparison!$AM$3:$AS$33,O$14,$D$122)</f>
        <v>6524.0939393325853</v>
      </c>
      <c r="L208" s="26">
        <f>INDEX(Comparison!$AM$3:$AS$33,P$14,$D$122)</f>
        <v>6524.06939835293</v>
      </c>
      <c r="M208" s="26">
        <f>INDEX(Comparison!$AM$3:$AS$33,Q$14,$D$122)</f>
        <v>6523.8242419120506</v>
      </c>
      <c r="N208" s="26">
        <f>INDEX(Comparison!$AM$3:$AS$33,R$14,$D$122)</f>
        <v>6521.3925487999713</v>
      </c>
      <c r="O208" s="26">
        <f>INDEX(Comparison!$AM$3:$AS$33,S$14,$D$122)</f>
        <v>6498.8766153292054</v>
      </c>
      <c r="P208" s="26">
        <f>INDEX(Comparison!$AM$3:$AS$33,T$14,$D$122)</f>
        <v>6376.7108933957061</v>
      </c>
      <c r="Q208" s="26">
        <f>INDEX(Comparison!$AM$3:$AS$33,U$14,$D$122)</f>
        <v>6230.3639399807598</v>
      </c>
      <c r="R208" s="26">
        <f>INDEX(Comparison!$AM$3:$AS$33,V$14,$D$122)</f>
        <v>6066.3152248046426</v>
      </c>
      <c r="S208" s="26">
        <f>INDEX(Comparison!$AM$3:$AS$33,W$14,$D$122)</f>
        <v>5850.8000974148181</v>
      </c>
      <c r="T208" s="26">
        <f>INDEX(Comparison!$AM$3:$AS$33,X$14,$D$122)</f>
        <v>5524.1383776461034</v>
      </c>
      <c r="U208" s="26">
        <f>INDEX(Comparison!$AM$3:$AS$33,Y$14,$D$122)</f>
        <v>5037.8540321693981</v>
      </c>
      <c r="V208" s="26">
        <f>INDEX(Comparison!$AM$3:$AS$33,Z$14,$D$122)</f>
        <v>4531.1485912762591</v>
      </c>
      <c r="W208" s="26">
        <f>INDEX(Comparison!$AM$3:$AS$33,AA$14,$D$122)</f>
        <v>4100.3073895013431</v>
      </c>
      <c r="X208" s="26">
        <f>INDEX(Comparison!$AM$3:$AS$33,AB$14,$D$122)</f>
        <v>3736.9018653482362</v>
      </c>
      <c r="Y208" s="26">
        <f>INDEX(Comparison!$AM$3:$AS$33,AC$14,$D$122)</f>
        <v>3408.8002756648089</v>
      </c>
      <c r="Z208" s="26">
        <f>INDEX(Comparison!$AM$3:$AS$33,AD$14,$D$122)</f>
        <v>3078.2308446927527</v>
      </c>
      <c r="AA208" s="26">
        <f>INDEX(Comparison!$AM$3:$AS$33,AE$14,$D$122)</f>
        <v>2685.2498641877337</v>
      </c>
      <c r="AB208" s="26">
        <f>INDEX(Comparison!$AM$3:$AS$33,AF$14,$D$122)</f>
        <v>2228.0957655931211</v>
      </c>
      <c r="AC208" s="26">
        <f>INDEX(Comparison!$AM$3:$AS$33,AG$14,$D$122)</f>
        <v>1704.9584752004923</v>
      </c>
      <c r="AD208" s="26">
        <f>INDEX(Comparison!$AM$3:$AS$33,AH$14,$D$122)</f>
        <v>1135.4901421385146</v>
      </c>
      <c r="AE208" s="26">
        <f>INDEX(Comparison!$AM$3:$AS$33,AI$14,$D$122)</f>
        <v>680.51042901870051</v>
      </c>
      <c r="AF208" s="26">
        <f>INDEX(Comparison!$AM$3:$AS$33,AJ$14,$D$122)</f>
        <v>389.33964903055204</v>
      </c>
      <c r="AG208" s="26"/>
      <c r="AH208" s="26"/>
    </row>
    <row r="209" spans="1:34" x14ac:dyDescent="0.25">
      <c r="A209" s="70" t="s">
        <v>22</v>
      </c>
      <c r="B209" s="27">
        <f>($C$17+SUM(B210:B240))*$B$51</f>
        <v>6517.3975295619712</v>
      </c>
      <c r="C209" s="27">
        <f t="shared" ref="C209:AF209" si="170">($C$17+SUM(C210:C240))*$B$51</f>
        <v>6517.3975295619357</v>
      </c>
      <c r="D209" s="27">
        <f t="shared" si="170"/>
        <v>6517.397529561591</v>
      </c>
      <c r="E209" s="27">
        <f t="shared" si="170"/>
        <v>6517.3975295581495</v>
      </c>
      <c r="F209" s="27">
        <f t="shared" si="170"/>
        <v>6517.3975295237215</v>
      </c>
      <c r="G209" s="27">
        <f t="shared" si="170"/>
        <v>6517.3975291794486</v>
      </c>
      <c r="H209" s="27">
        <f t="shared" si="170"/>
        <v>6517.3975257367156</v>
      </c>
      <c r="I209" s="27">
        <f t="shared" si="170"/>
        <v>6517.3974913093916</v>
      </c>
      <c r="J209" s="27">
        <f t="shared" si="170"/>
        <v>6517.3971470368615</v>
      </c>
      <c r="K209" s="27">
        <f t="shared" si="170"/>
        <v>6517.3937043815258</v>
      </c>
      <c r="L209" s="27">
        <f t="shared" si="170"/>
        <v>6517.3592848225198</v>
      </c>
      <c r="M209" s="27">
        <f t="shared" si="170"/>
        <v>6517.0157859023675</v>
      </c>
      <c r="N209" s="27">
        <f t="shared" si="170"/>
        <v>6513.6478001497835</v>
      </c>
      <c r="O209" s="27">
        <f t="shared" si="170"/>
        <v>6484.7724573805554</v>
      </c>
      <c r="P209" s="27">
        <f t="shared" si="170"/>
        <v>6339.6214225524727</v>
      </c>
      <c r="Q209" s="27">
        <f t="shared" si="170"/>
        <v>6190.0512966096103</v>
      </c>
      <c r="R209" s="27">
        <f t="shared" si="170"/>
        <v>6011.8278386789198</v>
      </c>
      <c r="S209" s="27">
        <f t="shared" si="170"/>
        <v>5809.5988238603522</v>
      </c>
      <c r="T209" s="27">
        <f t="shared" si="170"/>
        <v>5595.937723559482</v>
      </c>
      <c r="U209" s="27">
        <f t="shared" si="170"/>
        <v>5334.8174401020387</v>
      </c>
      <c r="V209" s="27">
        <f t="shared" si="170"/>
        <v>5010.185042404416</v>
      </c>
      <c r="W209" s="27">
        <f t="shared" si="170"/>
        <v>4650.7550898259688</v>
      </c>
      <c r="X209" s="27">
        <f t="shared" si="170"/>
        <v>4289.0477169008946</v>
      </c>
      <c r="Y209" s="27">
        <f t="shared" si="170"/>
        <v>3920.7175248448311</v>
      </c>
      <c r="Z209" s="27">
        <f t="shared" si="170"/>
        <v>3543.5169621343507</v>
      </c>
      <c r="AA209" s="27">
        <f t="shared" si="170"/>
        <v>3043.7664053375952</v>
      </c>
      <c r="AB209" s="27">
        <f t="shared" si="170"/>
        <v>2493.2238525473008</v>
      </c>
      <c r="AC209" s="27">
        <f t="shared" si="170"/>
        <v>1871.867799278016</v>
      </c>
      <c r="AD209" s="27">
        <f t="shared" si="170"/>
        <v>1208.9210263227453</v>
      </c>
      <c r="AE209" s="27">
        <f t="shared" si="170"/>
        <v>720.86312822405182</v>
      </c>
      <c r="AF209" s="27">
        <f t="shared" si="170"/>
        <v>404.44993978543386</v>
      </c>
      <c r="AG209" s="27"/>
      <c r="AH209" s="27"/>
    </row>
    <row r="210" spans="1:34" x14ac:dyDescent="0.25">
      <c r="B210" s="3">
        <f t="shared" ref="B210:AF210" si="171">$C18*EXP(-B$207/$A18/EXP(-$D$126))</f>
        <v>3.6190264700123432E-64</v>
      </c>
      <c r="C210" s="3">
        <f t="shared" si="171"/>
        <v>0</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0</v>
      </c>
      <c r="C211" s="3">
        <f t="shared" si="172"/>
        <v>0</v>
      </c>
      <c r="D211" s="3">
        <f t="shared" si="172"/>
        <v>0</v>
      </c>
      <c r="E211" s="3">
        <f t="shared" si="172"/>
        <v>0</v>
      </c>
      <c r="F211" s="3">
        <f t="shared" si="172"/>
        <v>0</v>
      </c>
      <c r="G211" s="3">
        <f t="shared" si="172"/>
        <v>0</v>
      </c>
      <c r="H211" s="3">
        <f t="shared" si="172"/>
        <v>0</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0</v>
      </c>
      <c r="C212" s="3">
        <f t="shared" si="173"/>
        <v>0</v>
      </c>
      <c r="D212" s="3">
        <f t="shared" si="173"/>
        <v>0</v>
      </c>
      <c r="E212" s="3">
        <f t="shared" si="173"/>
        <v>0</v>
      </c>
      <c r="F212" s="3">
        <f t="shared" si="173"/>
        <v>0</v>
      </c>
      <c r="G212" s="3">
        <f t="shared" si="173"/>
        <v>0</v>
      </c>
      <c r="H212" s="3">
        <f t="shared" si="173"/>
        <v>0</v>
      </c>
      <c r="I212" s="3">
        <f t="shared" si="173"/>
        <v>0</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0</v>
      </c>
      <c r="C213" s="3">
        <f t="shared" si="174"/>
        <v>0</v>
      </c>
      <c r="D213" s="3">
        <f t="shared" si="174"/>
        <v>0</v>
      </c>
      <c r="E213" s="3">
        <f t="shared" si="174"/>
        <v>0</v>
      </c>
      <c r="F213" s="3">
        <f t="shared" si="174"/>
        <v>0</v>
      </c>
      <c r="G213" s="3">
        <f t="shared" si="174"/>
        <v>0</v>
      </c>
      <c r="H213" s="3">
        <f t="shared" si="174"/>
        <v>0</v>
      </c>
      <c r="I213" s="3">
        <f t="shared" si="174"/>
        <v>0</v>
      </c>
      <c r="J213" s="3">
        <f t="shared" si="174"/>
        <v>0</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0</v>
      </c>
      <c r="C214" s="3">
        <f t="shared" si="175"/>
        <v>0</v>
      </c>
      <c r="D214" s="3">
        <f t="shared" si="175"/>
        <v>0</v>
      </c>
      <c r="E214" s="3">
        <f t="shared" si="175"/>
        <v>0</v>
      </c>
      <c r="F214" s="3">
        <f t="shared" si="175"/>
        <v>0</v>
      </c>
      <c r="G214" s="3">
        <f t="shared" si="175"/>
        <v>0</v>
      </c>
      <c r="H214" s="3">
        <f t="shared" si="175"/>
        <v>0</v>
      </c>
      <c r="I214" s="3">
        <f t="shared" si="175"/>
        <v>0</v>
      </c>
      <c r="J214" s="3">
        <f t="shared" si="175"/>
        <v>0</v>
      </c>
      <c r="K214" s="3">
        <f t="shared" si="175"/>
        <v>0</v>
      </c>
      <c r="L214" s="3">
        <f t="shared" si="175"/>
        <v>0</v>
      </c>
      <c r="M214" s="3">
        <f t="shared" si="175"/>
        <v>0</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0</v>
      </c>
      <c r="C215" s="3">
        <f t="shared" si="176"/>
        <v>0</v>
      </c>
      <c r="D215" s="3">
        <f t="shared" si="176"/>
        <v>0</v>
      </c>
      <c r="E215" s="3">
        <f t="shared" si="176"/>
        <v>0</v>
      </c>
      <c r="F215" s="3">
        <f t="shared" si="176"/>
        <v>0</v>
      </c>
      <c r="G215" s="3">
        <f t="shared" si="176"/>
        <v>0</v>
      </c>
      <c r="H215" s="3">
        <f t="shared" si="176"/>
        <v>0</v>
      </c>
      <c r="I215" s="3">
        <f t="shared" si="176"/>
        <v>0</v>
      </c>
      <c r="J215" s="3">
        <f t="shared" si="176"/>
        <v>0</v>
      </c>
      <c r="K215" s="3">
        <f t="shared" si="176"/>
        <v>0</v>
      </c>
      <c r="L215" s="3">
        <f t="shared" si="176"/>
        <v>0</v>
      </c>
      <c r="M215" s="3">
        <f t="shared" si="176"/>
        <v>0</v>
      </c>
      <c r="N215" s="3">
        <f t="shared" si="176"/>
        <v>0</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0</v>
      </c>
      <c r="C216" s="3">
        <f t="shared" si="177"/>
        <v>0</v>
      </c>
      <c r="D216" s="3">
        <f t="shared" si="177"/>
        <v>0</v>
      </c>
      <c r="E216" s="3">
        <f t="shared" si="177"/>
        <v>0</v>
      </c>
      <c r="F216" s="3">
        <f t="shared" si="177"/>
        <v>0</v>
      </c>
      <c r="G216" s="3">
        <f t="shared" si="177"/>
        <v>0</v>
      </c>
      <c r="H216" s="3">
        <f t="shared" si="177"/>
        <v>0</v>
      </c>
      <c r="I216" s="3">
        <f t="shared" si="177"/>
        <v>0</v>
      </c>
      <c r="J216" s="3">
        <f t="shared" si="177"/>
        <v>0</v>
      </c>
      <c r="K216" s="3">
        <f t="shared" si="177"/>
        <v>0</v>
      </c>
      <c r="L216" s="3">
        <f t="shared" si="177"/>
        <v>0</v>
      </c>
      <c r="M216" s="3">
        <f t="shared" si="177"/>
        <v>0</v>
      </c>
      <c r="N216" s="3">
        <f t="shared" si="177"/>
        <v>0</v>
      </c>
      <c r="O216" s="3">
        <f t="shared" si="177"/>
        <v>0</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0</v>
      </c>
      <c r="C217" s="3">
        <f t="shared" si="178"/>
        <v>0</v>
      </c>
      <c r="D217" s="3">
        <f t="shared" si="178"/>
        <v>0</v>
      </c>
      <c r="E217" s="3">
        <f t="shared" si="178"/>
        <v>0</v>
      </c>
      <c r="F217" s="3">
        <f t="shared" si="178"/>
        <v>0</v>
      </c>
      <c r="G217" s="3">
        <f t="shared" si="178"/>
        <v>0</v>
      </c>
      <c r="H217" s="3">
        <f t="shared" si="178"/>
        <v>0</v>
      </c>
      <c r="I217" s="3">
        <f t="shared" si="178"/>
        <v>0</v>
      </c>
      <c r="J217" s="3">
        <f t="shared" si="178"/>
        <v>0</v>
      </c>
      <c r="K217" s="3">
        <f t="shared" si="178"/>
        <v>0</v>
      </c>
      <c r="L217" s="3">
        <f t="shared" si="178"/>
        <v>0</v>
      </c>
      <c r="M217" s="3">
        <f t="shared" si="178"/>
        <v>0</v>
      </c>
      <c r="N217" s="3">
        <f t="shared" si="178"/>
        <v>0</v>
      </c>
      <c r="O217" s="3">
        <f t="shared" si="178"/>
        <v>0</v>
      </c>
      <c r="P217" s="3">
        <f t="shared" si="178"/>
        <v>0</v>
      </c>
      <c r="Q217" s="3">
        <f t="shared" si="178"/>
        <v>0</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0</v>
      </c>
      <c r="C218" s="3">
        <f t="shared" si="179"/>
        <v>0</v>
      </c>
      <c r="D218" s="3">
        <f t="shared" si="179"/>
        <v>0</v>
      </c>
      <c r="E218" s="3">
        <f t="shared" si="179"/>
        <v>0</v>
      </c>
      <c r="F218" s="3">
        <f t="shared" si="179"/>
        <v>0</v>
      </c>
      <c r="G218" s="3">
        <f t="shared" si="179"/>
        <v>0</v>
      </c>
      <c r="H218" s="3">
        <f t="shared" si="179"/>
        <v>0</v>
      </c>
      <c r="I218" s="3">
        <f t="shared" si="179"/>
        <v>0</v>
      </c>
      <c r="J218" s="3">
        <f t="shared" si="179"/>
        <v>0</v>
      </c>
      <c r="K218" s="3">
        <f t="shared" si="179"/>
        <v>0</v>
      </c>
      <c r="L218" s="3">
        <f t="shared" si="179"/>
        <v>0</v>
      </c>
      <c r="M218" s="3">
        <f t="shared" si="179"/>
        <v>0</v>
      </c>
      <c r="N218" s="3">
        <f t="shared" si="179"/>
        <v>0</v>
      </c>
      <c r="O218" s="3">
        <f t="shared" si="179"/>
        <v>0</v>
      </c>
      <c r="P218" s="3">
        <f t="shared" si="179"/>
        <v>0</v>
      </c>
      <c r="Q218" s="3">
        <f t="shared" si="179"/>
        <v>0</v>
      </c>
      <c r="R218" s="3">
        <f t="shared" si="179"/>
        <v>0</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7.2761897872490339E-4</v>
      </c>
      <c r="C219" s="3">
        <f t="shared" si="180"/>
        <v>7.2761897872387947E-4</v>
      </c>
      <c r="D219" s="3">
        <f t="shared" si="180"/>
        <v>7.2761897871364059E-4</v>
      </c>
      <c r="E219" s="3">
        <f t="shared" si="180"/>
        <v>7.276189786112519E-4</v>
      </c>
      <c r="F219" s="3">
        <f t="shared" si="180"/>
        <v>7.2761897758736498E-4</v>
      </c>
      <c r="G219" s="3">
        <f t="shared" si="180"/>
        <v>7.2761896734849544E-4</v>
      </c>
      <c r="H219" s="3">
        <f t="shared" si="180"/>
        <v>7.2761886495980872E-4</v>
      </c>
      <c r="I219" s="3">
        <f t="shared" si="180"/>
        <v>7.2761784107373416E-4</v>
      </c>
      <c r="J219" s="3">
        <f t="shared" si="180"/>
        <v>7.2760760229223043E-4</v>
      </c>
      <c r="K219" s="3">
        <f t="shared" si="180"/>
        <v>7.2750522240106765E-4</v>
      </c>
      <c r="L219" s="3">
        <f t="shared" si="180"/>
        <v>7.264822154644465E-4</v>
      </c>
      <c r="M219" s="3">
        <f t="shared" si="180"/>
        <v>7.1633093280088476E-4</v>
      </c>
      <c r="N219" s="3">
        <f t="shared" si="180"/>
        <v>6.2230155818418899E-4</v>
      </c>
      <c r="O219" s="3">
        <f t="shared" si="180"/>
        <v>1.523606155981201E-4</v>
      </c>
      <c r="P219" s="3">
        <f t="shared" si="180"/>
        <v>1.1792096422539855E-10</v>
      </c>
      <c r="Q219" s="3">
        <f t="shared" si="180"/>
        <v>9.094399992701303E-72</v>
      </c>
      <c r="R219" s="3">
        <f t="shared" si="180"/>
        <v>0</v>
      </c>
      <c r="S219" s="3">
        <f t="shared" si="180"/>
        <v>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3.1446025257016577E-2</v>
      </c>
      <c r="C220" s="3">
        <f t="shared" si="181"/>
        <v>3.1446025257012587E-2</v>
      </c>
      <c r="D220" s="3">
        <f t="shared" si="181"/>
        <v>3.1446025256972668E-2</v>
      </c>
      <c r="E220" s="3">
        <f t="shared" si="181"/>
        <v>3.1446025256573501E-2</v>
      </c>
      <c r="F220" s="3">
        <f t="shared" si="181"/>
        <v>3.144602525258177E-2</v>
      </c>
      <c r="G220" s="3">
        <f t="shared" si="181"/>
        <v>3.1446025212664548E-2</v>
      </c>
      <c r="H220" s="3">
        <f t="shared" si="181"/>
        <v>3.1446024813492304E-2</v>
      </c>
      <c r="I220" s="3">
        <f t="shared" si="181"/>
        <v>3.1446020821770122E-2</v>
      </c>
      <c r="J220" s="3">
        <f t="shared" si="181"/>
        <v>3.1445980904576148E-2</v>
      </c>
      <c r="K220" s="3">
        <f t="shared" si="181"/>
        <v>3.1445581735423271E-2</v>
      </c>
      <c r="L220" s="3">
        <f t="shared" si="181"/>
        <v>3.1441590322567582E-2</v>
      </c>
      <c r="M220" s="3">
        <f t="shared" si="181"/>
        <v>3.1401704048230186E-2</v>
      </c>
      <c r="N220" s="3">
        <f t="shared" si="181"/>
        <v>3.1005613688715045E-2</v>
      </c>
      <c r="O220" s="3">
        <f t="shared" si="181"/>
        <v>2.730935774841195E-2</v>
      </c>
      <c r="P220" s="3">
        <f t="shared" si="181"/>
        <v>7.6740219423365218E-3</v>
      </c>
      <c r="Q220" s="3">
        <f t="shared" si="181"/>
        <v>2.3558006445728361E-8</v>
      </c>
      <c r="R220" s="3">
        <f t="shared" si="181"/>
        <v>1.7510297813655705E-63</v>
      </c>
      <c r="S220" s="3">
        <f t="shared" si="181"/>
        <v>0</v>
      </c>
      <c r="T220" s="3">
        <f t="shared" si="181"/>
        <v>0</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1.9599632072183428E-2</v>
      </c>
      <c r="C221" s="3">
        <f t="shared" si="182"/>
        <v>1.9599632072183203E-2</v>
      </c>
      <c r="D221" s="3">
        <f t="shared" si="182"/>
        <v>1.9599632072180958E-2</v>
      </c>
      <c r="E221" s="3">
        <f t="shared" si="182"/>
        <v>1.9599632072158514E-2</v>
      </c>
      <c r="F221" s="3">
        <f t="shared" si="182"/>
        <v>1.9599632071934082E-2</v>
      </c>
      <c r="G221" s="3">
        <f t="shared" si="182"/>
        <v>1.9599632069689739E-2</v>
      </c>
      <c r="H221" s="3">
        <f t="shared" si="182"/>
        <v>1.9599632047246317E-2</v>
      </c>
      <c r="I221" s="3">
        <f t="shared" si="182"/>
        <v>1.9599631822812089E-2</v>
      </c>
      <c r="J221" s="3">
        <f t="shared" si="182"/>
        <v>1.959962957846996E-2</v>
      </c>
      <c r="K221" s="3">
        <f t="shared" si="182"/>
        <v>1.9599607135062806E-2</v>
      </c>
      <c r="L221" s="3">
        <f t="shared" si="182"/>
        <v>1.9599382702404747E-2</v>
      </c>
      <c r="M221" s="3">
        <f t="shared" si="182"/>
        <v>1.9597138517166591E-2</v>
      </c>
      <c r="N221" s="3">
        <f t="shared" si="182"/>
        <v>1.957471079303998E-2</v>
      </c>
      <c r="O221" s="3">
        <f t="shared" si="182"/>
        <v>1.935184040963394E-2</v>
      </c>
      <c r="P221" s="3">
        <f t="shared" si="182"/>
        <v>1.7258039925347572E-2</v>
      </c>
      <c r="Q221" s="3">
        <f t="shared" si="182"/>
        <v>5.4914043657673262E-3</v>
      </c>
      <c r="R221" s="3">
        <f t="shared" si="182"/>
        <v>5.8425572616074312E-8</v>
      </c>
      <c r="S221" s="3">
        <f t="shared" si="182"/>
        <v>1.0859216858672089E-57</v>
      </c>
      <c r="T221" s="3">
        <f t="shared" si="182"/>
        <v>0</v>
      </c>
      <c r="U221" s="3">
        <f t="shared" si="182"/>
        <v>0</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3.251621456449303E-2</v>
      </c>
      <c r="C222" s="3">
        <f t="shared" si="183"/>
        <v>3.2516214564493003E-2</v>
      </c>
      <c r="D222" s="3">
        <f t="shared" si="183"/>
        <v>3.2516214564492663E-2</v>
      </c>
      <c r="E222" s="3">
        <f t="shared" si="183"/>
        <v>3.2516214564489304E-2</v>
      </c>
      <c r="F222" s="3">
        <f t="shared" si="183"/>
        <v>3.251621456445572E-2</v>
      </c>
      <c r="G222" s="3">
        <f t="shared" si="183"/>
        <v>3.2516214564119836E-2</v>
      </c>
      <c r="H222" s="3">
        <f t="shared" si="183"/>
        <v>3.2516214560761009E-2</v>
      </c>
      <c r="I222" s="3">
        <f t="shared" si="183"/>
        <v>3.2516214527172731E-2</v>
      </c>
      <c r="J222" s="3">
        <f t="shared" si="183"/>
        <v>3.2516214191289944E-2</v>
      </c>
      <c r="K222" s="3">
        <f t="shared" si="183"/>
        <v>3.2516210832462311E-2</v>
      </c>
      <c r="L222" s="3">
        <f t="shared" si="183"/>
        <v>3.2516177244205059E-2</v>
      </c>
      <c r="M222" s="3">
        <f t="shared" si="183"/>
        <v>3.2515841363540778E-2</v>
      </c>
      <c r="N222" s="3">
        <f t="shared" si="183"/>
        <v>3.2512482747716134E-2</v>
      </c>
      <c r="O222" s="3">
        <f t="shared" si="183"/>
        <v>3.2478915663996959E-2</v>
      </c>
      <c r="P222" s="3">
        <f t="shared" si="183"/>
        <v>3.2145145009366452E-2</v>
      </c>
      <c r="Q222" s="3">
        <f t="shared" si="183"/>
        <v>2.8990390571385277E-2</v>
      </c>
      <c r="R222" s="3">
        <f t="shared" si="183"/>
        <v>1.0319076641094414E-2</v>
      </c>
      <c r="S222" s="3">
        <f t="shared" si="183"/>
        <v>3.3690585168371425E-7</v>
      </c>
      <c r="T222" s="3">
        <f t="shared" si="183"/>
        <v>4.6364514516752158E-52</v>
      </c>
      <c r="U222" s="3">
        <f t="shared" si="183"/>
        <v>0</v>
      </c>
      <c r="V222" s="3">
        <f t="shared" si="183"/>
        <v>0</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3.2163923063268561E-2</v>
      </c>
      <c r="C223" s="3">
        <f t="shared" si="184"/>
        <v>3.2163923063268554E-2</v>
      </c>
      <c r="D223" s="3">
        <f t="shared" si="184"/>
        <v>3.2163923063268526E-2</v>
      </c>
      <c r="E223" s="3">
        <f t="shared" si="184"/>
        <v>3.2163923063268228E-2</v>
      </c>
      <c r="F223" s="3">
        <f t="shared" si="184"/>
        <v>3.216392306326523E-2</v>
      </c>
      <c r="G223" s="3">
        <f t="shared" si="184"/>
        <v>3.2163923063235261E-2</v>
      </c>
      <c r="H223" s="3">
        <f t="shared" si="184"/>
        <v>3.216392306293555E-2</v>
      </c>
      <c r="I223" s="3">
        <f t="shared" si="184"/>
        <v>3.2163923059938433E-2</v>
      </c>
      <c r="J223" s="3">
        <f t="shared" si="184"/>
        <v>3.2163923029967283E-2</v>
      </c>
      <c r="K223" s="3">
        <f t="shared" si="184"/>
        <v>3.2163922730255812E-2</v>
      </c>
      <c r="L223" s="3">
        <f t="shared" si="184"/>
        <v>3.2163919733141241E-2</v>
      </c>
      <c r="M223" s="3">
        <f t="shared" si="184"/>
        <v>3.2163889762010893E-2</v>
      </c>
      <c r="N223" s="3">
        <f t="shared" si="184"/>
        <v>3.2163590052243417E-2</v>
      </c>
      <c r="O223" s="3">
        <f t="shared" si="184"/>
        <v>3.2160593108166005E-2</v>
      </c>
      <c r="P223" s="3">
        <f t="shared" si="184"/>
        <v>3.213063902183453E-2</v>
      </c>
      <c r="Q223" s="3">
        <f t="shared" si="184"/>
        <v>3.1832628322116828E-2</v>
      </c>
      <c r="R223" s="3">
        <f t="shared" si="184"/>
        <v>2.9000390987346612E-2</v>
      </c>
      <c r="S223" s="3">
        <f t="shared" si="184"/>
        <v>1.1421348940717037E-2</v>
      </c>
      <c r="T223" s="3">
        <f t="shared" si="184"/>
        <v>1.0253045152471158E-6</v>
      </c>
      <c r="U223" s="3">
        <f t="shared" si="184"/>
        <v>3.4850384008169812E-47</v>
      </c>
      <c r="V223" s="3">
        <f t="shared" si="184"/>
        <v>0</v>
      </c>
      <c r="W223" s="3">
        <f t="shared" si="184"/>
        <v>0</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3.3900572605001088E-2</v>
      </c>
      <c r="C224" s="3">
        <f t="shared" si="185"/>
        <v>3.3900572605001088E-2</v>
      </c>
      <c r="D224" s="3">
        <f t="shared" si="185"/>
        <v>3.3900572605001081E-2</v>
      </c>
      <c r="E224" s="3">
        <f t="shared" si="185"/>
        <v>3.390057260500106E-2</v>
      </c>
      <c r="F224" s="3">
        <f t="shared" si="185"/>
        <v>3.3900572605000769E-2</v>
      </c>
      <c r="G224" s="3">
        <f t="shared" si="185"/>
        <v>3.3900572604997924E-2</v>
      </c>
      <c r="H224" s="3">
        <f t="shared" si="185"/>
        <v>3.3900572604969426E-2</v>
      </c>
      <c r="I224" s="3">
        <f t="shared" si="185"/>
        <v>3.3900572604684459E-2</v>
      </c>
      <c r="J224" s="3">
        <f t="shared" si="185"/>
        <v>3.3900572601834836E-2</v>
      </c>
      <c r="K224" s="3">
        <f t="shared" si="185"/>
        <v>3.3900572573338568E-2</v>
      </c>
      <c r="L224" s="3">
        <f t="shared" si="185"/>
        <v>3.3900572288375896E-2</v>
      </c>
      <c r="M224" s="3">
        <f t="shared" si="185"/>
        <v>3.3900569438749285E-2</v>
      </c>
      <c r="N224" s="3">
        <f t="shared" si="185"/>
        <v>3.3900540942496352E-2</v>
      </c>
      <c r="O224" s="3">
        <f t="shared" si="185"/>
        <v>3.3900255981284509E-2</v>
      </c>
      <c r="P224" s="3">
        <f t="shared" si="185"/>
        <v>3.3897406500905745E-2</v>
      </c>
      <c r="Q224" s="3">
        <f t="shared" si="185"/>
        <v>3.3868924866989836E-2</v>
      </c>
      <c r="R224" s="3">
        <f t="shared" si="185"/>
        <v>3.3585421428155286E-2</v>
      </c>
      <c r="S224" s="3">
        <f t="shared" si="185"/>
        <v>3.087768393518794E-2</v>
      </c>
      <c r="T224" s="3">
        <f t="shared" si="185"/>
        <v>1.3322442980354879E-2</v>
      </c>
      <c r="U224" s="3">
        <f t="shared" si="185"/>
        <v>2.9783477011643198E-6</v>
      </c>
      <c r="V224" s="3">
        <f t="shared" si="185"/>
        <v>9.2873255189635173E-43</v>
      </c>
      <c r="W224" s="3">
        <f t="shared" si="185"/>
        <v>0</v>
      </c>
      <c r="X224" s="3">
        <f t="shared" si="185"/>
        <v>0</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4.6234934193755559E-2</v>
      </c>
      <c r="C225" s="3">
        <f t="shared" si="186"/>
        <v>4.6234934193755559E-2</v>
      </c>
      <c r="D225" s="3">
        <f t="shared" si="186"/>
        <v>4.6234934193755559E-2</v>
      </c>
      <c r="E225" s="3">
        <f t="shared" si="186"/>
        <v>4.6234934193755552E-2</v>
      </c>
      <c r="F225" s="3">
        <f t="shared" si="186"/>
        <v>4.6234934193755517E-2</v>
      </c>
      <c r="G225" s="3">
        <f t="shared" si="186"/>
        <v>4.623493419375517E-2</v>
      </c>
      <c r="H225" s="3">
        <f t="shared" si="186"/>
        <v>4.6234934193751666E-2</v>
      </c>
      <c r="I225" s="3">
        <f t="shared" si="186"/>
        <v>4.6234934193716604E-2</v>
      </c>
      <c r="J225" s="3">
        <f t="shared" si="186"/>
        <v>4.6234934193366016E-2</v>
      </c>
      <c r="K225" s="3">
        <f t="shared" si="186"/>
        <v>4.6234934189860133E-2</v>
      </c>
      <c r="L225" s="3">
        <f t="shared" si="186"/>
        <v>4.6234934154801267E-2</v>
      </c>
      <c r="M225" s="3">
        <f t="shared" si="186"/>
        <v>4.6234933804212681E-2</v>
      </c>
      <c r="N225" s="3">
        <f t="shared" si="186"/>
        <v>4.6234930298326919E-2</v>
      </c>
      <c r="O225" s="3">
        <f t="shared" si="186"/>
        <v>4.623489523948391E-2</v>
      </c>
      <c r="P225" s="3">
        <f t="shared" si="186"/>
        <v>4.6234544652515953E-2</v>
      </c>
      <c r="Q225" s="3">
        <f t="shared" si="186"/>
        <v>4.6231038929045551E-2</v>
      </c>
      <c r="R225" s="3">
        <f t="shared" si="186"/>
        <v>4.6195996311152468E-2</v>
      </c>
      <c r="S225" s="3">
        <f t="shared" si="186"/>
        <v>4.5847027720696078E-2</v>
      </c>
      <c r="T225" s="3">
        <f t="shared" si="186"/>
        <v>4.2499092844919192E-2</v>
      </c>
      <c r="U225" s="3">
        <f t="shared" si="186"/>
        <v>1.9909685765576113E-2</v>
      </c>
      <c r="V225" s="3">
        <f t="shared" si="186"/>
        <v>1.0137056373014129E-5</v>
      </c>
      <c r="W225" s="3">
        <f t="shared" si="186"/>
        <v>1.1868242785706465E-38</v>
      </c>
      <c r="X225" s="3">
        <f t="shared" si="186"/>
        <v>0</v>
      </c>
      <c r="Y225" s="3">
        <f t="shared" si="186"/>
        <v>0</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5.6671396993887152E-2</v>
      </c>
      <c r="C226" s="3">
        <f t="shared" si="187"/>
        <v>5.6671396993887152E-2</v>
      </c>
      <c r="D226" s="3">
        <f t="shared" si="187"/>
        <v>5.6671396993887152E-2</v>
      </c>
      <c r="E226" s="3">
        <f t="shared" si="187"/>
        <v>5.6671396993887152E-2</v>
      </c>
      <c r="F226" s="3">
        <f t="shared" si="187"/>
        <v>5.6671396993887145E-2</v>
      </c>
      <c r="G226" s="3">
        <f t="shared" si="187"/>
        <v>5.667139699388711E-2</v>
      </c>
      <c r="H226" s="3">
        <f t="shared" si="187"/>
        <v>5.6671396993886722E-2</v>
      </c>
      <c r="I226" s="3">
        <f t="shared" si="187"/>
        <v>5.6671396993882843E-2</v>
      </c>
      <c r="J226" s="3">
        <f t="shared" si="187"/>
        <v>5.6671396993844075E-2</v>
      </c>
      <c r="K226" s="3">
        <f t="shared" si="187"/>
        <v>5.6671396993456427E-2</v>
      </c>
      <c r="L226" s="3">
        <f t="shared" si="187"/>
        <v>5.6671396989579945E-2</v>
      </c>
      <c r="M226" s="3">
        <f t="shared" si="187"/>
        <v>5.6671396950815099E-2</v>
      </c>
      <c r="N226" s="3">
        <f t="shared" si="187"/>
        <v>5.6671396563166665E-2</v>
      </c>
      <c r="O226" s="3">
        <f t="shared" si="187"/>
        <v>5.6671392686682372E-2</v>
      </c>
      <c r="P226" s="3">
        <f t="shared" si="187"/>
        <v>5.6671353921854052E-2</v>
      </c>
      <c r="Q226" s="3">
        <f t="shared" si="187"/>
        <v>5.6670966275029232E-2</v>
      </c>
      <c r="R226" s="3">
        <f t="shared" si="187"/>
        <v>5.6667089952616385E-2</v>
      </c>
      <c r="S226" s="3">
        <f t="shared" si="187"/>
        <v>5.6628341308327314E-2</v>
      </c>
      <c r="T226" s="3">
        <f t="shared" si="187"/>
        <v>5.624230916610444E-2</v>
      </c>
      <c r="U226" s="3">
        <f t="shared" si="187"/>
        <v>5.2523803490368198E-2</v>
      </c>
      <c r="V226" s="3">
        <f t="shared" si="187"/>
        <v>2.6502473685189726E-2</v>
      </c>
      <c r="W226" s="3">
        <f t="shared" si="187"/>
        <v>2.8352336417674323E-5</v>
      </c>
      <c r="X226" s="3">
        <f t="shared" si="187"/>
        <v>5.5668980493266527E-35</v>
      </c>
      <c r="Y226" s="3">
        <f t="shared" si="187"/>
        <v>0</v>
      </c>
      <c r="Z226" s="3">
        <f t="shared" si="187"/>
        <v>0</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5.870573738309863E-2</v>
      </c>
      <c r="C227" s="3">
        <f t="shared" si="188"/>
        <v>5.870573738309863E-2</v>
      </c>
      <c r="D227" s="3">
        <f t="shared" si="188"/>
        <v>5.870573738309863E-2</v>
      </c>
      <c r="E227" s="3">
        <f t="shared" si="188"/>
        <v>5.870573738309863E-2</v>
      </c>
      <c r="F227" s="3">
        <f t="shared" si="188"/>
        <v>5.870573738309863E-2</v>
      </c>
      <c r="G227" s="3">
        <f t="shared" si="188"/>
        <v>5.8705737383098623E-2</v>
      </c>
      <c r="H227" s="3">
        <f t="shared" si="188"/>
        <v>5.8705737383098588E-2</v>
      </c>
      <c r="I227" s="3">
        <f t="shared" si="188"/>
        <v>5.8705737383098228E-2</v>
      </c>
      <c r="J227" s="3">
        <f t="shared" si="188"/>
        <v>5.8705737383094606E-2</v>
      </c>
      <c r="K227" s="3">
        <f t="shared" si="188"/>
        <v>5.8705737383058385E-2</v>
      </c>
      <c r="L227" s="3">
        <f t="shared" si="188"/>
        <v>5.870573738269614E-2</v>
      </c>
      <c r="M227" s="3">
        <f t="shared" si="188"/>
        <v>5.8705737379073697E-2</v>
      </c>
      <c r="N227" s="3">
        <f t="shared" si="188"/>
        <v>5.8705737342849292E-2</v>
      </c>
      <c r="O227" s="3">
        <f t="shared" si="188"/>
        <v>5.8705736980605237E-2</v>
      </c>
      <c r="P227" s="3">
        <f t="shared" si="188"/>
        <v>5.8705733358164827E-2</v>
      </c>
      <c r="Q227" s="3">
        <f t="shared" si="188"/>
        <v>5.8705697133773015E-2</v>
      </c>
      <c r="R227" s="3">
        <f t="shared" si="188"/>
        <v>5.8705334891084288E-2</v>
      </c>
      <c r="S227" s="3">
        <f t="shared" si="188"/>
        <v>5.8701712587131437E-2</v>
      </c>
      <c r="T227" s="3">
        <f t="shared" si="188"/>
        <v>5.8665501838243296E-2</v>
      </c>
      <c r="U227" s="3">
        <f t="shared" si="188"/>
        <v>5.8304620611960178E-2</v>
      </c>
      <c r="V227" s="3">
        <f t="shared" si="188"/>
        <v>5.4815680554137193E-2</v>
      </c>
      <c r="W227" s="3">
        <f t="shared" si="188"/>
        <v>2.9574892640663694E-2</v>
      </c>
      <c r="X227" s="3">
        <f t="shared" si="188"/>
        <v>6.1816845697489311E-5</v>
      </c>
      <c r="Y227" s="3">
        <f t="shared" si="188"/>
        <v>9.8388305335325551E-32</v>
      </c>
      <c r="Z227" s="3">
        <f t="shared" si="188"/>
        <v>1.0263840047480318E-299</v>
      </c>
      <c r="AA227" s="3">
        <f t="shared" si="188"/>
        <v>0</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5.620235606497212E-2</v>
      </c>
      <c r="C228" s="3">
        <f t="shared" si="189"/>
        <v>5.620235606497212E-2</v>
      </c>
      <c r="D228" s="3">
        <f t="shared" si="189"/>
        <v>5.620235606497212E-2</v>
      </c>
      <c r="E228" s="3">
        <f t="shared" si="189"/>
        <v>5.620235606497212E-2</v>
      </c>
      <c r="F228" s="3">
        <f t="shared" si="189"/>
        <v>5.620235606497212E-2</v>
      </c>
      <c r="G228" s="3">
        <f t="shared" si="189"/>
        <v>5.620235606497212E-2</v>
      </c>
      <c r="H228" s="3">
        <f t="shared" si="189"/>
        <v>5.6202356064972113E-2</v>
      </c>
      <c r="I228" s="3">
        <f t="shared" si="189"/>
        <v>5.6202356064972085E-2</v>
      </c>
      <c r="J228" s="3">
        <f t="shared" si="189"/>
        <v>5.6202356064971773E-2</v>
      </c>
      <c r="K228" s="3">
        <f t="shared" si="189"/>
        <v>5.6202356064968644E-2</v>
      </c>
      <c r="L228" s="3">
        <f t="shared" si="189"/>
        <v>5.6202356064937356E-2</v>
      </c>
      <c r="M228" s="3">
        <f t="shared" si="189"/>
        <v>5.6202356064624516E-2</v>
      </c>
      <c r="N228" s="3">
        <f t="shared" si="189"/>
        <v>5.6202356061496123E-2</v>
      </c>
      <c r="O228" s="3">
        <f t="shared" si="189"/>
        <v>5.6202356030212154E-2</v>
      </c>
      <c r="P228" s="3">
        <f t="shared" si="189"/>
        <v>5.6202355717372483E-2</v>
      </c>
      <c r="Q228" s="3">
        <f t="shared" si="189"/>
        <v>5.6202352588975796E-2</v>
      </c>
      <c r="R228" s="3">
        <f t="shared" si="189"/>
        <v>5.620232130501851E-2</v>
      </c>
      <c r="S228" s="3">
        <f t="shared" si="189"/>
        <v>5.6202008466403441E-2</v>
      </c>
      <c r="T228" s="3">
        <f t="shared" si="189"/>
        <v>5.6198880176025486E-2</v>
      </c>
      <c r="U228" s="3">
        <f t="shared" si="189"/>
        <v>5.6167606847547326E-2</v>
      </c>
      <c r="V228" s="3">
        <f t="shared" si="189"/>
        <v>5.5855829123771641E-2</v>
      </c>
      <c r="W228" s="3">
        <f t="shared" si="189"/>
        <v>5.2831668934466336E-2</v>
      </c>
      <c r="X228" s="3">
        <f t="shared" si="189"/>
        <v>3.0279772138329265E-2</v>
      </c>
      <c r="Y228" s="3">
        <f t="shared" si="189"/>
        <v>1.1580713787067057E-4</v>
      </c>
      <c r="Z228" s="3">
        <f t="shared" si="189"/>
        <v>7.7546568507977925E-29</v>
      </c>
      <c r="AA228" s="3">
        <f t="shared" si="189"/>
        <v>1.4055139123178386E-270</v>
      </c>
      <c r="AB228" s="3">
        <f t="shared" si="189"/>
        <v>0</v>
      </c>
      <c r="AC228" s="3">
        <f t="shared" si="189"/>
        <v>0</v>
      </c>
      <c r="AD228" s="3">
        <f t="shared" si="189"/>
        <v>0</v>
      </c>
      <c r="AE228" s="3">
        <f t="shared" si="189"/>
        <v>0</v>
      </c>
      <c r="AF228" s="3">
        <f t="shared" si="189"/>
        <v>0</v>
      </c>
      <c r="AG228" s="3"/>
      <c r="AH228" s="3"/>
    </row>
    <row r="229" spans="2:34" x14ac:dyDescent="0.25">
      <c r="B229" s="3">
        <f t="shared" ref="B229:AF229" si="190">$C37*EXP(-B$207/$A37/EXP(-$D$126))</f>
        <v>6.3415296184233166E-2</v>
      </c>
      <c r="C229" s="3">
        <f t="shared" si="190"/>
        <v>6.3415296184233166E-2</v>
      </c>
      <c r="D229" s="3">
        <f t="shared" si="190"/>
        <v>6.3415296184233166E-2</v>
      </c>
      <c r="E229" s="3">
        <f t="shared" si="190"/>
        <v>6.3415296184233166E-2</v>
      </c>
      <c r="F229" s="3">
        <f t="shared" si="190"/>
        <v>6.3415296184233166E-2</v>
      </c>
      <c r="G229" s="3">
        <f t="shared" si="190"/>
        <v>6.3415296184233166E-2</v>
      </c>
      <c r="H229" s="3">
        <f t="shared" si="190"/>
        <v>6.3415296184233166E-2</v>
      </c>
      <c r="I229" s="3">
        <f t="shared" si="190"/>
        <v>6.3415296184233153E-2</v>
      </c>
      <c r="J229" s="3">
        <f t="shared" si="190"/>
        <v>6.3415296184233125E-2</v>
      </c>
      <c r="K229" s="3">
        <f t="shared" si="190"/>
        <v>6.3415296184232819E-2</v>
      </c>
      <c r="L229" s="3">
        <f t="shared" si="190"/>
        <v>6.3415296184229628E-2</v>
      </c>
      <c r="M229" s="3">
        <f t="shared" si="190"/>
        <v>6.3415296184197792E-2</v>
      </c>
      <c r="N229" s="3">
        <f t="shared" si="190"/>
        <v>6.3415296183879366E-2</v>
      </c>
      <c r="O229" s="3">
        <f t="shared" si="190"/>
        <v>6.3415296180695108E-2</v>
      </c>
      <c r="P229" s="3">
        <f t="shared" si="190"/>
        <v>6.3415296148852551E-2</v>
      </c>
      <c r="Q229" s="3">
        <f t="shared" si="190"/>
        <v>6.3415295830426988E-2</v>
      </c>
      <c r="R229" s="3">
        <f t="shared" si="190"/>
        <v>6.3415292646171448E-2</v>
      </c>
      <c r="S229" s="3">
        <f t="shared" si="190"/>
        <v>6.3415260803624876E-2</v>
      </c>
      <c r="T229" s="3">
        <f t="shared" si="190"/>
        <v>6.3414942379038525E-2</v>
      </c>
      <c r="U229" s="3">
        <f t="shared" si="190"/>
        <v>6.3411758221112752E-2</v>
      </c>
      <c r="V229" s="3">
        <f t="shared" si="190"/>
        <v>6.3379925434000631E-2</v>
      </c>
      <c r="W229" s="3">
        <f t="shared" si="190"/>
        <v>6.3062475146156871E-2</v>
      </c>
      <c r="X229" s="3">
        <f t="shared" si="190"/>
        <v>5.9974121825824803E-2</v>
      </c>
      <c r="Y229" s="3">
        <f t="shared" si="190"/>
        <v>3.62988401547929E-2</v>
      </c>
      <c r="Z229" s="3">
        <f t="shared" si="190"/>
        <v>2.394314839275621E-4</v>
      </c>
      <c r="AA229" s="3">
        <f t="shared" si="190"/>
        <v>3.7330718171809497E-26</v>
      </c>
      <c r="AB229" s="3">
        <f t="shared" si="190"/>
        <v>3.1689634002078192E-244</v>
      </c>
      <c r="AC229" s="3">
        <f t="shared" si="190"/>
        <v>0</v>
      </c>
      <c r="AD229" s="3">
        <f t="shared" si="190"/>
        <v>0</v>
      </c>
      <c r="AE229" s="3">
        <f t="shared" si="190"/>
        <v>0</v>
      </c>
      <c r="AF229" s="3">
        <f t="shared" si="190"/>
        <v>0</v>
      </c>
      <c r="AG229" s="3"/>
      <c r="AH229" s="3"/>
    </row>
    <row r="230" spans="2:34" x14ac:dyDescent="0.25">
      <c r="B230" s="3">
        <f t="shared" ref="B230:AF230" si="191">$C38*EXP(-B$207/$A38/EXP(-$D$126))</f>
        <v>3.5348869965799563E-2</v>
      </c>
      <c r="C230" s="3">
        <f t="shared" si="191"/>
        <v>3.5348869965799563E-2</v>
      </c>
      <c r="D230" s="3">
        <f t="shared" si="191"/>
        <v>3.5348869965799563E-2</v>
      </c>
      <c r="E230" s="3">
        <f t="shared" si="191"/>
        <v>3.5348869965799563E-2</v>
      </c>
      <c r="F230" s="3">
        <f t="shared" si="191"/>
        <v>3.5348869965799563E-2</v>
      </c>
      <c r="G230" s="3">
        <f t="shared" si="191"/>
        <v>3.5348869965799563E-2</v>
      </c>
      <c r="H230" s="3">
        <f t="shared" si="191"/>
        <v>3.5348869965799563E-2</v>
      </c>
      <c r="I230" s="3">
        <f t="shared" si="191"/>
        <v>3.5348869965799563E-2</v>
      </c>
      <c r="J230" s="3">
        <f t="shared" si="191"/>
        <v>3.5348869965799563E-2</v>
      </c>
      <c r="K230" s="3">
        <f t="shared" si="191"/>
        <v>3.5348869965799543E-2</v>
      </c>
      <c r="L230" s="3">
        <f t="shared" si="191"/>
        <v>3.534886996579939E-2</v>
      </c>
      <c r="M230" s="3">
        <f t="shared" si="191"/>
        <v>3.5348869965797787E-2</v>
      </c>
      <c r="N230" s="3">
        <f t="shared" si="191"/>
        <v>3.5348869965781772E-2</v>
      </c>
      <c r="O230" s="3">
        <f t="shared" si="191"/>
        <v>3.5348869965621657E-2</v>
      </c>
      <c r="P230" s="3">
        <f t="shared" si="191"/>
        <v>3.5348869964020493E-2</v>
      </c>
      <c r="Q230" s="3">
        <f t="shared" si="191"/>
        <v>3.5348869948008843E-2</v>
      </c>
      <c r="R230" s="3">
        <f t="shared" si="191"/>
        <v>3.5348869787892367E-2</v>
      </c>
      <c r="S230" s="3">
        <f t="shared" si="191"/>
        <v>3.5348868186727639E-2</v>
      </c>
      <c r="T230" s="3">
        <f t="shared" si="191"/>
        <v>3.534885217508435E-2</v>
      </c>
      <c r="U230" s="3">
        <f t="shared" si="191"/>
        <v>3.5348692059050321E-2</v>
      </c>
      <c r="V230" s="3">
        <f t="shared" si="191"/>
        <v>3.5347090938598891E-2</v>
      </c>
      <c r="W230" s="3">
        <f t="shared" si="191"/>
        <v>3.5331083722297506E-2</v>
      </c>
      <c r="X230" s="3">
        <f t="shared" si="191"/>
        <v>3.51714097129796E-2</v>
      </c>
      <c r="Y230" s="3">
        <f t="shared" si="191"/>
        <v>3.3613825709674847E-2</v>
      </c>
      <c r="Z230" s="3">
        <f t="shared" si="191"/>
        <v>2.1369759060346005E-2</v>
      </c>
      <c r="AA230" s="3">
        <f t="shared" si="191"/>
        <v>2.3047108311052483E-4</v>
      </c>
      <c r="AB230" s="3">
        <f t="shared" si="191"/>
        <v>4.9066447435727837E-24</v>
      </c>
      <c r="AC230" s="3">
        <f t="shared" si="191"/>
        <v>9.3856927946245317E-221</v>
      </c>
      <c r="AD230" s="3">
        <f t="shared" si="191"/>
        <v>0</v>
      </c>
      <c r="AE230" s="3">
        <f t="shared" si="191"/>
        <v>0</v>
      </c>
      <c r="AF230" s="3">
        <f t="shared" si="191"/>
        <v>0</v>
      </c>
      <c r="AG230" s="3"/>
      <c r="AH230" s="3"/>
    </row>
    <row r="231" spans="2:34" x14ac:dyDescent="0.25">
      <c r="B231" s="3">
        <f t="shared" ref="B231:AF231" si="192">$C39*EXP(-B$207/$A39/EXP(-$D$126))</f>
        <v>7.0460456800535406E-2</v>
      </c>
      <c r="C231" s="3">
        <f t="shared" si="192"/>
        <v>7.0460456800535406E-2</v>
      </c>
      <c r="D231" s="3">
        <f t="shared" si="192"/>
        <v>7.0460456800535406E-2</v>
      </c>
      <c r="E231" s="3">
        <f t="shared" si="192"/>
        <v>7.0460456800535406E-2</v>
      </c>
      <c r="F231" s="3">
        <f t="shared" si="192"/>
        <v>7.0460456800535406E-2</v>
      </c>
      <c r="G231" s="3">
        <f t="shared" si="192"/>
        <v>7.0460456800535406E-2</v>
      </c>
      <c r="H231" s="3">
        <f t="shared" si="192"/>
        <v>7.0460456800535406E-2</v>
      </c>
      <c r="I231" s="3">
        <f t="shared" si="192"/>
        <v>7.0460456800535406E-2</v>
      </c>
      <c r="J231" s="3">
        <f t="shared" si="192"/>
        <v>7.0460456800535406E-2</v>
      </c>
      <c r="K231" s="3">
        <f t="shared" si="192"/>
        <v>7.0460456800535393E-2</v>
      </c>
      <c r="L231" s="3">
        <f t="shared" si="192"/>
        <v>7.0460456800535309E-2</v>
      </c>
      <c r="M231" s="3">
        <f t="shared" si="192"/>
        <v>7.0460456800534435E-2</v>
      </c>
      <c r="N231" s="3">
        <f t="shared" si="192"/>
        <v>7.0460456800525595E-2</v>
      </c>
      <c r="O231" s="3">
        <f t="shared" si="192"/>
        <v>7.0460456800437332E-2</v>
      </c>
      <c r="P231" s="3">
        <f t="shared" si="192"/>
        <v>7.0460456799554608E-2</v>
      </c>
      <c r="Q231" s="3">
        <f t="shared" si="192"/>
        <v>7.0460456790727502E-2</v>
      </c>
      <c r="R231" s="3">
        <f t="shared" si="192"/>
        <v>7.0460456702456348E-2</v>
      </c>
      <c r="S231" s="3">
        <f t="shared" si="192"/>
        <v>7.0460455819744805E-2</v>
      </c>
      <c r="T231" s="3">
        <f t="shared" si="192"/>
        <v>7.0460446992630002E-2</v>
      </c>
      <c r="U231" s="3">
        <f t="shared" si="192"/>
        <v>7.0460358721542854E-2</v>
      </c>
      <c r="V231" s="3">
        <f t="shared" si="192"/>
        <v>7.0459476016753425E-2</v>
      </c>
      <c r="W231" s="3">
        <f t="shared" si="192"/>
        <v>7.0450649577039587E-2</v>
      </c>
      <c r="X231" s="3">
        <f t="shared" si="192"/>
        <v>7.0362445969768747E-2</v>
      </c>
      <c r="Y231" s="3">
        <f t="shared" si="192"/>
        <v>6.9486460800245051E-2</v>
      </c>
      <c r="Z231" s="3">
        <f t="shared" si="192"/>
        <v>6.1304567179328952E-2</v>
      </c>
      <c r="AA231" s="3">
        <f t="shared" si="192"/>
        <v>1.7515365973557399E-2</v>
      </c>
      <c r="AB231" s="3">
        <f t="shared" si="192"/>
        <v>6.3486746452337071E-8</v>
      </c>
      <c r="AC231" s="3">
        <f t="shared" si="192"/>
        <v>2.4849726940822186E-62</v>
      </c>
      <c r="AD231" s="3">
        <f t="shared" si="192"/>
        <v>0</v>
      </c>
      <c r="AE231" s="3">
        <f t="shared" si="192"/>
        <v>0</v>
      </c>
      <c r="AF231" s="3">
        <f t="shared" si="192"/>
        <v>0</v>
      </c>
      <c r="AG231" s="3"/>
      <c r="AH231" s="3"/>
    </row>
    <row r="232" spans="2:34" x14ac:dyDescent="0.25">
      <c r="B232" s="3">
        <f t="shared" ref="B232:AF232" si="193">$C40*EXP(-B$207/$A40/EXP(-$D$126))</f>
        <v>8.6875447409324694E-2</v>
      </c>
      <c r="C232" s="3">
        <f t="shared" si="193"/>
        <v>8.6875447409324694E-2</v>
      </c>
      <c r="D232" s="3">
        <f t="shared" si="193"/>
        <v>8.6875447409324694E-2</v>
      </c>
      <c r="E232" s="3">
        <f t="shared" si="193"/>
        <v>8.6875447409324694E-2</v>
      </c>
      <c r="F232" s="3">
        <f t="shared" si="193"/>
        <v>8.6875447409324694E-2</v>
      </c>
      <c r="G232" s="3">
        <f t="shared" si="193"/>
        <v>8.6875447409324694E-2</v>
      </c>
      <c r="H232" s="3">
        <f t="shared" si="193"/>
        <v>8.6875447409324694E-2</v>
      </c>
      <c r="I232" s="3">
        <f t="shared" si="193"/>
        <v>8.6875447409324694E-2</v>
      </c>
      <c r="J232" s="3">
        <f t="shared" si="193"/>
        <v>8.6875447409324694E-2</v>
      </c>
      <c r="K232" s="3">
        <f t="shared" si="193"/>
        <v>8.6875447409324694E-2</v>
      </c>
      <c r="L232" s="3">
        <f t="shared" si="193"/>
        <v>8.687544740932468E-2</v>
      </c>
      <c r="M232" s="3">
        <f t="shared" si="193"/>
        <v>8.6875447409324569E-2</v>
      </c>
      <c r="N232" s="3">
        <f t="shared" si="193"/>
        <v>8.6875447409323486E-2</v>
      </c>
      <c r="O232" s="3">
        <f t="shared" si="193"/>
        <v>8.6875447409312592E-2</v>
      </c>
      <c r="P232" s="3">
        <f t="shared" si="193"/>
        <v>8.6875447409203763E-2</v>
      </c>
      <c r="Q232" s="3">
        <f t="shared" si="193"/>
        <v>8.6875447408115411E-2</v>
      </c>
      <c r="R232" s="3">
        <f t="shared" si="193"/>
        <v>8.6875447397231867E-2</v>
      </c>
      <c r="S232" s="3">
        <f t="shared" si="193"/>
        <v>8.6875447288396412E-2</v>
      </c>
      <c r="T232" s="3">
        <f t="shared" si="193"/>
        <v>8.6875446200041839E-2</v>
      </c>
      <c r="U232" s="3">
        <f t="shared" si="193"/>
        <v>8.6875435316496913E-2</v>
      </c>
      <c r="V232" s="3">
        <f t="shared" si="193"/>
        <v>8.6875326481122603E-2</v>
      </c>
      <c r="W232" s="3">
        <f t="shared" si="193"/>
        <v>8.6874238134878559E-2</v>
      </c>
      <c r="X232" s="3">
        <f t="shared" si="193"/>
        <v>8.6863355422304861E-2</v>
      </c>
      <c r="Y232" s="3">
        <f t="shared" si="193"/>
        <v>8.6754603248493919E-2</v>
      </c>
      <c r="Z232" s="3">
        <f t="shared" si="193"/>
        <v>8.567454207685353E-2</v>
      </c>
      <c r="AA232" s="3">
        <f t="shared" si="193"/>
        <v>7.5586533834375247E-2</v>
      </c>
      <c r="AB232" s="3">
        <f t="shared" si="193"/>
        <v>2.1595875539076811E-2</v>
      </c>
      <c r="AC232" s="3">
        <f t="shared" si="193"/>
        <v>7.8277089775654565E-8</v>
      </c>
      <c r="AD232" s="3">
        <f t="shared" si="193"/>
        <v>3.0638903634911893E-62</v>
      </c>
      <c r="AE232" s="3">
        <f t="shared" si="193"/>
        <v>0</v>
      </c>
      <c r="AF232" s="3">
        <f t="shared" si="193"/>
        <v>0</v>
      </c>
      <c r="AG232" s="3"/>
      <c r="AH232" s="3"/>
    </row>
    <row r="233" spans="2:34" x14ac:dyDescent="0.25">
      <c r="B233" s="3">
        <f t="shared" ref="B233:AF233" si="194">$C41*EXP(-B$207/$A41/EXP(-$D$126))</f>
        <v>9.6215979999175721E-2</v>
      </c>
      <c r="C233" s="3">
        <f t="shared" si="194"/>
        <v>9.6215979999175721E-2</v>
      </c>
      <c r="D233" s="3">
        <f t="shared" si="194"/>
        <v>9.6215979999175721E-2</v>
      </c>
      <c r="E233" s="3">
        <f t="shared" si="194"/>
        <v>9.6215979999175721E-2</v>
      </c>
      <c r="F233" s="3">
        <f t="shared" si="194"/>
        <v>9.6215979999175721E-2</v>
      </c>
      <c r="G233" s="3">
        <f t="shared" si="194"/>
        <v>9.6215979999175721E-2</v>
      </c>
      <c r="H233" s="3">
        <f t="shared" si="194"/>
        <v>9.6215979999175721E-2</v>
      </c>
      <c r="I233" s="3">
        <f t="shared" si="194"/>
        <v>9.6215979999175721E-2</v>
      </c>
      <c r="J233" s="3">
        <f t="shared" si="194"/>
        <v>9.6215979999175721E-2</v>
      </c>
      <c r="K233" s="3">
        <f t="shared" si="194"/>
        <v>9.6215979999175721E-2</v>
      </c>
      <c r="L233" s="3">
        <f t="shared" si="194"/>
        <v>9.6215979999175721E-2</v>
      </c>
      <c r="M233" s="3">
        <f t="shared" si="194"/>
        <v>9.6215979999175708E-2</v>
      </c>
      <c r="N233" s="3">
        <f t="shared" si="194"/>
        <v>9.6215979999175583E-2</v>
      </c>
      <c r="O233" s="3">
        <f t="shared" si="194"/>
        <v>9.6215979999174389E-2</v>
      </c>
      <c r="P233" s="3">
        <f t="shared" si="194"/>
        <v>9.6215979999162329E-2</v>
      </c>
      <c r="Q233" s="3">
        <f t="shared" si="194"/>
        <v>9.6215979999041787E-2</v>
      </c>
      <c r="R233" s="3">
        <f t="shared" si="194"/>
        <v>9.6215979997836418E-2</v>
      </c>
      <c r="S233" s="3">
        <f t="shared" si="194"/>
        <v>9.6215979985782712E-2</v>
      </c>
      <c r="T233" s="3">
        <f t="shared" si="194"/>
        <v>9.621597986524566E-2</v>
      </c>
      <c r="U233" s="3">
        <f t="shared" si="194"/>
        <v>9.6215978659875176E-2</v>
      </c>
      <c r="V233" s="3">
        <f t="shared" si="194"/>
        <v>9.6215966606171016E-2</v>
      </c>
      <c r="W233" s="3">
        <f t="shared" si="194"/>
        <v>9.6215846069212532E-2</v>
      </c>
      <c r="X233" s="3">
        <f t="shared" si="194"/>
        <v>9.6214640707932994E-2</v>
      </c>
      <c r="Y233" s="3">
        <f t="shared" si="194"/>
        <v>9.6202587925627386E-2</v>
      </c>
      <c r="Z233" s="3">
        <f t="shared" si="194"/>
        <v>9.6082143113056129E-2</v>
      </c>
      <c r="AA233" s="3">
        <f t="shared" si="194"/>
        <v>9.488595768682391E-2</v>
      </c>
      <c r="AB233" s="3">
        <f t="shared" si="194"/>
        <v>8.371332343589942E-2</v>
      </c>
      <c r="AC233" s="3">
        <f t="shared" si="194"/>
        <v>2.3917785644802063E-2</v>
      </c>
      <c r="AD233" s="3">
        <f t="shared" si="194"/>
        <v>8.6693158180382216E-8</v>
      </c>
      <c r="AE233" s="3">
        <f t="shared" si="194"/>
        <v>3.3933087278891409E-62</v>
      </c>
      <c r="AF233" s="3">
        <f t="shared" si="194"/>
        <v>0</v>
      </c>
      <c r="AG233" s="3"/>
      <c r="AH233" s="3"/>
    </row>
    <row r="234" spans="2:34" x14ac:dyDescent="0.25">
      <c r="B234" s="3">
        <f t="shared" ref="B234:AF234" si="195">$C42*EXP(-B$207/$A42/EXP(-$D$126))</f>
        <v>0.11161416834614406</v>
      </c>
      <c r="C234" s="3">
        <f t="shared" si="195"/>
        <v>0.11161416834614406</v>
      </c>
      <c r="D234" s="3">
        <f t="shared" si="195"/>
        <v>0.11161416834614406</v>
      </c>
      <c r="E234" s="3">
        <f t="shared" si="195"/>
        <v>0.11161416834614406</v>
      </c>
      <c r="F234" s="3">
        <f t="shared" si="195"/>
        <v>0.11161416834614406</v>
      </c>
      <c r="G234" s="3">
        <f t="shared" si="195"/>
        <v>0.11161416834614406</v>
      </c>
      <c r="H234" s="3">
        <f t="shared" si="195"/>
        <v>0.11161416834614406</v>
      </c>
      <c r="I234" s="3">
        <f t="shared" si="195"/>
        <v>0.11161416834614406</v>
      </c>
      <c r="J234" s="3">
        <f t="shared" si="195"/>
        <v>0.11161416834614406</v>
      </c>
      <c r="K234" s="3">
        <f t="shared" si="195"/>
        <v>0.11161416834614406</v>
      </c>
      <c r="L234" s="3">
        <f t="shared" si="195"/>
        <v>0.11161416834614406</v>
      </c>
      <c r="M234" s="3">
        <f t="shared" si="195"/>
        <v>0.11161416834614406</v>
      </c>
      <c r="N234" s="3">
        <f t="shared" si="195"/>
        <v>0.11161416834614404</v>
      </c>
      <c r="O234" s="3">
        <f t="shared" si="195"/>
        <v>0.11161416834614389</v>
      </c>
      <c r="P234" s="3">
        <f t="shared" si="195"/>
        <v>0.1116141683461425</v>
      </c>
      <c r="Q234" s="3">
        <f t="shared" si="195"/>
        <v>0.11161416834612851</v>
      </c>
      <c r="R234" s="3">
        <f t="shared" si="195"/>
        <v>0.1116141683459887</v>
      </c>
      <c r="S234" s="3">
        <f t="shared" si="195"/>
        <v>0.11161416834459041</v>
      </c>
      <c r="T234" s="3">
        <f t="shared" si="195"/>
        <v>0.11161416833060767</v>
      </c>
      <c r="U234" s="3">
        <f t="shared" si="195"/>
        <v>0.11161416819078014</v>
      </c>
      <c r="V234" s="3">
        <f t="shared" si="195"/>
        <v>0.11161416679250487</v>
      </c>
      <c r="W234" s="3">
        <f t="shared" si="195"/>
        <v>0.11161415280975309</v>
      </c>
      <c r="X234" s="3">
        <f t="shared" si="195"/>
        <v>0.11161401298233176</v>
      </c>
      <c r="Y234" s="3">
        <f t="shared" si="195"/>
        <v>0.11161261471775269</v>
      </c>
      <c r="Z234" s="3">
        <f t="shared" si="195"/>
        <v>0.11159863303536158</v>
      </c>
      <c r="AA234" s="3">
        <f t="shared" si="195"/>
        <v>0.11145891250674603</v>
      </c>
      <c r="AB234" s="3">
        <f t="shared" si="195"/>
        <v>0.11007129226385258</v>
      </c>
      <c r="AC234" s="3">
        <f t="shared" si="195"/>
        <v>9.711061483622295E-2</v>
      </c>
      <c r="AD234" s="3">
        <f t="shared" si="195"/>
        <v>2.7745534093700393E-2</v>
      </c>
      <c r="AE234" s="3">
        <f t="shared" si="195"/>
        <v>1.0056733560981213E-7</v>
      </c>
      <c r="AF234" s="3">
        <f t="shared" si="195"/>
        <v>3.936366200378598E-62</v>
      </c>
      <c r="AG234" s="3"/>
      <c r="AH234" s="3"/>
    </row>
    <row r="235" spans="2:34" x14ac:dyDescent="0.25">
      <c r="B235" s="3">
        <f t="shared" ref="B235:AF235" si="196">$C43*EXP(-B$207/$A43/EXP(-$D$126))</f>
        <v>6.6462351022397975E-2</v>
      </c>
      <c r="C235" s="3">
        <f t="shared" si="196"/>
        <v>6.6462351022397975E-2</v>
      </c>
      <c r="D235" s="3">
        <f t="shared" si="196"/>
        <v>6.6462351022397975E-2</v>
      </c>
      <c r="E235" s="3">
        <f t="shared" si="196"/>
        <v>6.6462351022397975E-2</v>
      </c>
      <c r="F235" s="3">
        <f t="shared" si="196"/>
        <v>6.6462351022397975E-2</v>
      </c>
      <c r="G235" s="3">
        <f t="shared" si="196"/>
        <v>6.6462351022397975E-2</v>
      </c>
      <c r="H235" s="3">
        <f t="shared" si="196"/>
        <v>6.6462351022397975E-2</v>
      </c>
      <c r="I235" s="3">
        <f t="shared" si="196"/>
        <v>6.6462351022397975E-2</v>
      </c>
      <c r="J235" s="3">
        <f t="shared" si="196"/>
        <v>6.6462351022397975E-2</v>
      </c>
      <c r="K235" s="3">
        <f t="shared" si="196"/>
        <v>6.6462351022397975E-2</v>
      </c>
      <c r="L235" s="3">
        <f t="shared" si="196"/>
        <v>6.6462351022397975E-2</v>
      </c>
      <c r="M235" s="3">
        <f t="shared" si="196"/>
        <v>6.6462351022397975E-2</v>
      </c>
      <c r="N235" s="3">
        <f t="shared" si="196"/>
        <v>6.6462351022397975E-2</v>
      </c>
      <c r="O235" s="3">
        <f t="shared" si="196"/>
        <v>6.6462351022397961E-2</v>
      </c>
      <c r="P235" s="3">
        <f t="shared" si="196"/>
        <v>6.6462351022397878E-2</v>
      </c>
      <c r="Q235" s="3">
        <f t="shared" si="196"/>
        <v>6.6462351022397059E-2</v>
      </c>
      <c r="R235" s="3">
        <f t="shared" si="196"/>
        <v>6.6462351022388719E-2</v>
      </c>
      <c r="S235" s="3">
        <f t="shared" si="196"/>
        <v>6.6462351022305466E-2</v>
      </c>
      <c r="T235" s="3">
        <f t="shared" si="196"/>
        <v>6.646235102147284E-2</v>
      </c>
      <c r="U235" s="3">
        <f t="shared" si="196"/>
        <v>6.6462351013146598E-2</v>
      </c>
      <c r="V235" s="3">
        <f t="shared" si="196"/>
        <v>6.6462350929884173E-2</v>
      </c>
      <c r="W235" s="3">
        <f t="shared" si="196"/>
        <v>6.6462350097259926E-2</v>
      </c>
      <c r="X235" s="3">
        <f t="shared" si="196"/>
        <v>6.6462341771018105E-2</v>
      </c>
      <c r="Y235" s="3">
        <f t="shared" si="196"/>
        <v>6.6462258508657265E-2</v>
      </c>
      <c r="Z235" s="3">
        <f t="shared" si="196"/>
        <v>6.6461425890785783E-2</v>
      </c>
      <c r="AA235" s="3">
        <f t="shared" si="196"/>
        <v>6.6453100285741806E-2</v>
      </c>
      <c r="AB235" s="3">
        <f t="shared" si="196"/>
        <v>6.6369901575797724E-2</v>
      </c>
      <c r="AC235" s="3">
        <f t="shared" si="196"/>
        <v>6.5543622035883417E-2</v>
      </c>
      <c r="AD235" s="3">
        <f t="shared" si="196"/>
        <v>5.7825989897893747E-2</v>
      </c>
      <c r="AE235" s="3">
        <f t="shared" si="196"/>
        <v>1.6521499497452755E-2</v>
      </c>
      <c r="AF235" s="3">
        <f t="shared" si="196"/>
        <v>5.9884346761049422E-8</v>
      </c>
      <c r="AG235" s="3"/>
      <c r="AH235" s="3"/>
    </row>
    <row r="236" spans="2:34" x14ac:dyDescent="0.25">
      <c r="B236" s="3">
        <f t="shared" ref="B236:AF236" si="197">$C44*EXP(-B$207/$A44/EXP(-$D$126))</f>
        <v>4.7100906601755713E-2</v>
      </c>
      <c r="C236" s="3">
        <f t="shared" si="197"/>
        <v>4.7100906601755713E-2</v>
      </c>
      <c r="D236" s="3">
        <f t="shared" si="197"/>
        <v>4.7100906601755713E-2</v>
      </c>
      <c r="E236" s="3">
        <f t="shared" si="197"/>
        <v>4.7100906601755713E-2</v>
      </c>
      <c r="F236" s="3">
        <f t="shared" si="197"/>
        <v>4.7100906601755713E-2</v>
      </c>
      <c r="G236" s="3">
        <f t="shared" si="197"/>
        <v>4.7100906601755713E-2</v>
      </c>
      <c r="H236" s="3">
        <f t="shared" si="197"/>
        <v>4.7100906601755713E-2</v>
      </c>
      <c r="I236" s="3">
        <f t="shared" si="197"/>
        <v>4.7100906601755713E-2</v>
      </c>
      <c r="J236" s="3">
        <f t="shared" si="197"/>
        <v>4.7100906601755713E-2</v>
      </c>
      <c r="K236" s="3">
        <f t="shared" si="197"/>
        <v>4.7100906601755713E-2</v>
      </c>
      <c r="L236" s="3">
        <f t="shared" si="197"/>
        <v>4.7100906601755713E-2</v>
      </c>
      <c r="M236" s="3">
        <f t="shared" si="197"/>
        <v>4.7100906601755713E-2</v>
      </c>
      <c r="N236" s="3">
        <f t="shared" si="197"/>
        <v>4.7100906601755713E-2</v>
      </c>
      <c r="O236" s="3">
        <f t="shared" si="197"/>
        <v>4.7100906601755713E-2</v>
      </c>
      <c r="P236" s="3">
        <f t="shared" si="197"/>
        <v>4.7100906601755706E-2</v>
      </c>
      <c r="Q236" s="3">
        <f t="shared" si="197"/>
        <v>4.7100906601755643E-2</v>
      </c>
      <c r="R236" s="3">
        <f t="shared" si="197"/>
        <v>4.710090660175506E-2</v>
      </c>
      <c r="S236" s="3">
        <f t="shared" si="197"/>
        <v>4.7100906601749155E-2</v>
      </c>
      <c r="T236" s="3">
        <f t="shared" si="197"/>
        <v>4.7100906601690147E-2</v>
      </c>
      <c r="U236" s="3">
        <f t="shared" si="197"/>
        <v>4.7100906601100077E-2</v>
      </c>
      <c r="V236" s="3">
        <f t="shared" si="197"/>
        <v>4.7100906595199395E-2</v>
      </c>
      <c r="W236" s="3">
        <f t="shared" si="197"/>
        <v>4.7100906536192519E-2</v>
      </c>
      <c r="X236" s="3">
        <f t="shared" si="197"/>
        <v>4.7100905946123768E-2</v>
      </c>
      <c r="Y236" s="3">
        <f t="shared" si="197"/>
        <v>4.7100900045436649E-2</v>
      </c>
      <c r="Z236" s="3">
        <f t="shared" si="197"/>
        <v>4.710084103860615E-2</v>
      </c>
      <c r="AA236" s="3">
        <f t="shared" si="197"/>
        <v>4.7100250974366827E-2</v>
      </c>
      <c r="AB236" s="3">
        <f t="shared" si="197"/>
        <v>4.7094350738525831E-2</v>
      </c>
      <c r="AC236" s="3">
        <f t="shared" si="197"/>
        <v>4.7035389016495524E-2</v>
      </c>
      <c r="AD236" s="3">
        <f t="shared" si="197"/>
        <v>4.6449816661052822E-2</v>
      </c>
      <c r="AE236" s="3">
        <f t="shared" si="197"/>
        <v>4.0980442422460857E-2</v>
      </c>
      <c r="AF236" s="3">
        <f t="shared" si="197"/>
        <v>1.1708547663145837E-2</v>
      </c>
      <c r="AG236" s="3"/>
      <c r="AH236" s="3"/>
    </row>
    <row r="237" spans="2:34" x14ac:dyDescent="0.25">
      <c r="B237" s="3">
        <f t="shared" ref="B237:AF237" si="198">$C45*EXP(-B$207/$A45/EXP(-$D$126))</f>
        <v>2.2598128773559236E-2</v>
      </c>
      <c r="C237" s="3">
        <f t="shared" si="198"/>
        <v>2.2598128773559236E-2</v>
      </c>
      <c r="D237" s="3">
        <f t="shared" si="198"/>
        <v>2.2598128773559236E-2</v>
      </c>
      <c r="E237" s="3">
        <f t="shared" si="198"/>
        <v>2.2598128773559236E-2</v>
      </c>
      <c r="F237" s="3">
        <f t="shared" si="198"/>
        <v>2.2598128773559236E-2</v>
      </c>
      <c r="G237" s="3">
        <f t="shared" si="198"/>
        <v>2.2598128773559236E-2</v>
      </c>
      <c r="H237" s="3">
        <f t="shared" si="198"/>
        <v>2.2598128773559236E-2</v>
      </c>
      <c r="I237" s="3">
        <f t="shared" si="198"/>
        <v>2.2598128773559236E-2</v>
      </c>
      <c r="J237" s="3">
        <f t="shared" si="198"/>
        <v>2.2598128773559236E-2</v>
      </c>
      <c r="K237" s="3">
        <f t="shared" si="198"/>
        <v>2.2598128773559236E-2</v>
      </c>
      <c r="L237" s="3">
        <f t="shared" si="198"/>
        <v>2.2598128773559236E-2</v>
      </c>
      <c r="M237" s="3">
        <f t="shared" si="198"/>
        <v>2.2598128773559236E-2</v>
      </c>
      <c r="N237" s="3">
        <f t="shared" si="198"/>
        <v>2.2598128773559236E-2</v>
      </c>
      <c r="O237" s="3">
        <f t="shared" si="198"/>
        <v>2.2598128773559236E-2</v>
      </c>
      <c r="P237" s="3">
        <f t="shared" si="198"/>
        <v>2.2598128773559236E-2</v>
      </c>
      <c r="Q237" s="3">
        <f t="shared" si="198"/>
        <v>2.2598128773559233E-2</v>
      </c>
      <c r="R237" s="3">
        <f t="shared" si="198"/>
        <v>2.2598128773559205E-2</v>
      </c>
      <c r="S237" s="3">
        <f t="shared" si="198"/>
        <v>2.2598128773558924E-2</v>
      </c>
      <c r="T237" s="3">
        <f t="shared" si="198"/>
        <v>2.2598128773556089E-2</v>
      </c>
      <c r="U237" s="3">
        <f t="shared" si="198"/>
        <v>2.2598128773527779E-2</v>
      </c>
      <c r="V237" s="3">
        <f t="shared" si="198"/>
        <v>2.2598128773244675E-2</v>
      </c>
      <c r="W237" s="3">
        <f t="shared" si="198"/>
        <v>2.2598128770413638E-2</v>
      </c>
      <c r="X237" s="3">
        <f t="shared" si="198"/>
        <v>2.2598128742103249E-2</v>
      </c>
      <c r="Y237" s="3">
        <f t="shared" si="198"/>
        <v>2.2598128458999365E-2</v>
      </c>
      <c r="Z237" s="3">
        <f t="shared" si="198"/>
        <v>2.2598125627960708E-2</v>
      </c>
      <c r="AA237" s="3">
        <f t="shared" si="198"/>
        <v>2.2598097317593661E-2</v>
      </c>
      <c r="AB237" s="3">
        <f t="shared" si="198"/>
        <v>2.2597814215873823E-2</v>
      </c>
      <c r="AC237" s="3">
        <f t="shared" si="198"/>
        <v>2.2594983393731553E-2</v>
      </c>
      <c r="AD237" s="3">
        <f t="shared" si="198"/>
        <v>2.2566694668879238E-2</v>
      </c>
      <c r="AE237" s="3">
        <f t="shared" si="198"/>
        <v>2.228574807041106E-2</v>
      </c>
      <c r="AF237" s="3">
        <f t="shared" si="198"/>
        <v>1.9661645218219219E-2</v>
      </c>
      <c r="AG237" s="3"/>
      <c r="AH237" s="3"/>
    </row>
    <row r="238" spans="2:34" x14ac:dyDescent="0.25">
      <c r="B238" s="3">
        <f t="shared" ref="B238:AF238" si="199">$C46*EXP(-B$207/$A46/EXP(-$D$126))</f>
        <v>6.4467605952010509E-3</v>
      </c>
      <c r="C238" s="3">
        <f t="shared" si="199"/>
        <v>6.4467605952010509E-3</v>
      </c>
      <c r="D238" s="3">
        <f t="shared" si="199"/>
        <v>6.4467605952010509E-3</v>
      </c>
      <c r="E238" s="3">
        <f t="shared" si="199"/>
        <v>6.4467605952010509E-3</v>
      </c>
      <c r="F238" s="3">
        <f t="shared" si="199"/>
        <v>6.4467605952010509E-3</v>
      </c>
      <c r="G238" s="3">
        <f t="shared" si="199"/>
        <v>6.4467605952010509E-3</v>
      </c>
      <c r="H238" s="3">
        <f t="shared" si="199"/>
        <v>6.4467605952010509E-3</v>
      </c>
      <c r="I238" s="3">
        <f t="shared" si="199"/>
        <v>6.4467605952010509E-3</v>
      </c>
      <c r="J238" s="3">
        <f t="shared" si="199"/>
        <v>6.4467605952010509E-3</v>
      </c>
      <c r="K238" s="3">
        <f t="shared" si="199"/>
        <v>6.4467605952010509E-3</v>
      </c>
      <c r="L238" s="3">
        <f t="shared" si="199"/>
        <v>6.4467605952010509E-3</v>
      </c>
      <c r="M238" s="3">
        <f t="shared" si="199"/>
        <v>6.4467605952010509E-3</v>
      </c>
      <c r="N238" s="3">
        <f t="shared" si="199"/>
        <v>6.4467605952010509E-3</v>
      </c>
      <c r="O238" s="3">
        <f t="shared" si="199"/>
        <v>6.4467605952010509E-3</v>
      </c>
      <c r="P238" s="3">
        <f t="shared" si="199"/>
        <v>6.4467605952010509E-3</v>
      </c>
      <c r="Q238" s="3">
        <f t="shared" si="199"/>
        <v>6.4467605952010509E-3</v>
      </c>
      <c r="R238" s="3">
        <f t="shared" si="199"/>
        <v>6.4467605952010501E-3</v>
      </c>
      <c r="S238" s="3">
        <f t="shared" si="199"/>
        <v>6.4467605952010414E-3</v>
      </c>
      <c r="T238" s="3">
        <f t="shared" si="199"/>
        <v>6.4467605952009616E-3</v>
      </c>
      <c r="U238" s="3">
        <f t="shared" si="199"/>
        <v>6.4467605952001532E-3</v>
      </c>
      <c r="V238" s="3">
        <f t="shared" si="199"/>
        <v>6.4467605951920772E-3</v>
      </c>
      <c r="W238" s="3">
        <f t="shared" si="199"/>
        <v>6.4467605951113137E-3</v>
      </c>
      <c r="X238" s="3">
        <f t="shared" si="199"/>
        <v>6.4467605943036793E-3</v>
      </c>
      <c r="Y238" s="3">
        <f t="shared" si="199"/>
        <v>6.4467605862273333E-3</v>
      </c>
      <c r="Z238" s="3">
        <f t="shared" si="199"/>
        <v>6.4467605054638784E-3</v>
      </c>
      <c r="AA238" s="3">
        <f t="shared" si="199"/>
        <v>6.4467596978293774E-3</v>
      </c>
      <c r="AB238" s="3">
        <f t="shared" si="199"/>
        <v>6.4467516214899356E-3</v>
      </c>
      <c r="AC238" s="3">
        <f t="shared" si="199"/>
        <v>6.4466708586519957E-3</v>
      </c>
      <c r="AD238" s="3">
        <f t="shared" si="199"/>
        <v>6.4458632859179139E-3</v>
      </c>
      <c r="AE238" s="3">
        <f t="shared" si="199"/>
        <v>6.4377931205297171E-3</v>
      </c>
      <c r="AF238" s="3">
        <f t="shared" si="199"/>
        <v>6.3576450924115839E-3</v>
      </c>
      <c r="AG238" s="3"/>
      <c r="AH238" s="3"/>
    </row>
    <row r="239" spans="2:34" x14ac:dyDescent="0.25">
      <c r="B239" s="3">
        <f t="shared" ref="B239:AF239" si="200">$C47*EXP(-B$207/$A47/EXP(-$D$126))</f>
        <v>9.8307104636690784E-5</v>
      </c>
      <c r="C239" s="3">
        <f t="shared" si="200"/>
        <v>9.8307104636690784E-5</v>
      </c>
      <c r="D239" s="3">
        <f t="shared" si="200"/>
        <v>9.8307104636690784E-5</v>
      </c>
      <c r="E239" s="3">
        <f t="shared" si="200"/>
        <v>9.8307104636690784E-5</v>
      </c>
      <c r="F239" s="3">
        <f t="shared" si="200"/>
        <v>9.8307104636690784E-5</v>
      </c>
      <c r="G239" s="3">
        <f t="shared" si="200"/>
        <v>9.8307104636690784E-5</v>
      </c>
      <c r="H239" s="3">
        <f t="shared" si="200"/>
        <v>9.8307104636690784E-5</v>
      </c>
      <c r="I239" s="3">
        <f t="shared" si="200"/>
        <v>9.8307104636690784E-5</v>
      </c>
      <c r="J239" s="3">
        <f t="shared" si="200"/>
        <v>9.8307104636690784E-5</v>
      </c>
      <c r="K239" s="3">
        <f t="shared" si="200"/>
        <v>9.8307104636690784E-5</v>
      </c>
      <c r="L239" s="3">
        <f t="shared" si="200"/>
        <v>9.8307104636690784E-5</v>
      </c>
      <c r="M239" s="3">
        <f t="shared" si="200"/>
        <v>9.8307104636690784E-5</v>
      </c>
      <c r="N239" s="3">
        <f t="shared" si="200"/>
        <v>9.8307104636690784E-5</v>
      </c>
      <c r="O239" s="3">
        <f t="shared" si="200"/>
        <v>9.8307104636690784E-5</v>
      </c>
      <c r="P239" s="3">
        <f t="shared" si="200"/>
        <v>9.8307104636690784E-5</v>
      </c>
      <c r="Q239" s="3">
        <f t="shared" si="200"/>
        <v>9.8307104636690784E-5</v>
      </c>
      <c r="R239" s="3">
        <f t="shared" si="200"/>
        <v>9.8307104636690784E-5</v>
      </c>
      <c r="S239" s="3">
        <f t="shared" si="200"/>
        <v>9.830710463669077E-5</v>
      </c>
      <c r="T239" s="3">
        <f t="shared" si="200"/>
        <v>9.8307104636690648E-5</v>
      </c>
      <c r="U239" s="3">
        <f t="shared" si="200"/>
        <v>9.8307104636689415E-5</v>
      </c>
      <c r="V239" s="3">
        <f t="shared" si="200"/>
        <v>9.8307104636677096E-5</v>
      </c>
      <c r="W239" s="3">
        <f t="shared" si="200"/>
        <v>9.8307104636553944E-5</v>
      </c>
      <c r="X239" s="3">
        <f t="shared" si="200"/>
        <v>9.8307104635322372E-5</v>
      </c>
      <c r="Y239" s="3">
        <f t="shared" si="200"/>
        <v>9.8307104623006702E-5</v>
      </c>
      <c r="Z239" s="3">
        <f t="shared" si="200"/>
        <v>9.8307104499849941E-5</v>
      </c>
      <c r="AA239" s="3">
        <f t="shared" si="200"/>
        <v>9.8307103268282346E-5</v>
      </c>
      <c r="AB239" s="3">
        <f t="shared" si="200"/>
        <v>9.8307090952607173E-5</v>
      </c>
      <c r="AC239" s="3">
        <f t="shared" si="200"/>
        <v>9.8306967795940369E-5</v>
      </c>
      <c r="AD239" s="3">
        <f t="shared" si="200"/>
        <v>9.8305736237758111E-5</v>
      </c>
      <c r="AE239" s="3">
        <f t="shared" si="200"/>
        <v>9.8293421504474813E-5</v>
      </c>
      <c r="AF239" s="3">
        <f t="shared" si="200"/>
        <v>9.8170358986247687E-5</v>
      </c>
      <c r="AG239" s="3"/>
      <c r="AH239" s="3"/>
    </row>
    <row r="240" spans="2:34" x14ac:dyDescent="0.25">
      <c r="B240" s="3">
        <f t="shared" ref="B240:AF240" si="201">$C48*EXP(-B$207/$A48/EXP(-$D$126))</f>
        <v>1.1020901234699522E-2</v>
      </c>
      <c r="C240" s="3">
        <f t="shared" si="201"/>
        <v>1.1020901234699522E-2</v>
      </c>
      <c r="D240" s="3">
        <f t="shared" si="201"/>
        <v>1.1020901234699522E-2</v>
      </c>
      <c r="E240" s="3">
        <f t="shared" si="201"/>
        <v>1.1020901234699522E-2</v>
      </c>
      <c r="F240" s="3">
        <f t="shared" si="201"/>
        <v>1.1020901234699522E-2</v>
      </c>
      <c r="G240" s="3">
        <f t="shared" si="201"/>
        <v>1.1020901234699522E-2</v>
      </c>
      <c r="H240" s="3">
        <f t="shared" si="201"/>
        <v>1.1020901234699522E-2</v>
      </c>
      <c r="I240" s="3">
        <f t="shared" si="201"/>
        <v>1.1020901234699522E-2</v>
      </c>
      <c r="J240" s="3">
        <f t="shared" si="201"/>
        <v>1.1020901234699522E-2</v>
      </c>
      <c r="K240" s="3">
        <f t="shared" si="201"/>
        <v>1.1020901234699522E-2</v>
      </c>
      <c r="L240" s="3">
        <f t="shared" si="201"/>
        <v>1.1020901234699522E-2</v>
      </c>
      <c r="M240" s="3">
        <f t="shared" si="201"/>
        <v>1.1020901234699522E-2</v>
      </c>
      <c r="N240" s="3">
        <f t="shared" si="201"/>
        <v>1.1020901234699522E-2</v>
      </c>
      <c r="O240" s="3">
        <f t="shared" si="201"/>
        <v>1.1020901234699522E-2</v>
      </c>
      <c r="P240" s="3">
        <f t="shared" si="201"/>
        <v>1.1020901234699522E-2</v>
      </c>
      <c r="Q240" s="3">
        <f t="shared" si="201"/>
        <v>1.1020901234699522E-2</v>
      </c>
      <c r="R240" s="3">
        <f t="shared" si="201"/>
        <v>1.1020901234699522E-2</v>
      </c>
      <c r="S240" s="3">
        <f t="shared" si="201"/>
        <v>1.1020901234699522E-2</v>
      </c>
      <c r="T240" s="3">
        <f t="shared" si="201"/>
        <v>1.102090123469952E-2</v>
      </c>
      <c r="U240" s="3">
        <f t="shared" si="201"/>
        <v>1.1020901234699506E-2</v>
      </c>
      <c r="V240" s="3">
        <f t="shared" si="201"/>
        <v>1.1020901234699369E-2</v>
      </c>
      <c r="W240" s="3">
        <f t="shared" si="201"/>
        <v>1.1020901234697988E-2</v>
      </c>
      <c r="X240" s="3">
        <f t="shared" si="201"/>
        <v>1.102090123468418E-2</v>
      </c>
      <c r="Y240" s="3">
        <f t="shared" si="201"/>
        <v>1.1020901234546113E-2</v>
      </c>
      <c r="Z240" s="3">
        <f t="shared" si="201"/>
        <v>1.1020901233165441E-2</v>
      </c>
      <c r="AA240" s="3">
        <f t="shared" si="201"/>
        <v>1.1020901219358724E-2</v>
      </c>
      <c r="AB240" s="3">
        <f t="shared" si="201"/>
        <v>1.1020901081291543E-2</v>
      </c>
      <c r="AC240" s="3">
        <f t="shared" si="201"/>
        <v>1.1020899700619818E-2</v>
      </c>
      <c r="AD240" s="3">
        <f t="shared" si="201"/>
        <v>1.1020885893912091E-2</v>
      </c>
      <c r="AE240" s="3">
        <f t="shared" si="201"/>
        <v>1.102074782778613E-2</v>
      </c>
      <c r="AF240" s="3">
        <f t="shared" si="201"/>
        <v>1.1019367261653618E-2</v>
      </c>
      <c r="AG240" s="3"/>
      <c r="AH240" s="3"/>
    </row>
    <row r="241" spans="1:34" x14ac:dyDescent="0.25">
      <c r="A241" s="79">
        <f>AVERAGE(B241:AF241)</f>
        <v>4.2522327242224794E-2</v>
      </c>
      <c r="B241" s="80">
        <f>IF($A$64&lt;=B207,IF($B$64&gt;=B207,ABS((B209-B208)/B208),0),0)</f>
        <v>1.0258722111779598E-3</v>
      </c>
      <c r="C241" s="80">
        <f t="shared" ref="C241:AF241" si="202">IF($A$64&lt;=C207,IF($B$64&gt;=C207,ABS((C209-C208)/C208),0),0)</f>
        <v>1.0341325470235811E-3</v>
      </c>
      <c r="D241" s="80">
        <f t="shared" si="202"/>
        <v>1.0290452527763842E-3</v>
      </c>
      <c r="E241" s="80">
        <f t="shared" si="202"/>
        <v>1.0275332170769547E-3</v>
      </c>
      <c r="F241" s="80">
        <f t="shared" si="202"/>
        <v>1.0270565212775781E-3</v>
      </c>
      <c r="G241" s="80">
        <f t="shared" si="202"/>
        <v>1.0268964322790661E-3</v>
      </c>
      <c r="H241" s="80">
        <f t="shared" si="202"/>
        <v>1.0268448207939049E-3</v>
      </c>
      <c r="I241" s="80">
        <f t="shared" si="202"/>
        <v>1.0268426492882829E-3</v>
      </c>
      <c r="J241" s="80">
        <f t="shared" si="202"/>
        <v>1.0268432794896872E-3</v>
      </c>
      <c r="K241" s="80">
        <f t="shared" si="202"/>
        <v>1.0269985400830791E-3</v>
      </c>
      <c r="L241" s="80">
        <f t="shared" si="202"/>
        <v>1.0285165777212861E-3</v>
      </c>
      <c r="M241" s="80">
        <f t="shared" si="202"/>
        <v>1.0436295885996568E-3</v>
      </c>
      <c r="N241" s="80">
        <f t="shared" si="202"/>
        <v>1.1875912379500869E-3</v>
      </c>
      <c r="O241" s="80">
        <f t="shared" si="202"/>
        <v>2.1702455337253039E-3</v>
      </c>
      <c r="P241" s="80">
        <f t="shared" si="202"/>
        <v>5.8163952331046626E-3</v>
      </c>
      <c r="Q241" s="80">
        <f t="shared" si="202"/>
        <v>6.470351292395613E-3</v>
      </c>
      <c r="R241" s="80">
        <f t="shared" si="202"/>
        <v>8.9819575980701807E-3</v>
      </c>
      <c r="S241" s="80">
        <f t="shared" si="202"/>
        <v>7.0419896199616638E-3</v>
      </c>
      <c r="T241" s="80">
        <f t="shared" si="202"/>
        <v>1.2997383665101652E-2</v>
      </c>
      <c r="U241" s="80">
        <f t="shared" si="202"/>
        <v>5.894640972850148E-2</v>
      </c>
      <c r="V241" s="80">
        <f t="shared" si="202"/>
        <v>0.10572075522979699</v>
      </c>
      <c r="W241" s="80">
        <f t="shared" si="202"/>
        <v>0.13424547187218763</v>
      </c>
      <c r="X241" s="80">
        <f t="shared" si="202"/>
        <v>0.14775497763873033</v>
      </c>
      <c r="Y241" s="80">
        <f t="shared" si="202"/>
        <v>0.1501751958994384</v>
      </c>
      <c r="Z241" s="80">
        <f t="shared" si="202"/>
        <v>0.15115374412020083</v>
      </c>
      <c r="AA241" s="80">
        <f t="shared" si="202"/>
        <v>0.13351328899826975</v>
      </c>
      <c r="AB241" s="80">
        <f t="shared" si="202"/>
        <v>0.11899312904245944</v>
      </c>
      <c r="AC241" s="80">
        <f t="shared" si="202"/>
        <v>9.7896415956931868E-2</v>
      </c>
      <c r="AD241" s="80">
        <f t="shared" si="202"/>
        <v>6.4668887433875388E-2</v>
      </c>
      <c r="AE241" s="80">
        <f t="shared" si="202"/>
        <v>5.9297694031728673E-2</v>
      </c>
      <c r="AF241" s="80">
        <f t="shared" si="202"/>
        <v>3.8810048738951039E-2</v>
      </c>
    </row>
    <row r="242" spans="1:34" x14ac:dyDescent="0.25">
      <c r="B242" s="21">
        <f>(B209-B208)^2</f>
        <v>44.794683621623328</v>
      </c>
      <c r="C242" s="21">
        <f t="shared" ref="C242:AF242" si="203">(C209-C208)^2</f>
        <v>45.519715369075577</v>
      </c>
      <c r="D242" s="21">
        <f t="shared" si="203"/>
        <v>45.0725000478282</v>
      </c>
      <c r="E242" s="21">
        <f t="shared" si="203"/>
        <v>44.940006056273873</v>
      </c>
      <c r="F242" s="21">
        <f t="shared" si="203"/>
        <v>44.898275516583261</v>
      </c>
      <c r="G242" s="21">
        <f t="shared" si="203"/>
        <v>44.884265480043723</v>
      </c>
      <c r="H242" s="21">
        <f t="shared" si="203"/>
        <v>44.879749171065534</v>
      </c>
      <c r="I242" s="21">
        <f t="shared" si="203"/>
        <v>44.879558684377436</v>
      </c>
      <c r="J242" s="21">
        <f t="shared" si="203"/>
        <v>44.879609087235693</v>
      </c>
      <c r="K242" s="21">
        <f t="shared" si="203"/>
        <v>44.893148399398342</v>
      </c>
      <c r="L242" s="21">
        <f t="shared" si="203"/>
        <v>45.02562359099305</v>
      </c>
      <c r="M242" s="21">
        <f t="shared" si="203"/>
        <v>46.355073235790478</v>
      </c>
      <c r="N242" s="21">
        <f t="shared" si="203"/>
        <v>59.981131654586221</v>
      </c>
      <c r="O242" s="21">
        <f t="shared" si="203"/>
        <v>198.92727144046773</v>
      </c>
      <c r="P242" s="21">
        <f t="shared" si="203"/>
        <v>1375.6288474310572</v>
      </c>
      <c r="Q242" s="21">
        <f t="shared" si="203"/>
        <v>1625.1092155694864</v>
      </c>
      <c r="R242" s="21">
        <f t="shared" si="203"/>
        <v>2968.8752468136181</v>
      </c>
      <c r="S242" s="21">
        <f t="shared" si="203"/>
        <v>1697.5449425099264</v>
      </c>
      <c r="T242" s="21">
        <f t="shared" si="203"/>
        <v>5155.1460735889968</v>
      </c>
      <c r="U242" s="21">
        <f t="shared" si="203"/>
        <v>88187.265650967922</v>
      </c>
      <c r="V242" s="21">
        <f t="shared" si="203"/>
        <v>229475.921509459</v>
      </c>
      <c r="W242" s="21">
        <f t="shared" si="203"/>
        <v>302992.67079266888</v>
      </c>
      <c r="X242" s="21">
        <f t="shared" si="203"/>
        <v>304865.04138681019</v>
      </c>
      <c r="Y242" s="21">
        <f t="shared" si="203"/>
        <v>262059.27000804103</v>
      </c>
      <c r="Z242" s="21">
        <f t="shared" si="203"/>
        <v>216491.17108387651</v>
      </c>
      <c r="AA242" s="21">
        <f t="shared" si="203"/>
        <v>128534.11027806033</v>
      </c>
      <c r="AB242" s="21">
        <f t="shared" si="203"/>
        <v>70292.90249198307</v>
      </c>
      <c r="AC242" s="21">
        <f t="shared" si="203"/>
        <v>27858.722464015835</v>
      </c>
      <c r="AD242" s="21">
        <f t="shared" si="203"/>
        <v>5392.0947520779118</v>
      </c>
      <c r="AE242" s="21">
        <f t="shared" si="203"/>
        <v>1628.3403331575605</v>
      </c>
      <c r="AF242" s="21">
        <f t="shared" si="203"/>
        <v>228.3208866970669</v>
      </c>
      <c r="AG242" s="3"/>
      <c r="AH242" s="3"/>
    </row>
    <row r="243" spans="1:34" x14ac:dyDescent="0.25">
      <c r="A243" s="71">
        <f>SUM(B243:AF243)</f>
        <v>1651628.0665750841</v>
      </c>
      <c r="B243" s="60">
        <f>IF($A$64&lt;=B207,IF($B$64&gt;=B207,ABS(B242),0),0)</f>
        <v>44.794683621623328</v>
      </c>
      <c r="C243" s="60">
        <f t="shared" ref="C243" si="204">IF($A$64&lt;=C207,IF($B$64&gt;=C207,ABS(C242),0),0)</f>
        <v>45.519715369075577</v>
      </c>
      <c r="D243" s="60">
        <f t="shared" ref="D243" si="205">IF($A$64&lt;=D207,IF($B$64&gt;=D207,ABS(D242),0),0)</f>
        <v>45.0725000478282</v>
      </c>
      <c r="E243" s="60">
        <f t="shared" ref="E243" si="206">IF($A$64&lt;=E207,IF($B$64&gt;=E207,ABS(E242),0),0)</f>
        <v>44.940006056273873</v>
      </c>
      <c r="F243" s="60">
        <f t="shared" ref="F243" si="207">IF($A$64&lt;=F207,IF($B$64&gt;=F207,ABS(F242),0),0)</f>
        <v>44.898275516583261</v>
      </c>
      <c r="G243" s="60">
        <f t="shared" ref="G243" si="208">IF($A$64&lt;=G207,IF($B$64&gt;=G207,ABS(G242),0),0)</f>
        <v>44.884265480043723</v>
      </c>
      <c r="H243" s="60">
        <f t="shared" ref="H243" si="209">IF($A$64&lt;=H207,IF($B$64&gt;=H207,ABS(H242),0),0)</f>
        <v>44.879749171065534</v>
      </c>
      <c r="I243" s="60">
        <f t="shared" ref="I243" si="210">IF($A$64&lt;=I207,IF($B$64&gt;=I207,ABS(I242),0),0)</f>
        <v>44.879558684377436</v>
      </c>
      <c r="J243" s="60">
        <f t="shared" ref="J243" si="211">IF($A$64&lt;=J207,IF($B$64&gt;=J207,ABS(J242),0),0)</f>
        <v>44.879609087235693</v>
      </c>
      <c r="K243" s="60">
        <f t="shared" ref="K243" si="212">IF($A$64&lt;=K207,IF($B$64&gt;=K207,ABS(K242),0),0)</f>
        <v>44.893148399398342</v>
      </c>
      <c r="L243" s="60">
        <f t="shared" ref="L243" si="213">IF($A$64&lt;=L207,IF($B$64&gt;=L207,ABS(L242),0),0)</f>
        <v>45.02562359099305</v>
      </c>
      <c r="M243" s="60">
        <f t="shared" ref="M243" si="214">IF($A$64&lt;=M207,IF($B$64&gt;=M207,ABS(M242),0),0)</f>
        <v>46.355073235790478</v>
      </c>
      <c r="N243" s="60">
        <f t="shared" ref="N243" si="215">IF($A$64&lt;=N207,IF($B$64&gt;=N207,ABS(N242),0),0)</f>
        <v>59.981131654586221</v>
      </c>
      <c r="O243" s="60">
        <f t="shared" ref="O243" si="216">IF($A$64&lt;=O207,IF($B$64&gt;=O207,ABS(O242),0),0)</f>
        <v>198.92727144046773</v>
      </c>
      <c r="P243" s="60">
        <f t="shared" ref="P243" si="217">IF($A$64&lt;=P207,IF($B$64&gt;=P207,ABS(P242),0),0)</f>
        <v>1375.6288474310572</v>
      </c>
      <c r="Q243" s="60">
        <f t="shared" ref="Q243" si="218">IF($A$64&lt;=Q207,IF($B$64&gt;=Q207,ABS(Q242),0),0)</f>
        <v>1625.1092155694864</v>
      </c>
      <c r="R243" s="60">
        <f t="shared" ref="R243" si="219">IF($A$64&lt;=R207,IF($B$64&gt;=R207,ABS(R242),0),0)</f>
        <v>2968.8752468136181</v>
      </c>
      <c r="S243" s="60">
        <f t="shared" ref="S243" si="220">IF($A$64&lt;=S207,IF($B$64&gt;=S207,ABS(S242),0),0)</f>
        <v>1697.5449425099264</v>
      </c>
      <c r="T243" s="60">
        <f t="shared" ref="T243" si="221">IF($A$64&lt;=T207,IF($B$64&gt;=T207,ABS(T242),0),0)</f>
        <v>5155.1460735889968</v>
      </c>
      <c r="U243" s="60">
        <f t="shared" ref="U243" si="222">IF($A$64&lt;=U207,IF($B$64&gt;=U207,ABS(U242),0),0)</f>
        <v>88187.265650967922</v>
      </c>
      <c r="V243" s="60">
        <f t="shared" ref="V243" si="223">IF($A$64&lt;=V207,IF($B$64&gt;=V207,ABS(V242),0),0)</f>
        <v>229475.921509459</v>
      </c>
      <c r="W243" s="60">
        <f t="shared" ref="W243" si="224">IF($A$64&lt;=W207,IF($B$64&gt;=W207,ABS(W242),0),0)</f>
        <v>302992.67079266888</v>
      </c>
      <c r="X243" s="60">
        <f t="shared" ref="X243" si="225">IF($A$64&lt;=X207,IF($B$64&gt;=X207,ABS(X242),0),0)</f>
        <v>304865.04138681019</v>
      </c>
      <c r="Y243" s="60">
        <f t="shared" ref="Y243" si="226">IF($A$64&lt;=Y207,IF($B$64&gt;=Y207,ABS(Y242),0),0)</f>
        <v>262059.27000804103</v>
      </c>
      <c r="Z243" s="60">
        <f t="shared" ref="Z243" si="227">IF($A$64&lt;=Z207,IF($B$64&gt;=Z207,ABS(Z242),0),0)</f>
        <v>216491.17108387651</v>
      </c>
      <c r="AA243" s="60">
        <f t="shared" ref="AA243" si="228">IF($A$64&lt;=AA207,IF($B$64&gt;=AA207,ABS(AA242),0),0)</f>
        <v>128534.11027806033</v>
      </c>
      <c r="AB243" s="60">
        <f t="shared" ref="AB243" si="229">IF($A$64&lt;=AB207,IF($B$64&gt;=AB207,ABS(AB242),0),0)</f>
        <v>70292.90249198307</v>
      </c>
      <c r="AC243" s="60">
        <f t="shared" ref="AC243" si="230">IF($A$64&lt;=AC207,IF($B$64&gt;=AC207,ABS(AC242),0),0)</f>
        <v>27858.722464015835</v>
      </c>
      <c r="AD243" s="60">
        <f t="shared" ref="AD243" si="231">IF($A$64&lt;=AD207,IF($B$64&gt;=AD207,ABS(AD242),0),0)</f>
        <v>5392.0947520779118</v>
      </c>
      <c r="AE243" s="60">
        <f t="shared" ref="AE243" si="232">IF($A$64&lt;=AE207,IF($B$64&gt;=AE207,ABS(AE242),0),0)</f>
        <v>1628.3403331575605</v>
      </c>
      <c r="AF243" s="60">
        <f t="shared" ref="AF243" si="233">IF($A$64&lt;=AF207,IF($B$64&gt;=AF207,ABS(AF242),0),0)</f>
        <v>228.3208866970669</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6503.9509699618966</v>
      </c>
      <c r="C247" s="26">
        <f>INDEX(Comparison!$AM$3:$AS$33,G$14,$E$122)</f>
        <v>6504.0043184804708</v>
      </c>
      <c r="D247" s="26">
        <f>INDEX(Comparison!$AM$3:$AS$33,H$14,$E$122)</f>
        <v>6503.9713230315656</v>
      </c>
      <c r="E247" s="26">
        <f>INDEX(Comparison!$AM$3:$AS$33,I$14,$E$122)</f>
        <v>6503.9615090652051</v>
      </c>
      <c r="F247" s="26">
        <f>INDEX(Comparison!$AM$3:$AS$33,J$14,$E$122)</f>
        <v>6503.9584150129849</v>
      </c>
      <c r="G247" s="26">
        <f>INDEX(Comparison!$AM$3:$AS$33,K$14,$E$122)</f>
        <v>6503.9573030886877</v>
      </c>
      <c r="H247" s="26">
        <f>INDEX(Comparison!$AM$3:$AS$33,L$14,$E$122)</f>
        <v>6503.9546441408229</v>
      </c>
      <c r="I247" s="26">
        <f>INDEX(Comparison!$AM$3:$AS$33,M$14,$E$122)</f>
        <v>6503.932647473689</v>
      </c>
      <c r="J247" s="26">
        <f>INDEX(Comparison!$AM$3:$AS$33,N$14,$E$122)</f>
        <v>6503.7133657579243</v>
      </c>
      <c r="K247" s="26">
        <f>INDEX(Comparison!$AM$3:$AS$33,O$14,$E$122)</f>
        <v>6501.5374241274303</v>
      </c>
      <c r="L247" s="26">
        <f>INDEX(Comparison!$AM$3:$AS$33,P$14,$E$122)</f>
        <v>6481.233154233405</v>
      </c>
      <c r="M247" s="26">
        <f>INDEX(Comparison!$AM$3:$AS$33,Q$14,$E$122)</f>
        <v>6364.7007036045688</v>
      </c>
      <c r="N247" s="26">
        <f>INDEX(Comparison!$AM$3:$AS$33,R$14,$E$122)</f>
        <v>6219.55344224686</v>
      </c>
      <c r="O247" s="26">
        <f>INDEX(Comparison!$AM$3:$AS$33,S$14,$E$122)</f>
        <v>6059.9785511387736</v>
      </c>
      <c r="P247" s="26">
        <f>INDEX(Comparison!$AM$3:$AS$33,T$14,$E$122)</f>
        <v>5870.6317266704709</v>
      </c>
      <c r="Q247" s="26">
        <f>INDEX(Comparison!$AM$3:$AS$33,U$14,$E$122)</f>
        <v>5669.1325406322439</v>
      </c>
      <c r="R247" s="26">
        <f>INDEX(Comparison!$AM$3:$AS$33,V$14,$E$122)</f>
        <v>5423.4324257349326</v>
      </c>
      <c r="S247" s="26">
        <f>INDEX(Comparison!$AM$3:$AS$33,W$14,$E$122)</f>
        <v>5064.9009314494624</v>
      </c>
      <c r="T247" s="26">
        <f>INDEX(Comparison!$AM$3:$AS$33,X$14,$E$122)</f>
        <v>4580.1850776889687</v>
      </c>
      <c r="U247" s="26">
        <f>INDEX(Comparison!$AM$3:$AS$33,Y$14,$E$122)</f>
        <v>4085.8663253030418</v>
      </c>
      <c r="V247" s="26">
        <f>INDEX(Comparison!$AM$3:$AS$33,Z$14,$E$122)</f>
        <v>3641.7022773125063</v>
      </c>
      <c r="W247" s="26">
        <f>INDEX(Comparison!$AM$3:$AS$33,AA$14,$E$122)</f>
        <v>3231.6591203117327</v>
      </c>
      <c r="X247" s="26">
        <f>INDEX(Comparison!$AM$3:$AS$33,AB$14,$E$122)</f>
        <v>2785.7203085552951</v>
      </c>
      <c r="Y247" s="26">
        <f>INDEX(Comparison!$AM$3:$AS$33,AC$14,$E$122)</f>
        <v>2295.1533050928924</v>
      </c>
      <c r="Z247" s="26">
        <f>INDEX(Comparison!$AM$3:$AS$33,AD$14,$E$122)</f>
        <v>1754.5150163075152</v>
      </c>
      <c r="AA247" s="26">
        <f>INDEX(Comparison!$AM$3:$AS$33,AE$14,$E$122)</f>
        <v>1171.8757952014325</v>
      </c>
      <c r="AB247" s="26">
        <f>INDEX(Comparison!$AM$3:$AS$33,AF$14,$E$122)</f>
        <v>704.46209389908893</v>
      </c>
      <c r="AC247" s="26">
        <f>INDEX(Comparison!$AM$3:$AS$33,AG$14,$E$122)</f>
        <v>403.25761176970258</v>
      </c>
      <c r="AD247" s="26">
        <f>INDEX(Comparison!$AM$3:$AS$33,AH$14,$E$122)</f>
        <v>227.19076746573165</v>
      </c>
      <c r="AE247" s="26">
        <f>INDEX(Comparison!$AM$3:$AS$33,AI$14,$E$122)</f>
        <v>157.01371189082064</v>
      </c>
      <c r="AF247" s="26">
        <f>INDEX(Comparison!$AM$3:$AS$33,AJ$14,$E$122)</f>
        <v>136.97082983111966</v>
      </c>
      <c r="AG247" s="26"/>
      <c r="AH247" s="26"/>
    </row>
    <row r="248" spans="1:34" x14ac:dyDescent="0.25">
      <c r="A248" s="70" t="s">
        <v>22</v>
      </c>
      <c r="B248" s="27">
        <f>($C$17+SUM(B249:B279))*$B$51</f>
        <v>6517.3975295592254</v>
      </c>
      <c r="C248" s="27">
        <f t="shared" ref="C248:AF248" si="234">($C$17+SUM(C249:C279))*$B$51</f>
        <v>6517.3975295344899</v>
      </c>
      <c r="D248" s="27">
        <f t="shared" si="234"/>
        <v>6517.3975292871291</v>
      </c>
      <c r="E248" s="27">
        <f t="shared" si="234"/>
        <v>6517.3975268135209</v>
      </c>
      <c r="F248" s="27">
        <f t="shared" si="234"/>
        <v>6517.3975020774478</v>
      </c>
      <c r="G248" s="27">
        <f t="shared" si="234"/>
        <v>6517.3972547170779</v>
      </c>
      <c r="H248" s="27">
        <f t="shared" si="234"/>
        <v>6517.3947811494863</v>
      </c>
      <c r="I248" s="27">
        <f t="shared" si="234"/>
        <v>6517.370049084826</v>
      </c>
      <c r="J248" s="27">
        <f t="shared" si="234"/>
        <v>6517.1230885353052</v>
      </c>
      <c r="K248" s="27">
        <f t="shared" si="234"/>
        <v>6514.6884931833292</v>
      </c>
      <c r="L248" s="27">
        <f t="shared" si="234"/>
        <v>6493.0665340260575</v>
      </c>
      <c r="M248" s="27">
        <f t="shared" si="234"/>
        <v>6368.8761516841669</v>
      </c>
      <c r="N248" s="27">
        <f t="shared" si="234"/>
        <v>6212.3723153225701</v>
      </c>
      <c r="O248" s="27">
        <f t="shared" si="234"/>
        <v>6043.7697069208143</v>
      </c>
      <c r="P248" s="27">
        <f t="shared" si="234"/>
        <v>5841.029592974448</v>
      </c>
      <c r="Q248" s="27">
        <f t="shared" si="234"/>
        <v>5629.7130988237286</v>
      </c>
      <c r="R248" s="27">
        <f t="shared" si="234"/>
        <v>5378.0501768310651</v>
      </c>
      <c r="S248" s="27">
        <f t="shared" si="234"/>
        <v>5059.7497722144717</v>
      </c>
      <c r="T248" s="27">
        <f t="shared" si="234"/>
        <v>4699.9700680387441</v>
      </c>
      <c r="U248" s="27">
        <f t="shared" si="234"/>
        <v>4335.71563150776</v>
      </c>
      <c r="V248" s="27">
        <f t="shared" si="234"/>
        <v>3969.7019358850298</v>
      </c>
      <c r="W248" s="27">
        <f t="shared" si="234"/>
        <v>3589.1405296027488</v>
      </c>
      <c r="X248" s="27">
        <f t="shared" si="234"/>
        <v>3125.7194962457752</v>
      </c>
      <c r="Y248" s="27">
        <f t="shared" si="234"/>
        <v>2585.657696000193</v>
      </c>
      <c r="Z248" s="27">
        <f t="shared" si="234"/>
        <v>1973.8692530137646</v>
      </c>
      <c r="AA248" s="27">
        <f t="shared" si="234"/>
        <v>1312.1065731422327</v>
      </c>
      <c r="AB248" s="27">
        <f t="shared" si="234"/>
        <v>783.87296303802941</v>
      </c>
      <c r="AC248" s="27">
        <f t="shared" si="234"/>
        <v>446.40427443517945</v>
      </c>
      <c r="AD248" s="27">
        <f t="shared" si="234"/>
        <v>250.5425292703994</v>
      </c>
      <c r="AE248" s="27">
        <f t="shared" si="234"/>
        <v>173.02132797425915</v>
      </c>
      <c r="AF248" s="27">
        <f t="shared" si="234"/>
        <v>151.07381289118803</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0</v>
      </c>
      <c r="C250" s="3">
        <f t="shared" si="236"/>
        <v>0</v>
      </c>
      <c r="D250" s="3">
        <f t="shared" si="236"/>
        <v>0</v>
      </c>
      <c r="E250" s="3">
        <f t="shared" si="236"/>
        <v>0</v>
      </c>
      <c r="F250" s="3">
        <f t="shared" si="236"/>
        <v>0</v>
      </c>
      <c r="G250" s="3">
        <f t="shared" si="236"/>
        <v>0</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0</v>
      </c>
      <c r="C251" s="3">
        <f t="shared" si="237"/>
        <v>0</v>
      </c>
      <c r="D251" s="3">
        <f t="shared" si="237"/>
        <v>0</v>
      </c>
      <c r="E251" s="3">
        <f t="shared" si="237"/>
        <v>0</v>
      </c>
      <c r="F251" s="3">
        <f t="shared" si="237"/>
        <v>0</v>
      </c>
      <c r="G251" s="3">
        <f t="shared" si="237"/>
        <v>0</v>
      </c>
      <c r="H251" s="3">
        <f t="shared" si="237"/>
        <v>0</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0</v>
      </c>
      <c r="C252" s="3">
        <f t="shared" si="238"/>
        <v>0</v>
      </c>
      <c r="D252" s="3">
        <f t="shared" si="238"/>
        <v>0</v>
      </c>
      <c r="E252" s="3">
        <f t="shared" si="238"/>
        <v>0</v>
      </c>
      <c r="F252" s="3">
        <f t="shared" si="238"/>
        <v>0</v>
      </c>
      <c r="G252" s="3">
        <f t="shared" si="238"/>
        <v>0</v>
      </c>
      <c r="H252" s="3">
        <f t="shared" si="238"/>
        <v>0</v>
      </c>
      <c r="I252" s="3">
        <f t="shared" si="238"/>
        <v>0</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0</v>
      </c>
      <c r="C253" s="3">
        <f t="shared" si="239"/>
        <v>0</v>
      </c>
      <c r="D253" s="3">
        <f t="shared" si="239"/>
        <v>0</v>
      </c>
      <c r="E253" s="3">
        <f t="shared" si="239"/>
        <v>0</v>
      </c>
      <c r="F253" s="3">
        <f t="shared" si="239"/>
        <v>0</v>
      </c>
      <c r="G253" s="3">
        <f t="shared" si="239"/>
        <v>0</v>
      </c>
      <c r="H253" s="3">
        <f t="shared" si="239"/>
        <v>0</v>
      </c>
      <c r="I253" s="3">
        <f t="shared" si="239"/>
        <v>0</v>
      </c>
      <c r="J253" s="3">
        <f t="shared" si="239"/>
        <v>0</v>
      </c>
      <c r="K253" s="3">
        <f t="shared" si="239"/>
        <v>0</v>
      </c>
      <c r="L253" s="3">
        <f t="shared" si="239"/>
        <v>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0</v>
      </c>
      <c r="C254" s="3">
        <f t="shared" si="240"/>
        <v>0</v>
      </c>
      <c r="D254" s="3">
        <f t="shared" si="240"/>
        <v>0</v>
      </c>
      <c r="E254" s="3">
        <f t="shared" si="240"/>
        <v>0</v>
      </c>
      <c r="F254" s="3">
        <f t="shared" si="240"/>
        <v>0</v>
      </c>
      <c r="G254" s="3">
        <f t="shared" si="240"/>
        <v>0</v>
      </c>
      <c r="H254" s="3">
        <f t="shared" si="240"/>
        <v>0</v>
      </c>
      <c r="I254" s="3">
        <f t="shared" si="240"/>
        <v>0</v>
      </c>
      <c r="J254" s="3">
        <f t="shared" si="240"/>
        <v>0</v>
      </c>
      <c r="K254" s="3">
        <f t="shared" si="240"/>
        <v>0</v>
      </c>
      <c r="L254" s="3">
        <f t="shared" si="240"/>
        <v>0</v>
      </c>
      <c r="M254" s="3">
        <f t="shared" si="240"/>
        <v>0</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0</v>
      </c>
      <c r="C255" s="3">
        <f t="shared" si="241"/>
        <v>0</v>
      </c>
      <c r="D255" s="3">
        <f t="shared" si="241"/>
        <v>0</v>
      </c>
      <c r="E255" s="3">
        <f t="shared" si="241"/>
        <v>0</v>
      </c>
      <c r="F255" s="3">
        <f t="shared" si="241"/>
        <v>0</v>
      </c>
      <c r="G255" s="3">
        <f t="shared" si="241"/>
        <v>0</v>
      </c>
      <c r="H255" s="3">
        <f t="shared" si="241"/>
        <v>0</v>
      </c>
      <c r="I255" s="3">
        <f t="shared" si="241"/>
        <v>0</v>
      </c>
      <c r="J255" s="3">
        <f t="shared" si="241"/>
        <v>0</v>
      </c>
      <c r="K255" s="3">
        <f t="shared" si="241"/>
        <v>0</v>
      </c>
      <c r="L255" s="3">
        <f t="shared" si="241"/>
        <v>0</v>
      </c>
      <c r="M255" s="3">
        <f t="shared" si="241"/>
        <v>0</v>
      </c>
      <c r="N255" s="3">
        <f t="shared" si="241"/>
        <v>0</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0</v>
      </c>
      <c r="C256" s="3">
        <f t="shared" si="242"/>
        <v>0</v>
      </c>
      <c r="D256" s="3">
        <f t="shared" si="242"/>
        <v>0</v>
      </c>
      <c r="E256" s="3">
        <f t="shared" si="242"/>
        <v>0</v>
      </c>
      <c r="F256" s="3">
        <f t="shared" si="242"/>
        <v>0</v>
      </c>
      <c r="G256" s="3">
        <f t="shared" si="242"/>
        <v>0</v>
      </c>
      <c r="H256" s="3">
        <f t="shared" si="242"/>
        <v>0</v>
      </c>
      <c r="I256" s="3">
        <f t="shared" si="242"/>
        <v>0</v>
      </c>
      <c r="J256" s="3">
        <f t="shared" si="242"/>
        <v>0</v>
      </c>
      <c r="K256" s="3">
        <f t="shared" si="242"/>
        <v>0</v>
      </c>
      <c r="L256" s="3">
        <f t="shared" si="242"/>
        <v>0</v>
      </c>
      <c r="M256" s="3">
        <f t="shared" si="242"/>
        <v>0</v>
      </c>
      <c r="N256" s="3">
        <f t="shared" si="242"/>
        <v>0</v>
      </c>
      <c r="O256" s="3">
        <f t="shared" si="242"/>
        <v>0</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0</v>
      </c>
      <c r="C257" s="3">
        <f t="shared" si="243"/>
        <v>0</v>
      </c>
      <c r="D257" s="3">
        <f t="shared" si="243"/>
        <v>0</v>
      </c>
      <c r="E257" s="3">
        <f t="shared" si="243"/>
        <v>0</v>
      </c>
      <c r="F257" s="3">
        <f t="shared" si="243"/>
        <v>0</v>
      </c>
      <c r="G257" s="3">
        <f t="shared" si="243"/>
        <v>0</v>
      </c>
      <c r="H257" s="3">
        <f t="shared" si="243"/>
        <v>0</v>
      </c>
      <c r="I257" s="3">
        <f t="shared" si="243"/>
        <v>0</v>
      </c>
      <c r="J257" s="3">
        <f t="shared" si="243"/>
        <v>0</v>
      </c>
      <c r="K257" s="3">
        <f t="shared" si="243"/>
        <v>0</v>
      </c>
      <c r="L257" s="3">
        <f t="shared" si="243"/>
        <v>0</v>
      </c>
      <c r="M257" s="3">
        <f t="shared" si="243"/>
        <v>0</v>
      </c>
      <c r="N257" s="3">
        <f t="shared" si="243"/>
        <v>0</v>
      </c>
      <c r="O257" s="3">
        <f t="shared" si="243"/>
        <v>0</v>
      </c>
      <c r="P257" s="3">
        <f t="shared" si="243"/>
        <v>0</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7.2761897864327674E-4</v>
      </c>
      <c r="C258" s="3">
        <f t="shared" si="244"/>
        <v>7.2761897790761271E-4</v>
      </c>
      <c r="D258" s="3">
        <f t="shared" si="244"/>
        <v>7.2761897055097311E-4</v>
      </c>
      <c r="E258" s="3">
        <f t="shared" si="244"/>
        <v>7.2761889698458077E-4</v>
      </c>
      <c r="F258" s="3">
        <f t="shared" si="244"/>
        <v>7.2761816132106629E-4</v>
      </c>
      <c r="G258" s="3">
        <f t="shared" si="244"/>
        <v>7.2761080472683048E-4</v>
      </c>
      <c r="H258" s="3">
        <f t="shared" si="244"/>
        <v>7.2753724287519077E-4</v>
      </c>
      <c r="I258" s="3">
        <f t="shared" si="244"/>
        <v>7.2680203327765149E-4</v>
      </c>
      <c r="J258" s="3">
        <f t="shared" si="244"/>
        <v>7.1949067662805029E-4</v>
      </c>
      <c r="K258" s="3">
        <f t="shared" si="244"/>
        <v>6.5030267500125916E-4</v>
      </c>
      <c r="L258" s="3">
        <f t="shared" si="244"/>
        <v>2.3660245099620906E-4</v>
      </c>
      <c r="M258" s="3">
        <f t="shared" si="244"/>
        <v>9.6173678355810673E-9</v>
      </c>
      <c r="N258" s="3">
        <f t="shared" si="244"/>
        <v>1.1842028523967071E-52</v>
      </c>
      <c r="O258" s="3">
        <f t="shared" si="244"/>
        <v>0</v>
      </c>
      <c r="P258" s="3">
        <f t="shared" si="244"/>
        <v>0</v>
      </c>
      <c r="Q258" s="3">
        <f t="shared" si="244"/>
        <v>0</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3.1446025256698346E-2</v>
      </c>
      <c r="C259" s="3">
        <f t="shared" si="245"/>
        <v>3.1446025253830293E-2</v>
      </c>
      <c r="D259" s="3">
        <f t="shared" si="245"/>
        <v>3.1446025225149721E-2</v>
      </c>
      <c r="E259" s="3">
        <f t="shared" si="245"/>
        <v>3.1446024938343996E-2</v>
      </c>
      <c r="F259" s="3">
        <f t="shared" si="245"/>
        <v>3.1446022070286898E-2</v>
      </c>
      <c r="G259" s="3">
        <f t="shared" si="245"/>
        <v>3.1445993389730302E-2</v>
      </c>
      <c r="H259" s="3">
        <f t="shared" si="245"/>
        <v>3.144570658560307E-2</v>
      </c>
      <c r="I259" s="3">
        <f t="shared" si="245"/>
        <v>3.1442838688196105E-2</v>
      </c>
      <c r="J259" s="3">
        <f t="shared" si="245"/>
        <v>3.1414174095810238E-2</v>
      </c>
      <c r="K259" s="3">
        <f t="shared" si="245"/>
        <v>3.1128961498885544E-2</v>
      </c>
      <c r="L259" s="3">
        <f t="shared" si="245"/>
        <v>2.8415447048842343E-2</v>
      </c>
      <c r="M259" s="3">
        <f t="shared" si="245"/>
        <v>1.1414400324471869E-2</v>
      </c>
      <c r="N259" s="3">
        <f t="shared" si="245"/>
        <v>1.2486455389129569E-6</v>
      </c>
      <c r="O259" s="3">
        <f t="shared" si="245"/>
        <v>3.0640783674772376E-46</v>
      </c>
      <c r="P259" s="3">
        <f t="shared" si="245"/>
        <v>0</v>
      </c>
      <c r="Q259" s="3">
        <f t="shared" si="245"/>
        <v>0</v>
      </c>
      <c r="R259" s="3">
        <f t="shared" si="245"/>
        <v>0</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1.9599632072165536E-2</v>
      </c>
      <c r="C260" s="3">
        <f t="shared" si="246"/>
        <v>1.959963207200428E-2</v>
      </c>
      <c r="D260" s="3">
        <f t="shared" si="246"/>
        <v>1.9599632070391716E-2</v>
      </c>
      <c r="E260" s="3">
        <f t="shared" si="246"/>
        <v>1.959963205426609E-2</v>
      </c>
      <c r="F260" s="3">
        <f t="shared" si="246"/>
        <v>1.9599631893009836E-2</v>
      </c>
      <c r="G260" s="3">
        <f t="shared" si="246"/>
        <v>1.9599630280447373E-2</v>
      </c>
      <c r="H260" s="3">
        <f t="shared" si="246"/>
        <v>1.9599614154830036E-2</v>
      </c>
      <c r="I260" s="3">
        <f t="shared" si="246"/>
        <v>1.9599452899386343E-2</v>
      </c>
      <c r="J260" s="3">
        <f t="shared" si="246"/>
        <v>1.9597840417917577E-2</v>
      </c>
      <c r="K260" s="3">
        <f t="shared" si="246"/>
        <v>1.9581722897822149E-2</v>
      </c>
      <c r="L260" s="3">
        <f t="shared" si="246"/>
        <v>1.9421274940363459E-2</v>
      </c>
      <c r="M260" s="3">
        <f t="shared" si="246"/>
        <v>1.7887353735312722E-2</v>
      </c>
      <c r="N260" s="3">
        <f t="shared" si="246"/>
        <v>7.856510343324687E-3</v>
      </c>
      <c r="O260" s="3">
        <f t="shared" si="246"/>
        <v>2.0992569371612661E-6</v>
      </c>
      <c r="P260" s="3">
        <f t="shared" si="246"/>
        <v>3.8942578246847633E-42</v>
      </c>
      <c r="Q260" s="3">
        <f t="shared" si="246"/>
        <v>0</v>
      </c>
      <c r="R260" s="3">
        <f t="shared" si="246"/>
        <v>0</v>
      </c>
      <c r="S260" s="3">
        <f t="shared" si="246"/>
        <v>0</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3.2516214564490352E-2</v>
      </c>
      <c r="C261" s="3">
        <f t="shared" si="247"/>
        <v>3.2516214564466225E-2</v>
      </c>
      <c r="D261" s="3">
        <f t="shared" si="247"/>
        <v>3.2516214564224891E-2</v>
      </c>
      <c r="E261" s="3">
        <f t="shared" si="247"/>
        <v>3.2516214561811571E-2</v>
      </c>
      <c r="F261" s="3">
        <f t="shared" si="247"/>
        <v>3.2516214537678355E-2</v>
      </c>
      <c r="G261" s="3">
        <f t="shared" si="247"/>
        <v>3.2516214296346178E-2</v>
      </c>
      <c r="H261" s="3">
        <f t="shared" si="247"/>
        <v>3.2516211883024573E-2</v>
      </c>
      <c r="I261" s="3">
        <f t="shared" si="247"/>
        <v>3.2516187749818355E-2</v>
      </c>
      <c r="J261" s="3">
        <f t="shared" si="247"/>
        <v>3.2515946418741289E-2</v>
      </c>
      <c r="K261" s="3">
        <f t="shared" si="247"/>
        <v>3.251353320648049E-2</v>
      </c>
      <c r="L261" s="3">
        <f t="shared" si="247"/>
        <v>3.2489410932158409E-2</v>
      </c>
      <c r="M261" s="3">
        <f t="shared" si="247"/>
        <v>3.224917031844033E-2</v>
      </c>
      <c r="N261" s="3">
        <f t="shared" si="247"/>
        <v>2.994233281004843E-2</v>
      </c>
      <c r="O261" s="3">
        <f t="shared" si="247"/>
        <v>1.4254648297634781E-2</v>
      </c>
      <c r="P261" s="3">
        <f t="shared" si="247"/>
        <v>8.5244278461105739E-6</v>
      </c>
      <c r="Q261" s="3">
        <f t="shared" si="247"/>
        <v>4.986003337625277E-38</v>
      </c>
      <c r="R261" s="3">
        <f t="shared" si="247"/>
        <v>0</v>
      </c>
      <c r="S261" s="3">
        <f t="shared" si="247"/>
        <v>0</v>
      </c>
      <c r="T261" s="3">
        <f t="shared" si="247"/>
        <v>0</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3.2163923063268325E-2</v>
      </c>
      <c r="C262" s="3">
        <f t="shared" si="248"/>
        <v>3.2163923063266167E-2</v>
      </c>
      <c r="D262" s="3">
        <f t="shared" si="248"/>
        <v>3.2163923063244636E-2</v>
      </c>
      <c r="E262" s="3">
        <f t="shared" si="248"/>
        <v>3.2163923063029294E-2</v>
      </c>
      <c r="F262" s="3">
        <f t="shared" si="248"/>
        <v>3.2163923060875857E-2</v>
      </c>
      <c r="G262" s="3">
        <f t="shared" si="248"/>
        <v>3.2163923039341555E-2</v>
      </c>
      <c r="H262" s="3">
        <f t="shared" si="248"/>
        <v>3.2163922823998513E-2</v>
      </c>
      <c r="I262" s="3">
        <f t="shared" si="248"/>
        <v>3.2163920670568176E-2</v>
      </c>
      <c r="J262" s="3">
        <f t="shared" si="248"/>
        <v>3.2163899136272676E-2</v>
      </c>
      <c r="K262" s="3">
        <f t="shared" si="248"/>
        <v>3.2163683794110713E-2</v>
      </c>
      <c r="L262" s="3">
        <f t="shared" si="248"/>
        <v>3.2161530451785637E-2</v>
      </c>
      <c r="M262" s="3">
        <f t="shared" si="248"/>
        <v>3.2140004956027243E-2</v>
      </c>
      <c r="N262" s="3">
        <f t="shared" si="248"/>
        <v>3.1925540787386394E-2</v>
      </c>
      <c r="O262" s="3">
        <f t="shared" si="248"/>
        <v>2.9858053630089566E-2</v>
      </c>
      <c r="P262" s="3">
        <f t="shared" si="248"/>
        <v>1.5285998275268092E-2</v>
      </c>
      <c r="Q262" s="3">
        <f t="shared" si="248"/>
        <v>1.8906752149604896E-5</v>
      </c>
      <c r="R262" s="3">
        <f t="shared" si="248"/>
        <v>1.5843392406611798E-34</v>
      </c>
      <c r="S262" s="3">
        <f t="shared" si="248"/>
        <v>0</v>
      </c>
      <c r="T262" s="3">
        <f t="shared" si="248"/>
        <v>0</v>
      </c>
      <c r="U262" s="3">
        <f t="shared" si="248"/>
        <v>0</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3.3900572605001067E-2</v>
      </c>
      <c r="C263" s="3">
        <f t="shared" si="249"/>
        <v>3.3900572605000859E-2</v>
      </c>
      <c r="D263" s="3">
        <f t="shared" si="249"/>
        <v>3.3900572604998812E-2</v>
      </c>
      <c r="E263" s="3">
        <f t="shared" si="249"/>
        <v>3.3900572604978342E-2</v>
      </c>
      <c r="F263" s="3">
        <f t="shared" si="249"/>
        <v>3.3900572604773596E-2</v>
      </c>
      <c r="G263" s="3">
        <f t="shared" si="249"/>
        <v>3.3900572602726137E-2</v>
      </c>
      <c r="H263" s="3">
        <f t="shared" si="249"/>
        <v>3.3900572582251529E-2</v>
      </c>
      <c r="I263" s="3">
        <f t="shared" si="249"/>
        <v>3.3900572377505517E-2</v>
      </c>
      <c r="J263" s="3">
        <f t="shared" si="249"/>
        <v>3.3900570330045447E-2</v>
      </c>
      <c r="K263" s="3">
        <f t="shared" si="249"/>
        <v>3.3900549855451594E-2</v>
      </c>
      <c r="L263" s="3">
        <f t="shared" si="249"/>
        <v>3.3900345110193145E-2</v>
      </c>
      <c r="M263" s="3">
        <f t="shared" si="249"/>
        <v>3.3898297725619093E-2</v>
      </c>
      <c r="N263" s="3">
        <f t="shared" si="249"/>
        <v>3.3877830679406154E-2</v>
      </c>
      <c r="O263" s="3">
        <f t="shared" si="249"/>
        <v>3.3673838653027428E-2</v>
      </c>
      <c r="P263" s="3">
        <f t="shared" si="249"/>
        <v>3.1700270076620081E-2</v>
      </c>
      <c r="Q263" s="3">
        <f t="shared" si="249"/>
        <v>1.7328713385261641E-2</v>
      </c>
      <c r="R263" s="3">
        <f t="shared" si="249"/>
        <v>4.1285721796078956E-5</v>
      </c>
      <c r="S263" s="3">
        <f t="shared" si="249"/>
        <v>2.4329630495320163E-31</v>
      </c>
      <c r="T263" s="3">
        <f t="shared" si="249"/>
        <v>1.2288300618863361E-293</v>
      </c>
      <c r="U263" s="3">
        <f t="shared" si="249"/>
        <v>0</v>
      </c>
      <c r="V263" s="3">
        <f t="shared" si="249"/>
        <v>0</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4.6234934193755552E-2</v>
      </c>
      <c r="C264" s="3">
        <f t="shared" si="250"/>
        <v>4.6234934193755531E-2</v>
      </c>
      <c r="D264" s="3">
        <f t="shared" si="250"/>
        <v>4.6234934193755274E-2</v>
      </c>
      <c r="E264" s="3">
        <f t="shared" si="250"/>
        <v>4.6234934193752762E-2</v>
      </c>
      <c r="F264" s="3">
        <f t="shared" si="250"/>
        <v>4.6234934193727567E-2</v>
      </c>
      <c r="G264" s="3">
        <f t="shared" si="250"/>
        <v>4.6234934193475671E-2</v>
      </c>
      <c r="H264" s="3">
        <f t="shared" si="250"/>
        <v>4.6234934190956693E-2</v>
      </c>
      <c r="I264" s="3">
        <f t="shared" si="250"/>
        <v>4.6234934165766857E-2</v>
      </c>
      <c r="J264" s="3">
        <f t="shared" si="250"/>
        <v>4.6234933913868549E-2</v>
      </c>
      <c r="K264" s="3">
        <f t="shared" si="250"/>
        <v>4.6234931394885513E-2</v>
      </c>
      <c r="L264" s="3">
        <f t="shared" si="250"/>
        <v>4.6234906205062716E-2</v>
      </c>
      <c r="M264" s="3">
        <f t="shared" si="250"/>
        <v>4.62346543075896E-2</v>
      </c>
      <c r="N264" s="3">
        <f t="shared" si="250"/>
        <v>4.6232135408338662E-2</v>
      </c>
      <c r="O264" s="3">
        <f t="shared" si="250"/>
        <v>4.6206953962331265E-2</v>
      </c>
      <c r="P264" s="3">
        <f t="shared" si="250"/>
        <v>4.5955892633411141E-2</v>
      </c>
      <c r="Q264" s="3">
        <f t="shared" si="250"/>
        <v>4.3519096136541084E-2</v>
      </c>
      <c r="R264" s="3">
        <f t="shared" si="250"/>
        <v>2.5238670464253037E-2</v>
      </c>
      <c r="S264" s="3">
        <f t="shared" si="250"/>
        <v>1.0862568730097881E-4</v>
      </c>
      <c r="T264" s="3">
        <f t="shared" si="250"/>
        <v>2.3691533853078618E-28</v>
      </c>
      <c r="U264" s="3">
        <f t="shared" si="250"/>
        <v>5.7703159809901086E-265</v>
      </c>
      <c r="V264" s="3">
        <f t="shared" si="250"/>
        <v>0</v>
      </c>
      <c r="W264" s="3">
        <f t="shared" si="250"/>
        <v>0</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5.6671396993887152E-2</v>
      </c>
      <c r="C265" s="3">
        <f t="shared" si="251"/>
        <v>5.6671396993887152E-2</v>
      </c>
      <c r="D265" s="3">
        <f t="shared" si="251"/>
        <v>5.6671396993887117E-2</v>
      </c>
      <c r="E265" s="3">
        <f t="shared" si="251"/>
        <v>5.6671396993886847E-2</v>
      </c>
      <c r="F265" s="3">
        <f t="shared" si="251"/>
        <v>5.6671396993884057E-2</v>
      </c>
      <c r="G265" s="3">
        <f t="shared" si="251"/>
        <v>5.6671396993856205E-2</v>
      </c>
      <c r="H265" s="3">
        <f t="shared" si="251"/>
        <v>5.6671396993577677E-2</v>
      </c>
      <c r="I265" s="3">
        <f t="shared" si="251"/>
        <v>5.6671396990792419E-2</v>
      </c>
      <c r="J265" s="3">
        <f t="shared" si="251"/>
        <v>5.6671396962939838E-2</v>
      </c>
      <c r="K265" s="3">
        <f t="shared" si="251"/>
        <v>5.6671396684413976E-2</v>
      </c>
      <c r="L265" s="3">
        <f t="shared" si="251"/>
        <v>5.6671393899155473E-2</v>
      </c>
      <c r="M265" s="3">
        <f t="shared" si="251"/>
        <v>5.667136604657793E-2</v>
      </c>
      <c r="N265" s="3">
        <f t="shared" si="251"/>
        <v>5.6671087521555356E-2</v>
      </c>
      <c r="O265" s="3">
        <f t="shared" si="251"/>
        <v>5.6668302346616878E-2</v>
      </c>
      <c r="P265" s="3">
        <f t="shared" si="251"/>
        <v>5.6640458124581343E-2</v>
      </c>
      <c r="Q265" s="3">
        <f t="shared" si="251"/>
        <v>5.63627672721368E-2</v>
      </c>
      <c r="R265" s="3">
        <f t="shared" si="251"/>
        <v>5.3659646983829842E-2</v>
      </c>
      <c r="S265" s="3">
        <f t="shared" si="251"/>
        <v>3.2824857232515318E-2</v>
      </c>
      <c r="T265" s="3">
        <f t="shared" si="251"/>
        <v>2.4085362790996056E-4</v>
      </c>
      <c r="U265" s="3">
        <f t="shared" si="251"/>
        <v>1.0895738143391743E-25</v>
      </c>
      <c r="V265" s="3">
        <f t="shared" si="251"/>
        <v>3.9110314383627556E-239</v>
      </c>
      <c r="W265" s="3">
        <f t="shared" si="251"/>
        <v>0</v>
      </c>
      <c r="X265" s="3">
        <f t="shared" si="251"/>
        <v>0</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5.870573738309863E-2</v>
      </c>
      <c r="C266" s="3">
        <f t="shared" si="252"/>
        <v>5.870573738309863E-2</v>
      </c>
      <c r="D266" s="3">
        <f t="shared" si="252"/>
        <v>5.870573738309863E-2</v>
      </c>
      <c r="E266" s="3">
        <f t="shared" si="252"/>
        <v>5.8705737383098602E-2</v>
      </c>
      <c r="F266" s="3">
        <f t="shared" si="252"/>
        <v>5.8705737383098346E-2</v>
      </c>
      <c r="G266" s="3">
        <f t="shared" si="252"/>
        <v>5.8705737383095737E-2</v>
      </c>
      <c r="H266" s="3">
        <f t="shared" si="252"/>
        <v>5.8705737383069709E-2</v>
      </c>
      <c r="I266" s="3">
        <f t="shared" si="252"/>
        <v>5.8705737382809438E-2</v>
      </c>
      <c r="J266" s="3">
        <f t="shared" si="252"/>
        <v>5.8705737380206714E-2</v>
      </c>
      <c r="K266" s="3">
        <f t="shared" si="252"/>
        <v>5.870573735417943E-2</v>
      </c>
      <c r="L266" s="3">
        <f t="shared" si="252"/>
        <v>5.8705737093906654E-2</v>
      </c>
      <c r="M266" s="3">
        <f t="shared" si="252"/>
        <v>5.8705734491178975E-2</v>
      </c>
      <c r="N266" s="3">
        <f t="shared" si="252"/>
        <v>5.8705708463908539E-2</v>
      </c>
      <c r="O266" s="3">
        <f t="shared" si="252"/>
        <v>5.8705448191838788E-2</v>
      </c>
      <c r="P266" s="3">
        <f t="shared" si="252"/>
        <v>5.8702845534605856E-2</v>
      </c>
      <c r="Q266" s="3">
        <f t="shared" si="252"/>
        <v>5.8676825307698049E-2</v>
      </c>
      <c r="R266" s="3">
        <f t="shared" si="252"/>
        <v>5.8417256541094517E-2</v>
      </c>
      <c r="S266" s="3">
        <f t="shared" si="252"/>
        <v>5.5883892133430639E-2</v>
      </c>
      <c r="T266" s="3">
        <f t="shared" si="252"/>
        <v>3.5870838615090564E-2</v>
      </c>
      <c r="U266" s="3">
        <f t="shared" si="252"/>
        <v>4.2588306749644864E-4</v>
      </c>
      <c r="V266" s="3">
        <f t="shared" si="252"/>
        <v>2.3701662398370074E-23</v>
      </c>
      <c r="W266" s="3">
        <f t="shared" si="252"/>
        <v>6.7555879325449911E-216</v>
      </c>
      <c r="X266" s="3">
        <f t="shared" si="252"/>
        <v>0</v>
      </c>
      <c r="Y266" s="3">
        <f t="shared" si="252"/>
        <v>0</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5.620235606497212E-2</v>
      </c>
      <c r="C267" s="3">
        <f t="shared" si="253"/>
        <v>5.620235606497212E-2</v>
      </c>
      <c r="D267" s="3">
        <f t="shared" si="253"/>
        <v>5.620235606497212E-2</v>
      </c>
      <c r="E267" s="3">
        <f t="shared" si="253"/>
        <v>5.620235606497212E-2</v>
      </c>
      <c r="F267" s="3">
        <f t="shared" si="253"/>
        <v>5.6202356064972092E-2</v>
      </c>
      <c r="G267" s="3">
        <f t="shared" si="253"/>
        <v>5.620235606497187E-2</v>
      </c>
      <c r="H267" s="3">
        <f t="shared" si="253"/>
        <v>5.6202356064969622E-2</v>
      </c>
      <c r="I267" s="3">
        <f t="shared" si="253"/>
        <v>5.620235606494714E-2</v>
      </c>
      <c r="J267" s="3">
        <f t="shared" si="253"/>
        <v>5.6202356064722368E-2</v>
      </c>
      <c r="K267" s="3">
        <f t="shared" si="253"/>
        <v>5.6202356062474611E-2</v>
      </c>
      <c r="L267" s="3">
        <f t="shared" si="253"/>
        <v>5.6202356039997042E-2</v>
      </c>
      <c r="M267" s="3">
        <f t="shared" si="253"/>
        <v>5.6202355815221372E-2</v>
      </c>
      <c r="N267" s="3">
        <f t="shared" si="253"/>
        <v>5.620235356746469E-2</v>
      </c>
      <c r="O267" s="3">
        <f t="shared" si="253"/>
        <v>5.6202331089902816E-2</v>
      </c>
      <c r="P267" s="3">
        <f t="shared" si="253"/>
        <v>5.6202106314778538E-2</v>
      </c>
      <c r="Q267" s="3">
        <f t="shared" si="253"/>
        <v>5.6199858612978111E-2</v>
      </c>
      <c r="R267" s="3">
        <f t="shared" si="253"/>
        <v>5.6177386538483448E-2</v>
      </c>
      <c r="S267" s="3">
        <f t="shared" si="253"/>
        <v>5.5953159413745727E-2</v>
      </c>
      <c r="T267" s="3">
        <f t="shared" si="253"/>
        <v>5.3759527487384509E-2</v>
      </c>
      <c r="U267" s="3">
        <f t="shared" si="253"/>
        <v>3.6038253042419401E-2</v>
      </c>
      <c r="V267" s="3">
        <f t="shared" si="253"/>
        <v>6.6046012899645195E-4</v>
      </c>
      <c r="W267" s="3">
        <f t="shared" si="253"/>
        <v>2.8227690807964101E-21</v>
      </c>
      <c r="X267" s="3">
        <f t="shared" si="253"/>
        <v>5.7406731271742614E-195</v>
      </c>
      <c r="Y267" s="3">
        <f t="shared" si="253"/>
        <v>0</v>
      </c>
      <c r="Z267" s="3">
        <f t="shared" si="253"/>
        <v>0</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6.3415296184233166E-2</v>
      </c>
      <c r="C268" s="3">
        <f t="shared" si="254"/>
        <v>6.3415296184233166E-2</v>
      </c>
      <c r="D268" s="3">
        <f t="shared" si="254"/>
        <v>6.3415296184233166E-2</v>
      </c>
      <c r="E268" s="3">
        <f t="shared" si="254"/>
        <v>6.3415296184233166E-2</v>
      </c>
      <c r="F268" s="3">
        <f t="shared" si="254"/>
        <v>6.3415296184233166E-2</v>
      </c>
      <c r="G268" s="3">
        <f t="shared" si="254"/>
        <v>6.3415296184233139E-2</v>
      </c>
      <c r="H268" s="3">
        <f t="shared" si="254"/>
        <v>6.3415296184232917E-2</v>
      </c>
      <c r="I268" s="3">
        <f t="shared" si="254"/>
        <v>6.3415296184230627E-2</v>
      </c>
      <c r="J268" s="3">
        <f t="shared" si="254"/>
        <v>6.3415296184207742E-2</v>
      </c>
      <c r="K268" s="3">
        <f t="shared" si="254"/>
        <v>6.3415296183978953E-2</v>
      </c>
      <c r="L268" s="3">
        <f t="shared" si="254"/>
        <v>6.3415296181691061E-2</v>
      </c>
      <c r="M268" s="3">
        <f t="shared" si="254"/>
        <v>6.3415296158812154E-2</v>
      </c>
      <c r="N268" s="3">
        <f t="shared" si="254"/>
        <v>6.3415295930023013E-2</v>
      </c>
      <c r="O268" s="3">
        <f t="shared" si="254"/>
        <v>6.3415293642131679E-2</v>
      </c>
      <c r="P268" s="3">
        <f t="shared" si="254"/>
        <v>6.3415270763222925E-2</v>
      </c>
      <c r="Q268" s="3">
        <f t="shared" si="254"/>
        <v>6.3415041974589387E-2</v>
      </c>
      <c r="R268" s="3">
        <f t="shared" si="254"/>
        <v>6.3412754133651536E-2</v>
      </c>
      <c r="S268" s="3">
        <f t="shared" si="254"/>
        <v>6.3389880263428497E-2</v>
      </c>
      <c r="T268" s="3">
        <f t="shared" si="254"/>
        <v>6.316159487140259E-2</v>
      </c>
      <c r="U268" s="3">
        <f t="shared" si="254"/>
        <v>6.0923472650828821E-2</v>
      </c>
      <c r="V268" s="3">
        <f t="shared" si="254"/>
        <v>4.2471761717365261E-2</v>
      </c>
      <c r="W268" s="3">
        <f t="shared" si="254"/>
        <v>1.1514803500522759E-3</v>
      </c>
      <c r="X268" s="3">
        <f t="shared" si="254"/>
        <v>2.4706947070146142E-19</v>
      </c>
      <c r="Y268" s="3">
        <f t="shared" si="254"/>
        <v>5.110279120651318E-176</v>
      </c>
      <c r="Z268" s="3">
        <f t="shared" si="254"/>
        <v>0</v>
      </c>
      <c r="AA268" s="3">
        <f t="shared" si="254"/>
        <v>0</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3.5348869965799563E-2</v>
      </c>
      <c r="C269" s="3">
        <f t="shared" si="255"/>
        <v>3.5348869965799563E-2</v>
      </c>
      <c r="D269" s="3">
        <f t="shared" si="255"/>
        <v>3.5348869965799563E-2</v>
      </c>
      <c r="E269" s="3">
        <f t="shared" si="255"/>
        <v>3.5348869965799563E-2</v>
      </c>
      <c r="F269" s="3">
        <f t="shared" si="255"/>
        <v>3.5348869965799563E-2</v>
      </c>
      <c r="G269" s="3">
        <f t="shared" si="255"/>
        <v>3.5348869965799563E-2</v>
      </c>
      <c r="H269" s="3">
        <f t="shared" si="255"/>
        <v>3.5348869965799549E-2</v>
      </c>
      <c r="I269" s="3">
        <f t="shared" si="255"/>
        <v>3.5348869965799432E-2</v>
      </c>
      <c r="J269" s="3">
        <f t="shared" si="255"/>
        <v>3.5348869965798287E-2</v>
      </c>
      <c r="K269" s="3">
        <f t="shared" si="255"/>
        <v>3.5348869965786782E-2</v>
      </c>
      <c r="L269" s="3">
        <f t="shared" si="255"/>
        <v>3.5348869965671735E-2</v>
      </c>
      <c r="M269" s="3">
        <f t="shared" si="255"/>
        <v>3.5348869964521301E-2</v>
      </c>
      <c r="N269" s="3">
        <f t="shared" si="255"/>
        <v>3.5348869953016913E-2</v>
      </c>
      <c r="O269" s="3">
        <f t="shared" si="255"/>
        <v>3.5348869837973036E-2</v>
      </c>
      <c r="P269" s="3">
        <f t="shared" si="255"/>
        <v>3.5348868687534306E-2</v>
      </c>
      <c r="Q269" s="3">
        <f t="shared" si="255"/>
        <v>3.5348857183149063E-2</v>
      </c>
      <c r="R269" s="3">
        <f t="shared" si="255"/>
        <v>3.5348742139502613E-2</v>
      </c>
      <c r="S269" s="3">
        <f t="shared" si="255"/>
        <v>3.5347591723630542E-2</v>
      </c>
      <c r="T269" s="3">
        <f t="shared" si="255"/>
        <v>3.5336089623908412E-2</v>
      </c>
      <c r="U269" s="3">
        <f t="shared" si="255"/>
        <v>3.5221274278824509E-2</v>
      </c>
      <c r="V269" s="3">
        <f t="shared" si="255"/>
        <v>3.4093440541541752E-2</v>
      </c>
      <c r="W269" s="3">
        <f t="shared" si="255"/>
        <v>2.4622292695403662E-2</v>
      </c>
      <c r="X269" s="3">
        <f t="shared" si="255"/>
        <v>9.503970577446236E-4</v>
      </c>
      <c r="Y269" s="3">
        <f t="shared" si="255"/>
        <v>6.9770368721489845E-18</v>
      </c>
      <c r="Z269" s="3">
        <f t="shared" si="255"/>
        <v>3.17197947237923E-159</v>
      </c>
      <c r="AA269" s="3">
        <f t="shared" si="255"/>
        <v>0</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7.0460456800535406E-2</v>
      </c>
      <c r="C270" s="3">
        <f t="shared" si="256"/>
        <v>7.0460456800535406E-2</v>
      </c>
      <c r="D270" s="3">
        <f t="shared" si="256"/>
        <v>7.0460456800535406E-2</v>
      </c>
      <c r="E270" s="3">
        <f t="shared" si="256"/>
        <v>7.0460456800535406E-2</v>
      </c>
      <c r="F270" s="3">
        <f t="shared" si="256"/>
        <v>7.0460456800535406E-2</v>
      </c>
      <c r="G270" s="3">
        <f t="shared" si="256"/>
        <v>7.0460456800535406E-2</v>
      </c>
      <c r="H270" s="3">
        <f t="shared" si="256"/>
        <v>7.0460456800535393E-2</v>
      </c>
      <c r="I270" s="3">
        <f t="shared" si="256"/>
        <v>7.0460456800535337E-2</v>
      </c>
      <c r="J270" s="3">
        <f t="shared" si="256"/>
        <v>7.0460456800534699E-2</v>
      </c>
      <c r="K270" s="3">
        <f t="shared" si="256"/>
        <v>7.0460456800528357E-2</v>
      </c>
      <c r="L270" s="3">
        <f t="shared" si="256"/>
        <v>7.0460456800464935E-2</v>
      </c>
      <c r="M270" s="3">
        <f t="shared" si="256"/>
        <v>7.0460456799830706E-2</v>
      </c>
      <c r="N270" s="3">
        <f t="shared" si="256"/>
        <v>7.0460456793488419E-2</v>
      </c>
      <c r="O270" s="3">
        <f t="shared" si="256"/>
        <v>7.0460456730065485E-2</v>
      </c>
      <c r="P270" s="3">
        <f t="shared" si="256"/>
        <v>7.0460456095836219E-2</v>
      </c>
      <c r="Q270" s="3">
        <f t="shared" si="256"/>
        <v>7.0460449753543833E-2</v>
      </c>
      <c r="R270" s="3">
        <f t="shared" si="256"/>
        <v>7.0460386330651298E-2</v>
      </c>
      <c r="S270" s="3">
        <f t="shared" si="256"/>
        <v>7.0459752104865853E-2</v>
      </c>
      <c r="T270" s="3">
        <f t="shared" si="256"/>
        <v>7.0453410160985511E-2</v>
      </c>
      <c r="U270" s="3">
        <f t="shared" si="256"/>
        <v>7.0390022109131173E-2</v>
      </c>
      <c r="V270" s="3">
        <f t="shared" si="256"/>
        <v>6.9759269857362041E-2</v>
      </c>
      <c r="W270" s="3">
        <f t="shared" si="256"/>
        <v>6.3754401603841299E-2</v>
      </c>
      <c r="X270" s="3">
        <f t="shared" si="256"/>
        <v>2.5917472628565103E-2</v>
      </c>
      <c r="Y270" s="3">
        <f t="shared" si="256"/>
        <v>3.194606682063711E-6</v>
      </c>
      <c r="Z270" s="3">
        <f t="shared" si="256"/>
        <v>2.5862164364249784E-45</v>
      </c>
      <c r="AA270" s="3">
        <f t="shared" si="256"/>
        <v>0</v>
      </c>
      <c r="AB270" s="3">
        <f t="shared" si="256"/>
        <v>0</v>
      </c>
      <c r="AC270" s="3">
        <f t="shared" si="256"/>
        <v>0</v>
      </c>
      <c r="AD270" s="3">
        <f t="shared" si="256"/>
        <v>0</v>
      </c>
      <c r="AE270" s="3">
        <f t="shared" si="256"/>
        <v>0</v>
      </c>
      <c r="AF270" s="3">
        <f t="shared" si="256"/>
        <v>0</v>
      </c>
      <c r="AG270" s="3"/>
      <c r="AH270" s="3"/>
    </row>
    <row r="271" spans="2:34" x14ac:dyDescent="0.25">
      <c r="B271" s="3">
        <f t="shared" ref="B271:AF271" si="257">$C40*EXP(-B$246/$A40/EXP(-$E$126))</f>
        <v>8.6875447409324694E-2</v>
      </c>
      <c r="C271" s="3">
        <f t="shared" si="257"/>
        <v>8.6875447409324694E-2</v>
      </c>
      <c r="D271" s="3">
        <f t="shared" si="257"/>
        <v>8.6875447409324694E-2</v>
      </c>
      <c r="E271" s="3">
        <f t="shared" si="257"/>
        <v>8.6875447409324694E-2</v>
      </c>
      <c r="F271" s="3">
        <f t="shared" si="257"/>
        <v>8.6875447409324694E-2</v>
      </c>
      <c r="G271" s="3">
        <f t="shared" si="257"/>
        <v>8.6875447409324694E-2</v>
      </c>
      <c r="H271" s="3">
        <f t="shared" si="257"/>
        <v>8.6875447409324694E-2</v>
      </c>
      <c r="I271" s="3">
        <f t="shared" si="257"/>
        <v>8.687544740932468E-2</v>
      </c>
      <c r="J271" s="3">
        <f t="shared" si="257"/>
        <v>8.687544740932461E-2</v>
      </c>
      <c r="K271" s="3">
        <f t="shared" si="257"/>
        <v>8.6875447409323819E-2</v>
      </c>
      <c r="L271" s="3">
        <f t="shared" si="257"/>
        <v>8.6875447409316006E-2</v>
      </c>
      <c r="M271" s="3">
        <f t="shared" si="257"/>
        <v>8.6875447409237805E-2</v>
      </c>
      <c r="N271" s="3">
        <f t="shared" si="257"/>
        <v>8.6875447408455819E-2</v>
      </c>
      <c r="O271" s="3">
        <f t="shared" si="257"/>
        <v>8.6875447400635977E-2</v>
      </c>
      <c r="P271" s="3">
        <f t="shared" si="257"/>
        <v>8.6875447322437585E-2</v>
      </c>
      <c r="Q271" s="3">
        <f t="shared" si="257"/>
        <v>8.6875446540453552E-2</v>
      </c>
      <c r="R271" s="3">
        <f t="shared" si="257"/>
        <v>8.6875438720613693E-2</v>
      </c>
      <c r="S271" s="3">
        <f t="shared" si="257"/>
        <v>8.6875360522253711E-2</v>
      </c>
      <c r="T271" s="3">
        <f t="shared" si="257"/>
        <v>8.6874578542525366E-2</v>
      </c>
      <c r="U271" s="3">
        <f t="shared" si="257"/>
        <v>8.6866759132361596E-2</v>
      </c>
      <c r="V271" s="3">
        <f t="shared" si="257"/>
        <v>8.6788603729809483E-2</v>
      </c>
      <c r="W271" s="3">
        <f t="shared" si="257"/>
        <v>8.6010906755292202E-2</v>
      </c>
      <c r="X271" s="3">
        <f t="shared" si="257"/>
        <v>7.8607099856403351E-2</v>
      </c>
      <c r="Y271" s="3">
        <f t="shared" si="257"/>
        <v>3.1955399277349146E-2</v>
      </c>
      <c r="Z271" s="3">
        <f t="shared" si="257"/>
        <v>3.9388459485405194E-6</v>
      </c>
      <c r="AA271" s="3">
        <f t="shared" si="257"/>
        <v>3.1887205989567476E-45</v>
      </c>
      <c r="AB271" s="3">
        <f t="shared" si="257"/>
        <v>0</v>
      </c>
      <c r="AC271" s="3">
        <f t="shared" si="257"/>
        <v>0</v>
      </c>
      <c r="AD271" s="3">
        <f t="shared" si="257"/>
        <v>0</v>
      </c>
      <c r="AE271" s="3">
        <f t="shared" si="257"/>
        <v>0</v>
      </c>
      <c r="AF271" s="3">
        <f t="shared" si="257"/>
        <v>0</v>
      </c>
      <c r="AG271" s="3"/>
      <c r="AH271" s="3"/>
    </row>
    <row r="272" spans="2:34" x14ac:dyDescent="0.25">
      <c r="B272" s="3">
        <f t="shared" ref="B272:AF272" si="258">$C41*EXP(-B$246/$A41/EXP(-$E$126))</f>
        <v>9.6215979999175721E-2</v>
      </c>
      <c r="C272" s="3">
        <f t="shared" si="258"/>
        <v>9.6215979999175721E-2</v>
      </c>
      <c r="D272" s="3">
        <f t="shared" si="258"/>
        <v>9.6215979999175721E-2</v>
      </c>
      <c r="E272" s="3">
        <f t="shared" si="258"/>
        <v>9.6215979999175721E-2</v>
      </c>
      <c r="F272" s="3">
        <f t="shared" si="258"/>
        <v>9.6215979999175721E-2</v>
      </c>
      <c r="G272" s="3">
        <f t="shared" si="258"/>
        <v>9.6215979999175721E-2</v>
      </c>
      <c r="H272" s="3">
        <f t="shared" si="258"/>
        <v>9.6215979999175721E-2</v>
      </c>
      <c r="I272" s="3">
        <f t="shared" si="258"/>
        <v>9.6215979999175721E-2</v>
      </c>
      <c r="J272" s="3">
        <f t="shared" si="258"/>
        <v>9.6215979999175708E-2</v>
      </c>
      <c r="K272" s="3">
        <f t="shared" si="258"/>
        <v>9.6215979999175624E-2</v>
      </c>
      <c r="L272" s="3">
        <f t="shared" si="258"/>
        <v>9.6215979999174764E-2</v>
      </c>
      <c r="M272" s="3">
        <f t="shared" si="258"/>
        <v>9.621597999916609E-2</v>
      </c>
      <c r="N272" s="3">
        <f t="shared" si="258"/>
        <v>9.6215979999079493E-2</v>
      </c>
      <c r="O272" s="3">
        <f t="shared" si="258"/>
        <v>9.6215979998213436E-2</v>
      </c>
      <c r="P272" s="3">
        <f t="shared" si="258"/>
        <v>9.6215979989552836E-2</v>
      </c>
      <c r="Q272" s="3">
        <f t="shared" si="258"/>
        <v>9.6215979902946822E-2</v>
      </c>
      <c r="R272" s="3">
        <f t="shared" si="258"/>
        <v>9.6215979036886723E-2</v>
      </c>
      <c r="S272" s="3">
        <f t="shared" si="258"/>
        <v>9.621597037628607E-2</v>
      </c>
      <c r="T272" s="3">
        <f t="shared" si="258"/>
        <v>9.6215883770322433E-2</v>
      </c>
      <c r="U272" s="3">
        <f t="shared" si="258"/>
        <v>9.6215017714973691E-2</v>
      </c>
      <c r="V272" s="3">
        <f t="shared" si="258"/>
        <v>9.6206357590227776E-2</v>
      </c>
      <c r="W272" s="3">
        <f t="shared" si="258"/>
        <v>9.6119799202639258E-2</v>
      </c>
      <c r="X272" s="3">
        <f t="shared" si="258"/>
        <v>9.525848707387384E-2</v>
      </c>
      <c r="Y272" s="3">
        <f t="shared" si="258"/>
        <v>8.7058649746477368E-2</v>
      </c>
      <c r="Z272" s="3">
        <f t="shared" si="258"/>
        <v>3.5391127751534183E-2</v>
      </c>
      <c r="AA272" s="3">
        <f t="shared" si="258"/>
        <v>4.3623363597656881E-6</v>
      </c>
      <c r="AB272" s="3">
        <f t="shared" si="258"/>
        <v>3.5315602569115672E-45</v>
      </c>
      <c r="AC272" s="3">
        <f t="shared" si="258"/>
        <v>0</v>
      </c>
      <c r="AD272" s="3">
        <f t="shared" si="258"/>
        <v>0</v>
      </c>
      <c r="AE272" s="3">
        <f t="shared" si="258"/>
        <v>0</v>
      </c>
      <c r="AF272" s="3">
        <f t="shared" si="258"/>
        <v>0</v>
      </c>
      <c r="AG272" s="3"/>
      <c r="AH272" s="3"/>
    </row>
    <row r="273" spans="1:34" x14ac:dyDescent="0.25">
      <c r="B273" s="3">
        <f t="shared" ref="B273:AF273" si="259">$C42*EXP(-B$246/$A42/EXP(-$E$126))</f>
        <v>0.11161416834614406</v>
      </c>
      <c r="C273" s="3">
        <f t="shared" si="259"/>
        <v>0.11161416834614406</v>
      </c>
      <c r="D273" s="3">
        <f t="shared" si="259"/>
        <v>0.11161416834614406</v>
      </c>
      <c r="E273" s="3">
        <f t="shared" si="259"/>
        <v>0.11161416834614406</v>
      </c>
      <c r="F273" s="3">
        <f t="shared" si="259"/>
        <v>0.11161416834614406</v>
      </c>
      <c r="G273" s="3">
        <f t="shared" si="259"/>
        <v>0.11161416834614406</v>
      </c>
      <c r="H273" s="3">
        <f t="shared" si="259"/>
        <v>0.11161416834614406</v>
      </c>
      <c r="I273" s="3">
        <f t="shared" si="259"/>
        <v>0.11161416834614406</v>
      </c>
      <c r="J273" s="3">
        <f t="shared" si="259"/>
        <v>0.11161416834614406</v>
      </c>
      <c r="K273" s="3">
        <f t="shared" si="259"/>
        <v>0.11161416834614404</v>
      </c>
      <c r="L273" s="3">
        <f t="shared" si="259"/>
        <v>0.11161416834614395</v>
      </c>
      <c r="M273" s="3">
        <f t="shared" si="259"/>
        <v>0.11161416834614295</v>
      </c>
      <c r="N273" s="3">
        <f t="shared" si="259"/>
        <v>0.11161416834613289</v>
      </c>
      <c r="O273" s="3">
        <f t="shared" si="259"/>
        <v>0.11161416834603244</v>
      </c>
      <c r="P273" s="3">
        <f t="shared" si="259"/>
        <v>0.11161416834502777</v>
      </c>
      <c r="Q273" s="3">
        <f t="shared" si="259"/>
        <v>0.11161416833498114</v>
      </c>
      <c r="R273" s="3">
        <f t="shared" si="259"/>
        <v>0.11161416823451489</v>
      </c>
      <c r="S273" s="3">
        <f t="shared" si="259"/>
        <v>0.11161416722985248</v>
      </c>
      <c r="T273" s="3">
        <f t="shared" si="259"/>
        <v>0.11161415718322885</v>
      </c>
      <c r="U273" s="3">
        <f t="shared" si="259"/>
        <v>0.11161405671704221</v>
      </c>
      <c r="V273" s="3">
        <f t="shared" si="259"/>
        <v>0.11161305206014954</v>
      </c>
      <c r="W273" s="3">
        <f t="shared" si="259"/>
        <v>0.11160300598857911</v>
      </c>
      <c r="X273" s="3">
        <f t="shared" si="259"/>
        <v>0.11150259499194262</v>
      </c>
      <c r="Y273" s="3">
        <f t="shared" si="259"/>
        <v>0.11050344041346799</v>
      </c>
      <c r="Z273" s="3">
        <f t="shared" si="259"/>
        <v>0.10099131962148659</v>
      </c>
      <c r="AA273" s="3">
        <f t="shared" si="259"/>
        <v>4.1055043983894028E-2</v>
      </c>
      <c r="AB273" s="3">
        <f t="shared" si="259"/>
        <v>5.0604748280437821E-6</v>
      </c>
      <c r="AC273" s="3">
        <f t="shared" si="259"/>
        <v>4.0967431921688714E-45</v>
      </c>
      <c r="AD273" s="3">
        <f t="shared" si="259"/>
        <v>0</v>
      </c>
      <c r="AE273" s="3">
        <f t="shared" si="259"/>
        <v>0</v>
      </c>
      <c r="AF273" s="3">
        <f t="shared" si="259"/>
        <v>0</v>
      </c>
      <c r="AG273" s="3"/>
      <c r="AH273" s="3"/>
    </row>
    <row r="274" spans="1:34" x14ac:dyDescent="0.25">
      <c r="B274" s="3">
        <f t="shared" ref="B274:AF274" si="260">$C43*EXP(-B$246/$A43/EXP(-$E$126))</f>
        <v>6.6462351022397975E-2</v>
      </c>
      <c r="C274" s="3">
        <f t="shared" si="260"/>
        <v>6.6462351022397975E-2</v>
      </c>
      <c r="D274" s="3">
        <f t="shared" si="260"/>
        <v>6.6462351022397975E-2</v>
      </c>
      <c r="E274" s="3">
        <f t="shared" si="260"/>
        <v>6.6462351022397975E-2</v>
      </c>
      <c r="F274" s="3">
        <f t="shared" si="260"/>
        <v>6.6462351022397975E-2</v>
      </c>
      <c r="G274" s="3">
        <f t="shared" si="260"/>
        <v>6.6462351022397975E-2</v>
      </c>
      <c r="H274" s="3">
        <f t="shared" si="260"/>
        <v>6.6462351022397975E-2</v>
      </c>
      <c r="I274" s="3">
        <f t="shared" si="260"/>
        <v>6.6462351022397975E-2</v>
      </c>
      <c r="J274" s="3">
        <f t="shared" si="260"/>
        <v>6.6462351022397975E-2</v>
      </c>
      <c r="K274" s="3">
        <f t="shared" si="260"/>
        <v>6.6462351022397975E-2</v>
      </c>
      <c r="L274" s="3">
        <f t="shared" si="260"/>
        <v>6.6462351022397961E-2</v>
      </c>
      <c r="M274" s="3">
        <f t="shared" si="260"/>
        <v>6.6462351022397906E-2</v>
      </c>
      <c r="N274" s="3">
        <f t="shared" si="260"/>
        <v>6.6462351022397309E-2</v>
      </c>
      <c r="O274" s="3">
        <f t="shared" si="260"/>
        <v>6.6462351022391328E-2</v>
      </c>
      <c r="P274" s="3">
        <f t="shared" si="260"/>
        <v>6.6462351022331501E-2</v>
      </c>
      <c r="Q274" s="3">
        <f t="shared" si="260"/>
        <v>6.6462351021733257E-2</v>
      </c>
      <c r="R274" s="3">
        <f t="shared" si="260"/>
        <v>6.6462351015750848E-2</v>
      </c>
      <c r="S274" s="3">
        <f t="shared" si="260"/>
        <v>6.6462350955926702E-2</v>
      </c>
      <c r="T274" s="3">
        <f t="shared" si="260"/>
        <v>6.6462350357685218E-2</v>
      </c>
      <c r="U274" s="3">
        <f t="shared" si="260"/>
        <v>6.6462344375270641E-2</v>
      </c>
      <c r="V274" s="3">
        <f t="shared" si="260"/>
        <v>6.6462284551154577E-2</v>
      </c>
      <c r="W274" s="3">
        <f t="shared" si="260"/>
        <v>6.6461686312955542E-2</v>
      </c>
      <c r="X274" s="3">
        <f t="shared" si="260"/>
        <v>6.6455704227123574E-2</v>
      </c>
      <c r="Y274" s="3">
        <f t="shared" si="260"/>
        <v>6.6395912974777663E-2</v>
      </c>
      <c r="Z274" s="3">
        <f t="shared" si="260"/>
        <v>6.5800951212268505E-2</v>
      </c>
      <c r="AA274" s="3">
        <f t="shared" si="260"/>
        <v>6.0136814477552966E-2</v>
      </c>
      <c r="AB274" s="3">
        <f t="shared" si="260"/>
        <v>2.4446849221108038E-2</v>
      </c>
      <c r="AC274" s="3">
        <f t="shared" si="260"/>
        <v>3.0133365624192651E-6</v>
      </c>
      <c r="AD274" s="3">
        <f t="shared" si="260"/>
        <v>2.4394679288577361E-45</v>
      </c>
      <c r="AE274" s="3">
        <f t="shared" si="260"/>
        <v>0</v>
      </c>
      <c r="AF274" s="3">
        <f t="shared" si="260"/>
        <v>0</v>
      </c>
      <c r="AG274" s="3"/>
      <c r="AH274" s="3"/>
    </row>
    <row r="275" spans="1:34" x14ac:dyDescent="0.25">
      <c r="B275" s="3">
        <f t="shared" ref="B275:AF275" si="261">$C44*EXP(-B$246/$A44/EXP(-$E$126))</f>
        <v>4.7100906601755713E-2</v>
      </c>
      <c r="C275" s="3">
        <f t="shared" si="261"/>
        <v>4.7100906601755713E-2</v>
      </c>
      <c r="D275" s="3">
        <f t="shared" si="261"/>
        <v>4.7100906601755713E-2</v>
      </c>
      <c r="E275" s="3">
        <f t="shared" si="261"/>
        <v>4.7100906601755713E-2</v>
      </c>
      <c r="F275" s="3">
        <f t="shared" si="261"/>
        <v>4.7100906601755713E-2</v>
      </c>
      <c r="G275" s="3">
        <f t="shared" si="261"/>
        <v>4.7100906601755713E-2</v>
      </c>
      <c r="H275" s="3">
        <f t="shared" si="261"/>
        <v>4.7100906601755713E-2</v>
      </c>
      <c r="I275" s="3">
        <f t="shared" si="261"/>
        <v>4.7100906601755713E-2</v>
      </c>
      <c r="J275" s="3">
        <f t="shared" si="261"/>
        <v>4.7100906601755713E-2</v>
      </c>
      <c r="K275" s="3">
        <f t="shared" si="261"/>
        <v>4.7100906601755713E-2</v>
      </c>
      <c r="L275" s="3">
        <f t="shared" si="261"/>
        <v>4.7100906601755713E-2</v>
      </c>
      <c r="M275" s="3">
        <f t="shared" si="261"/>
        <v>4.7100906601755706E-2</v>
      </c>
      <c r="N275" s="3">
        <f t="shared" si="261"/>
        <v>4.7100906601755664E-2</v>
      </c>
      <c r="O275" s="3">
        <f t="shared" si="261"/>
        <v>4.7100906601755241E-2</v>
      </c>
      <c r="P275" s="3">
        <f t="shared" si="261"/>
        <v>4.7100906601751001E-2</v>
      </c>
      <c r="Q275" s="3">
        <f t="shared" si="261"/>
        <v>4.7100906601708604E-2</v>
      </c>
      <c r="R275" s="3">
        <f t="shared" si="261"/>
        <v>4.7100906601284638E-2</v>
      </c>
      <c r="S275" s="3">
        <f t="shared" si="261"/>
        <v>4.7100906597044988E-2</v>
      </c>
      <c r="T275" s="3">
        <f t="shared" si="261"/>
        <v>4.7100906554648478E-2</v>
      </c>
      <c r="U275" s="3">
        <f t="shared" si="261"/>
        <v>4.71009061306834E-2</v>
      </c>
      <c r="V275" s="3">
        <f t="shared" si="261"/>
        <v>4.7100901891032741E-2</v>
      </c>
      <c r="W275" s="3">
        <f t="shared" si="261"/>
        <v>4.7100859494547211E-2</v>
      </c>
      <c r="X275" s="3">
        <f t="shared" si="261"/>
        <v>4.7100435531790781E-2</v>
      </c>
      <c r="Y275" s="3">
        <f t="shared" si="261"/>
        <v>4.7096196114109638E-2</v>
      </c>
      <c r="Z275" s="3">
        <f t="shared" si="261"/>
        <v>4.7053822918623402E-2</v>
      </c>
      <c r="AA275" s="3">
        <f t="shared" si="261"/>
        <v>4.6632182125355096E-2</v>
      </c>
      <c r="AB275" s="3">
        <f t="shared" si="261"/>
        <v>4.2618090369384826E-2</v>
      </c>
      <c r="AC275" s="3">
        <f t="shared" si="261"/>
        <v>1.7325128349470607E-2</v>
      </c>
      <c r="AD275" s="3">
        <f t="shared" si="261"/>
        <v>2.1355080252628194E-6</v>
      </c>
      <c r="AE275" s="3">
        <f t="shared" si="261"/>
        <v>1.7288156273073264E-45</v>
      </c>
      <c r="AF275" s="3">
        <f t="shared" si="261"/>
        <v>0</v>
      </c>
      <c r="AG275" s="3"/>
      <c r="AH275" s="3"/>
    </row>
    <row r="276" spans="1:34" x14ac:dyDescent="0.25">
      <c r="B276" s="3">
        <f t="shared" ref="B276:AF276" si="262">$C45*EXP(-B$246/$A45/EXP(-$E$126))</f>
        <v>2.2598128773559236E-2</v>
      </c>
      <c r="C276" s="3">
        <f t="shared" si="262"/>
        <v>2.2598128773559236E-2</v>
      </c>
      <c r="D276" s="3">
        <f t="shared" si="262"/>
        <v>2.2598128773559236E-2</v>
      </c>
      <c r="E276" s="3">
        <f t="shared" si="262"/>
        <v>2.2598128773559236E-2</v>
      </c>
      <c r="F276" s="3">
        <f t="shared" si="262"/>
        <v>2.2598128773559236E-2</v>
      </c>
      <c r="G276" s="3">
        <f t="shared" si="262"/>
        <v>2.2598128773559236E-2</v>
      </c>
      <c r="H276" s="3">
        <f t="shared" si="262"/>
        <v>2.2598128773559236E-2</v>
      </c>
      <c r="I276" s="3">
        <f t="shared" si="262"/>
        <v>2.2598128773559236E-2</v>
      </c>
      <c r="J276" s="3">
        <f t="shared" si="262"/>
        <v>2.2598128773559236E-2</v>
      </c>
      <c r="K276" s="3">
        <f t="shared" si="262"/>
        <v>2.2598128773559236E-2</v>
      </c>
      <c r="L276" s="3">
        <f t="shared" si="262"/>
        <v>2.2598128773559236E-2</v>
      </c>
      <c r="M276" s="3">
        <f t="shared" si="262"/>
        <v>2.2598128773559236E-2</v>
      </c>
      <c r="N276" s="3">
        <f t="shared" si="262"/>
        <v>2.2598128773559233E-2</v>
      </c>
      <c r="O276" s="3">
        <f t="shared" si="262"/>
        <v>2.2598128773559212E-2</v>
      </c>
      <c r="P276" s="3">
        <f t="shared" si="262"/>
        <v>2.2598128773559011E-2</v>
      </c>
      <c r="Q276" s="3">
        <f t="shared" si="262"/>
        <v>2.2598128773556974E-2</v>
      </c>
      <c r="R276" s="3">
        <f t="shared" si="262"/>
        <v>2.2598128773536636E-2</v>
      </c>
      <c r="S276" s="3">
        <f t="shared" si="262"/>
        <v>2.2598128773333226E-2</v>
      </c>
      <c r="T276" s="3">
        <f t="shared" si="262"/>
        <v>2.259812877129912E-2</v>
      </c>
      <c r="U276" s="3">
        <f t="shared" si="262"/>
        <v>2.2598128750958072E-2</v>
      </c>
      <c r="V276" s="3">
        <f t="shared" si="262"/>
        <v>2.2598128547547603E-2</v>
      </c>
      <c r="W276" s="3">
        <f t="shared" si="262"/>
        <v>2.2598126513442989E-2</v>
      </c>
      <c r="X276" s="3">
        <f t="shared" si="262"/>
        <v>2.2598106172406929E-2</v>
      </c>
      <c r="Y276" s="3">
        <f t="shared" si="262"/>
        <v>2.2597902763053346E-2</v>
      </c>
      <c r="Z276" s="3">
        <f t="shared" si="262"/>
        <v>2.2595868770215514E-2</v>
      </c>
      <c r="AA276" s="3">
        <f t="shared" si="262"/>
        <v>2.2575538908282251E-2</v>
      </c>
      <c r="AB276" s="3">
        <f t="shared" si="262"/>
        <v>2.2373243588936793E-2</v>
      </c>
      <c r="AC276" s="3">
        <f t="shared" si="262"/>
        <v>2.0447357890445432E-2</v>
      </c>
      <c r="AD276" s="3">
        <f t="shared" si="262"/>
        <v>8.3122706059586687E-3</v>
      </c>
      <c r="AE276" s="3">
        <f t="shared" si="262"/>
        <v>1.024576570465833E-6</v>
      </c>
      <c r="AF276" s="3">
        <f t="shared" si="262"/>
        <v>8.2945320993410072E-46</v>
      </c>
      <c r="AG276" s="3"/>
      <c r="AH276" s="3"/>
    </row>
    <row r="277" spans="1:34" x14ac:dyDescent="0.25">
      <c r="B277" s="3">
        <f t="shared" ref="B277:AF277" si="263">$C46*EXP(-B$246/$A46/EXP(-$E$126))</f>
        <v>6.4467605952010509E-3</v>
      </c>
      <c r="C277" s="3">
        <f t="shared" si="263"/>
        <v>6.4467605952010509E-3</v>
      </c>
      <c r="D277" s="3">
        <f t="shared" si="263"/>
        <v>6.4467605952010509E-3</v>
      </c>
      <c r="E277" s="3">
        <f t="shared" si="263"/>
        <v>6.4467605952010509E-3</v>
      </c>
      <c r="F277" s="3">
        <f t="shared" si="263"/>
        <v>6.4467605952010509E-3</v>
      </c>
      <c r="G277" s="3">
        <f t="shared" si="263"/>
        <v>6.4467605952010509E-3</v>
      </c>
      <c r="H277" s="3">
        <f t="shared" si="263"/>
        <v>6.4467605952010509E-3</v>
      </c>
      <c r="I277" s="3">
        <f t="shared" si="263"/>
        <v>6.4467605952010509E-3</v>
      </c>
      <c r="J277" s="3">
        <f t="shared" si="263"/>
        <v>6.4467605952010509E-3</v>
      </c>
      <c r="K277" s="3">
        <f t="shared" si="263"/>
        <v>6.4467605952010509E-3</v>
      </c>
      <c r="L277" s="3">
        <f t="shared" si="263"/>
        <v>6.4467605952010509E-3</v>
      </c>
      <c r="M277" s="3">
        <f t="shared" si="263"/>
        <v>6.4467605952010509E-3</v>
      </c>
      <c r="N277" s="3">
        <f t="shared" si="263"/>
        <v>6.4467605952010509E-3</v>
      </c>
      <c r="O277" s="3">
        <f t="shared" si="263"/>
        <v>6.4467605952010501E-3</v>
      </c>
      <c r="P277" s="3">
        <f t="shared" si="263"/>
        <v>6.4467605952010449E-3</v>
      </c>
      <c r="Q277" s="3">
        <f t="shared" si="263"/>
        <v>6.4467605952009868E-3</v>
      </c>
      <c r="R277" s="3">
        <f t="shared" si="263"/>
        <v>6.4467605952004065E-3</v>
      </c>
      <c r="S277" s="3">
        <f t="shared" si="263"/>
        <v>6.4467605951946038E-3</v>
      </c>
      <c r="T277" s="3">
        <f t="shared" si="263"/>
        <v>6.4467605951365747E-3</v>
      </c>
      <c r="U277" s="3">
        <f t="shared" si="263"/>
        <v>6.446760594556288E-3</v>
      </c>
      <c r="V277" s="3">
        <f t="shared" si="263"/>
        <v>6.4467605887534246E-3</v>
      </c>
      <c r="W277" s="3">
        <f t="shared" si="263"/>
        <v>6.4467605307247881E-3</v>
      </c>
      <c r="X277" s="3">
        <f t="shared" si="263"/>
        <v>6.4467599504384465E-3</v>
      </c>
      <c r="Y277" s="3">
        <f t="shared" si="263"/>
        <v>6.4467541475779063E-3</v>
      </c>
      <c r="Z277" s="3">
        <f t="shared" si="263"/>
        <v>6.4466961192597878E-3</v>
      </c>
      <c r="AA277" s="3">
        <f t="shared" si="263"/>
        <v>6.4461158648055688E-3</v>
      </c>
      <c r="AB277" s="3">
        <f t="shared" si="263"/>
        <v>6.4403161920038735E-3</v>
      </c>
      <c r="AC277" s="3">
        <f t="shared" si="263"/>
        <v>6.3826056839163267E-3</v>
      </c>
      <c r="AD277" s="3">
        <f t="shared" si="263"/>
        <v>5.8331918737595193E-3</v>
      </c>
      <c r="AE277" s="3">
        <f t="shared" si="263"/>
        <v>2.3713122062496437E-3</v>
      </c>
      <c r="AF277" s="3">
        <f t="shared" si="263"/>
        <v>2.9228968147901379E-7</v>
      </c>
      <c r="AG277" s="3"/>
      <c r="AH277" s="3"/>
    </row>
    <row r="278" spans="1:34" x14ac:dyDescent="0.25">
      <c r="B278" s="3">
        <f t="shared" ref="B278:AF278" si="264">$C47*EXP(-B$246/$A47/EXP(-$E$126))</f>
        <v>9.8307104636690784E-5</v>
      </c>
      <c r="C278" s="3">
        <f t="shared" si="264"/>
        <v>9.8307104636690784E-5</v>
      </c>
      <c r="D278" s="3">
        <f t="shared" si="264"/>
        <v>9.8307104636690784E-5</v>
      </c>
      <c r="E278" s="3">
        <f t="shared" si="264"/>
        <v>9.8307104636690784E-5</v>
      </c>
      <c r="F278" s="3">
        <f t="shared" si="264"/>
        <v>9.8307104636690784E-5</v>
      </c>
      <c r="G278" s="3">
        <f t="shared" si="264"/>
        <v>9.8307104636690784E-5</v>
      </c>
      <c r="H278" s="3">
        <f t="shared" si="264"/>
        <v>9.8307104636690784E-5</v>
      </c>
      <c r="I278" s="3">
        <f t="shared" si="264"/>
        <v>9.8307104636690784E-5</v>
      </c>
      <c r="J278" s="3">
        <f t="shared" si="264"/>
        <v>9.8307104636690784E-5</v>
      </c>
      <c r="K278" s="3">
        <f t="shared" si="264"/>
        <v>9.8307104636690784E-5</v>
      </c>
      <c r="L278" s="3">
        <f t="shared" si="264"/>
        <v>9.8307104636690784E-5</v>
      </c>
      <c r="M278" s="3">
        <f t="shared" si="264"/>
        <v>9.8307104636690784E-5</v>
      </c>
      <c r="N278" s="3">
        <f t="shared" si="264"/>
        <v>9.8307104636690784E-5</v>
      </c>
      <c r="O278" s="3">
        <f t="shared" si="264"/>
        <v>9.8307104636690784E-5</v>
      </c>
      <c r="P278" s="3">
        <f t="shared" si="264"/>
        <v>9.830710463669077E-5</v>
      </c>
      <c r="Q278" s="3">
        <f t="shared" si="264"/>
        <v>9.8307104636690689E-5</v>
      </c>
      <c r="R278" s="3">
        <f t="shared" si="264"/>
        <v>9.8307104636689808E-5</v>
      </c>
      <c r="S278" s="3">
        <f t="shared" si="264"/>
        <v>9.8307104636680945E-5</v>
      </c>
      <c r="T278" s="3">
        <f t="shared" si="264"/>
        <v>9.8307104636592474E-5</v>
      </c>
      <c r="U278" s="3">
        <f t="shared" si="264"/>
        <v>9.8307104635707575E-5</v>
      </c>
      <c r="V278" s="3">
        <f t="shared" si="264"/>
        <v>9.8307104626858751E-5</v>
      </c>
      <c r="W278" s="3">
        <f t="shared" si="264"/>
        <v>9.8307104538370479E-5</v>
      </c>
      <c r="X278" s="3">
        <f t="shared" si="264"/>
        <v>9.8307103653487722E-5</v>
      </c>
      <c r="Y278" s="3">
        <f t="shared" si="264"/>
        <v>9.8307094804660588E-5</v>
      </c>
      <c r="Z278" s="3">
        <f t="shared" si="264"/>
        <v>9.8307006316433073E-5</v>
      </c>
      <c r="AA278" s="3">
        <f t="shared" si="264"/>
        <v>9.8306121438538672E-5</v>
      </c>
      <c r="AB278" s="3">
        <f t="shared" si="264"/>
        <v>9.8297273097654216E-5</v>
      </c>
      <c r="AC278" s="3">
        <f t="shared" si="264"/>
        <v>9.8208833480181945E-5</v>
      </c>
      <c r="AD278" s="3">
        <f t="shared" si="264"/>
        <v>9.7328801893244746E-5</v>
      </c>
      <c r="AE278" s="3">
        <f t="shared" si="264"/>
        <v>8.8950752153948696E-5</v>
      </c>
      <c r="AF278" s="3">
        <f t="shared" si="264"/>
        <v>3.616030621015728E-5</v>
      </c>
      <c r="AG278" s="3"/>
      <c r="AH278" s="3"/>
    </row>
    <row r="279" spans="1:34" x14ac:dyDescent="0.25">
      <c r="B279" s="3">
        <f t="shared" ref="B279:AF279" si="265">$C48*EXP(-B$246/$A48/EXP(-$E$126))</f>
        <v>1.1020901234699522E-2</v>
      </c>
      <c r="C279" s="3">
        <f t="shared" si="265"/>
        <v>1.1020901234699522E-2</v>
      </c>
      <c r="D279" s="3">
        <f t="shared" si="265"/>
        <v>1.1020901234699522E-2</v>
      </c>
      <c r="E279" s="3">
        <f t="shared" si="265"/>
        <v>1.1020901234699522E-2</v>
      </c>
      <c r="F279" s="3">
        <f t="shared" si="265"/>
        <v>1.1020901234699522E-2</v>
      </c>
      <c r="G279" s="3">
        <f t="shared" si="265"/>
        <v>1.1020901234699522E-2</v>
      </c>
      <c r="H279" s="3">
        <f t="shared" si="265"/>
        <v>1.1020901234699522E-2</v>
      </c>
      <c r="I279" s="3">
        <f t="shared" si="265"/>
        <v>1.1020901234699522E-2</v>
      </c>
      <c r="J279" s="3">
        <f t="shared" si="265"/>
        <v>1.1020901234699522E-2</v>
      </c>
      <c r="K279" s="3">
        <f t="shared" si="265"/>
        <v>1.1020901234699522E-2</v>
      </c>
      <c r="L279" s="3">
        <f t="shared" si="265"/>
        <v>1.1020901234699522E-2</v>
      </c>
      <c r="M279" s="3">
        <f t="shared" si="265"/>
        <v>1.1020901234699522E-2</v>
      </c>
      <c r="N279" s="3">
        <f t="shared" si="265"/>
        <v>1.1020901234699522E-2</v>
      </c>
      <c r="O279" s="3">
        <f t="shared" si="265"/>
        <v>1.1020901234699522E-2</v>
      </c>
      <c r="P279" s="3">
        <f t="shared" si="265"/>
        <v>1.1020901234699522E-2</v>
      </c>
      <c r="Q279" s="3">
        <f t="shared" si="265"/>
        <v>1.102090123469952E-2</v>
      </c>
      <c r="R279" s="3">
        <f t="shared" si="265"/>
        <v>1.1020901234699511E-2</v>
      </c>
      <c r="S279" s="3">
        <f t="shared" si="265"/>
        <v>1.1020901234699412E-2</v>
      </c>
      <c r="T279" s="3">
        <f t="shared" si="265"/>
        <v>1.1020901234698418E-2</v>
      </c>
      <c r="U279" s="3">
        <f t="shared" si="265"/>
        <v>1.1020901234688499E-2</v>
      </c>
      <c r="V279" s="3">
        <f t="shared" si="265"/>
        <v>1.1020901234589297E-2</v>
      </c>
      <c r="W279" s="3">
        <f t="shared" si="265"/>
        <v>1.1020901233597283E-2</v>
      </c>
      <c r="X279" s="3">
        <f t="shared" si="265"/>
        <v>1.1020901223677141E-2</v>
      </c>
      <c r="Y279" s="3">
        <f t="shared" si="265"/>
        <v>1.1020901124475709E-2</v>
      </c>
      <c r="Z279" s="3">
        <f t="shared" si="265"/>
        <v>1.1020900132461448E-2</v>
      </c>
      <c r="AA279" s="3">
        <f t="shared" si="265"/>
        <v>1.1020890212323737E-2</v>
      </c>
      <c r="AB279" s="3">
        <f t="shared" si="265"/>
        <v>1.1020791011437747E-2</v>
      </c>
      <c r="AC279" s="3">
        <f t="shared" si="265"/>
        <v>1.1019799051687342E-2</v>
      </c>
      <c r="AD279" s="3">
        <f t="shared" si="265"/>
        <v>1.1009884363496711E-2</v>
      </c>
      <c r="AE279" s="3">
        <f t="shared" si="265"/>
        <v>1.0911226781840797E-2</v>
      </c>
      <c r="AF279" s="3">
        <f t="shared" si="265"/>
        <v>9.9719898970051062E-3</v>
      </c>
      <c r="AG279" s="3"/>
      <c r="AH279" s="3"/>
    </row>
    <row r="280" spans="1:34" x14ac:dyDescent="0.25">
      <c r="A280" s="79">
        <f>AVERAGE(B280:AF280)</f>
        <v>1.886809169791049E-2</v>
      </c>
      <c r="B280" s="80">
        <f>IF($D$61&lt;=B246,IF($E$61&gt;=B246,ABS((B248-B247)/B247),0),0)</f>
        <v>2.0674447976977281E-3</v>
      </c>
      <c r="C280" s="80">
        <f t="shared" ref="C280:AF280" si="266">IF($D$61&lt;=C246,IF($E$61&gt;=C246,ABS((C248-C247)/C247),0),0)</f>
        <v>2.0592254245532389E-3</v>
      </c>
      <c r="D280" s="80">
        <f t="shared" si="266"/>
        <v>2.0643089565938414E-3</v>
      </c>
      <c r="E280" s="80">
        <f t="shared" si="266"/>
        <v>2.0658206124972872E-3</v>
      </c>
      <c r="F280" s="80">
        <f t="shared" si="266"/>
        <v>2.0662935103400535E-3</v>
      </c>
      <c r="G280" s="80">
        <f t="shared" si="266"/>
        <v>2.0664267925017965E-3</v>
      </c>
      <c r="H280" s="80">
        <f t="shared" si="266"/>
        <v>2.0664561399995575E-3</v>
      </c>
      <c r="I280" s="80">
        <f t="shared" si="266"/>
        <v>2.0660425529400871E-3</v>
      </c>
      <c r="J280" s="80">
        <f t="shared" si="266"/>
        <v>2.0618563616261383E-3</v>
      </c>
      <c r="K280" s="80">
        <f t="shared" si="266"/>
        <v>2.022762955588757E-3</v>
      </c>
      <c r="L280" s="80">
        <f t="shared" si="266"/>
        <v>1.825791405902935E-3</v>
      </c>
      <c r="M280" s="80">
        <f t="shared" si="266"/>
        <v>6.5603211746206923E-4</v>
      </c>
      <c r="N280" s="80">
        <f t="shared" si="266"/>
        <v>1.154604907084072E-3</v>
      </c>
      <c r="O280" s="80">
        <f t="shared" si="266"/>
        <v>2.6747362356444888E-3</v>
      </c>
      <c r="P280" s="80">
        <f t="shared" si="266"/>
        <v>5.0424102676275059E-3</v>
      </c>
      <c r="Q280" s="80">
        <f t="shared" si="266"/>
        <v>6.9533463058034485E-3</v>
      </c>
      <c r="R280" s="80">
        <f t="shared" si="266"/>
        <v>8.367809413190536E-3</v>
      </c>
      <c r="S280" s="80">
        <f t="shared" si="266"/>
        <v>1.0170306003431647E-3</v>
      </c>
      <c r="T280" s="80">
        <f t="shared" si="266"/>
        <v>2.6152871187077771E-2</v>
      </c>
      <c r="U280" s="80">
        <f t="shared" si="266"/>
        <v>6.1149652561427674E-2</v>
      </c>
      <c r="V280" s="80">
        <f t="shared" si="266"/>
        <v>9.0067675387945162E-2</v>
      </c>
      <c r="W280" s="80">
        <f t="shared" si="266"/>
        <v>0.11061853864603535</v>
      </c>
      <c r="X280" s="80">
        <f t="shared" si="266"/>
        <v>0.12205072657376985</v>
      </c>
      <c r="Y280" s="80">
        <f t="shared" si="266"/>
        <v>0.12657297892157271</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180.80996500451565</v>
      </c>
      <c r="C281" s="21">
        <f t="shared" ref="C281:AF281" si="267">(C248-C247)^2</f>
        <v>179.37810233749801</v>
      </c>
      <c r="D281" s="21">
        <f t="shared" si="267"/>
        <v>180.26301441693397</v>
      </c>
      <c r="E281" s="21">
        <f t="shared" si="267"/>
        <v>180.52657293305884</v>
      </c>
      <c r="F281" s="21">
        <f t="shared" si="267"/>
        <v>180.60906112621433</v>
      </c>
      <c r="G281" s="21">
        <f t="shared" si="267"/>
        <v>180.63229977346813</v>
      </c>
      <c r="H281" s="21">
        <f t="shared" si="267"/>
        <v>180.6372828116447</v>
      </c>
      <c r="I281" s="21">
        <f t="shared" si="267"/>
        <v>180.56376205898511</v>
      </c>
      <c r="J281" s="21">
        <f t="shared" si="267"/>
        <v>179.82066496620868</v>
      </c>
      <c r="K281" s="21">
        <f t="shared" si="267"/>
        <v>172.95061731302198</v>
      </c>
      <c r="L281" s="21">
        <f t="shared" si="267"/>
        <v>140.02887731715705</v>
      </c>
      <c r="M281" s="21">
        <f t="shared" si="267"/>
        <v>17.434366665418853</v>
      </c>
      <c r="N281" s="21">
        <f t="shared" si="267"/>
        <v>51.568583902760686</v>
      </c>
      <c r="O281" s="21">
        <f t="shared" si="267"/>
        <v>262.72663088207156</v>
      </c>
      <c r="P281" s="21">
        <f t="shared" si="267"/>
        <v>876.28631935721887</v>
      </c>
      <c r="Q281" s="21">
        <f t="shared" si="267"/>
        <v>1553.8923924949263</v>
      </c>
      <c r="R281" s="21">
        <f t="shared" si="267"/>
        <v>2059.5485155725873</v>
      </c>
      <c r="S281" s="21">
        <f t="shared" si="267"/>
        <v>26.534441464229978</v>
      </c>
      <c r="T281" s="21">
        <f t="shared" si="267"/>
        <v>14348.443913095785</v>
      </c>
      <c r="U281" s="21">
        <f t="shared" si="267"/>
        <v>62424.675810979053</v>
      </c>
      <c r="V281" s="21">
        <f t="shared" si="267"/>
        <v>107583.77602369196</v>
      </c>
      <c r="W281" s="21">
        <f t="shared" si="267"/>
        <v>127792.95798869091</v>
      </c>
      <c r="X281" s="21">
        <f t="shared" si="267"/>
        <v>115599.4476301863</v>
      </c>
      <c r="Y281" s="21">
        <f t="shared" si="267"/>
        <v>84392.801136421724</v>
      </c>
      <c r="Z281" s="21">
        <f t="shared" si="267"/>
        <v>48116.281160981278</v>
      </c>
      <c r="AA281" s="21">
        <f t="shared" si="267"/>
        <v>19664.67108188201</v>
      </c>
      <c r="AB281" s="21">
        <f t="shared" si="267"/>
        <v>6306.0861374019305</v>
      </c>
      <c r="AC281" s="21">
        <f t="shared" si="267"/>
        <v>1861.6344991684555</v>
      </c>
      <c r="AD281" s="21">
        <f t="shared" si="267"/>
        <v>545.3047793819394</v>
      </c>
      <c r="AE281" s="21">
        <f t="shared" si="267"/>
        <v>256.24377267475916</v>
      </c>
      <c r="AF281" s="21">
        <f t="shared" si="267"/>
        <v>198.89413119257534</v>
      </c>
      <c r="AG281" s="3"/>
      <c r="AH281" s="3"/>
    </row>
    <row r="282" spans="1:34" s="3" customFormat="1" x14ac:dyDescent="0.25">
      <c r="A282" s="71">
        <f>SUM(B282:AF282)</f>
        <v>518926.31397346372</v>
      </c>
      <c r="B282" s="21">
        <f>IF($D$61&lt;=B246,IF($E$61&gt;=B246,ABS(B281),0),0)</f>
        <v>180.80996500451565</v>
      </c>
      <c r="C282" s="21">
        <f t="shared" ref="C282:AF282" si="268">IF($D$61&lt;=C246,IF($E$61&gt;=C246,ABS(C281),0),0)</f>
        <v>179.37810233749801</v>
      </c>
      <c r="D282" s="21">
        <f t="shared" si="268"/>
        <v>180.26301441693397</v>
      </c>
      <c r="E282" s="21">
        <f t="shared" si="268"/>
        <v>180.52657293305884</v>
      </c>
      <c r="F282" s="21">
        <f t="shared" si="268"/>
        <v>180.60906112621433</v>
      </c>
      <c r="G282" s="21">
        <f t="shared" si="268"/>
        <v>180.63229977346813</v>
      </c>
      <c r="H282" s="21">
        <f t="shared" si="268"/>
        <v>180.6372828116447</v>
      </c>
      <c r="I282" s="21">
        <f t="shared" si="268"/>
        <v>180.56376205898511</v>
      </c>
      <c r="J282" s="21">
        <f t="shared" si="268"/>
        <v>179.82066496620868</v>
      </c>
      <c r="K282" s="21">
        <f t="shared" si="268"/>
        <v>172.95061731302198</v>
      </c>
      <c r="L282" s="21">
        <f t="shared" si="268"/>
        <v>140.02887731715705</v>
      </c>
      <c r="M282" s="21">
        <f t="shared" si="268"/>
        <v>17.434366665418853</v>
      </c>
      <c r="N282" s="21">
        <f t="shared" si="268"/>
        <v>51.568583902760686</v>
      </c>
      <c r="O282" s="21">
        <f t="shared" si="268"/>
        <v>262.72663088207156</v>
      </c>
      <c r="P282" s="21">
        <f t="shared" si="268"/>
        <v>876.28631935721887</v>
      </c>
      <c r="Q282" s="21">
        <f t="shared" si="268"/>
        <v>1553.8923924949263</v>
      </c>
      <c r="R282" s="21">
        <f t="shared" si="268"/>
        <v>2059.5485155725873</v>
      </c>
      <c r="S282" s="21">
        <f t="shared" si="268"/>
        <v>26.534441464229978</v>
      </c>
      <c r="T282" s="21">
        <f t="shared" si="268"/>
        <v>14348.443913095785</v>
      </c>
      <c r="U282" s="21">
        <f t="shared" si="268"/>
        <v>62424.675810979053</v>
      </c>
      <c r="V282" s="21">
        <f t="shared" si="268"/>
        <v>107583.77602369196</v>
      </c>
      <c r="W282" s="21">
        <f t="shared" si="268"/>
        <v>127792.95798869091</v>
      </c>
      <c r="X282" s="21">
        <f t="shared" si="268"/>
        <v>115599.4476301863</v>
      </c>
      <c r="Y282" s="21">
        <f t="shared" si="268"/>
        <v>84392.801136421724</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6479.0859474371819</v>
      </c>
      <c r="C286" s="26">
        <f>INDEX(Comparison!$AM$3:$AS$33,G$14,$F$122)</f>
        <v>6479.1324839978006</v>
      </c>
      <c r="D286" s="26">
        <f>INDEX(Comparison!$AM$3:$AS$33,H$14,$F$122)</f>
        <v>6479.041978197979</v>
      </c>
      <c r="E286" s="26">
        <f>INDEX(Comparison!$AM$3:$AS$33,I$14,$F$122)</f>
        <v>6478.4539559822069</v>
      </c>
      <c r="F286" s="26">
        <f>INDEX(Comparison!$AM$3:$AS$33,J$14,$F$122)</f>
        <v>6472.7726535549082</v>
      </c>
      <c r="G286" s="26">
        <f>INDEX(Comparison!$AM$3:$AS$33,K$14,$F$122)</f>
        <v>6425.3224026678754</v>
      </c>
      <c r="H286" s="26">
        <f>INDEX(Comparison!$AM$3:$AS$33,L$14,$F$122)</f>
        <v>6280.1372572444334</v>
      </c>
      <c r="I286" s="26">
        <f>INDEX(Comparison!$AM$3:$AS$33,M$14,$F$122)</f>
        <v>6130.7451181848783</v>
      </c>
      <c r="J286" s="26">
        <f>INDEX(Comparison!$AM$3:$AS$33,N$14,$F$122)</f>
        <v>5959.459898848826</v>
      </c>
      <c r="K286" s="26">
        <f>INDEX(Comparison!$AM$3:$AS$33,O$14,$F$122)</f>
        <v>5758.6320512376351</v>
      </c>
      <c r="L286" s="26">
        <f>INDEX(Comparison!$AM$3:$AS$33,P$14,$F$122)</f>
        <v>5553.7107715147085</v>
      </c>
      <c r="M286" s="26">
        <f>INDEX(Comparison!$AM$3:$AS$33,Q$14,$F$122)</f>
        <v>5296.2160470219478</v>
      </c>
      <c r="N286" s="26">
        <f>INDEX(Comparison!$AM$3:$AS$33,R$14,$F$122)</f>
        <v>5014.3504980568096</v>
      </c>
      <c r="O286" s="26">
        <f>INDEX(Comparison!$AM$3:$AS$33,S$14,$F$122)</f>
        <v>4737.7084148388376</v>
      </c>
      <c r="P286" s="26">
        <f>INDEX(Comparison!$AM$3:$AS$33,T$14,$F$122)</f>
        <v>4438.626264954587</v>
      </c>
      <c r="Q286" s="26">
        <f>INDEX(Comparison!$AM$3:$AS$33,U$14,$F$122)</f>
        <v>4115.3629839514006</v>
      </c>
      <c r="R286" s="26">
        <f>INDEX(Comparison!$AM$3:$AS$33,V$14,$F$122)</f>
        <v>3662.5886079597385</v>
      </c>
      <c r="S286" s="26">
        <f>INDEX(Comparison!$AM$3:$AS$33,W$14,$F$122)</f>
        <v>3039.7716426269371</v>
      </c>
      <c r="T286" s="26">
        <f>INDEX(Comparison!$AM$3:$AS$33,X$14,$F$122)</f>
        <v>2356.5178874385392</v>
      </c>
      <c r="U286" s="26">
        <f>INDEX(Comparison!$AM$3:$AS$33,Y$14,$F$122)</f>
        <v>1664.6092730189016</v>
      </c>
      <c r="V286" s="26">
        <f>INDEX(Comparison!$AM$3:$AS$33,Z$14,$F$122)</f>
        <v>1039.9214556238178</v>
      </c>
      <c r="W286" s="26">
        <f>INDEX(Comparison!$AM$3:$AS$33,AA$14,$F$122)</f>
        <v>595.89522173414423</v>
      </c>
      <c r="X286" s="26">
        <f>INDEX(Comparison!$AM$3:$AS$33,AB$14,$F$122)</f>
        <v>331.71701217899948</v>
      </c>
      <c r="Y286" s="26">
        <f>INDEX(Comparison!$AM$3:$AS$33,AC$14,$F$122)</f>
        <v>192.72704730170403</v>
      </c>
      <c r="Z286" s="26">
        <f>INDEX(Comparison!$AM$3:$AS$33,AD$14,$F$122)</f>
        <v>148.89299884614732</v>
      </c>
      <c r="AA286" s="26">
        <f>INDEX(Comparison!$AM$3:$AS$33,AE$14,$F$122)</f>
        <v>134.12130031566326</v>
      </c>
      <c r="AB286" s="26">
        <f>INDEX(Comparison!$AM$3:$AS$33,AF$14,$F$122)</f>
        <v>124.90206072555479</v>
      </c>
      <c r="AC286" s="26">
        <f>INDEX(Comparison!$AM$3:$AS$33,AG$14,$F$122)</f>
        <v>124.64007063602084</v>
      </c>
      <c r="AD286" s="26">
        <f>INDEX(Comparison!$AM$3:$AS$33,AH$14,$F$122)</f>
        <v>123.89500698166064</v>
      </c>
      <c r="AE286" s="26">
        <f>INDEX(Comparison!$AM$3:$AS$33,AI$14,$F$122)</f>
        <v>123.88320178471095</v>
      </c>
      <c r="AF286" s="26">
        <f>INDEX(Comparison!$AM$3:$AS$33,AJ$14,$F$122)</f>
        <v>123.47472292148701</v>
      </c>
      <c r="AG286" s="26"/>
      <c r="AH286" s="26"/>
    </row>
    <row r="287" spans="1:34" x14ac:dyDescent="0.25">
      <c r="A287" s="70" t="s">
        <v>22</v>
      </c>
      <c r="B287" s="27">
        <f>($C$17+SUM(B288:B318))*$B$51</f>
        <v>6517.3970527753572</v>
      </c>
      <c r="C287" s="27">
        <f t="shared" ref="C287:AF287" si="269">($C$17+SUM(C288:C318))*$B$51</f>
        <v>6517.3927618056041</v>
      </c>
      <c r="D287" s="27">
        <f t="shared" si="269"/>
        <v>6517.349862973052</v>
      </c>
      <c r="E287" s="27">
        <f t="shared" si="269"/>
        <v>6516.9219557963888</v>
      </c>
      <c r="F287" s="27">
        <f t="shared" si="269"/>
        <v>6512.7458934063352</v>
      </c>
      <c r="G287" s="27">
        <f t="shared" si="269"/>
        <v>6477.9075300852728</v>
      </c>
      <c r="H287" s="27">
        <f t="shared" si="269"/>
        <v>6320.7956871541419</v>
      </c>
      <c r="I287" s="27">
        <f t="shared" si="269"/>
        <v>6174.5476079715409</v>
      </c>
      <c r="J287" s="27">
        <f t="shared" si="269"/>
        <v>5989.9025505056979</v>
      </c>
      <c r="K287" s="27">
        <f t="shared" si="269"/>
        <v>5787.5371302799977</v>
      </c>
      <c r="L287" s="27">
        <f t="shared" si="269"/>
        <v>5571.6079900278055</v>
      </c>
      <c r="M287" s="27">
        <f t="shared" si="269"/>
        <v>5303.3854237798578</v>
      </c>
      <c r="N287" s="27">
        <f t="shared" si="269"/>
        <v>4973.9884440026772</v>
      </c>
      <c r="O287" s="27">
        <f t="shared" si="269"/>
        <v>4614.7800242253797</v>
      </c>
      <c r="P287" s="27">
        <f t="shared" si="269"/>
        <v>4254.9872624530108</v>
      </c>
      <c r="Q287" s="27">
        <f t="shared" si="269"/>
        <v>3885.233774588597</v>
      </c>
      <c r="R287" s="27">
        <f t="shared" si="269"/>
        <v>3510.4466100036607</v>
      </c>
      <c r="S287" s="27">
        <f t="shared" si="269"/>
        <v>2990.5036046998489</v>
      </c>
      <c r="T287" s="27">
        <f t="shared" si="269"/>
        <v>2431.2779129828264</v>
      </c>
      <c r="U287" s="27">
        <f t="shared" si="269"/>
        <v>1803.6197734124466</v>
      </c>
      <c r="V287" s="27">
        <f t="shared" si="269"/>
        <v>1142.5488813478603</v>
      </c>
      <c r="W287" s="27">
        <f t="shared" si="269"/>
        <v>680.03654954371154</v>
      </c>
      <c r="X287" s="27">
        <f t="shared" si="269"/>
        <v>377.79893886968449</v>
      </c>
      <c r="Y287" s="27">
        <f t="shared" si="269"/>
        <v>219.55242396988422</v>
      </c>
      <c r="Z287" s="27">
        <f t="shared" si="269"/>
        <v>164.40107141997086</v>
      </c>
      <c r="AA287" s="27">
        <f t="shared" si="269"/>
        <v>146.33977513965084</v>
      </c>
      <c r="AB287" s="27">
        <f t="shared" si="269"/>
        <v>98.461445992500586</v>
      </c>
      <c r="AC287" s="27">
        <f t="shared" si="269"/>
        <v>85.777812386274292</v>
      </c>
      <c r="AD287" s="27">
        <f t="shared" si="269"/>
        <v>85.777810288287611</v>
      </c>
      <c r="AE287" s="27">
        <f t="shared" si="269"/>
        <v>85.777810288287611</v>
      </c>
      <c r="AF287" s="27">
        <f t="shared" si="269"/>
        <v>85.777810288287611</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0</v>
      </c>
      <c r="C289" s="3">
        <f t="shared" si="271"/>
        <v>0</v>
      </c>
      <c r="D289" s="3">
        <f t="shared" si="271"/>
        <v>0</v>
      </c>
      <c r="E289" s="3">
        <f t="shared" si="271"/>
        <v>0</v>
      </c>
      <c r="F289" s="3">
        <f t="shared" si="271"/>
        <v>0</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0</v>
      </c>
      <c r="C290" s="3">
        <f t="shared" si="272"/>
        <v>0</v>
      </c>
      <c r="D290" s="3">
        <f t="shared" si="272"/>
        <v>0</v>
      </c>
      <c r="E290" s="3">
        <f t="shared" si="272"/>
        <v>0</v>
      </c>
      <c r="F290" s="3">
        <f t="shared" si="272"/>
        <v>0</v>
      </c>
      <c r="G290" s="3">
        <f t="shared" si="272"/>
        <v>0</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0</v>
      </c>
      <c r="C291" s="3">
        <f t="shared" si="273"/>
        <v>0</v>
      </c>
      <c r="D291" s="3">
        <f t="shared" si="273"/>
        <v>0</v>
      </c>
      <c r="E291" s="3">
        <f t="shared" si="273"/>
        <v>0</v>
      </c>
      <c r="F291" s="3">
        <f t="shared" si="273"/>
        <v>0</v>
      </c>
      <c r="G291" s="3">
        <f t="shared" si="273"/>
        <v>0</v>
      </c>
      <c r="H291" s="3">
        <f t="shared" si="273"/>
        <v>0</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0</v>
      </c>
      <c r="C292" s="3">
        <f t="shared" si="274"/>
        <v>0</v>
      </c>
      <c r="D292" s="3">
        <f t="shared" si="274"/>
        <v>0</v>
      </c>
      <c r="E292" s="3">
        <f t="shared" si="274"/>
        <v>0</v>
      </c>
      <c r="F292" s="3">
        <f t="shared" si="274"/>
        <v>0</v>
      </c>
      <c r="G292" s="3">
        <f t="shared" si="274"/>
        <v>0</v>
      </c>
      <c r="H292" s="3">
        <f t="shared" si="274"/>
        <v>0</v>
      </c>
      <c r="I292" s="3">
        <f t="shared" si="274"/>
        <v>0</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0</v>
      </c>
      <c r="C293" s="3">
        <f t="shared" si="275"/>
        <v>0</v>
      </c>
      <c r="D293" s="3">
        <f t="shared" si="275"/>
        <v>0</v>
      </c>
      <c r="E293" s="3">
        <f t="shared" si="275"/>
        <v>0</v>
      </c>
      <c r="F293" s="3">
        <f t="shared" si="275"/>
        <v>0</v>
      </c>
      <c r="G293" s="3">
        <f t="shared" si="275"/>
        <v>0</v>
      </c>
      <c r="H293" s="3">
        <f t="shared" si="275"/>
        <v>0</v>
      </c>
      <c r="I293" s="3">
        <f t="shared" si="275"/>
        <v>0</v>
      </c>
      <c r="J293" s="3">
        <f t="shared" si="275"/>
        <v>0</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0</v>
      </c>
      <c r="C294" s="3">
        <f t="shared" si="276"/>
        <v>0</v>
      </c>
      <c r="D294" s="3">
        <f t="shared" si="276"/>
        <v>0</v>
      </c>
      <c r="E294" s="3">
        <f t="shared" si="276"/>
        <v>0</v>
      </c>
      <c r="F294" s="3">
        <f t="shared" si="276"/>
        <v>0</v>
      </c>
      <c r="G294" s="3">
        <f t="shared" si="276"/>
        <v>0</v>
      </c>
      <c r="H294" s="3">
        <f t="shared" si="276"/>
        <v>0</v>
      </c>
      <c r="I294" s="3">
        <f t="shared" si="276"/>
        <v>0</v>
      </c>
      <c r="J294" s="3">
        <f t="shared" si="276"/>
        <v>0</v>
      </c>
      <c r="K294" s="3">
        <f t="shared" si="276"/>
        <v>0</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0</v>
      </c>
      <c r="C295" s="3">
        <f t="shared" si="277"/>
        <v>0</v>
      </c>
      <c r="D295" s="3">
        <f t="shared" si="277"/>
        <v>0</v>
      </c>
      <c r="E295" s="3">
        <f t="shared" si="277"/>
        <v>0</v>
      </c>
      <c r="F295" s="3">
        <f t="shared" si="277"/>
        <v>0</v>
      </c>
      <c r="G295" s="3">
        <f t="shared" si="277"/>
        <v>0</v>
      </c>
      <c r="H295" s="3">
        <f t="shared" si="277"/>
        <v>0</v>
      </c>
      <c r="I295" s="3">
        <f t="shared" si="277"/>
        <v>0</v>
      </c>
      <c r="J295" s="3">
        <f t="shared" si="277"/>
        <v>0</v>
      </c>
      <c r="K295" s="3">
        <f t="shared" si="277"/>
        <v>0</v>
      </c>
      <c r="L295" s="3">
        <f t="shared" si="277"/>
        <v>0</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0</v>
      </c>
      <c r="C296" s="3">
        <f t="shared" si="278"/>
        <v>0</v>
      </c>
      <c r="D296" s="3">
        <f t="shared" si="278"/>
        <v>0</v>
      </c>
      <c r="E296" s="3">
        <f t="shared" si="278"/>
        <v>0</v>
      </c>
      <c r="F296" s="3">
        <f t="shared" si="278"/>
        <v>0</v>
      </c>
      <c r="G296" s="3">
        <f t="shared" si="278"/>
        <v>0</v>
      </c>
      <c r="H296" s="3">
        <f t="shared" si="278"/>
        <v>0</v>
      </c>
      <c r="I296" s="3">
        <f t="shared" si="278"/>
        <v>0</v>
      </c>
      <c r="J296" s="3">
        <f t="shared" si="278"/>
        <v>0</v>
      </c>
      <c r="K296" s="3">
        <f t="shared" si="278"/>
        <v>0</v>
      </c>
      <c r="L296" s="3">
        <f t="shared" si="278"/>
        <v>0</v>
      </c>
      <c r="M296" s="3">
        <f t="shared" si="278"/>
        <v>0</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7.276047989417298E-4</v>
      </c>
      <c r="C297" s="3">
        <f t="shared" si="279"/>
        <v>7.2747719332655206E-4</v>
      </c>
      <c r="D297" s="3">
        <f t="shared" si="279"/>
        <v>7.2620236738187493E-4</v>
      </c>
      <c r="E297" s="3">
        <f t="shared" si="279"/>
        <v>7.135763340287445E-4</v>
      </c>
      <c r="F297" s="3">
        <f t="shared" si="279"/>
        <v>5.9878128169875704E-4</v>
      </c>
      <c r="G297" s="3">
        <f t="shared" si="279"/>
        <v>1.0364443538713485E-4</v>
      </c>
      <c r="H297" s="3">
        <f t="shared" si="279"/>
        <v>2.5022098811183614E-12</v>
      </c>
      <c r="I297" s="3">
        <f t="shared" si="279"/>
        <v>1.6830661373099442E-88</v>
      </c>
      <c r="J297" s="3">
        <f t="shared" si="279"/>
        <v>0</v>
      </c>
      <c r="K297" s="3">
        <f t="shared" si="279"/>
        <v>0</v>
      </c>
      <c r="L297" s="3">
        <f t="shared" si="279"/>
        <v>0</v>
      </c>
      <c r="M297" s="3">
        <f t="shared" si="279"/>
        <v>0</v>
      </c>
      <c r="N297" s="3">
        <f t="shared" si="279"/>
        <v>0</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3.1445969975267996E-2</v>
      </c>
      <c r="C298" s="3">
        <f t="shared" si="280"/>
        <v>3.1445472443900044E-2</v>
      </c>
      <c r="D298" s="3">
        <f t="shared" si="280"/>
        <v>3.1440497563150871E-2</v>
      </c>
      <c r="E298" s="3">
        <f t="shared" si="280"/>
        <v>3.1390792023358843E-2</v>
      </c>
      <c r="F298" s="3">
        <f t="shared" si="280"/>
        <v>3.0898038172877632E-2</v>
      </c>
      <c r="G298" s="3">
        <f t="shared" si="280"/>
        <v>2.6376503456461722E-2</v>
      </c>
      <c r="H298" s="3">
        <f t="shared" si="280"/>
        <v>5.4210124803027067E-3</v>
      </c>
      <c r="I298" s="3">
        <f t="shared" si="280"/>
        <v>7.2897433944892081E-10</v>
      </c>
      <c r="J298" s="3">
        <f t="shared" si="280"/>
        <v>1.4093880347690367E-78</v>
      </c>
      <c r="K298" s="3">
        <f t="shared" si="280"/>
        <v>0</v>
      </c>
      <c r="L298" s="3">
        <f t="shared" si="280"/>
        <v>0</v>
      </c>
      <c r="M298" s="3">
        <f t="shared" si="280"/>
        <v>0</v>
      </c>
      <c r="N298" s="3">
        <f t="shared" si="280"/>
        <v>0</v>
      </c>
      <c r="O298" s="3">
        <f t="shared" si="280"/>
        <v>0</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1.9599628963969735E-2</v>
      </c>
      <c r="C299" s="3">
        <f t="shared" si="281"/>
        <v>1.9599600990068439E-2</v>
      </c>
      <c r="D299" s="3">
        <f t="shared" si="281"/>
        <v>1.9599321253251419E-2</v>
      </c>
      <c r="E299" s="3">
        <f t="shared" si="281"/>
        <v>1.9596524104662932E-2</v>
      </c>
      <c r="F299" s="3">
        <f t="shared" si="281"/>
        <v>1.9568574565355542E-2</v>
      </c>
      <c r="G299" s="3">
        <f t="shared" si="281"/>
        <v>1.929126228439627E-2</v>
      </c>
      <c r="H299" s="3">
        <f t="shared" si="281"/>
        <v>1.6725348988757622E-2</v>
      </c>
      <c r="I299" s="3">
        <f t="shared" si="281"/>
        <v>4.0134754945051745E-3</v>
      </c>
      <c r="J299" s="3">
        <f t="shared" si="281"/>
        <v>2.5408257786774118E-9</v>
      </c>
      <c r="K299" s="3">
        <f t="shared" si="281"/>
        <v>2.6273480066211141E-71</v>
      </c>
      <c r="L299" s="3">
        <f t="shared" si="281"/>
        <v>0</v>
      </c>
      <c r="M299" s="3">
        <f t="shared" si="281"/>
        <v>0</v>
      </c>
      <c r="N299" s="3">
        <f t="shared" si="281"/>
        <v>0</v>
      </c>
      <c r="O299" s="3">
        <f t="shared" si="281"/>
        <v>0</v>
      </c>
      <c r="P299" s="3">
        <f t="shared" si="281"/>
        <v>0</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3.2516214099325327E-2</v>
      </c>
      <c r="C300" s="3">
        <f t="shared" si="282"/>
        <v>3.2516209912816271E-2</v>
      </c>
      <c r="D300" s="3">
        <f t="shared" si="282"/>
        <v>3.2516168047755298E-2</v>
      </c>
      <c r="E300" s="3">
        <f t="shared" si="282"/>
        <v>3.251574940011015E-2</v>
      </c>
      <c r="F300" s="3">
        <f t="shared" si="282"/>
        <v>3.2511563220103547E-2</v>
      </c>
      <c r="G300" s="3">
        <f t="shared" si="282"/>
        <v>3.2469731050401934E-2</v>
      </c>
      <c r="H300" s="3">
        <f t="shared" si="282"/>
        <v>3.2054358322991104E-2</v>
      </c>
      <c r="I300" s="3">
        <f t="shared" si="282"/>
        <v>2.8181950532873385E-2</v>
      </c>
      <c r="J300" s="3">
        <f t="shared" si="282"/>
        <v>7.7769741716744471E-3</v>
      </c>
      <c r="K300" s="3">
        <f t="shared" si="282"/>
        <v>1.9916211981134385E-8</v>
      </c>
      <c r="L300" s="3">
        <f t="shared" si="282"/>
        <v>2.4163930339263422E-64</v>
      </c>
      <c r="M300" s="3">
        <f t="shared" si="282"/>
        <v>0</v>
      </c>
      <c r="N300" s="3">
        <f t="shared" si="282"/>
        <v>0</v>
      </c>
      <c r="O300" s="3">
        <f t="shared" si="282"/>
        <v>0</v>
      </c>
      <c r="P300" s="3">
        <f t="shared" si="282"/>
        <v>0</v>
      </c>
      <c r="Q300" s="3">
        <f t="shared" si="282"/>
        <v>0</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3.2163923021761194E-2</v>
      </c>
      <c r="C301" s="3">
        <f t="shared" si="283"/>
        <v>3.2163922648194891E-2</v>
      </c>
      <c r="D301" s="3">
        <f t="shared" si="283"/>
        <v>3.2163918912532126E-2</v>
      </c>
      <c r="E301" s="3">
        <f t="shared" si="283"/>
        <v>3.2163881555928323E-2</v>
      </c>
      <c r="F301" s="3">
        <f t="shared" si="283"/>
        <v>3.2163507992276602E-2</v>
      </c>
      <c r="G301" s="3">
        <f t="shared" si="283"/>
        <v>3.2159772594380208E-2</v>
      </c>
      <c r="H301" s="3">
        <f t="shared" si="283"/>
        <v>3.2122442467246728E-2</v>
      </c>
      <c r="I301" s="3">
        <f t="shared" si="283"/>
        <v>3.1751516160767296E-2</v>
      </c>
      <c r="J301" s="3">
        <f t="shared" si="283"/>
        <v>2.8269852917427771E-2</v>
      </c>
      <c r="K301" s="3">
        <f t="shared" si="283"/>
        <v>8.8494108404461903E-3</v>
      </c>
      <c r="L301" s="3">
        <f t="shared" si="283"/>
        <v>7.9950732800233907E-8</v>
      </c>
      <c r="M301" s="3">
        <f t="shared" si="283"/>
        <v>2.8966989070123806E-58</v>
      </c>
      <c r="N301" s="3">
        <f t="shared" si="283"/>
        <v>0</v>
      </c>
      <c r="O301" s="3">
        <f t="shared" si="283"/>
        <v>0</v>
      </c>
      <c r="P301" s="3">
        <f t="shared" si="283"/>
        <v>0</v>
      </c>
      <c r="Q301" s="3">
        <f t="shared" si="283"/>
        <v>0</v>
      </c>
      <c r="R301" s="3">
        <f t="shared" si="283"/>
        <v>0</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3.3900572601054613E-2</v>
      </c>
      <c r="C302" s="3">
        <f t="shared" si="284"/>
        <v>3.3900572565536295E-2</v>
      </c>
      <c r="D302" s="3">
        <f t="shared" si="284"/>
        <v>3.390057221035319E-2</v>
      </c>
      <c r="E302" s="3">
        <f t="shared" si="284"/>
        <v>3.3900568658522326E-2</v>
      </c>
      <c r="F302" s="3">
        <f t="shared" si="284"/>
        <v>3.3900533140234133E-2</v>
      </c>
      <c r="G302" s="3">
        <f t="shared" si="284"/>
        <v>3.3900177959398967E-2</v>
      </c>
      <c r="H302" s="3">
        <f t="shared" si="284"/>
        <v>3.3896626355711293E-2</v>
      </c>
      <c r="I302" s="3">
        <f t="shared" si="284"/>
        <v>3.3861130777307652E-2</v>
      </c>
      <c r="J302" s="3">
        <f t="shared" si="284"/>
        <v>3.3508212931896278E-2</v>
      </c>
      <c r="K302" s="3">
        <f t="shared" si="284"/>
        <v>3.0175144692317135E-2</v>
      </c>
      <c r="L302" s="3">
        <f t="shared" si="284"/>
        <v>1.0583524225449212E-2</v>
      </c>
      <c r="M302" s="3">
        <f t="shared" si="284"/>
        <v>2.9815340809967501E-7</v>
      </c>
      <c r="N302" s="3">
        <f t="shared" si="284"/>
        <v>9.3871655200377763E-53</v>
      </c>
      <c r="O302" s="3">
        <f t="shared" si="284"/>
        <v>0</v>
      </c>
      <c r="P302" s="3">
        <f t="shared" si="284"/>
        <v>0</v>
      </c>
      <c r="Q302" s="3">
        <f t="shared" si="284"/>
        <v>0</v>
      </c>
      <c r="R302" s="3">
        <f t="shared" si="284"/>
        <v>0</v>
      </c>
      <c r="S302" s="3">
        <f t="shared" si="284"/>
        <v>0</v>
      </c>
      <c r="T302" s="3">
        <f t="shared" si="284"/>
        <v>0</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4.6234934193270023E-2</v>
      </c>
      <c r="C303" s="3">
        <f t="shared" si="285"/>
        <v>4.623493418890022E-2</v>
      </c>
      <c r="D303" s="3">
        <f t="shared" si="285"/>
        <v>4.6234934145202168E-2</v>
      </c>
      <c r="E303" s="3">
        <f t="shared" si="285"/>
        <v>4.6234933708221619E-2</v>
      </c>
      <c r="F303" s="3">
        <f t="shared" si="285"/>
        <v>4.6234929338416386E-2</v>
      </c>
      <c r="G303" s="3">
        <f t="shared" si="285"/>
        <v>4.6234885640386747E-2</v>
      </c>
      <c r="H303" s="3">
        <f t="shared" si="285"/>
        <v>4.6234448662361892E-2</v>
      </c>
      <c r="I303" s="3">
        <f t="shared" si="285"/>
        <v>4.6230079109256576E-2</v>
      </c>
      <c r="J303" s="3">
        <f t="shared" si="285"/>
        <v>4.6186406284584494E-2</v>
      </c>
      <c r="K303" s="3">
        <f t="shared" si="285"/>
        <v>4.5751940755622264E-2</v>
      </c>
      <c r="L303" s="3">
        <f t="shared" si="285"/>
        <v>4.1625840635067281E-2</v>
      </c>
      <c r="M303" s="3">
        <f t="shared" si="285"/>
        <v>1.6176999699535555E-2</v>
      </c>
      <c r="N303" s="3">
        <f t="shared" si="285"/>
        <v>1.2712986323169256E-6</v>
      </c>
      <c r="O303" s="3">
        <f t="shared" si="285"/>
        <v>1.1422038066077001E-47</v>
      </c>
      <c r="P303" s="3">
        <f t="shared" si="285"/>
        <v>0</v>
      </c>
      <c r="Q303" s="3">
        <f t="shared" si="285"/>
        <v>0</v>
      </c>
      <c r="R303" s="3">
        <f t="shared" si="285"/>
        <v>0</v>
      </c>
      <c r="S303" s="3">
        <f t="shared" si="285"/>
        <v>0</v>
      </c>
      <c r="T303" s="3">
        <f t="shared" si="285"/>
        <v>0</v>
      </c>
      <c r="U303" s="3">
        <f t="shared" si="285"/>
        <v>0</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5.6671396993833466E-2</v>
      </c>
      <c r="C304" s="3">
        <f t="shared" si="286"/>
        <v>5.667139699335029E-2</v>
      </c>
      <c r="D304" s="3">
        <f t="shared" si="286"/>
        <v>5.6671396988518564E-2</v>
      </c>
      <c r="E304" s="3">
        <f t="shared" si="286"/>
        <v>5.6671396940201298E-2</v>
      </c>
      <c r="F304" s="3">
        <f t="shared" si="286"/>
        <v>5.6671396457028615E-2</v>
      </c>
      <c r="G304" s="3">
        <f t="shared" si="286"/>
        <v>5.6671391625302062E-2</v>
      </c>
      <c r="H304" s="3">
        <f t="shared" si="286"/>
        <v>5.6671343308059091E-2</v>
      </c>
      <c r="I304" s="3">
        <f t="shared" si="286"/>
        <v>5.6670860137895129E-2</v>
      </c>
      <c r="J304" s="3">
        <f t="shared" si="286"/>
        <v>5.6666028662818155E-2</v>
      </c>
      <c r="K304" s="3">
        <f t="shared" si="286"/>
        <v>5.6617736561166691E-2</v>
      </c>
      <c r="L304" s="3">
        <f t="shared" si="286"/>
        <v>5.613707332792206E-2</v>
      </c>
      <c r="M304" s="3">
        <f t="shared" si="286"/>
        <v>5.1549256510798683E-2</v>
      </c>
      <c r="N304" s="3">
        <f t="shared" si="286"/>
        <v>2.1976007397986056E-2</v>
      </c>
      <c r="O304" s="3">
        <f t="shared" si="286"/>
        <v>4.3572518193127326E-6</v>
      </c>
      <c r="P304" s="3">
        <f t="shared" si="286"/>
        <v>4.0912058610668016E-43</v>
      </c>
      <c r="Q304" s="3">
        <f t="shared" si="286"/>
        <v>0</v>
      </c>
      <c r="R304" s="3">
        <f t="shared" si="286"/>
        <v>0</v>
      </c>
      <c r="S304" s="3">
        <f t="shared" si="286"/>
        <v>0</v>
      </c>
      <c r="T304" s="3">
        <f t="shared" si="286"/>
        <v>0</v>
      </c>
      <c r="U304" s="3">
        <f t="shared" si="286"/>
        <v>0</v>
      </c>
      <c r="V304" s="3">
        <f t="shared" si="286"/>
        <v>0</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5.8705737383093613E-2</v>
      </c>
      <c r="C305" s="3">
        <f t="shared" si="287"/>
        <v>5.8705737383048462E-2</v>
      </c>
      <c r="D305" s="3">
        <f t="shared" si="287"/>
        <v>5.8705737382596955E-2</v>
      </c>
      <c r="E305" s="3">
        <f t="shared" si="287"/>
        <v>5.8705737378081872E-2</v>
      </c>
      <c r="F305" s="3">
        <f t="shared" si="287"/>
        <v>5.8705737332931059E-2</v>
      </c>
      <c r="G305" s="3">
        <f t="shared" si="287"/>
        <v>5.8705736881422915E-2</v>
      </c>
      <c r="H305" s="3">
        <f t="shared" si="287"/>
        <v>5.8705732366341655E-2</v>
      </c>
      <c r="I305" s="3">
        <f t="shared" si="287"/>
        <v>5.8705687215548169E-2</v>
      </c>
      <c r="J305" s="3">
        <f t="shared" si="287"/>
        <v>5.8705235709523206E-2</v>
      </c>
      <c r="K305" s="3">
        <f t="shared" si="287"/>
        <v>5.8700720840258729E-2</v>
      </c>
      <c r="L305" s="3">
        <f t="shared" si="287"/>
        <v>5.865559124069495E-2</v>
      </c>
      <c r="M305" s="3">
        <f t="shared" si="287"/>
        <v>5.8206199131023928E-2</v>
      </c>
      <c r="N305" s="3">
        <f t="shared" si="287"/>
        <v>5.3897358430580244E-2</v>
      </c>
      <c r="O305" s="3">
        <f t="shared" si="287"/>
        <v>2.4977552327661176E-2</v>
      </c>
      <c r="P305" s="3">
        <f t="shared" si="287"/>
        <v>1.1412317558661587E-5</v>
      </c>
      <c r="Q305" s="3">
        <f t="shared" si="287"/>
        <v>4.524947566122639E-39</v>
      </c>
      <c r="R305" s="3">
        <f t="shared" si="287"/>
        <v>0</v>
      </c>
      <c r="S305" s="3">
        <f t="shared" si="287"/>
        <v>0</v>
      </c>
      <c r="T305" s="3">
        <f t="shared" si="287"/>
        <v>0</v>
      </c>
      <c r="U305" s="3">
        <f t="shared" si="287"/>
        <v>0</v>
      </c>
      <c r="V305" s="3">
        <f t="shared" si="287"/>
        <v>0</v>
      </c>
      <c r="W305" s="3">
        <f t="shared" si="287"/>
        <v>0</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5.620235606497169E-2</v>
      </c>
      <c r="C306" s="3">
        <f t="shared" si="288"/>
        <v>5.620235606496779E-2</v>
      </c>
      <c r="D306" s="3">
        <f t="shared" si="288"/>
        <v>5.6202356064928793E-2</v>
      </c>
      <c r="E306" s="3">
        <f t="shared" si="288"/>
        <v>5.6202356064538862E-2</v>
      </c>
      <c r="F306" s="3">
        <f t="shared" si="288"/>
        <v>5.6202356060639565E-2</v>
      </c>
      <c r="G306" s="3">
        <f t="shared" si="288"/>
        <v>5.6202356021646617E-2</v>
      </c>
      <c r="H306" s="3">
        <f t="shared" si="288"/>
        <v>5.6202355631717056E-2</v>
      </c>
      <c r="I306" s="3">
        <f t="shared" si="288"/>
        <v>5.6202351732421649E-2</v>
      </c>
      <c r="J306" s="3">
        <f t="shared" si="288"/>
        <v>5.6202312739482445E-2</v>
      </c>
      <c r="K306" s="3">
        <f t="shared" si="288"/>
        <v>5.6201922811578334E-2</v>
      </c>
      <c r="L306" s="3">
        <f t="shared" si="288"/>
        <v>5.6198023681325308E-2</v>
      </c>
      <c r="M306" s="3">
        <f t="shared" si="288"/>
        <v>5.6159047253782658E-2</v>
      </c>
      <c r="N306" s="3">
        <f t="shared" si="288"/>
        <v>5.5770766665725419E-2</v>
      </c>
      <c r="O306" s="3">
        <f t="shared" si="288"/>
        <v>5.2032590482115525E-2</v>
      </c>
      <c r="P306" s="3">
        <f t="shared" si="288"/>
        <v>2.5999427357290314E-2</v>
      </c>
      <c r="Q306" s="3">
        <f t="shared" si="288"/>
        <v>2.5225926616255866E-5</v>
      </c>
      <c r="R306" s="3">
        <f t="shared" si="288"/>
        <v>1.8650074954762643E-35</v>
      </c>
      <c r="S306" s="3">
        <f t="shared" si="288"/>
        <v>0</v>
      </c>
      <c r="T306" s="3">
        <f t="shared" si="288"/>
        <v>0</v>
      </c>
      <c r="U306" s="3">
        <f t="shared" si="288"/>
        <v>0</v>
      </c>
      <c r="V306" s="3">
        <f t="shared" si="288"/>
        <v>0</v>
      </c>
      <c r="W306" s="3">
        <f t="shared" si="288"/>
        <v>0</v>
      </c>
      <c r="X306" s="3">
        <f t="shared" si="288"/>
        <v>0</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6.3415296184233125E-2</v>
      </c>
      <c r="C307" s="3">
        <f t="shared" si="289"/>
        <v>6.3415296184232722E-2</v>
      </c>
      <c r="D307" s="3">
        <f t="shared" si="289"/>
        <v>6.3415296184228753E-2</v>
      </c>
      <c r="E307" s="3">
        <f t="shared" si="289"/>
        <v>6.3415296184189063E-2</v>
      </c>
      <c r="F307" s="3">
        <f t="shared" si="289"/>
        <v>6.3415296183792172E-2</v>
      </c>
      <c r="G307" s="3">
        <f t="shared" si="289"/>
        <v>6.3415296179823263E-2</v>
      </c>
      <c r="H307" s="3">
        <f t="shared" si="289"/>
        <v>6.3415296140134067E-2</v>
      </c>
      <c r="I307" s="3">
        <f t="shared" si="289"/>
        <v>6.3415295743242159E-2</v>
      </c>
      <c r="J307" s="3">
        <f t="shared" si="289"/>
        <v>6.341529177432316E-2</v>
      </c>
      <c r="K307" s="3">
        <f t="shared" si="289"/>
        <v>6.3415252085146964E-2</v>
      </c>
      <c r="L307" s="3">
        <f t="shared" si="289"/>
        <v>6.3414855194751138E-2</v>
      </c>
      <c r="M307" s="3">
        <f t="shared" si="289"/>
        <v>6.3410886427408969E-2</v>
      </c>
      <c r="N307" s="3">
        <f t="shared" si="289"/>
        <v>6.3371212412437691E-2</v>
      </c>
      <c r="O307" s="3">
        <f t="shared" si="289"/>
        <v>6.2975834950176168E-2</v>
      </c>
      <c r="P307" s="3">
        <f t="shared" si="289"/>
        <v>5.9155225645844918E-2</v>
      </c>
      <c r="Q307" s="3">
        <f t="shared" si="289"/>
        <v>3.1636244720028385E-2</v>
      </c>
      <c r="R307" s="3">
        <f t="shared" si="289"/>
        <v>6.0548450936776252E-5</v>
      </c>
      <c r="S307" s="3">
        <f t="shared" si="289"/>
        <v>3.992860526367616E-32</v>
      </c>
      <c r="T307" s="3">
        <f t="shared" si="289"/>
        <v>6.2100511249061322E-304</v>
      </c>
      <c r="U307" s="3">
        <f t="shared" si="289"/>
        <v>0</v>
      </c>
      <c r="V307" s="3">
        <f t="shared" si="289"/>
        <v>0</v>
      </c>
      <c r="W307" s="3">
        <f t="shared" si="289"/>
        <v>0</v>
      </c>
      <c r="X307" s="3">
        <f t="shared" si="289"/>
        <v>0</v>
      </c>
      <c r="Y307" s="3">
        <f t="shared" si="289"/>
        <v>0</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3.5348869965799556E-2</v>
      </c>
      <c r="C308" s="3">
        <f t="shared" si="290"/>
        <v>3.5348869965799543E-2</v>
      </c>
      <c r="D308" s="3">
        <f t="shared" si="290"/>
        <v>3.5348869965799341E-2</v>
      </c>
      <c r="E308" s="3">
        <f t="shared" si="290"/>
        <v>3.5348869965797343E-2</v>
      </c>
      <c r="F308" s="3">
        <f t="shared" si="290"/>
        <v>3.5348869965777387E-2</v>
      </c>
      <c r="G308" s="3">
        <f t="shared" si="290"/>
        <v>3.5348869965577817E-2</v>
      </c>
      <c r="H308" s="3">
        <f t="shared" si="290"/>
        <v>3.5348869963582094E-2</v>
      </c>
      <c r="I308" s="3">
        <f t="shared" si="290"/>
        <v>3.5348869943624864E-2</v>
      </c>
      <c r="J308" s="3">
        <f t="shared" si="290"/>
        <v>3.5348869744052519E-2</v>
      </c>
      <c r="K308" s="3">
        <f t="shared" si="290"/>
        <v>3.5348867748329182E-2</v>
      </c>
      <c r="L308" s="3">
        <f t="shared" si="290"/>
        <v>3.5348847791101978E-2</v>
      </c>
      <c r="M308" s="3">
        <f t="shared" si="290"/>
        <v>3.5348648219449691E-2</v>
      </c>
      <c r="N308" s="3">
        <f t="shared" si="290"/>
        <v>3.5346652564896289E-2</v>
      </c>
      <c r="O308" s="3">
        <f t="shared" si="290"/>
        <v>3.532670221501491E-2</v>
      </c>
      <c r="P308" s="3">
        <f t="shared" si="290"/>
        <v>3.5127816989179307E-2</v>
      </c>
      <c r="Q308" s="3">
        <f t="shared" si="290"/>
        <v>3.3199519764389639E-2</v>
      </c>
      <c r="R308" s="3">
        <f t="shared" si="290"/>
        <v>1.887722720150084E-2</v>
      </c>
      <c r="S308" s="3">
        <f t="shared" si="290"/>
        <v>6.6681017134505153E-5</v>
      </c>
      <c r="T308" s="3">
        <f t="shared" si="290"/>
        <v>2.0167048600450502E-29</v>
      </c>
      <c r="U308" s="3">
        <f t="shared" si="290"/>
        <v>1.2913490152906964E-274</v>
      </c>
      <c r="V308" s="3">
        <f t="shared" si="290"/>
        <v>0</v>
      </c>
      <c r="W308" s="3">
        <f t="shared" si="290"/>
        <v>0</v>
      </c>
      <c r="X308" s="3">
        <f t="shared" si="290"/>
        <v>0</v>
      </c>
      <c r="Y308" s="3">
        <f t="shared" si="290"/>
        <v>0</v>
      </c>
      <c r="Z308" s="3">
        <f t="shared" si="290"/>
        <v>0</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7.0460456800535406E-2</v>
      </c>
      <c r="C309" s="3">
        <f t="shared" si="291"/>
        <v>7.0460456800535393E-2</v>
      </c>
      <c r="D309" s="3">
        <f t="shared" si="291"/>
        <v>7.0460456800535282E-2</v>
      </c>
      <c r="E309" s="3">
        <f t="shared" si="291"/>
        <v>7.0460456800534185E-2</v>
      </c>
      <c r="F309" s="3">
        <f t="shared" si="291"/>
        <v>7.046045680052318E-2</v>
      </c>
      <c r="G309" s="3">
        <f t="shared" si="291"/>
        <v>7.0460456800413157E-2</v>
      </c>
      <c r="H309" s="3">
        <f t="shared" si="291"/>
        <v>7.0460456799312926E-2</v>
      </c>
      <c r="I309" s="3">
        <f t="shared" si="291"/>
        <v>7.046045678831063E-2</v>
      </c>
      <c r="J309" s="3">
        <f t="shared" si="291"/>
        <v>7.0460456678287722E-2</v>
      </c>
      <c r="K309" s="3">
        <f t="shared" si="291"/>
        <v>7.046045557805862E-2</v>
      </c>
      <c r="L309" s="3">
        <f t="shared" si="291"/>
        <v>7.0460444575768541E-2</v>
      </c>
      <c r="M309" s="3">
        <f t="shared" si="291"/>
        <v>7.0460334552962189E-2</v>
      </c>
      <c r="N309" s="3">
        <f t="shared" si="291"/>
        <v>7.0459234334347587E-2</v>
      </c>
      <c r="O309" s="3">
        <f t="shared" si="291"/>
        <v>7.0448233093035689E-2</v>
      </c>
      <c r="P309" s="3">
        <f t="shared" si="291"/>
        <v>7.0338315108775473E-2</v>
      </c>
      <c r="Q309" s="3">
        <f t="shared" si="291"/>
        <v>6.9248523822959374E-2</v>
      </c>
      <c r="R309" s="3">
        <f t="shared" si="291"/>
        <v>5.9237416513874756E-2</v>
      </c>
      <c r="S309" s="3">
        <f t="shared" si="291"/>
        <v>1.2429452717284061E-2</v>
      </c>
      <c r="T309" s="3">
        <f t="shared" si="291"/>
        <v>2.0559425561658149E-9</v>
      </c>
      <c r="U309" s="3">
        <f t="shared" si="291"/>
        <v>3.1521049689281151E-77</v>
      </c>
      <c r="V309" s="3">
        <f t="shared" si="291"/>
        <v>0</v>
      </c>
      <c r="W309" s="3">
        <f t="shared" si="291"/>
        <v>0</v>
      </c>
      <c r="X309" s="3">
        <f t="shared" si="291"/>
        <v>0</v>
      </c>
      <c r="Y309" s="3">
        <f t="shared" si="291"/>
        <v>0</v>
      </c>
      <c r="Z309" s="3">
        <f t="shared" si="291"/>
        <v>0</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8.6875447409324694E-2</v>
      </c>
      <c r="C310" s="3">
        <f t="shared" si="292"/>
        <v>8.6875447409324694E-2</v>
      </c>
      <c r="D310" s="3">
        <f t="shared" si="292"/>
        <v>8.687544740932468E-2</v>
      </c>
      <c r="E310" s="3">
        <f t="shared" si="292"/>
        <v>8.6875447409324541E-2</v>
      </c>
      <c r="F310" s="3">
        <f t="shared" si="292"/>
        <v>8.6875447409323195E-2</v>
      </c>
      <c r="G310" s="3">
        <f t="shared" si="292"/>
        <v>8.6875447409309622E-2</v>
      </c>
      <c r="H310" s="3">
        <f t="shared" si="292"/>
        <v>8.6875447409173967E-2</v>
      </c>
      <c r="I310" s="3">
        <f t="shared" si="292"/>
        <v>8.6875447407817427E-2</v>
      </c>
      <c r="J310" s="3">
        <f t="shared" si="292"/>
        <v>8.6875447394251945E-2</v>
      </c>
      <c r="K310" s="3">
        <f t="shared" si="292"/>
        <v>8.6875447258597291E-2</v>
      </c>
      <c r="L310" s="3">
        <f t="shared" si="292"/>
        <v>8.6875445902050652E-2</v>
      </c>
      <c r="M310" s="3">
        <f t="shared" si="292"/>
        <v>8.687543233658547E-2</v>
      </c>
      <c r="N310" s="3">
        <f t="shared" si="292"/>
        <v>8.6875296682050129E-2</v>
      </c>
      <c r="O310" s="3">
        <f t="shared" si="292"/>
        <v>8.6873940148346943E-2</v>
      </c>
      <c r="P310" s="3">
        <f t="shared" si="292"/>
        <v>8.6860375976264795E-2</v>
      </c>
      <c r="Q310" s="3">
        <f t="shared" si="292"/>
        <v>8.6724850683149404E-2</v>
      </c>
      <c r="R310" s="3">
        <f t="shared" si="292"/>
        <v>8.5381173536603613E-2</v>
      </c>
      <c r="S310" s="3">
        <f t="shared" si="292"/>
        <v>7.3037804418212116E-2</v>
      </c>
      <c r="T310" s="3">
        <f t="shared" si="292"/>
        <v>1.5325110209318061E-2</v>
      </c>
      <c r="U310" s="3">
        <f t="shared" si="292"/>
        <v>2.5349101826064038E-9</v>
      </c>
      <c r="V310" s="3">
        <f t="shared" si="292"/>
        <v>3.8864427210852927E-77</v>
      </c>
      <c r="W310" s="3">
        <f t="shared" si="292"/>
        <v>0</v>
      </c>
      <c r="X310" s="3">
        <f t="shared" si="292"/>
        <v>0</v>
      </c>
      <c r="Y310" s="3">
        <f t="shared" si="292"/>
        <v>0</v>
      </c>
      <c r="Z310" s="3">
        <f t="shared" si="292"/>
        <v>0</v>
      </c>
      <c r="AA310" s="3">
        <f t="shared" si="292"/>
        <v>0</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9.6215979999175721E-2</v>
      </c>
      <c r="C311" s="3">
        <f t="shared" si="293"/>
        <v>9.6215979999175721E-2</v>
      </c>
      <c r="D311" s="3">
        <f t="shared" si="293"/>
        <v>9.6215979999175721E-2</v>
      </c>
      <c r="E311" s="3">
        <f t="shared" si="293"/>
        <v>9.6215979999175694E-2</v>
      </c>
      <c r="F311" s="3">
        <f t="shared" si="293"/>
        <v>9.6215979999175555E-2</v>
      </c>
      <c r="G311" s="3">
        <f t="shared" si="293"/>
        <v>9.6215979999174056E-2</v>
      </c>
      <c r="H311" s="3">
        <f t="shared" si="293"/>
        <v>9.6215979999159026E-2</v>
      </c>
      <c r="I311" s="3">
        <f t="shared" si="293"/>
        <v>9.6215979999008786E-2</v>
      </c>
      <c r="J311" s="3">
        <f t="shared" si="293"/>
        <v>9.621597999750639E-2</v>
      </c>
      <c r="K311" s="3">
        <f t="shared" si="293"/>
        <v>9.6215979982482408E-2</v>
      </c>
      <c r="L311" s="3">
        <f t="shared" si="293"/>
        <v>9.6215979832242643E-2</v>
      </c>
      <c r="M311" s="3">
        <f t="shared" si="293"/>
        <v>9.6215978329845048E-2</v>
      </c>
      <c r="N311" s="3">
        <f t="shared" si="293"/>
        <v>9.6215963305870317E-2</v>
      </c>
      <c r="O311" s="3">
        <f t="shared" si="293"/>
        <v>9.6215813066252015E-2</v>
      </c>
      <c r="P311" s="3">
        <f t="shared" si="293"/>
        <v>9.6214310682971732E-2</v>
      </c>
      <c r="Q311" s="3">
        <f t="shared" si="293"/>
        <v>9.619928814036989E-2</v>
      </c>
      <c r="R311" s="3">
        <f t="shared" si="293"/>
        <v>9.6049191659941593E-2</v>
      </c>
      <c r="S311" s="3">
        <f t="shared" si="293"/>
        <v>9.4561047226586731E-2</v>
      </c>
      <c r="T311" s="3">
        <f t="shared" si="293"/>
        <v>8.0890563889425504E-2</v>
      </c>
      <c r="U311" s="3">
        <f t="shared" si="293"/>
        <v>1.6972810401050593E-2</v>
      </c>
      <c r="V311" s="3">
        <f t="shared" si="293"/>
        <v>2.807454519114062E-9</v>
      </c>
      <c r="W311" s="3">
        <f t="shared" si="293"/>
        <v>4.3042989276133302E-77</v>
      </c>
      <c r="X311" s="3">
        <f t="shared" si="293"/>
        <v>0</v>
      </c>
      <c r="Y311" s="3">
        <f t="shared" si="293"/>
        <v>0</v>
      </c>
      <c r="Z311" s="3">
        <f t="shared" si="293"/>
        <v>0</v>
      </c>
      <c r="AA311" s="3">
        <f t="shared" si="293"/>
        <v>0</v>
      </c>
      <c r="AB311" s="3">
        <f t="shared" si="293"/>
        <v>0</v>
      </c>
      <c r="AC311" s="3">
        <f t="shared" si="293"/>
        <v>0</v>
      </c>
      <c r="AD311" s="3">
        <f t="shared" si="293"/>
        <v>0</v>
      </c>
      <c r="AE311" s="3">
        <f t="shared" si="293"/>
        <v>0</v>
      </c>
      <c r="AF311" s="3">
        <f t="shared" si="293"/>
        <v>0</v>
      </c>
      <c r="AG311" s="3"/>
      <c r="AH311" s="3"/>
    </row>
    <row r="312" spans="1:34" x14ac:dyDescent="0.25">
      <c r="B312" s="3">
        <f t="shared" ref="B312:AF312" si="294">$C42*EXP(-B$285/$A42/EXP(-$F$126))</f>
        <v>0.11161416834614406</v>
      </c>
      <c r="C312" s="3">
        <f t="shared" si="294"/>
        <v>0.11161416834614406</v>
      </c>
      <c r="D312" s="3">
        <f t="shared" si="294"/>
        <v>0.11161416834614406</v>
      </c>
      <c r="E312" s="3">
        <f t="shared" si="294"/>
        <v>0.11161416834614406</v>
      </c>
      <c r="F312" s="3">
        <f t="shared" si="294"/>
        <v>0.11161416834614403</v>
      </c>
      <c r="G312" s="3">
        <f t="shared" si="294"/>
        <v>0.11161416834614386</v>
      </c>
      <c r="H312" s="3">
        <f t="shared" si="294"/>
        <v>0.11161416834614213</v>
      </c>
      <c r="I312" s="3">
        <f t="shared" si="294"/>
        <v>0.11161416834612468</v>
      </c>
      <c r="J312" s="3">
        <f t="shared" si="294"/>
        <v>0.11161416834595041</v>
      </c>
      <c r="K312" s="3">
        <f t="shared" si="294"/>
        <v>0.11161416834420758</v>
      </c>
      <c r="L312" s="3">
        <f t="shared" si="294"/>
        <v>0.11161416832677919</v>
      </c>
      <c r="M312" s="3">
        <f t="shared" si="294"/>
        <v>0.11161416815249539</v>
      </c>
      <c r="N312" s="3">
        <f t="shared" si="294"/>
        <v>0.11161416640965748</v>
      </c>
      <c r="O312" s="3">
        <f t="shared" si="294"/>
        <v>0.11161414898127972</v>
      </c>
      <c r="P312" s="3">
        <f t="shared" si="294"/>
        <v>0.1116139746976519</v>
      </c>
      <c r="Q312" s="3">
        <f t="shared" si="294"/>
        <v>0.11161223187634126</v>
      </c>
      <c r="R312" s="3">
        <f t="shared" si="294"/>
        <v>0.11159480515991678</v>
      </c>
      <c r="S312" s="3">
        <f t="shared" si="294"/>
        <v>0.11142068757742341</v>
      </c>
      <c r="T312" s="3">
        <f t="shared" si="294"/>
        <v>0.10969438386665448</v>
      </c>
      <c r="U312" s="3">
        <f t="shared" si="294"/>
        <v>9.3836107220923254E-2</v>
      </c>
      <c r="V312" s="3">
        <f t="shared" si="294"/>
        <v>1.9689100681885435E-2</v>
      </c>
      <c r="W312" s="3">
        <f t="shared" si="294"/>
        <v>3.2567532058939097E-9</v>
      </c>
      <c r="X312" s="3">
        <f t="shared" si="294"/>
        <v>4.9931492161996094E-77</v>
      </c>
      <c r="Y312" s="3">
        <f t="shared" si="294"/>
        <v>0</v>
      </c>
      <c r="Z312" s="3">
        <f t="shared" si="294"/>
        <v>0</v>
      </c>
      <c r="AA312" s="3">
        <f t="shared" si="294"/>
        <v>0</v>
      </c>
      <c r="AB312" s="3">
        <f t="shared" si="294"/>
        <v>0</v>
      </c>
      <c r="AC312" s="3">
        <f t="shared" si="294"/>
        <v>0</v>
      </c>
      <c r="AD312" s="3">
        <f t="shared" si="294"/>
        <v>0</v>
      </c>
      <c r="AE312" s="3">
        <f t="shared" si="294"/>
        <v>0</v>
      </c>
      <c r="AF312" s="3">
        <f t="shared" si="294"/>
        <v>0</v>
      </c>
      <c r="AG312" s="3"/>
      <c r="AH312" s="3"/>
    </row>
    <row r="313" spans="1:34" x14ac:dyDescent="0.25">
      <c r="B313" s="3">
        <f t="shared" ref="B313:AF313" si="295">$C43*EXP(-B$285/$A43/EXP(-$F$126))</f>
        <v>6.6462351022397975E-2</v>
      </c>
      <c r="C313" s="3">
        <f t="shared" si="295"/>
        <v>6.6462351022397975E-2</v>
      </c>
      <c r="D313" s="3">
        <f t="shared" si="295"/>
        <v>6.6462351022397975E-2</v>
      </c>
      <c r="E313" s="3">
        <f t="shared" si="295"/>
        <v>6.6462351022397975E-2</v>
      </c>
      <c r="F313" s="3">
        <f t="shared" si="295"/>
        <v>6.6462351022397975E-2</v>
      </c>
      <c r="G313" s="3">
        <f t="shared" si="295"/>
        <v>6.6462351022397961E-2</v>
      </c>
      <c r="H313" s="3">
        <f t="shared" si="295"/>
        <v>6.646235102239785E-2</v>
      </c>
      <c r="I313" s="3">
        <f t="shared" si="295"/>
        <v>6.6462351022396823E-2</v>
      </c>
      <c r="J313" s="3">
        <f t="shared" si="295"/>
        <v>6.6462351022386443E-2</v>
      </c>
      <c r="K313" s="3">
        <f t="shared" si="295"/>
        <v>6.6462351022282665E-2</v>
      </c>
      <c r="L313" s="3">
        <f t="shared" si="295"/>
        <v>6.646235102124487E-2</v>
      </c>
      <c r="M313" s="3">
        <f t="shared" si="295"/>
        <v>6.6462351010866866E-2</v>
      </c>
      <c r="N313" s="3">
        <f t="shared" si="295"/>
        <v>6.6462350907086937E-2</v>
      </c>
      <c r="O313" s="3">
        <f t="shared" si="295"/>
        <v>6.6462349869287632E-2</v>
      </c>
      <c r="P313" s="3">
        <f t="shared" si="295"/>
        <v>6.6462339491295513E-2</v>
      </c>
      <c r="Q313" s="3">
        <f t="shared" si="295"/>
        <v>6.6462235711463424E-2</v>
      </c>
      <c r="R313" s="3">
        <f t="shared" si="295"/>
        <v>6.646119792205521E-2</v>
      </c>
      <c r="S313" s="3">
        <f t="shared" si="295"/>
        <v>6.6450820919194964E-2</v>
      </c>
      <c r="T313" s="3">
        <f t="shared" si="295"/>
        <v>6.6347139961317303E-2</v>
      </c>
      <c r="U313" s="3">
        <f t="shared" si="295"/>
        <v>6.5319186208702557E-2</v>
      </c>
      <c r="V313" s="3">
        <f t="shared" si="295"/>
        <v>5.5876134626127234E-2</v>
      </c>
      <c r="W313" s="3">
        <f t="shared" si="295"/>
        <v>1.1724173912908187E-2</v>
      </c>
      <c r="X313" s="3">
        <f t="shared" si="295"/>
        <v>1.9392831391456472E-9</v>
      </c>
      <c r="Y313" s="3">
        <f t="shared" si="295"/>
        <v>2.9732465047367299E-77</v>
      </c>
      <c r="Z313" s="3">
        <f t="shared" si="295"/>
        <v>0</v>
      </c>
      <c r="AA313" s="3">
        <f t="shared" si="295"/>
        <v>0</v>
      </c>
      <c r="AB313" s="3">
        <f t="shared" si="295"/>
        <v>0</v>
      </c>
      <c r="AC313" s="3">
        <f t="shared" si="295"/>
        <v>0</v>
      </c>
      <c r="AD313" s="3">
        <f t="shared" si="295"/>
        <v>0</v>
      </c>
      <c r="AE313" s="3">
        <f t="shared" si="295"/>
        <v>0</v>
      </c>
      <c r="AF313" s="3">
        <f t="shared" si="295"/>
        <v>0</v>
      </c>
      <c r="AG313" s="3"/>
      <c r="AH313" s="3"/>
    </row>
    <row r="314" spans="1:34" x14ac:dyDescent="0.25">
      <c r="B314" s="3">
        <f t="shared" ref="B314:AF314" si="296">$C44*EXP(-B$285/$A44/EXP(-$F$126))</f>
        <v>4.7100906601755713E-2</v>
      </c>
      <c r="C314" s="3">
        <f t="shared" si="296"/>
        <v>4.7100906601755713E-2</v>
      </c>
      <c r="D314" s="3">
        <f t="shared" si="296"/>
        <v>4.7100906601755713E-2</v>
      </c>
      <c r="E314" s="3">
        <f t="shared" si="296"/>
        <v>4.7100906601755713E-2</v>
      </c>
      <c r="F314" s="3">
        <f t="shared" si="296"/>
        <v>4.7100906601755713E-2</v>
      </c>
      <c r="G314" s="3">
        <f t="shared" si="296"/>
        <v>4.7100906601755713E-2</v>
      </c>
      <c r="H314" s="3">
        <f t="shared" si="296"/>
        <v>4.7100906601755699E-2</v>
      </c>
      <c r="I314" s="3">
        <f t="shared" si="296"/>
        <v>4.7100906601755629E-2</v>
      </c>
      <c r="J314" s="3">
        <f t="shared" si="296"/>
        <v>4.7100906601754894E-2</v>
      </c>
      <c r="K314" s="3">
        <f t="shared" si="296"/>
        <v>4.7100906601747539E-2</v>
      </c>
      <c r="L314" s="3">
        <f t="shared" si="296"/>
        <v>4.7100906601673993E-2</v>
      </c>
      <c r="M314" s="3">
        <f t="shared" si="296"/>
        <v>4.7100906600938519E-2</v>
      </c>
      <c r="N314" s="3">
        <f t="shared" si="296"/>
        <v>4.7100906593583784E-2</v>
      </c>
      <c r="O314" s="3">
        <f t="shared" si="296"/>
        <v>4.7100906520036449E-2</v>
      </c>
      <c r="P314" s="3">
        <f t="shared" si="296"/>
        <v>4.71009057845631E-2</v>
      </c>
      <c r="Q314" s="3">
        <f t="shared" si="296"/>
        <v>4.7100898429830229E-2</v>
      </c>
      <c r="R314" s="3">
        <f t="shared" si="296"/>
        <v>4.7100824882564694E-2</v>
      </c>
      <c r="S314" s="3">
        <f t="shared" si="296"/>
        <v>4.7100089416225684E-2</v>
      </c>
      <c r="T314" s="3">
        <f t="shared" si="296"/>
        <v>4.7092735384431629E-2</v>
      </c>
      <c r="U314" s="3">
        <f t="shared" si="296"/>
        <v>4.7019258189625046E-2</v>
      </c>
      <c r="V314" s="3">
        <f t="shared" si="296"/>
        <v>4.6290762237435293E-2</v>
      </c>
      <c r="W314" s="3">
        <f t="shared" si="296"/>
        <v>3.9598608201587976E-2</v>
      </c>
      <c r="X314" s="3">
        <f t="shared" si="296"/>
        <v>8.3087524284016102E-3</v>
      </c>
      <c r="Y314" s="3">
        <f t="shared" si="296"/>
        <v>1.3743419034405852E-9</v>
      </c>
      <c r="Z314" s="3">
        <f t="shared" si="296"/>
        <v>2.107096781400445E-77</v>
      </c>
      <c r="AA314" s="3">
        <f t="shared" si="296"/>
        <v>0</v>
      </c>
      <c r="AB314" s="3">
        <f t="shared" si="296"/>
        <v>0</v>
      </c>
      <c r="AC314" s="3">
        <f t="shared" si="296"/>
        <v>0</v>
      </c>
      <c r="AD314" s="3">
        <f t="shared" si="296"/>
        <v>0</v>
      </c>
      <c r="AE314" s="3">
        <f t="shared" si="296"/>
        <v>0</v>
      </c>
      <c r="AF314" s="3">
        <f t="shared" si="296"/>
        <v>0</v>
      </c>
      <c r="AG314" s="3"/>
      <c r="AH314" s="3"/>
    </row>
    <row r="315" spans="1:34" x14ac:dyDescent="0.25">
      <c r="B315" s="3">
        <f t="shared" ref="B315:AF315" si="297">$C45*EXP(-B$285/$A45/EXP(-$F$126))</f>
        <v>2.2598128773559236E-2</v>
      </c>
      <c r="C315" s="3">
        <f t="shared" si="297"/>
        <v>2.2598128773559236E-2</v>
      </c>
      <c r="D315" s="3">
        <f t="shared" si="297"/>
        <v>2.2598128773559236E-2</v>
      </c>
      <c r="E315" s="3">
        <f t="shared" si="297"/>
        <v>2.2598128773559236E-2</v>
      </c>
      <c r="F315" s="3">
        <f t="shared" si="297"/>
        <v>2.2598128773559236E-2</v>
      </c>
      <c r="G315" s="3">
        <f t="shared" si="297"/>
        <v>2.2598128773559236E-2</v>
      </c>
      <c r="H315" s="3">
        <f t="shared" si="297"/>
        <v>2.2598128773559236E-2</v>
      </c>
      <c r="I315" s="3">
        <f t="shared" si="297"/>
        <v>2.2598128773559233E-2</v>
      </c>
      <c r="J315" s="3">
        <f t="shared" si="297"/>
        <v>2.2598128773559194E-2</v>
      </c>
      <c r="K315" s="3">
        <f t="shared" si="297"/>
        <v>2.2598128773558844E-2</v>
      </c>
      <c r="L315" s="3">
        <f t="shared" si="297"/>
        <v>2.2598128773555316E-2</v>
      </c>
      <c r="M315" s="3">
        <f t="shared" si="297"/>
        <v>2.2598128773520028E-2</v>
      </c>
      <c r="N315" s="3">
        <f t="shared" si="297"/>
        <v>2.2598128773167164E-2</v>
      </c>
      <c r="O315" s="3">
        <f t="shared" si="297"/>
        <v>2.2598128769638497E-2</v>
      </c>
      <c r="P315" s="3">
        <f t="shared" si="297"/>
        <v>2.259812873435187E-2</v>
      </c>
      <c r="Q315" s="3">
        <f t="shared" si="297"/>
        <v>2.2598128381485595E-2</v>
      </c>
      <c r="R315" s="3">
        <f t="shared" si="297"/>
        <v>2.2598124852823146E-2</v>
      </c>
      <c r="S315" s="3">
        <f t="shared" si="297"/>
        <v>2.2598089566228951E-2</v>
      </c>
      <c r="T315" s="3">
        <f t="shared" si="297"/>
        <v>2.2597736703317457E-2</v>
      </c>
      <c r="U315" s="3">
        <f t="shared" si="297"/>
        <v>2.2594208377230401E-2</v>
      </c>
      <c r="V315" s="3">
        <f t="shared" si="297"/>
        <v>2.2558955401651853E-2</v>
      </c>
      <c r="W315" s="3">
        <f t="shared" si="297"/>
        <v>2.2209436750603488E-2</v>
      </c>
      <c r="X315" s="3">
        <f t="shared" si="297"/>
        <v>1.8998667158560547E-2</v>
      </c>
      <c r="Y315" s="3">
        <f t="shared" si="297"/>
        <v>3.9863830841345982E-3</v>
      </c>
      <c r="Z315" s="3">
        <f t="shared" si="297"/>
        <v>6.5938338672426247E-10</v>
      </c>
      <c r="AA315" s="3">
        <f t="shared" si="297"/>
        <v>1.0109453902244956E-77</v>
      </c>
      <c r="AB315" s="3">
        <f t="shared" si="297"/>
        <v>0</v>
      </c>
      <c r="AC315" s="3">
        <f t="shared" si="297"/>
        <v>0</v>
      </c>
      <c r="AD315" s="3">
        <f t="shared" si="297"/>
        <v>0</v>
      </c>
      <c r="AE315" s="3">
        <f t="shared" si="297"/>
        <v>0</v>
      </c>
      <c r="AF315" s="3">
        <f t="shared" si="297"/>
        <v>0</v>
      </c>
      <c r="AG315" s="3"/>
      <c r="AH315" s="3"/>
    </row>
    <row r="316" spans="1:34" x14ac:dyDescent="0.25">
      <c r="B316" s="3">
        <f t="shared" ref="B316:AF316" si="298">$C46*EXP(-B$285/$A46/EXP(-$F$126))</f>
        <v>6.4467605952010509E-3</v>
      </c>
      <c r="C316" s="3">
        <f t="shared" si="298"/>
        <v>6.4467605952010509E-3</v>
      </c>
      <c r="D316" s="3">
        <f t="shared" si="298"/>
        <v>6.4467605952010509E-3</v>
      </c>
      <c r="E316" s="3">
        <f t="shared" si="298"/>
        <v>6.4467605952010509E-3</v>
      </c>
      <c r="F316" s="3">
        <f t="shared" si="298"/>
        <v>6.4467605952010509E-3</v>
      </c>
      <c r="G316" s="3">
        <f t="shared" si="298"/>
        <v>6.4467605952010509E-3</v>
      </c>
      <c r="H316" s="3">
        <f t="shared" si="298"/>
        <v>6.4467605952010509E-3</v>
      </c>
      <c r="I316" s="3">
        <f t="shared" si="298"/>
        <v>6.4467605952010509E-3</v>
      </c>
      <c r="J316" s="3">
        <f t="shared" si="298"/>
        <v>6.4467605952010492E-3</v>
      </c>
      <c r="K316" s="3">
        <f t="shared" si="298"/>
        <v>6.4467605952010397E-3</v>
      </c>
      <c r="L316" s="3">
        <f t="shared" si="298"/>
        <v>6.446760595200939E-3</v>
      </c>
      <c r="M316" s="3">
        <f t="shared" si="298"/>
        <v>6.446760595199932E-3</v>
      </c>
      <c r="N316" s="3">
        <f t="shared" si="298"/>
        <v>6.4467605951898663E-3</v>
      </c>
      <c r="O316" s="3">
        <f t="shared" si="298"/>
        <v>6.4467605950892012E-3</v>
      </c>
      <c r="P316" s="3">
        <f t="shared" si="298"/>
        <v>6.4467605940825489E-3</v>
      </c>
      <c r="Q316" s="3">
        <f t="shared" si="298"/>
        <v>6.4467605840160319E-3</v>
      </c>
      <c r="R316" s="3">
        <f t="shared" si="298"/>
        <v>6.4467604833508656E-3</v>
      </c>
      <c r="S316" s="3">
        <f t="shared" si="298"/>
        <v>6.4467594766992858E-3</v>
      </c>
      <c r="T316" s="3">
        <f t="shared" si="298"/>
        <v>6.4467494101921301E-3</v>
      </c>
      <c r="U316" s="3">
        <f t="shared" si="298"/>
        <v>6.4466487459851011E-3</v>
      </c>
      <c r="V316" s="3">
        <f t="shared" si="298"/>
        <v>6.4456421903621563E-3</v>
      </c>
      <c r="W316" s="3">
        <f t="shared" si="298"/>
        <v>6.4355852738758115E-3</v>
      </c>
      <c r="X316" s="3">
        <f t="shared" si="298"/>
        <v>6.3358751124971916E-3</v>
      </c>
      <c r="Y316" s="3">
        <f t="shared" si="298"/>
        <v>5.4199115345539162E-3</v>
      </c>
      <c r="Z316" s="3">
        <f t="shared" si="298"/>
        <v>1.137229442388353E-3</v>
      </c>
      <c r="AA316" s="3">
        <f t="shared" si="298"/>
        <v>1.8810791270637897E-10</v>
      </c>
      <c r="AB316" s="3">
        <f t="shared" si="298"/>
        <v>2.8840099863600079E-78</v>
      </c>
      <c r="AC316" s="3">
        <f t="shared" si="298"/>
        <v>0</v>
      </c>
      <c r="AD316" s="3">
        <f t="shared" si="298"/>
        <v>0</v>
      </c>
      <c r="AE316" s="3">
        <f t="shared" si="298"/>
        <v>0</v>
      </c>
      <c r="AF316" s="3">
        <f t="shared" si="298"/>
        <v>0</v>
      </c>
      <c r="AG316" s="3"/>
      <c r="AH316" s="3"/>
    </row>
    <row r="317" spans="1:34" x14ac:dyDescent="0.25">
      <c r="B317" s="3">
        <f t="shared" ref="B317:AF317" si="299">$C47*EXP(-B$285/$A47/EXP(-$F$126))</f>
        <v>9.8307104636690784E-5</v>
      </c>
      <c r="C317" s="3">
        <f t="shared" si="299"/>
        <v>9.8307104636690784E-5</v>
      </c>
      <c r="D317" s="3">
        <f t="shared" si="299"/>
        <v>9.8307104636690784E-5</v>
      </c>
      <c r="E317" s="3">
        <f t="shared" si="299"/>
        <v>9.8307104636690784E-5</v>
      </c>
      <c r="F317" s="3">
        <f t="shared" si="299"/>
        <v>9.8307104636690784E-5</v>
      </c>
      <c r="G317" s="3">
        <f t="shared" si="299"/>
        <v>9.8307104636690784E-5</v>
      </c>
      <c r="H317" s="3">
        <f t="shared" si="299"/>
        <v>9.8307104636690784E-5</v>
      </c>
      <c r="I317" s="3">
        <f t="shared" si="299"/>
        <v>9.8307104636690784E-5</v>
      </c>
      <c r="J317" s="3">
        <f t="shared" si="299"/>
        <v>9.8307104636690784E-5</v>
      </c>
      <c r="K317" s="3">
        <f t="shared" si="299"/>
        <v>9.8307104636690757E-5</v>
      </c>
      <c r="L317" s="3">
        <f t="shared" si="299"/>
        <v>9.8307104636690608E-5</v>
      </c>
      <c r="M317" s="3">
        <f t="shared" si="299"/>
        <v>9.8307104636689076E-5</v>
      </c>
      <c r="N317" s="3">
        <f t="shared" si="299"/>
        <v>9.8307104636673721E-5</v>
      </c>
      <c r="O317" s="3">
        <f t="shared" si="299"/>
        <v>9.8307104636520225E-5</v>
      </c>
      <c r="P317" s="3">
        <f t="shared" si="299"/>
        <v>9.8307104634985171E-5</v>
      </c>
      <c r="Q317" s="3">
        <f t="shared" si="299"/>
        <v>9.8307104619634671E-5</v>
      </c>
      <c r="R317" s="3">
        <f t="shared" si="299"/>
        <v>9.8307104466129641E-5</v>
      </c>
      <c r="S317" s="3">
        <f t="shared" si="299"/>
        <v>9.8307102931079464E-5</v>
      </c>
      <c r="T317" s="3">
        <f t="shared" si="299"/>
        <v>9.830708758057889E-5</v>
      </c>
      <c r="U317" s="3">
        <f t="shared" si="299"/>
        <v>9.8306934075704984E-5</v>
      </c>
      <c r="V317" s="3">
        <f t="shared" si="299"/>
        <v>9.8305399040149138E-5</v>
      </c>
      <c r="W317" s="3">
        <f t="shared" si="299"/>
        <v>9.8290050002832464E-5</v>
      </c>
      <c r="X317" s="3">
        <f t="shared" si="299"/>
        <v>9.8136691377714367E-5</v>
      </c>
      <c r="Y317" s="3">
        <f t="shared" si="299"/>
        <v>9.6616204130943321E-5</v>
      </c>
      <c r="Z317" s="3">
        <f t="shared" si="299"/>
        <v>8.2648611264644396E-5</v>
      </c>
      <c r="AA317" s="3">
        <f t="shared" si="299"/>
        <v>1.7341691557775423E-5</v>
      </c>
      <c r="AB317" s="3">
        <f t="shared" si="299"/>
        <v>2.8684707589701932E-12</v>
      </c>
      <c r="AC317" s="3">
        <f t="shared" si="299"/>
        <v>4.397847063118877E-80</v>
      </c>
      <c r="AD317" s="3">
        <f t="shared" si="299"/>
        <v>0</v>
      </c>
      <c r="AE317" s="3">
        <f t="shared" si="299"/>
        <v>0</v>
      </c>
      <c r="AF317" s="3">
        <f t="shared" si="299"/>
        <v>0</v>
      </c>
      <c r="AG317" s="3"/>
      <c r="AH317" s="3"/>
    </row>
    <row r="318" spans="1:34" x14ac:dyDescent="0.25">
      <c r="B318" s="3">
        <f t="shared" ref="B318:AF318" si="300">$C48*EXP(-B$285/$A48/EXP(-$F$126))</f>
        <v>1.1020901234699522E-2</v>
      </c>
      <c r="C318" s="3">
        <f t="shared" si="300"/>
        <v>1.1020901234699522E-2</v>
      </c>
      <c r="D318" s="3">
        <f t="shared" si="300"/>
        <v>1.1020901234699522E-2</v>
      </c>
      <c r="E318" s="3">
        <f t="shared" si="300"/>
        <v>1.1020901234699522E-2</v>
      </c>
      <c r="F318" s="3">
        <f t="shared" si="300"/>
        <v>1.1020901234699522E-2</v>
      </c>
      <c r="G318" s="3">
        <f t="shared" si="300"/>
        <v>1.1020901234699522E-2</v>
      </c>
      <c r="H318" s="3">
        <f t="shared" si="300"/>
        <v>1.1020901234699522E-2</v>
      </c>
      <c r="I318" s="3">
        <f t="shared" si="300"/>
        <v>1.1020901234699522E-2</v>
      </c>
      <c r="J318" s="3">
        <f t="shared" si="300"/>
        <v>1.1020901234699522E-2</v>
      </c>
      <c r="K318" s="3">
        <f t="shared" si="300"/>
        <v>1.1020901234699522E-2</v>
      </c>
      <c r="L318" s="3">
        <f t="shared" si="300"/>
        <v>1.102090123469952E-2</v>
      </c>
      <c r="M318" s="3">
        <f t="shared" si="300"/>
        <v>1.1020901234699503E-2</v>
      </c>
      <c r="N318" s="3">
        <f t="shared" si="300"/>
        <v>1.1020901234699331E-2</v>
      </c>
      <c r="O318" s="3">
        <f t="shared" si="300"/>
        <v>1.102090123469761E-2</v>
      </c>
      <c r="P318" s="3">
        <f t="shared" si="300"/>
        <v>1.1020901234680401E-2</v>
      </c>
      <c r="Q318" s="3">
        <f t="shared" si="300"/>
        <v>1.1020901234508312E-2</v>
      </c>
      <c r="R318" s="3">
        <f t="shared" si="300"/>
        <v>1.1020901232787414E-2</v>
      </c>
      <c r="S318" s="3">
        <f t="shared" si="300"/>
        <v>1.1020901215578447E-2</v>
      </c>
      <c r="T318" s="3">
        <f t="shared" si="300"/>
        <v>1.1020901043488783E-2</v>
      </c>
      <c r="U318" s="3">
        <f t="shared" si="300"/>
        <v>1.1020899322592301E-2</v>
      </c>
      <c r="V318" s="3">
        <f t="shared" si="300"/>
        <v>1.1020882113642241E-2</v>
      </c>
      <c r="W318" s="3">
        <f t="shared" si="300"/>
        <v>1.1020710025619556E-2</v>
      </c>
      <c r="X318" s="3">
        <f t="shared" si="300"/>
        <v>1.1018989293176667E-2</v>
      </c>
      <c r="Y318" s="3">
        <f t="shared" si="300"/>
        <v>1.1001796738608387E-2</v>
      </c>
      <c r="Z318" s="3">
        <f t="shared" si="300"/>
        <v>1.0831339681234838E-2</v>
      </c>
      <c r="AA318" s="3">
        <f t="shared" si="300"/>
        <v>9.2654766438189113E-3</v>
      </c>
      <c r="AB318" s="3">
        <f t="shared" si="300"/>
        <v>1.9441226614005478E-3</v>
      </c>
      <c r="AC318" s="3">
        <f t="shared" si="300"/>
        <v>3.2157526199215539E-10</v>
      </c>
      <c r="AD318" s="3">
        <f t="shared" si="300"/>
        <v>4.9302884371448458E-78</v>
      </c>
      <c r="AE318" s="3">
        <f t="shared" si="300"/>
        <v>0</v>
      </c>
      <c r="AF318" s="3">
        <f t="shared" si="300"/>
        <v>0</v>
      </c>
      <c r="AG318" s="3"/>
      <c r="AH318" s="3"/>
    </row>
    <row r="319" spans="1:34" x14ac:dyDescent="0.25">
      <c r="A319" s="79">
        <f>AVERAGE(B319:AF319)</f>
        <v>8.1545483678581374E-2</v>
      </c>
      <c r="B319" s="80">
        <f>IF($A$64&lt;=B285,IF($B$64&gt;=B285,ABS((B287-B286)/B286),0),0)</f>
        <v>5.9130416927605997E-3</v>
      </c>
      <c r="C319" s="80">
        <f t="shared" ref="C319:AF319" si="301">IF($A$64&lt;=C285,IF($B$64&gt;=C285,ABS((C287-C286)/C286),0),0)</f>
        <v>5.9051544172462845E-3</v>
      </c>
      <c r="D319" s="80">
        <f t="shared" si="301"/>
        <v>5.9125847469393361E-3</v>
      </c>
      <c r="E319" s="80">
        <f t="shared" si="301"/>
        <v>5.9378364152238095E-3</v>
      </c>
      <c r="F319" s="80">
        <f t="shared" si="301"/>
        <v>6.1755976906547674E-3</v>
      </c>
      <c r="G319" s="80">
        <f t="shared" si="301"/>
        <v>8.1840449586721761E-3</v>
      </c>
      <c r="H319" s="80">
        <f t="shared" si="301"/>
        <v>6.4741307784009165E-3</v>
      </c>
      <c r="I319" s="80">
        <f t="shared" si="301"/>
        <v>7.1447253053689395E-3</v>
      </c>
      <c r="J319" s="80">
        <f t="shared" si="301"/>
        <v>5.1082903775814415E-3</v>
      </c>
      <c r="K319" s="80">
        <f t="shared" si="301"/>
        <v>5.0194349604521663E-3</v>
      </c>
      <c r="L319" s="80">
        <f t="shared" si="301"/>
        <v>3.2225694223928241E-3</v>
      </c>
      <c r="M319" s="80">
        <f t="shared" si="301"/>
        <v>1.3536790595884557E-3</v>
      </c>
      <c r="N319" s="80">
        <f t="shared" si="301"/>
        <v>8.0493084936471282E-3</v>
      </c>
      <c r="O319" s="80">
        <f t="shared" si="301"/>
        <v>2.5946803781431008E-2</v>
      </c>
      <c r="P319" s="80">
        <f t="shared" si="301"/>
        <v>4.1372936476203881E-2</v>
      </c>
      <c r="Q319" s="80">
        <f t="shared" si="301"/>
        <v>5.5919541061197724E-2</v>
      </c>
      <c r="R319" s="80">
        <f t="shared" si="301"/>
        <v>4.1539472280734582E-2</v>
      </c>
      <c r="S319" s="80">
        <f t="shared" si="301"/>
        <v>1.6207808914393104E-2</v>
      </c>
      <c r="T319" s="80">
        <f t="shared" si="301"/>
        <v>3.1724785940644373E-2</v>
      </c>
      <c r="U319" s="80">
        <f t="shared" si="301"/>
        <v>8.3509387245836023E-2</v>
      </c>
      <c r="V319" s="80">
        <f t="shared" si="301"/>
        <v>9.8687670274558742E-2</v>
      </c>
      <c r="W319" s="80">
        <f t="shared" si="301"/>
        <v>0.14120154809213517</v>
      </c>
      <c r="X319" s="80">
        <f t="shared" si="301"/>
        <v>0.13891939514340768</v>
      </c>
      <c r="Y319" s="80">
        <f t="shared" si="301"/>
        <v>0.13918843796836916</v>
      </c>
      <c r="Z319" s="80">
        <f t="shared" si="301"/>
        <v>0.1041558212542162</v>
      </c>
      <c r="AA319" s="80">
        <f t="shared" si="301"/>
        <v>9.1100181665631011E-2</v>
      </c>
      <c r="AB319" s="80">
        <f t="shared" si="301"/>
        <v>0.21169078059610022</v>
      </c>
      <c r="AC319" s="80">
        <f t="shared" si="301"/>
        <v>0.31179586188805797</v>
      </c>
      <c r="AD319" s="80">
        <f t="shared" si="301"/>
        <v>0.30765724642168402</v>
      </c>
      <c r="AE319" s="80">
        <f t="shared" si="301"/>
        <v>0.30759127103159933</v>
      </c>
      <c r="AF319" s="80">
        <f t="shared" si="301"/>
        <v>0.30530064568089349</v>
      </c>
    </row>
    <row r="320" spans="1:34" x14ac:dyDescent="0.25">
      <c r="B320" s="21">
        <f>(B287-B286)^2</f>
        <v>1467.7407922327691</v>
      </c>
      <c r="C320" s="21">
        <f t="shared" ref="C320:AF320" si="302">(C287-C286)^2</f>
        <v>1463.8488579303014</v>
      </c>
      <c r="D320" s="21">
        <f t="shared" si="302"/>
        <v>1467.4940359402724</v>
      </c>
      <c r="E320" s="21">
        <f t="shared" si="302"/>
        <v>1479.7870097038983</v>
      </c>
      <c r="F320" s="21">
        <f t="shared" si="302"/>
        <v>1597.8599042197136</v>
      </c>
      <c r="G320" s="21">
        <f t="shared" si="302"/>
        <v>2765.1956255039213</v>
      </c>
      <c r="H320" s="21">
        <f t="shared" si="302"/>
        <v>1653.1079227226789</v>
      </c>
      <c r="I320" s="21">
        <f t="shared" si="302"/>
        <v>1918.6581115106806</v>
      </c>
      <c r="J320" s="21">
        <f t="shared" si="302"/>
        <v>926.75503990164736</v>
      </c>
      <c r="K320" s="21">
        <f t="shared" si="302"/>
        <v>835.50359444522724</v>
      </c>
      <c r="L320" s="21">
        <f t="shared" si="302"/>
        <v>320.31043050554052</v>
      </c>
      <c r="M320" s="21">
        <f t="shared" si="302"/>
        <v>51.399963096859508</v>
      </c>
      <c r="N320" s="21">
        <f t="shared" si="302"/>
        <v>1629.0954074687047</v>
      </c>
      <c r="O320" s="21">
        <f t="shared" si="302"/>
        <v>15111.389218814873</v>
      </c>
      <c r="P320" s="21">
        <f t="shared" si="302"/>
        <v>33723.283239773918</v>
      </c>
      <c r="Q320" s="21">
        <f t="shared" si="302"/>
        <v>52959.453001949056</v>
      </c>
      <c r="R320" s="21">
        <f t="shared" si="302"/>
        <v>23147.187542067189</v>
      </c>
      <c r="S320" s="21">
        <f t="shared" si="302"/>
        <v>2427.3395611850056</v>
      </c>
      <c r="T320" s="21">
        <f t="shared" si="302"/>
        <v>5589.0614193824667</v>
      </c>
      <c r="U320" s="21">
        <f t="shared" si="302"/>
        <v>19323.919219663785</v>
      </c>
      <c r="V320" s="21">
        <f t="shared" si="302"/>
        <v>10532.38851074386</v>
      </c>
      <c r="W320" s="21">
        <f t="shared" si="302"/>
        <v>7079.7630455570661</v>
      </c>
      <c r="X320" s="21">
        <f t="shared" si="302"/>
        <v>2123.5439675256675</v>
      </c>
      <c r="Y320" s="21">
        <f t="shared" si="302"/>
        <v>719.60083338974573</v>
      </c>
      <c r="Z320" s="21">
        <f t="shared" si="302"/>
        <v>240.50031495497788</v>
      </c>
      <c r="AA320" s="21">
        <f t="shared" si="302"/>
        <v>149.29112702441827</v>
      </c>
      <c r="AB320" s="21">
        <f t="shared" si="302"/>
        <v>699.10610746180305</v>
      </c>
      <c r="AC320" s="21">
        <f t="shared" si="302"/>
        <v>1510.2751162699935</v>
      </c>
      <c r="AD320" s="21">
        <f t="shared" si="302"/>
        <v>1452.920683761288</v>
      </c>
      <c r="AE320" s="21">
        <f t="shared" si="302"/>
        <v>1452.020861095692</v>
      </c>
      <c r="AF320" s="21">
        <f t="shared" si="302"/>
        <v>1421.0572220750687</v>
      </c>
      <c r="AG320" s="3"/>
      <c r="AH320" s="3"/>
    </row>
    <row r="321" spans="1:34" x14ac:dyDescent="0.25">
      <c r="A321" s="71">
        <f>SUM(B321:AF321)</f>
        <v>197238.8576878781</v>
      </c>
      <c r="B321" s="60">
        <f>IF($A$64&lt;=B285,IF($B$64&gt;=B285,ABS(B320),0),0)</f>
        <v>1467.7407922327691</v>
      </c>
      <c r="C321" s="60">
        <f t="shared" ref="C321" si="303">IF($A$64&lt;=C285,IF($B$64&gt;=C285,ABS(C320),0),0)</f>
        <v>1463.8488579303014</v>
      </c>
      <c r="D321" s="60">
        <f t="shared" ref="D321" si="304">IF($A$64&lt;=D285,IF($B$64&gt;=D285,ABS(D320),0),0)</f>
        <v>1467.4940359402724</v>
      </c>
      <c r="E321" s="60">
        <f t="shared" ref="E321" si="305">IF($A$64&lt;=E285,IF($B$64&gt;=E285,ABS(E320),0),0)</f>
        <v>1479.7870097038983</v>
      </c>
      <c r="F321" s="60">
        <f t="shared" ref="F321" si="306">IF($A$64&lt;=F285,IF($B$64&gt;=F285,ABS(F320),0),0)</f>
        <v>1597.8599042197136</v>
      </c>
      <c r="G321" s="60">
        <f t="shared" ref="G321" si="307">IF($A$64&lt;=G285,IF($B$64&gt;=G285,ABS(G320),0),0)</f>
        <v>2765.1956255039213</v>
      </c>
      <c r="H321" s="60">
        <f t="shared" ref="H321" si="308">IF($A$64&lt;=H285,IF($B$64&gt;=H285,ABS(H320),0),0)</f>
        <v>1653.1079227226789</v>
      </c>
      <c r="I321" s="60">
        <f t="shared" ref="I321" si="309">IF($A$64&lt;=I285,IF($B$64&gt;=I285,ABS(I320),0),0)</f>
        <v>1918.6581115106806</v>
      </c>
      <c r="J321" s="60">
        <f t="shared" ref="J321" si="310">IF($A$64&lt;=J285,IF($B$64&gt;=J285,ABS(J320),0),0)</f>
        <v>926.75503990164736</v>
      </c>
      <c r="K321" s="60">
        <f t="shared" ref="K321" si="311">IF($A$64&lt;=K285,IF($B$64&gt;=K285,ABS(K320),0),0)</f>
        <v>835.50359444522724</v>
      </c>
      <c r="L321" s="60">
        <f t="shared" ref="L321" si="312">IF($A$64&lt;=L285,IF($B$64&gt;=L285,ABS(L320),0),0)</f>
        <v>320.31043050554052</v>
      </c>
      <c r="M321" s="60">
        <f t="shared" ref="M321" si="313">IF($A$64&lt;=M285,IF($B$64&gt;=M285,ABS(M320),0),0)</f>
        <v>51.399963096859508</v>
      </c>
      <c r="N321" s="60">
        <f t="shared" ref="N321" si="314">IF($A$64&lt;=N285,IF($B$64&gt;=N285,ABS(N320),0),0)</f>
        <v>1629.0954074687047</v>
      </c>
      <c r="O321" s="60">
        <f t="shared" ref="O321" si="315">IF($A$64&lt;=O285,IF($B$64&gt;=O285,ABS(O320),0),0)</f>
        <v>15111.389218814873</v>
      </c>
      <c r="P321" s="60">
        <f t="shared" ref="P321" si="316">IF($A$64&lt;=P285,IF($B$64&gt;=P285,ABS(P320),0),0)</f>
        <v>33723.283239773918</v>
      </c>
      <c r="Q321" s="60">
        <f t="shared" ref="Q321" si="317">IF($A$64&lt;=Q285,IF($B$64&gt;=Q285,ABS(Q320),0),0)</f>
        <v>52959.453001949056</v>
      </c>
      <c r="R321" s="60">
        <f t="shared" ref="R321" si="318">IF($A$64&lt;=R285,IF($B$64&gt;=R285,ABS(R320),0),0)</f>
        <v>23147.187542067189</v>
      </c>
      <c r="S321" s="60">
        <f t="shared" ref="S321" si="319">IF($A$64&lt;=S285,IF($B$64&gt;=S285,ABS(S320),0),0)</f>
        <v>2427.3395611850056</v>
      </c>
      <c r="T321" s="60">
        <f t="shared" ref="T321" si="320">IF($A$64&lt;=T285,IF($B$64&gt;=T285,ABS(T320),0),0)</f>
        <v>5589.0614193824667</v>
      </c>
      <c r="U321" s="60">
        <f t="shared" ref="U321" si="321">IF($A$64&lt;=U285,IF($B$64&gt;=U285,ABS(U320),0),0)</f>
        <v>19323.919219663785</v>
      </c>
      <c r="V321" s="60">
        <f t="shared" ref="V321" si="322">IF($A$64&lt;=V285,IF($B$64&gt;=V285,ABS(V320),0),0)</f>
        <v>10532.38851074386</v>
      </c>
      <c r="W321" s="60">
        <f t="shared" ref="W321" si="323">IF($A$64&lt;=W285,IF($B$64&gt;=W285,ABS(W320),0),0)</f>
        <v>7079.7630455570661</v>
      </c>
      <c r="X321" s="60">
        <f t="shared" ref="X321" si="324">IF($A$64&lt;=X285,IF($B$64&gt;=X285,ABS(X320),0),0)</f>
        <v>2123.5439675256675</v>
      </c>
      <c r="Y321" s="60">
        <f t="shared" ref="Y321" si="325">IF($A$64&lt;=Y285,IF($B$64&gt;=Y285,ABS(Y320),0),0)</f>
        <v>719.60083338974573</v>
      </c>
      <c r="Z321" s="60">
        <f t="shared" ref="Z321" si="326">IF($A$64&lt;=Z285,IF($B$64&gt;=Z285,ABS(Z320),0),0)</f>
        <v>240.50031495497788</v>
      </c>
      <c r="AA321" s="60">
        <f t="shared" ref="AA321" si="327">IF($A$64&lt;=AA285,IF($B$64&gt;=AA285,ABS(AA320),0),0)</f>
        <v>149.29112702441827</v>
      </c>
      <c r="AB321" s="60">
        <f t="shared" ref="AB321" si="328">IF($A$64&lt;=AB285,IF($B$64&gt;=AB285,ABS(AB320),0),0)</f>
        <v>699.10610746180305</v>
      </c>
      <c r="AC321" s="60">
        <f t="shared" ref="AC321" si="329">IF($A$64&lt;=AC285,IF($B$64&gt;=AC285,ABS(AC320),0),0)</f>
        <v>1510.2751162699935</v>
      </c>
      <c r="AD321" s="60">
        <f t="shared" ref="AD321" si="330">IF($A$64&lt;=AD285,IF($B$64&gt;=AD285,ABS(AD320),0),0)</f>
        <v>1452.920683761288</v>
      </c>
      <c r="AE321" s="60">
        <f t="shared" ref="AE321" si="331">IF($A$64&lt;=AE285,IF($B$64&gt;=AE285,ABS(AE320),0),0)</f>
        <v>1452.020861095692</v>
      </c>
      <c r="AF321" s="60">
        <f t="shared" ref="AF321" si="332">IF($A$64&lt;=AF285,IF($B$64&gt;=AF285,ABS(AF320),0),0)</f>
        <v>1421.0572220750687</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5863.6829549380891</v>
      </c>
      <c r="C325" s="26">
        <f>INDEX(Comparison!$AM$3:$AS$33,G$14,$G$122)</f>
        <v>5609.1927579282792</v>
      </c>
      <c r="D325" s="26">
        <f>INDEX(Comparison!$AM$3:$AS$33,H$14,$G$122)</f>
        <v>5370.7345311781783</v>
      </c>
      <c r="E325" s="26">
        <f>INDEX(Comparison!$AM$3:$AS$33,I$14,$G$122)</f>
        <v>5097.9534912421213</v>
      </c>
      <c r="F325" s="26">
        <f>INDEX(Comparison!$AM$3:$AS$33,J$14,$G$122)</f>
        <v>4821.046341164677</v>
      </c>
      <c r="G325" s="26">
        <f>INDEX(Comparison!$AM$3:$AS$33,K$14,$G$122)</f>
        <v>4535.3452020984814</v>
      </c>
      <c r="H325" s="26">
        <f>INDEX(Comparison!$AM$3:$AS$33,L$14,$G$122)</f>
        <v>4228.4929725950406</v>
      </c>
      <c r="I325" s="26">
        <f>INDEX(Comparison!$AM$3:$AS$33,M$14,$G$122)</f>
        <v>3871.0057883923755</v>
      </c>
      <c r="J325" s="26">
        <f>INDEX(Comparison!$AM$3:$AS$33,N$14,$G$122)</f>
        <v>3401.7561264704505</v>
      </c>
      <c r="K325" s="26">
        <f>INDEX(Comparison!$AM$3:$AS$33,O$14,$G$122)</f>
        <v>2827.0529060658037</v>
      </c>
      <c r="L325" s="26">
        <f>INDEX(Comparison!$AM$3:$AS$33,P$14,$G$122)</f>
        <v>2150.7951483518323</v>
      </c>
      <c r="M325" s="26">
        <f>INDEX(Comparison!$AM$3:$AS$33,Q$14,$G$122)</f>
        <v>1410.5199057082755</v>
      </c>
      <c r="N325" s="26">
        <f>INDEX(Comparison!$AM$3:$AS$33,R$14,$G$122)</f>
        <v>826.67973456797017</v>
      </c>
      <c r="O325" s="26">
        <f>INDEX(Comparison!$AM$3:$AS$33,S$14,$G$122)</f>
        <v>463.10914863390207</v>
      </c>
      <c r="P325" s="26">
        <f>INDEX(Comparison!$AM$3:$AS$33,T$14,$G$122)</f>
        <v>257.27368574751409</v>
      </c>
      <c r="Q325" s="26">
        <f>INDEX(Comparison!$AM$3:$AS$33,U$14,$G$122)</f>
        <v>179.98076982609024</v>
      </c>
      <c r="R325" s="26">
        <f>INDEX(Comparison!$AM$3:$AS$33,V$14,$G$122)</f>
        <v>157.55849658546879</v>
      </c>
      <c r="S325" s="26">
        <f>INDEX(Comparison!$AM$3:$AS$33,W$14,$G$122)</f>
        <v>143.13037816485394</v>
      </c>
      <c r="T325" s="26">
        <f>INDEX(Comparison!$AM$3:$AS$33,X$14,$G$122)</f>
        <v>139.03929298884987</v>
      </c>
      <c r="U325" s="26">
        <f>INDEX(Comparison!$AM$3:$AS$33,Y$14,$G$122)</f>
        <v>135.60631839895524</v>
      </c>
      <c r="V325" s="26">
        <f>INDEX(Comparison!$AM$3:$AS$33,Z$14,$G$122)</f>
        <v>132.22937471479068</v>
      </c>
      <c r="W325" s="26">
        <f>INDEX(Comparison!$AM$3:$AS$33,AA$14,$G$122)</f>
        <v>129.58780540541244</v>
      </c>
      <c r="X325" s="26">
        <f>INDEX(Comparison!$AM$3:$AS$33,AB$14,$G$122)</f>
        <v>127.7135675720335</v>
      </c>
      <c r="Y325" s="26">
        <f>INDEX(Comparison!$AM$3:$AS$33,AC$14,$G$122)</f>
        <v>126.4367312836393</v>
      </c>
      <c r="Z325" s="26">
        <f>INDEX(Comparison!$AM$3:$AS$33,AD$14,$G$122)</f>
        <v>125.52960401951817</v>
      </c>
      <c r="AA325" s="26">
        <f>INDEX(Comparison!$AM$3:$AS$33,AE$14,$G$122)</f>
        <v>124.83927834622055</v>
      </c>
      <c r="AB325" s="26">
        <f>INDEX(Comparison!$AM$3:$AS$33,AF$14,$G$122)</f>
        <v>124.70417941781746</v>
      </c>
      <c r="AC325" s="26">
        <f>INDEX(Comparison!$AM$3:$AS$33,AG$14,$G$122)</f>
        <v>123.9260383626436</v>
      </c>
      <c r="AD325" s="26">
        <f>INDEX(Comparison!$AM$3:$AS$33,AH$14,$G$122)</f>
        <v>123.91358498832378</v>
      </c>
      <c r="AE325" s="26">
        <f>INDEX(Comparison!$AM$3:$AS$33,AI$14,$G$122)</f>
        <v>123.65466987195585</v>
      </c>
      <c r="AF325" s="26">
        <f>INDEX(Comparison!$AM$3:$AS$33,AJ$14,$G$122)</f>
        <v>123.64094316844046</v>
      </c>
      <c r="AG325" s="26"/>
      <c r="AH325" s="26"/>
    </row>
    <row r="326" spans="1:34" x14ac:dyDescent="0.25">
      <c r="A326" s="77" t="s">
        <v>22</v>
      </c>
      <c r="B326" s="27">
        <f>($C$17+SUM(B327:B357))*$B$51</f>
        <v>5877.6870166923673</v>
      </c>
      <c r="C326" s="27">
        <f t="shared" ref="C326:AF326" si="333">($C$17+SUM(C327:C357))*$B$51</f>
        <v>5668.4970644889436</v>
      </c>
      <c r="D326" s="27">
        <f t="shared" si="333"/>
        <v>5427.5163871896239</v>
      </c>
      <c r="E326" s="27">
        <f t="shared" si="333"/>
        <v>5117.7127872339142</v>
      </c>
      <c r="F326" s="27">
        <f t="shared" si="333"/>
        <v>4759.9380727984571</v>
      </c>
      <c r="G326" s="27">
        <f t="shared" si="333"/>
        <v>4394.9409901175941</v>
      </c>
      <c r="H326" s="27">
        <f t="shared" si="333"/>
        <v>4033.0128285543765</v>
      </c>
      <c r="I326" s="27">
        <f t="shared" si="333"/>
        <v>3651.7345522673863</v>
      </c>
      <c r="J326" s="27">
        <f t="shared" si="333"/>
        <v>3234.4378877707336</v>
      </c>
      <c r="K326" s="27">
        <f t="shared" si="333"/>
        <v>2697.9412906261468</v>
      </c>
      <c r="L326" s="27">
        <f t="shared" si="333"/>
        <v>2098.0100036198965</v>
      </c>
      <c r="M326" s="27">
        <f t="shared" si="333"/>
        <v>1441.9167000128521</v>
      </c>
      <c r="N326" s="27">
        <f t="shared" si="333"/>
        <v>863.16309682106453</v>
      </c>
      <c r="O326" s="27">
        <f t="shared" si="333"/>
        <v>499.95396363977119</v>
      </c>
      <c r="P326" s="27">
        <f t="shared" si="333"/>
        <v>275.40633502897191</v>
      </c>
      <c r="Q326" s="27">
        <f t="shared" si="333"/>
        <v>180.07914411134968</v>
      </c>
      <c r="R326" s="27">
        <f t="shared" si="333"/>
        <v>153.57891621757787</v>
      </c>
      <c r="S326" s="27">
        <f t="shared" si="333"/>
        <v>123.44426374756362</v>
      </c>
      <c r="T326" s="27">
        <f t="shared" si="333"/>
        <v>85.889701856662711</v>
      </c>
      <c r="U326" s="27">
        <f t="shared" si="333"/>
        <v>85.777810288287611</v>
      </c>
      <c r="V326" s="27">
        <f t="shared" si="333"/>
        <v>85.777810288287611</v>
      </c>
      <c r="W326" s="27">
        <f t="shared" si="333"/>
        <v>85.777810288287611</v>
      </c>
      <c r="X326" s="27">
        <f t="shared" si="333"/>
        <v>85.777810288287611</v>
      </c>
      <c r="Y326" s="27">
        <f t="shared" si="333"/>
        <v>85.777810288287611</v>
      </c>
      <c r="Z326" s="27">
        <f t="shared" si="333"/>
        <v>85.777810288287611</v>
      </c>
      <c r="AA326" s="27">
        <f t="shared" si="333"/>
        <v>85.777810288287611</v>
      </c>
      <c r="AB326" s="27">
        <f t="shared" si="333"/>
        <v>85.777810288287611</v>
      </c>
      <c r="AC326" s="27">
        <f t="shared" si="333"/>
        <v>85.777810288287611</v>
      </c>
      <c r="AD326" s="27">
        <f t="shared" si="333"/>
        <v>85.777810288287611</v>
      </c>
      <c r="AE326" s="27">
        <f t="shared" si="333"/>
        <v>85.777810288287611</v>
      </c>
      <c r="AF326" s="27">
        <f t="shared" si="333"/>
        <v>85.777810288287611</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0</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0</v>
      </c>
      <c r="C330" s="3">
        <f t="shared" si="337"/>
        <v>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0</v>
      </c>
      <c r="C331" s="3">
        <f t="shared" si="338"/>
        <v>0</v>
      </c>
      <c r="D331" s="3">
        <f t="shared" si="338"/>
        <v>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0</v>
      </c>
      <c r="C332" s="3">
        <f t="shared" si="339"/>
        <v>0</v>
      </c>
      <c r="D332" s="3">
        <f t="shared" si="339"/>
        <v>0</v>
      </c>
      <c r="E332" s="3">
        <f t="shared" si="339"/>
        <v>0</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0</v>
      </c>
      <c r="C333" s="3">
        <f t="shared" si="340"/>
        <v>0</v>
      </c>
      <c r="D333" s="3">
        <f t="shared" si="340"/>
        <v>0</v>
      </c>
      <c r="E333" s="3">
        <f t="shared" si="340"/>
        <v>0</v>
      </c>
      <c r="F333" s="3">
        <f t="shared" si="340"/>
        <v>0</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0</v>
      </c>
      <c r="C334" s="3">
        <f t="shared" si="341"/>
        <v>0</v>
      </c>
      <c r="D334" s="3">
        <f t="shared" si="341"/>
        <v>0</v>
      </c>
      <c r="E334" s="3">
        <f t="shared" si="341"/>
        <v>0</v>
      </c>
      <c r="F334" s="3">
        <f t="shared" si="341"/>
        <v>0</v>
      </c>
      <c r="G334" s="3">
        <f t="shared" si="341"/>
        <v>0</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0</v>
      </c>
      <c r="C335" s="3">
        <f t="shared" si="342"/>
        <v>0</v>
      </c>
      <c r="D335" s="3">
        <f t="shared" si="342"/>
        <v>0</v>
      </c>
      <c r="E335" s="3">
        <f t="shared" si="342"/>
        <v>0</v>
      </c>
      <c r="F335" s="3">
        <f t="shared" si="342"/>
        <v>0</v>
      </c>
      <c r="G335" s="3">
        <f t="shared" si="342"/>
        <v>0</v>
      </c>
      <c r="H335" s="3">
        <f t="shared" si="342"/>
        <v>0</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0</v>
      </c>
      <c r="C336" s="3">
        <f t="shared" si="343"/>
        <v>0</v>
      </c>
      <c r="D336" s="3">
        <f t="shared" si="343"/>
        <v>0</v>
      </c>
      <c r="E336" s="3">
        <f t="shared" si="343"/>
        <v>0</v>
      </c>
      <c r="F336" s="3">
        <f t="shared" si="343"/>
        <v>0</v>
      </c>
      <c r="G336" s="3">
        <f t="shared" si="343"/>
        <v>0</v>
      </c>
      <c r="H336" s="3">
        <f t="shared" si="343"/>
        <v>0</v>
      </c>
      <c r="I336" s="3">
        <f t="shared" si="343"/>
        <v>0</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9.5507285526542148E-287</v>
      </c>
      <c r="C337" s="3">
        <f t="shared" si="344"/>
        <v>0</v>
      </c>
      <c r="D337" s="3">
        <f t="shared" si="344"/>
        <v>0</v>
      </c>
      <c r="E337" s="3">
        <f t="shared" si="344"/>
        <v>0</v>
      </c>
      <c r="F337" s="3">
        <f t="shared" si="344"/>
        <v>0</v>
      </c>
      <c r="G337" s="3">
        <f t="shared" si="344"/>
        <v>0</v>
      </c>
      <c r="H337" s="3">
        <f t="shared" si="344"/>
        <v>0</v>
      </c>
      <c r="I337" s="3">
        <f t="shared" si="344"/>
        <v>0</v>
      </c>
      <c r="J337" s="3">
        <f t="shared" si="344"/>
        <v>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4.2305791234475265E-28</v>
      </c>
      <c r="C338" s="3">
        <f t="shared" si="345"/>
        <v>4.3029564497582251E-259</v>
      </c>
      <c r="D338" s="3">
        <f t="shared" si="345"/>
        <v>0</v>
      </c>
      <c r="E338" s="3">
        <f t="shared" si="345"/>
        <v>0</v>
      </c>
      <c r="F338" s="3">
        <f t="shared" si="345"/>
        <v>0</v>
      </c>
      <c r="G338" s="3">
        <f t="shared" si="345"/>
        <v>0</v>
      </c>
      <c r="H338" s="3">
        <f t="shared" si="345"/>
        <v>0</v>
      </c>
      <c r="I338" s="3">
        <f t="shared" si="345"/>
        <v>0</v>
      </c>
      <c r="J338" s="3">
        <f t="shared" si="345"/>
        <v>0</v>
      </c>
      <c r="K338" s="3">
        <f t="shared" si="345"/>
        <v>0</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1.5733558637513544E-4</v>
      </c>
      <c r="C339" s="3">
        <f t="shared" si="346"/>
        <v>2.2875458338467119E-25</v>
      </c>
      <c r="D339" s="3">
        <f t="shared" si="346"/>
        <v>9.6560213780718278E-234</v>
      </c>
      <c r="E339" s="3">
        <f t="shared" si="346"/>
        <v>0</v>
      </c>
      <c r="F339" s="3">
        <f t="shared" si="346"/>
        <v>0</v>
      </c>
      <c r="G339" s="3">
        <f t="shared" si="346"/>
        <v>0</v>
      </c>
      <c r="H339" s="3">
        <f t="shared" si="346"/>
        <v>0</v>
      </c>
      <c r="I339" s="3">
        <f t="shared" si="346"/>
        <v>0</v>
      </c>
      <c r="J339" s="3">
        <f t="shared" si="346"/>
        <v>0</v>
      </c>
      <c r="K339" s="3">
        <f t="shared" si="346"/>
        <v>0</v>
      </c>
      <c r="L339" s="3">
        <f t="shared" si="346"/>
        <v>0</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1.9884383345897906E-2</v>
      </c>
      <c r="C340" s="3">
        <f t="shared" si="347"/>
        <v>2.6230111731891749E-4</v>
      </c>
      <c r="D340" s="3">
        <f t="shared" si="347"/>
        <v>4.1848536435565031E-23</v>
      </c>
      <c r="E340" s="3">
        <f t="shared" si="347"/>
        <v>4.4717921492426608E-211</v>
      </c>
      <c r="F340" s="3">
        <f t="shared" si="347"/>
        <v>0</v>
      </c>
      <c r="G340" s="3">
        <f t="shared" si="347"/>
        <v>0</v>
      </c>
      <c r="H340" s="3">
        <f t="shared" si="347"/>
        <v>0</v>
      </c>
      <c r="I340" s="3">
        <f t="shared" si="347"/>
        <v>0</v>
      </c>
      <c r="J340" s="3">
        <f t="shared" si="347"/>
        <v>0</v>
      </c>
      <c r="K340" s="3">
        <f t="shared" si="347"/>
        <v>0</v>
      </c>
      <c r="L340" s="3">
        <f t="shared" si="347"/>
        <v>0</v>
      </c>
      <c r="M340" s="3">
        <f t="shared" si="347"/>
        <v>0</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3.2461337127042779E-2</v>
      </c>
      <c r="C341" s="3">
        <f t="shared" si="348"/>
        <v>2.196851728287812E-2</v>
      </c>
      <c r="D341" s="3">
        <f t="shared" si="348"/>
        <v>4.4273530699478168E-4</v>
      </c>
      <c r="E341" s="3">
        <f t="shared" si="348"/>
        <v>4.893034387348338E-21</v>
      </c>
      <c r="F341" s="3">
        <f t="shared" si="348"/>
        <v>1.330207446949193E-190</v>
      </c>
      <c r="G341" s="3">
        <f t="shared" si="348"/>
        <v>0</v>
      </c>
      <c r="H341" s="3">
        <f t="shared" si="348"/>
        <v>0</v>
      </c>
      <c r="I341" s="3">
        <f t="shared" si="348"/>
        <v>0</v>
      </c>
      <c r="J341" s="3">
        <f t="shared" si="348"/>
        <v>0</v>
      </c>
      <c r="K341" s="3">
        <f t="shared" si="348"/>
        <v>0</v>
      </c>
      <c r="L341" s="3">
        <f t="shared" si="348"/>
        <v>0</v>
      </c>
      <c r="M341" s="3">
        <f t="shared" si="348"/>
        <v>0</v>
      </c>
      <c r="N341" s="3">
        <f t="shared" si="348"/>
        <v>0</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4.6054350553992686E-2</v>
      </c>
      <c r="C342" s="3">
        <f t="shared" si="349"/>
        <v>4.4460508892025401E-2</v>
      </c>
      <c r="D342" s="3">
        <f t="shared" si="349"/>
        <v>3.1261664539072566E-2</v>
      </c>
      <c r="E342" s="3">
        <f t="shared" si="349"/>
        <v>9.2339770370262802E-4</v>
      </c>
      <c r="F342" s="3">
        <f t="shared" si="349"/>
        <v>4.6682672177039471E-19</v>
      </c>
      <c r="G342" s="3">
        <f t="shared" si="349"/>
        <v>5.0912553818167509E-172</v>
      </c>
      <c r="H342" s="3">
        <f t="shared" si="349"/>
        <v>0</v>
      </c>
      <c r="I342" s="3">
        <f t="shared" si="349"/>
        <v>0</v>
      </c>
      <c r="J342" s="3">
        <f t="shared" si="349"/>
        <v>0</v>
      </c>
      <c r="K342" s="3">
        <f t="shared" si="349"/>
        <v>0</v>
      </c>
      <c r="L342" s="3">
        <f t="shared" si="349"/>
        <v>0</v>
      </c>
      <c r="M342" s="3">
        <f t="shared" si="349"/>
        <v>0</v>
      </c>
      <c r="N342" s="3">
        <f t="shared" si="349"/>
        <v>0</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5.6651394160135503E-2</v>
      </c>
      <c r="C343" s="3">
        <f t="shared" si="350"/>
        <v>5.6471686068073366E-2</v>
      </c>
      <c r="D343" s="3">
        <f t="shared" si="350"/>
        <v>5.4705662250595186E-2</v>
      </c>
      <c r="E343" s="3">
        <f t="shared" si="350"/>
        <v>3.9815074454524077E-2</v>
      </c>
      <c r="F343" s="3">
        <f t="shared" si="350"/>
        <v>1.6603515645981569E-3</v>
      </c>
      <c r="G343" s="3">
        <f t="shared" si="350"/>
        <v>2.6407378560695293E-17</v>
      </c>
      <c r="H343" s="3">
        <f t="shared" si="350"/>
        <v>2.7351279439397554E-155</v>
      </c>
      <c r="I343" s="3">
        <f t="shared" si="350"/>
        <v>0</v>
      </c>
      <c r="J343" s="3">
        <f t="shared" si="350"/>
        <v>0</v>
      </c>
      <c r="K343" s="3">
        <f t="shared" si="350"/>
        <v>0</v>
      </c>
      <c r="L343" s="3">
        <f t="shared" si="350"/>
        <v>0</v>
      </c>
      <c r="M343" s="3">
        <f t="shared" si="350"/>
        <v>0</v>
      </c>
      <c r="N343" s="3">
        <f t="shared" si="350"/>
        <v>0</v>
      </c>
      <c r="O343" s="3">
        <f t="shared" si="350"/>
        <v>0</v>
      </c>
      <c r="P343" s="3">
        <f t="shared" si="350"/>
        <v>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5.8703867887331812E-2</v>
      </c>
      <c r="C344" s="3">
        <f t="shared" si="351"/>
        <v>5.8687045104253724E-2</v>
      </c>
      <c r="D344" s="3">
        <f t="shared" si="351"/>
        <v>5.8519082195669918E-2</v>
      </c>
      <c r="E344" s="3">
        <f t="shared" si="351"/>
        <v>5.6865666530444961E-2</v>
      </c>
      <c r="F344" s="3">
        <f t="shared" si="351"/>
        <v>4.2694940468624744E-2</v>
      </c>
      <c r="G344" s="3">
        <f t="shared" si="351"/>
        <v>2.4301842189463282E-3</v>
      </c>
      <c r="H344" s="3">
        <f t="shared" si="351"/>
        <v>8.6749511174261325E-16</v>
      </c>
      <c r="I344" s="3">
        <f t="shared" si="351"/>
        <v>2.9143750184356455E-140</v>
      </c>
      <c r="J344" s="3">
        <f t="shared" si="351"/>
        <v>0</v>
      </c>
      <c r="K344" s="3">
        <f t="shared" si="351"/>
        <v>0</v>
      </c>
      <c r="L344" s="3">
        <f t="shared" si="351"/>
        <v>0</v>
      </c>
      <c r="M344" s="3">
        <f t="shared" si="351"/>
        <v>0</v>
      </c>
      <c r="N344" s="3">
        <f t="shared" si="351"/>
        <v>0</v>
      </c>
      <c r="O344" s="3">
        <f t="shared" si="351"/>
        <v>0</v>
      </c>
      <c r="P344" s="3">
        <f t="shared" si="351"/>
        <v>0</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5.6202194610030093E-2</v>
      </c>
      <c r="C345" s="3">
        <f t="shared" si="352"/>
        <v>5.620074153642355E-2</v>
      </c>
      <c r="D345" s="3">
        <f t="shared" si="352"/>
        <v>5.6186212866456281E-2</v>
      </c>
      <c r="E345" s="3">
        <f t="shared" si="352"/>
        <v>5.6041132579091921E-2</v>
      </c>
      <c r="F345" s="3">
        <f t="shared" si="352"/>
        <v>5.461077483528036E-2</v>
      </c>
      <c r="G345" s="3">
        <f t="shared" si="352"/>
        <v>4.2168940203041835E-2</v>
      </c>
      <c r="H345" s="3">
        <f t="shared" si="352"/>
        <v>3.1778702797554486E-3</v>
      </c>
      <c r="I345" s="3">
        <f t="shared" si="352"/>
        <v>1.8774611344823283E-14</v>
      </c>
      <c r="J345" s="3">
        <f t="shared" si="352"/>
        <v>9.7256549046446051E-127</v>
      </c>
      <c r="K345" s="3">
        <f t="shared" si="352"/>
        <v>0</v>
      </c>
      <c r="L345" s="3">
        <f t="shared" si="352"/>
        <v>0</v>
      </c>
      <c r="M345" s="3">
        <f t="shared" si="352"/>
        <v>0</v>
      </c>
      <c r="N345" s="3">
        <f t="shared" si="352"/>
        <v>0</v>
      </c>
      <c r="O345" s="3">
        <f t="shared" si="352"/>
        <v>0</v>
      </c>
      <c r="P345" s="3">
        <f t="shared" si="352"/>
        <v>0</v>
      </c>
      <c r="Q345" s="3">
        <f t="shared" si="352"/>
        <v>0</v>
      </c>
      <c r="R345" s="3">
        <f t="shared" si="352"/>
        <v>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6.3415279750432887E-2</v>
      </c>
      <c r="C346" s="3">
        <f t="shared" si="353"/>
        <v>6.3415131846422043E-2</v>
      </c>
      <c r="D346" s="3">
        <f t="shared" si="353"/>
        <v>6.341365282528609E-2</v>
      </c>
      <c r="E346" s="3">
        <f t="shared" si="353"/>
        <v>6.3398864511017644E-2</v>
      </c>
      <c r="F346" s="3">
        <f t="shared" si="353"/>
        <v>6.3251170913824831E-2</v>
      </c>
      <c r="G346" s="3">
        <f t="shared" si="353"/>
        <v>6.1793026937225687E-2</v>
      </c>
      <c r="H346" s="3">
        <f t="shared" si="353"/>
        <v>4.8938253946876162E-2</v>
      </c>
      <c r="I346" s="3">
        <f t="shared" si="353"/>
        <v>4.7504907373218958E-3</v>
      </c>
      <c r="J346" s="3">
        <f t="shared" si="353"/>
        <v>3.5288933193811081E-13</v>
      </c>
      <c r="K346" s="3">
        <f t="shared" si="353"/>
        <v>1.8056728538949551E-114</v>
      </c>
      <c r="L346" s="3">
        <f t="shared" si="353"/>
        <v>0</v>
      </c>
      <c r="M346" s="3">
        <f t="shared" si="353"/>
        <v>0</v>
      </c>
      <c r="N346" s="3">
        <f t="shared" si="353"/>
        <v>0</v>
      </c>
      <c r="O346" s="3">
        <f t="shared" si="353"/>
        <v>0</v>
      </c>
      <c r="P346" s="3">
        <f t="shared" si="353"/>
        <v>0</v>
      </c>
      <c r="Q346" s="3">
        <f t="shared" si="353"/>
        <v>0</v>
      </c>
      <c r="R346" s="3">
        <f t="shared" si="353"/>
        <v>0</v>
      </c>
      <c r="S346" s="3">
        <f t="shared" si="353"/>
        <v>0</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3.5348869139445523E-2</v>
      </c>
      <c r="C347" s="3">
        <f t="shared" si="354"/>
        <v>3.5348861702260002E-2</v>
      </c>
      <c r="D347" s="3">
        <f t="shared" si="354"/>
        <v>3.534878733049087E-2</v>
      </c>
      <c r="E347" s="3">
        <f t="shared" si="354"/>
        <v>3.5348043621405513E-2</v>
      </c>
      <c r="F347" s="3">
        <f t="shared" si="354"/>
        <v>3.5340607391083807E-2</v>
      </c>
      <c r="G347" s="3">
        <f t="shared" si="354"/>
        <v>3.5266331074097407E-2</v>
      </c>
      <c r="H347" s="3">
        <f t="shared" si="354"/>
        <v>3.4532099965718516E-2</v>
      </c>
      <c r="I347" s="3">
        <f t="shared" si="354"/>
        <v>2.7980152767846898E-2</v>
      </c>
      <c r="J347" s="3">
        <f t="shared" si="354"/>
        <v>3.4128798575204671E-3</v>
      </c>
      <c r="K347" s="3">
        <f t="shared" si="354"/>
        <v>2.4878843542995501E-12</v>
      </c>
      <c r="L347" s="3">
        <f t="shared" si="354"/>
        <v>1.0541977284815878E-103</v>
      </c>
      <c r="M347" s="3">
        <f t="shared" si="354"/>
        <v>0</v>
      </c>
      <c r="N347" s="3">
        <f t="shared" si="354"/>
        <v>0</v>
      </c>
      <c r="O347" s="3">
        <f t="shared" si="354"/>
        <v>0</v>
      </c>
      <c r="P347" s="3">
        <f t="shared" si="354"/>
        <v>0</v>
      </c>
      <c r="Q347" s="3">
        <f t="shared" si="354"/>
        <v>0</v>
      </c>
      <c r="R347" s="3">
        <f t="shared" si="354"/>
        <v>0</v>
      </c>
      <c r="S347" s="3">
        <f t="shared" si="354"/>
        <v>0</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7.0460456344971875E-2</v>
      </c>
      <c r="C348" s="3">
        <f t="shared" si="355"/>
        <v>7.0460452244900329E-2</v>
      </c>
      <c r="D348" s="3">
        <f t="shared" si="355"/>
        <v>7.0460411244197829E-2</v>
      </c>
      <c r="E348" s="3">
        <f t="shared" si="355"/>
        <v>7.0460001238485129E-2</v>
      </c>
      <c r="F348" s="3">
        <f t="shared" si="355"/>
        <v>7.0455901312575009E-2</v>
      </c>
      <c r="G348" s="3">
        <f t="shared" si="355"/>
        <v>7.0414915172338374E-2</v>
      </c>
      <c r="H348" s="3">
        <f t="shared" si="355"/>
        <v>7.0006362836309441E-2</v>
      </c>
      <c r="I348" s="3">
        <f t="shared" si="355"/>
        <v>6.6048970997597337E-2</v>
      </c>
      <c r="J348" s="3">
        <f t="shared" si="355"/>
        <v>3.6910631015092336E-2</v>
      </c>
      <c r="K348" s="3">
        <f t="shared" si="355"/>
        <v>1.0964923568178579E-4</v>
      </c>
      <c r="L348" s="3">
        <f t="shared" si="355"/>
        <v>5.8687687570244925E-30</v>
      </c>
      <c r="M348" s="3">
        <f t="shared" si="355"/>
        <v>1.132298382009165E-282</v>
      </c>
      <c r="N348" s="3">
        <f t="shared" si="355"/>
        <v>0</v>
      </c>
      <c r="O348" s="3">
        <f t="shared" si="355"/>
        <v>0</v>
      </c>
      <c r="P348" s="3">
        <f t="shared" si="355"/>
        <v>0</v>
      </c>
      <c r="Q348" s="3">
        <f t="shared" si="355"/>
        <v>0</v>
      </c>
      <c r="R348" s="3">
        <f t="shared" si="355"/>
        <v>0</v>
      </c>
      <c r="S348" s="3">
        <f t="shared" si="355"/>
        <v>0</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8.6875447353155194E-2</v>
      </c>
      <c r="C349" s="3">
        <f t="shared" si="356"/>
        <v>8.6875446847629711E-2</v>
      </c>
      <c r="D349" s="3">
        <f t="shared" si="356"/>
        <v>8.687544179237508E-2</v>
      </c>
      <c r="E349" s="3">
        <f t="shared" si="356"/>
        <v>8.6875391239844835E-2</v>
      </c>
      <c r="F349" s="3">
        <f t="shared" si="356"/>
        <v>8.6874885716160366E-2</v>
      </c>
      <c r="G349" s="3">
        <f t="shared" si="356"/>
        <v>8.6869830641101806E-2</v>
      </c>
      <c r="H349" s="3">
        <f t="shared" si="356"/>
        <v>8.6819296065648824E-2</v>
      </c>
      <c r="I349" s="3">
        <f t="shared" si="356"/>
        <v>8.6315564347259385E-2</v>
      </c>
      <c r="J349" s="3">
        <f t="shared" si="356"/>
        <v>8.1436229154537326E-2</v>
      </c>
      <c r="K349" s="3">
        <f t="shared" si="356"/>
        <v>4.5509605375880523E-2</v>
      </c>
      <c r="L349" s="3">
        <f t="shared" si="356"/>
        <v>1.3519393487487636E-4</v>
      </c>
      <c r="M349" s="3">
        <f t="shared" si="356"/>
        <v>7.236000654263459E-30</v>
      </c>
      <c r="N349" s="3">
        <f t="shared" si="356"/>
        <v>1.3960870111354881E-282</v>
      </c>
      <c r="O349" s="3">
        <f t="shared" si="356"/>
        <v>0</v>
      </c>
      <c r="P349" s="3">
        <f t="shared" si="356"/>
        <v>0</v>
      </c>
      <c r="Q349" s="3">
        <f t="shared" si="356"/>
        <v>0</v>
      </c>
      <c r="R349" s="3">
        <f t="shared" si="356"/>
        <v>0</v>
      </c>
      <c r="S349" s="3">
        <f t="shared" si="356"/>
        <v>0</v>
      </c>
      <c r="T349" s="3">
        <f t="shared" si="356"/>
        <v>0</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9.6215979992954864E-2</v>
      </c>
      <c r="C350" s="3">
        <f t="shared" si="357"/>
        <v>9.621597993696708E-2</v>
      </c>
      <c r="D350" s="3">
        <f t="shared" si="357"/>
        <v>9.6215979377089339E-2</v>
      </c>
      <c r="E350" s="3">
        <f t="shared" si="357"/>
        <v>9.6215973778312078E-2</v>
      </c>
      <c r="F350" s="3">
        <f t="shared" si="357"/>
        <v>9.6215917790557381E-2</v>
      </c>
      <c r="G350" s="3">
        <f t="shared" si="357"/>
        <v>9.6215357914802332E-2</v>
      </c>
      <c r="H350" s="3">
        <f t="shared" si="357"/>
        <v>9.6209759336432568E-2</v>
      </c>
      <c r="I350" s="3">
        <f t="shared" si="357"/>
        <v>9.615379146695914E-2</v>
      </c>
      <c r="J350" s="3">
        <f t="shared" si="357"/>
        <v>9.5595900343669146E-2</v>
      </c>
      <c r="K350" s="3">
        <f t="shared" si="357"/>
        <v>9.0191956751870986E-2</v>
      </c>
      <c r="L350" s="3">
        <f t="shared" si="357"/>
        <v>5.0402632863403372E-2</v>
      </c>
      <c r="M350" s="3">
        <f t="shared" si="357"/>
        <v>1.4972949575319008E-4</v>
      </c>
      <c r="N350" s="3">
        <f t="shared" si="357"/>
        <v>8.0139891647902747E-30</v>
      </c>
      <c r="O350" s="3">
        <f t="shared" si="357"/>
        <v>1.5461892162422798E-282</v>
      </c>
      <c r="P350" s="3">
        <f t="shared" si="357"/>
        <v>0</v>
      </c>
      <c r="Q350" s="3">
        <f t="shared" si="357"/>
        <v>0</v>
      </c>
      <c r="R350" s="3">
        <f t="shared" si="357"/>
        <v>0</v>
      </c>
      <c r="S350" s="3">
        <f t="shared" si="357"/>
        <v>0</v>
      </c>
      <c r="T350" s="3">
        <f t="shared" si="357"/>
        <v>0</v>
      </c>
      <c r="U350" s="3">
        <f t="shared" si="357"/>
        <v>0</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0.11161416834542241</v>
      </c>
      <c r="C351" s="3">
        <f t="shared" si="358"/>
        <v>0.11161416833892762</v>
      </c>
      <c r="D351" s="3">
        <f t="shared" si="358"/>
        <v>0.11161416827397969</v>
      </c>
      <c r="E351" s="3">
        <f t="shared" si="358"/>
        <v>0.11161416762450037</v>
      </c>
      <c r="F351" s="3">
        <f t="shared" si="358"/>
        <v>0.11161416112970743</v>
      </c>
      <c r="G351" s="3">
        <f t="shared" si="358"/>
        <v>0.11161409618179881</v>
      </c>
      <c r="H351" s="3">
        <f t="shared" si="358"/>
        <v>0.11161344670479116</v>
      </c>
      <c r="I351" s="3">
        <f t="shared" si="358"/>
        <v>0.11160695214257117</v>
      </c>
      <c r="J351" s="3">
        <f t="shared" si="358"/>
        <v>0.11154202730154751</v>
      </c>
      <c r="K351" s="3">
        <f t="shared" si="358"/>
        <v>0.11089485254165583</v>
      </c>
      <c r="L351" s="3">
        <f t="shared" si="358"/>
        <v>0.10462607401034332</v>
      </c>
      <c r="M351" s="3">
        <f t="shared" si="358"/>
        <v>5.846895650341026E-2</v>
      </c>
      <c r="N351" s="3">
        <f t="shared" si="358"/>
        <v>1.7369186641889411E-4</v>
      </c>
      <c r="O351" s="3">
        <f t="shared" si="358"/>
        <v>9.2965299087608844E-30</v>
      </c>
      <c r="P351" s="3">
        <f t="shared" si="358"/>
        <v>1.7936378497432214E-282</v>
      </c>
      <c r="Q351" s="3">
        <f t="shared" si="358"/>
        <v>0</v>
      </c>
      <c r="R351" s="3">
        <f t="shared" si="358"/>
        <v>0</v>
      </c>
      <c r="S351" s="3">
        <f t="shared" si="358"/>
        <v>0</v>
      </c>
      <c r="T351" s="3">
        <f t="shared" si="358"/>
        <v>0</v>
      </c>
      <c r="U351" s="3">
        <f t="shared" si="358"/>
        <v>0</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6.6462351022354996E-2</v>
      </c>
      <c r="C352" s="3">
        <f t="shared" si="359"/>
        <v>6.6462351021968263E-2</v>
      </c>
      <c r="D352" s="3">
        <f t="shared" si="359"/>
        <v>6.6462351018100843E-2</v>
      </c>
      <c r="E352" s="3">
        <f t="shared" si="359"/>
        <v>6.6462350979426613E-2</v>
      </c>
      <c r="F352" s="3">
        <f t="shared" si="359"/>
        <v>6.646235059268428E-2</v>
      </c>
      <c r="G352" s="3">
        <f t="shared" si="359"/>
        <v>6.6462346725261232E-2</v>
      </c>
      <c r="H352" s="3">
        <f t="shared" si="359"/>
        <v>6.6462308051043029E-2</v>
      </c>
      <c r="I352" s="3">
        <f t="shared" si="359"/>
        <v>6.6461921310098732E-2</v>
      </c>
      <c r="J352" s="3">
        <f t="shared" si="359"/>
        <v>6.6458054024427046E-2</v>
      </c>
      <c r="K352" s="3">
        <f t="shared" si="359"/>
        <v>6.6419393542177102E-2</v>
      </c>
      <c r="L352" s="3">
        <f t="shared" si="359"/>
        <v>6.6034023506256909E-2</v>
      </c>
      <c r="M352" s="3">
        <f t="shared" si="359"/>
        <v>6.2301184159753296E-2</v>
      </c>
      <c r="N352" s="3">
        <f t="shared" si="359"/>
        <v>3.4816227801756687E-2</v>
      </c>
      <c r="O352" s="3">
        <f t="shared" si="359"/>
        <v>1.0342745877805764E-4</v>
      </c>
      <c r="P352" s="3">
        <f t="shared" si="359"/>
        <v>5.5357598702891997E-30</v>
      </c>
      <c r="Q352" s="3">
        <f t="shared" si="359"/>
        <v>1.0680488879064877E-282</v>
      </c>
      <c r="R352" s="3">
        <f t="shared" si="359"/>
        <v>0</v>
      </c>
      <c r="S352" s="3">
        <f t="shared" si="359"/>
        <v>0</v>
      </c>
      <c r="T352" s="3">
        <f t="shared" si="359"/>
        <v>0</v>
      </c>
      <c r="U352" s="3">
        <f t="shared" si="359"/>
        <v>0</v>
      </c>
      <c r="V352" s="3">
        <f t="shared" si="359"/>
        <v>0</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4.7100906601752666E-2</v>
      </c>
      <c r="C353" s="3">
        <f t="shared" si="360"/>
        <v>4.7100906601725258E-2</v>
      </c>
      <c r="D353" s="3">
        <f t="shared" si="360"/>
        <v>4.7100906601451185E-2</v>
      </c>
      <c r="E353" s="3">
        <f t="shared" si="360"/>
        <v>4.7100906598710399E-2</v>
      </c>
      <c r="F353" s="3">
        <f t="shared" si="360"/>
        <v>4.7100906571302524E-2</v>
      </c>
      <c r="G353" s="3">
        <f t="shared" si="360"/>
        <v>4.7100906297223841E-2</v>
      </c>
      <c r="H353" s="3">
        <f t="shared" si="360"/>
        <v>4.710090355643707E-2</v>
      </c>
      <c r="I353" s="3">
        <f t="shared" si="360"/>
        <v>4.7100876148578164E-2</v>
      </c>
      <c r="J353" s="3">
        <f t="shared" si="360"/>
        <v>4.7100602070866256E-2</v>
      </c>
      <c r="K353" s="3">
        <f t="shared" si="360"/>
        <v>4.7097861381462075E-2</v>
      </c>
      <c r="L353" s="3">
        <f t="shared" si="360"/>
        <v>4.707046325702588E-2</v>
      </c>
      <c r="M353" s="3">
        <f t="shared" si="360"/>
        <v>4.6797357088047969E-2</v>
      </c>
      <c r="N353" s="3">
        <f t="shared" si="360"/>
        <v>4.4151947849368253E-2</v>
      </c>
      <c r="O353" s="3">
        <f t="shared" si="360"/>
        <v>2.467375692688557E-2</v>
      </c>
      <c r="P353" s="3">
        <f t="shared" si="360"/>
        <v>7.3297543662283554E-5</v>
      </c>
      <c r="Q353" s="3">
        <f t="shared" si="360"/>
        <v>3.9231129294894958E-30</v>
      </c>
      <c r="R353" s="3">
        <f t="shared" si="360"/>
        <v>7.5691079448031063E-283</v>
      </c>
      <c r="S353" s="3">
        <f t="shared" si="360"/>
        <v>0</v>
      </c>
      <c r="T353" s="3">
        <f t="shared" si="360"/>
        <v>0</v>
      </c>
      <c r="U353" s="3">
        <f t="shared" si="360"/>
        <v>0</v>
      </c>
      <c r="V353" s="3">
        <f t="shared" si="360"/>
        <v>0</v>
      </c>
      <c r="W353" s="3">
        <f t="shared" si="360"/>
        <v>0</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2.259812877355909E-2</v>
      </c>
      <c r="C354" s="3">
        <f t="shared" si="361"/>
        <v>2.2598128773557775E-2</v>
      </c>
      <c r="D354" s="3">
        <f t="shared" si="361"/>
        <v>2.2598128773544623E-2</v>
      </c>
      <c r="E354" s="3">
        <f t="shared" si="361"/>
        <v>2.2598128773413127E-2</v>
      </c>
      <c r="F354" s="3">
        <f t="shared" si="361"/>
        <v>2.2598128772098151E-2</v>
      </c>
      <c r="G354" s="3">
        <f t="shared" si="361"/>
        <v>2.2598128758948371E-2</v>
      </c>
      <c r="H354" s="3">
        <f t="shared" si="361"/>
        <v>2.2598128627450573E-2</v>
      </c>
      <c r="I354" s="3">
        <f t="shared" si="361"/>
        <v>2.2598127312472651E-2</v>
      </c>
      <c r="J354" s="3">
        <f t="shared" si="361"/>
        <v>2.2598114162697632E-2</v>
      </c>
      <c r="K354" s="3">
        <f t="shared" si="361"/>
        <v>2.2597982665368291E-2</v>
      </c>
      <c r="L354" s="3">
        <f t="shared" si="361"/>
        <v>2.2596667734158839E-2</v>
      </c>
      <c r="M354" s="3">
        <f t="shared" si="361"/>
        <v>2.2583522629556117E-2</v>
      </c>
      <c r="N354" s="3">
        <f t="shared" si="361"/>
        <v>2.2452491428233419E-2</v>
      </c>
      <c r="O354" s="3">
        <f t="shared" si="361"/>
        <v>2.1183273849474139E-2</v>
      </c>
      <c r="P354" s="3">
        <f t="shared" si="361"/>
        <v>1.1838004331332237E-2</v>
      </c>
      <c r="Q354" s="3">
        <f t="shared" si="361"/>
        <v>3.5166782339686891E-5</v>
      </c>
      <c r="R354" s="3">
        <f t="shared" si="361"/>
        <v>1.8822357693326051E-30</v>
      </c>
      <c r="S354" s="3">
        <f t="shared" si="361"/>
        <v>3.6315155774783958E-283</v>
      </c>
      <c r="T354" s="3">
        <f t="shared" si="361"/>
        <v>0</v>
      </c>
      <c r="U354" s="3">
        <f t="shared" si="361"/>
        <v>0</v>
      </c>
      <c r="V354" s="3">
        <f t="shared" si="361"/>
        <v>0</v>
      </c>
      <c r="W354" s="3">
        <f t="shared" si="361"/>
        <v>0</v>
      </c>
      <c r="X354" s="3">
        <f t="shared" si="361"/>
        <v>0</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6.4467605952010466E-3</v>
      </c>
      <c r="C355" s="3">
        <f t="shared" si="362"/>
        <v>6.4467605952010093E-3</v>
      </c>
      <c r="D355" s="3">
        <f t="shared" si="362"/>
        <v>6.4467605952006346E-3</v>
      </c>
      <c r="E355" s="3">
        <f t="shared" si="362"/>
        <v>6.4467605951968824E-3</v>
      </c>
      <c r="F355" s="3">
        <f t="shared" si="362"/>
        <v>6.4467605951593699E-3</v>
      </c>
      <c r="G355" s="3">
        <f t="shared" si="362"/>
        <v>6.4467605947842342E-3</v>
      </c>
      <c r="H355" s="3">
        <f t="shared" si="362"/>
        <v>6.4467605910328851E-3</v>
      </c>
      <c r="I355" s="3">
        <f t="shared" si="362"/>
        <v>6.4467605535193885E-3</v>
      </c>
      <c r="J355" s="3">
        <f t="shared" si="362"/>
        <v>6.4467601783844411E-3</v>
      </c>
      <c r="K355" s="3">
        <f t="shared" si="362"/>
        <v>6.4467564270361639E-3</v>
      </c>
      <c r="L355" s="3">
        <f t="shared" si="362"/>
        <v>6.4467189136734578E-3</v>
      </c>
      <c r="M355" s="3">
        <f t="shared" si="362"/>
        <v>6.4463437920520431E-3</v>
      </c>
      <c r="N355" s="3">
        <f t="shared" si="362"/>
        <v>6.4425937761448948E-3</v>
      </c>
      <c r="O355" s="3">
        <f t="shared" si="362"/>
        <v>6.4052133897468232E-3</v>
      </c>
      <c r="P355" s="3">
        <f t="shared" si="362"/>
        <v>6.043132884963812E-3</v>
      </c>
      <c r="Q355" s="3">
        <f t="shared" si="362"/>
        <v>3.377128284105801E-3</v>
      </c>
      <c r="R355" s="3">
        <f t="shared" si="362"/>
        <v>1.0032327407248341E-5</v>
      </c>
      <c r="S355" s="3">
        <f t="shared" si="362"/>
        <v>5.3696142323115903E-31</v>
      </c>
      <c r="T355" s="3">
        <f t="shared" si="362"/>
        <v>1.0359933674304471E-283</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9.830710463669077E-5</v>
      </c>
      <c r="C356" s="3">
        <f t="shared" si="363"/>
        <v>9.8307104636690716E-5</v>
      </c>
      <c r="D356" s="3">
        <f t="shared" si="363"/>
        <v>9.8307104636690147E-5</v>
      </c>
      <c r="E356" s="3">
        <f t="shared" si="363"/>
        <v>9.8307104636684428E-5</v>
      </c>
      <c r="F356" s="3">
        <f t="shared" si="363"/>
        <v>9.8307104636627222E-5</v>
      </c>
      <c r="G356" s="3">
        <f t="shared" si="363"/>
        <v>9.8307104636055184E-5</v>
      </c>
      <c r="H356" s="3">
        <f t="shared" si="363"/>
        <v>9.8307104630334716E-5</v>
      </c>
      <c r="I356" s="3">
        <f t="shared" si="363"/>
        <v>9.8307104573130123E-5</v>
      </c>
      <c r="J356" s="3">
        <f t="shared" si="363"/>
        <v>9.8307104001084186E-5</v>
      </c>
      <c r="K356" s="3">
        <f t="shared" si="363"/>
        <v>9.8307098280625059E-5</v>
      </c>
      <c r="L356" s="3">
        <f t="shared" si="363"/>
        <v>9.8307041076051976E-5</v>
      </c>
      <c r="M356" s="3">
        <f t="shared" si="363"/>
        <v>9.8306469032152042E-5</v>
      </c>
      <c r="N356" s="3">
        <f t="shared" si="363"/>
        <v>9.830074877622763E-5</v>
      </c>
      <c r="O356" s="3">
        <f t="shared" si="363"/>
        <v>9.8243564520549258E-5</v>
      </c>
      <c r="P356" s="3">
        <f t="shared" si="363"/>
        <v>9.7673548385665855E-5</v>
      </c>
      <c r="Q356" s="3">
        <f t="shared" si="363"/>
        <v>9.2152157363777087E-5</v>
      </c>
      <c r="R356" s="3">
        <f t="shared" si="363"/>
        <v>5.1498066151898609E-5</v>
      </c>
      <c r="S356" s="3">
        <f t="shared" si="363"/>
        <v>1.5298366452572541E-7</v>
      </c>
      <c r="T356" s="3">
        <f t="shared" si="363"/>
        <v>8.1881624173769579E-33</v>
      </c>
      <c r="U356" s="3">
        <f t="shared" si="363"/>
        <v>1.5797935547772022E-285</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1.1020901234699522E-2</v>
      </c>
      <c r="C357" s="3">
        <f t="shared" si="364"/>
        <v>1.102090123469952E-2</v>
      </c>
      <c r="D357" s="3">
        <f t="shared" si="364"/>
        <v>1.1020901234699515E-2</v>
      </c>
      <c r="E357" s="3">
        <f t="shared" si="364"/>
        <v>1.102090123469945E-2</v>
      </c>
      <c r="F357" s="3">
        <f t="shared" si="364"/>
        <v>1.1020901234698809E-2</v>
      </c>
      <c r="G357" s="3">
        <f t="shared" si="364"/>
        <v>1.1020901234692395E-2</v>
      </c>
      <c r="H357" s="3">
        <f t="shared" si="364"/>
        <v>1.1020901234628266E-2</v>
      </c>
      <c r="I357" s="3">
        <f t="shared" si="364"/>
        <v>1.1020901233986963E-2</v>
      </c>
      <c r="J357" s="3">
        <f t="shared" si="364"/>
        <v>1.1020901227573935E-2</v>
      </c>
      <c r="K357" s="3">
        <f t="shared" si="364"/>
        <v>1.1020901163443659E-2</v>
      </c>
      <c r="L357" s="3">
        <f t="shared" si="364"/>
        <v>1.1020900522140924E-2</v>
      </c>
      <c r="M357" s="3">
        <f t="shared" si="364"/>
        <v>1.1020894109115616E-2</v>
      </c>
      <c r="N357" s="3">
        <f t="shared" si="364"/>
        <v>1.1020829979067778E-2</v>
      </c>
      <c r="O357" s="3">
        <f t="shared" si="364"/>
        <v>1.1020188699113363E-2</v>
      </c>
      <c r="P357" s="3">
        <f t="shared" si="364"/>
        <v>1.1013777951524566E-2</v>
      </c>
      <c r="Q357" s="3">
        <f t="shared" si="364"/>
        <v>1.094987523006866E-2</v>
      </c>
      <c r="R357" s="3">
        <f t="shared" si="364"/>
        <v>1.0330889396285068E-2</v>
      </c>
      <c r="S357" s="3">
        <f t="shared" si="364"/>
        <v>5.7732867114293042E-3</v>
      </c>
      <c r="T357" s="3">
        <f t="shared" si="364"/>
        <v>1.7150518912049808E-5</v>
      </c>
      <c r="U357" s="3">
        <f t="shared" si="364"/>
        <v>9.1794921261377134E-31</v>
      </c>
      <c r="V357" s="3">
        <f t="shared" si="364"/>
        <v>1.7710570159459531E-283</v>
      </c>
      <c r="W357" s="3">
        <f t="shared" si="364"/>
        <v>0</v>
      </c>
      <c r="X357" s="3">
        <f t="shared" si="364"/>
        <v>0</v>
      </c>
      <c r="Y357" s="3">
        <f t="shared" si="364"/>
        <v>0</v>
      </c>
      <c r="Z357" s="3">
        <f t="shared" si="364"/>
        <v>0</v>
      </c>
      <c r="AA357" s="3">
        <f t="shared" si="364"/>
        <v>0</v>
      </c>
      <c r="AB357" s="3">
        <f t="shared" si="364"/>
        <v>0</v>
      </c>
      <c r="AC357" s="3">
        <f t="shared" si="364"/>
        <v>0</v>
      </c>
      <c r="AD357" s="3">
        <f t="shared" si="364"/>
        <v>0</v>
      </c>
      <c r="AE357" s="3">
        <f t="shared" si="364"/>
        <v>0</v>
      </c>
      <c r="AF357" s="3">
        <f t="shared" si="364"/>
        <v>0</v>
      </c>
      <c r="AG357" s="3"/>
      <c r="AH357" s="3"/>
    </row>
    <row r="358" spans="1:34" x14ac:dyDescent="0.25">
      <c r="A358" s="79">
        <f>AVERAGE(B358:AF358)</f>
        <v>0.15909538472264287</v>
      </c>
      <c r="B358" s="80">
        <f>IF($A$64&lt;=B324,IF($B$64&gt;=B324,ABS((B326-B325)/B325),0),0)</f>
        <v>2.3882706247759628E-3</v>
      </c>
      <c r="C358" s="80">
        <f t="shared" ref="C358:AF358" si="365">IF($A$64&lt;=C324,IF($B$64&gt;=C324,ABS((C326-C325)/C325),0),0)</f>
        <v>1.0572698981834964E-2</v>
      </c>
      <c r="D358" s="80">
        <f t="shared" si="365"/>
        <v>1.0572456277966389E-2</v>
      </c>
      <c r="E358" s="80">
        <f t="shared" si="365"/>
        <v>3.875927080491769E-3</v>
      </c>
      <c r="F358" s="80">
        <f t="shared" si="365"/>
        <v>1.2675312378652053E-2</v>
      </c>
      <c r="G358" s="80">
        <f t="shared" si="365"/>
        <v>3.0957778454421291E-2</v>
      </c>
      <c r="H358" s="80">
        <f t="shared" si="365"/>
        <v>4.6229270169674007E-2</v>
      </c>
      <c r="I358" s="80">
        <f t="shared" si="365"/>
        <v>5.6644512592178863E-2</v>
      </c>
      <c r="J358" s="80">
        <f t="shared" si="365"/>
        <v>4.9185841806161666E-2</v>
      </c>
      <c r="K358" s="80">
        <f t="shared" si="365"/>
        <v>4.5670038633741639E-2</v>
      </c>
      <c r="L358" s="80">
        <f t="shared" si="365"/>
        <v>2.4542153525120885E-2</v>
      </c>
      <c r="M358" s="80">
        <f t="shared" si="365"/>
        <v>2.2259022490583761E-2</v>
      </c>
      <c r="N358" s="80">
        <f t="shared" si="365"/>
        <v>4.4132401857124116E-2</v>
      </c>
      <c r="O358" s="80">
        <f t="shared" si="365"/>
        <v>7.9559678565097311E-2</v>
      </c>
      <c r="P358" s="80">
        <f t="shared" si="365"/>
        <v>7.0479999650073122E-2</v>
      </c>
      <c r="Q358" s="80">
        <f t="shared" si="365"/>
        <v>5.4658220072341564E-4</v>
      </c>
      <c r="R358" s="80">
        <f t="shared" si="365"/>
        <v>2.5257796019474994E-2</v>
      </c>
      <c r="S358" s="80">
        <f t="shared" si="365"/>
        <v>0.13753973593653435</v>
      </c>
      <c r="T358" s="80">
        <f t="shared" si="365"/>
        <v>0.38226309980193468</v>
      </c>
      <c r="U358" s="80">
        <f t="shared" si="365"/>
        <v>0.36744975233433907</v>
      </c>
      <c r="V358" s="80">
        <f t="shared" si="365"/>
        <v>0.35129534966565318</v>
      </c>
      <c r="W358" s="80">
        <f t="shared" si="365"/>
        <v>0.33807189634909146</v>
      </c>
      <c r="X358" s="80">
        <f t="shared" si="365"/>
        <v>0.32835788774041663</v>
      </c>
      <c r="Y358" s="80">
        <f t="shared" si="365"/>
        <v>0.32157523041417702</v>
      </c>
      <c r="Z358" s="80">
        <f t="shared" si="365"/>
        <v>0.31667266093701446</v>
      </c>
      <c r="AA358" s="80">
        <f t="shared" si="365"/>
        <v>0.31289405526362135</v>
      </c>
      <c r="AB358" s="80">
        <f t="shared" si="365"/>
        <v>0.31214967542593952</v>
      </c>
      <c r="AC358" s="80">
        <f t="shared" si="365"/>
        <v>0.30783061072866047</v>
      </c>
      <c r="AD358" s="80">
        <f t="shared" si="365"/>
        <v>0.30776104737531118</v>
      </c>
      <c r="AE358" s="80">
        <f t="shared" si="365"/>
        <v>0.30631159844500533</v>
      </c>
      <c r="AF358" s="80">
        <f t="shared" si="365"/>
        <v>0.30623458467613396</v>
      </c>
    </row>
    <row r="359" spans="1:34" x14ac:dyDescent="0.25">
      <c r="B359" s="21">
        <f>(B326-B325)^2</f>
        <v>196.11374561763614</v>
      </c>
      <c r="C359" s="21">
        <f t="shared" ref="C359:AF359" si="366">(C326-C325)^2</f>
        <v>3517.0007766412591</v>
      </c>
      <c r="D359" s="21">
        <f t="shared" si="366"/>
        <v>3224.1791721045406</v>
      </c>
      <c r="E359" s="21">
        <f t="shared" si="366"/>
        <v>390.4297780912828</v>
      </c>
      <c r="F359" s="21">
        <f t="shared" si="366"/>
        <v>3734.2204627179417</v>
      </c>
      <c r="G359" s="21">
        <f t="shared" si="366"/>
        <v>19713.342741973949</v>
      </c>
      <c r="H359" s="21">
        <f t="shared" si="366"/>
        <v>38212.486714158775</v>
      </c>
      <c r="I359" s="21">
        <f t="shared" si="366"/>
        <v>48079.874991780758</v>
      </c>
      <c r="J359" s="21">
        <f t="shared" si="366"/>
        <v>27995.393001575427</v>
      </c>
      <c r="K359" s="21">
        <f t="shared" si="366"/>
        <v>16669.80924143783</v>
      </c>
      <c r="L359" s="21">
        <f t="shared" si="366"/>
        <v>2786.2715043714115</v>
      </c>
      <c r="M359" s="21">
        <f t="shared" si="366"/>
        <v>985.75869260389288</v>
      </c>
      <c r="N359" s="21">
        <f t="shared" si="366"/>
        <v>1331.0357212905101</v>
      </c>
      <c r="O359" s="21">
        <f t="shared" si="366"/>
        <v>1357.5403928167184</v>
      </c>
      <c r="P359" s="21">
        <f t="shared" si="366"/>
        <v>328.79296996435266</v>
      </c>
      <c r="Q359" s="21">
        <f t="shared" si="366"/>
        <v>9.6775000003054609E-3</v>
      </c>
      <c r="R359" s="21">
        <f t="shared" si="366"/>
        <v>15.837059904502814</v>
      </c>
      <c r="S359" s="21">
        <f t="shared" si="366"/>
        <v>387.54310085064549</v>
      </c>
      <c r="T359" s="21">
        <f t="shared" si="366"/>
        <v>2824.8790375186672</v>
      </c>
      <c r="U359" s="21">
        <f t="shared" si="366"/>
        <v>2482.8802205348693</v>
      </c>
      <c r="V359" s="21">
        <f t="shared" si="366"/>
        <v>2157.7478376695653</v>
      </c>
      <c r="W359" s="21">
        <f t="shared" si="366"/>
        <v>1919.3156721625012</v>
      </c>
      <c r="X359" s="21">
        <f t="shared" si="366"/>
        <v>1758.6077389612462</v>
      </c>
      <c r="Y359" s="21">
        <f t="shared" si="366"/>
        <v>1653.1478565062507</v>
      </c>
      <c r="Z359" s="21">
        <f t="shared" si="366"/>
        <v>1580.2051048503015</v>
      </c>
      <c r="AA359" s="21">
        <f t="shared" si="366"/>
        <v>1525.7982868409156</v>
      </c>
      <c r="AB359" s="21">
        <f t="shared" si="366"/>
        <v>1515.2622136084142</v>
      </c>
      <c r="AC359" s="21">
        <f t="shared" si="366"/>
        <v>1455.2873052130822</v>
      </c>
      <c r="AD359" s="21">
        <f t="shared" si="366"/>
        <v>1454.3373119719186</v>
      </c>
      <c r="AE359" s="21">
        <f t="shared" si="366"/>
        <v>1434.6564919209202</v>
      </c>
      <c r="AF359" s="21">
        <f t="shared" si="366"/>
        <v>1433.6168315001116</v>
      </c>
      <c r="AG359" s="3"/>
      <c r="AH359" s="3"/>
    </row>
    <row r="360" spans="1:34" x14ac:dyDescent="0.25">
      <c r="A360" s="71">
        <f>SUM(B360:AF360)</f>
        <v>192121.38165466016</v>
      </c>
      <c r="B360" s="60">
        <f>IF($A$64&lt;=B324,IF($B$64&gt;=B324,ABS(B359),0),0)</f>
        <v>196.11374561763614</v>
      </c>
      <c r="C360" s="60">
        <f t="shared" ref="C360:AF360" si="367">IF($A$64&lt;=C324,IF($B$64&gt;=C324,ABS(C359),0),0)</f>
        <v>3517.0007766412591</v>
      </c>
      <c r="D360" s="60">
        <f t="shared" si="367"/>
        <v>3224.1791721045406</v>
      </c>
      <c r="E360" s="60">
        <f t="shared" si="367"/>
        <v>390.4297780912828</v>
      </c>
      <c r="F360" s="60">
        <f t="shared" si="367"/>
        <v>3734.2204627179417</v>
      </c>
      <c r="G360" s="60">
        <f t="shared" si="367"/>
        <v>19713.342741973949</v>
      </c>
      <c r="H360" s="60">
        <f t="shared" si="367"/>
        <v>38212.486714158775</v>
      </c>
      <c r="I360" s="60">
        <f t="shared" si="367"/>
        <v>48079.874991780758</v>
      </c>
      <c r="J360" s="60">
        <f t="shared" si="367"/>
        <v>27995.393001575427</v>
      </c>
      <c r="K360" s="60">
        <f t="shared" si="367"/>
        <v>16669.80924143783</v>
      </c>
      <c r="L360" s="60">
        <f t="shared" si="367"/>
        <v>2786.2715043714115</v>
      </c>
      <c r="M360" s="60">
        <f t="shared" si="367"/>
        <v>985.75869260389288</v>
      </c>
      <c r="N360" s="60">
        <f t="shared" si="367"/>
        <v>1331.0357212905101</v>
      </c>
      <c r="O360" s="60">
        <f t="shared" si="367"/>
        <v>1357.5403928167184</v>
      </c>
      <c r="P360" s="60">
        <f t="shared" si="367"/>
        <v>328.79296996435266</v>
      </c>
      <c r="Q360" s="60">
        <f t="shared" si="367"/>
        <v>9.6775000003054609E-3</v>
      </c>
      <c r="R360" s="60">
        <f t="shared" si="367"/>
        <v>15.837059904502814</v>
      </c>
      <c r="S360" s="60">
        <f t="shared" si="367"/>
        <v>387.54310085064549</v>
      </c>
      <c r="T360" s="60">
        <f t="shared" si="367"/>
        <v>2824.8790375186672</v>
      </c>
      <c r="U360" s="60">
        <f t="shared" si="367"/>
        <v>2482.8802205348693</v>
      </c>
      <c r="V360" s="60">
        <f t="shared" si="367"/>
        <v>2157.7478376695653</v>
      </c>
      <c r="W360" s="60">
        <f t="shared" si="367"/>
        <v>1919.3156721625012</v>
      </c>
      <c r="X360" s="60">
        <f t="shared" si="367"/>
        <v>1758.6077389612462</v>
      </c>
      <c r="Y360" s="60">
        <f t="shared" si="367"/>
        <v>1653.1478565062507</v>
      </c>
      <c r="Z360" s="60">
        <f t="shared" si="367"/>
        <v>1580.2051048503015</v>
      </c>
      <c r="AA360" s="60">
        <f t="shared" si="367"/>
        <v>1525.7982868409156</v>
      </c>
      <c r="AB360" s="60">
        <f t="shared" si="367"/>
        <v>1515.2622136084142</v>
      </c>
      <c r="AC360" s="60">
        <f t="shared" si="367"/>
        <v>1455.2873052130822</v>
      </c>
      <c r="AD360" s="60">
        <f t="shared" si="367"/>
        <v>1454.3373119719186</v>
      </c>
      <c r="AE360" s="60">
        <f t="shared" si="367"/>
        <v>1434.6564919209202</v>
      </c>
      <c r="AF360" s="60">
        <f t="shared" si="367"/>
        <v>1433.6168315001116</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5469.0375175567433</v>
      </c>
      <c r="C364" s="26">
        <f>INDEX(Comparison!$AM$3:$AS$33,G$14,$H$122)</f>
        <v>5144.4254375399241</v>
      </c>
      <c r="D364" s="26">
        <f>INDEX(Comparison!$AM$3:$AS$33,H$14,$H$122)</f>
        <v>4859.4796757955091</v>
      </c>
      <c r="E364" s="26">
        <f>INDEX(Comparison!$AM$3:$AS$33,I$14,$H$122)</f>
        <v>4579.0872874253573</v>
      </c>
      <c r="F364" s="26">
        <f>INDEX(Comparison!$AM$3:$AS$33,J$14,$H$122)</f>
        <v>4274.6287252900811</v>
      </c>
      <c r="G364" s="26">
        <f>INDEX(Comparison!$AM$3:$AS$33,K$14,$H$122)</f>
        <v>3938.1560081824523</v>
      </c>
      <c r="H364" s="26">
        <f>INDEX(Comparison!$AM$3:$AS$33,L$14,$H$122)</f>
        <v>3491.5925245283374</v>
      </c>
      <c r="I364" s="26">
        <f>INDEX(Comparison!$AM$3:$AS$33,M$14,$H$122)</f>
        <v>2939.5473684961994</v>
      </c>
      <c r="J364" s="26">
        <f>INDEX(Comparison!$AM$3:$AS$33,N$14,$H$122)</f>
        <v>2290.3210430692648</v>
      </c>
      <c r="K364" s="26">
        <f>INDEX(Comparison!$AM$3:$AS$33,O$14,$H$122)</f>
        <v>1556.8723374202477</v>
      </c>
      <c r="L364" s="26">
        <f>INDEX(Comparison!$AM$3:$AS$33,P$14,$H$122)</f>
        <v>939.61789874376836</v>
      </c>
      <c r="M364" s="26">
        <f>INDEX(Comparison!$AM$3:$AS$33,Q$14,$H$122)</f>
        <v>532.22470015904992</v>
      </c>
      <c r="N364" s="26">
        <f>INDEX(Comparison!$AM$3:$AS$33,R$14,$H$122)</f>
        <v>294.61415856723238</v>
      </c>
      <c r="O364" s="26">
        <f>INDEX(Comparison!$AM$3:$AS$33,S$14,$H$122)</f>
        <v>191.85627557437303</v>
      </c>
      <c r="P364" s="26">
        <f>INDEX(Comparison!$AM$3:$AS$33,T$14,$H$122)</f>
        <v>162.27843823453597</v>
      </c>
      <c r="Q364" s="26">
        <f>INDEX(Comparison!$AM$3:$AS$33,U$14,$H$122)</f>
        <v>147.30961753431595</v>
      </c>
      <c r="R364" s="26">
        <f>INDEX(Comparison!$AM$3:$AS$33,V$14,$H$122)</f>
        <v>142.06591803394016</v>
      </c>
      <c r="S364" s="26">
        <f>INDEX(Comparison!$AM$3:$AS$33,W$14,$H$122)</f>
        <v>140.2404472955443</v>
      </c>
      <c r="T364" s="26">
        <f>INDEX(Comparison!$AM$3:$AS$33,X$14,$H$122)</f>
        <v>137.13168564571805</v>
      </c>
      <c r="U364" s="26">
        <f>INDEX(Comparison!$AM$3:$AS$33,Y$14,$H$122)</f>
        <v>133.5914564553571</v>
      </c>
      <c r="V364" s="26">
        <f>INDEX(Comparison!$AM$3:$AS$33,Z$14,$H$122)</f>
        <v>130.60597118111332</v>
      </c>
      <c r="W364" s="26">
        <f>INDEX(Comparison!$AM$3:$AS$33,AA$14,$H$122)</f>
        <v>128.42317853149575</v>
      </c>
      <c r="X364" s="26">
        <f>INDEX(Comparison!$AM$3:$AS$33,AB$14,$H$122)</f>
        <v>126.92571513683149</v>
      </c>
      <c r="Y364" s="26">
        <f>INDEX(Comparison!$AM$3:$AS$33,AC$14,$H$122)</f>
        <v>125.87891264299097</v>
      </c>
      <c r="Z364" s="26">
        <f>INDEX(Comparison!$AM$3:$AS$33,AD$14,$H$122)</f>
        <v>125.11103067782525</v>
      </c>
      <c r="AA364" s="26">
        <f>INDEX(Comparison!$AM$3:$AS$33,AE$14,$H$122)</f>
        <v>124.96985459314666</v>
      </c>
      <c r="AB364" s="26">
        <f>INDEX(Comparison!$AM$3:$AS$33,AF$14,$H$122)</f>
        <v>124.77108605330615</v>
      </c>
      <c r="AC364" s="26">
        <f>INDEX(Comparison!$AM$3:$AS$33,AG$14,$H$122)</f>
        <v>123.93614365125383</v>
      </c>
      <c r="AD364" s="26">
        <f>INDEX(Comparison!$AM$3:$AS$33,AH$14,$H$122)</f>
        <v>123.92285545904397</v>
      </c>
      <c r="AE364" s="26">
        <f>INDEX(Comparison!$AM$3:$AS$33,AI$14,$H$122)</f>
        <v>123.48008539289999</v>
      </c>
      <c r="AF364" s="26">
        <f>INDEX(Comparison!$AM$3:$AS$33,AJ$14,$H$122)</f>
        <v>123.46865182434244</v>
      </c>
      <c r="AG364" s="26"/>
      <c r="AH364" s="26"/>
    </row>
    <row r="365" spans="1:34" x14ac:dyDescent="0.25">
      <c r="A365" s="70" t="s">
        <v>22</v>
      </c>
      <c r="B365" s="27">
        <f>($C$17+SUM(B366:B396))*$B$51</f>
        <v>5484.7097301862759</v>
      </c>
      <c r="C365" s="27">
        <f t="shared" ref="C365:AF365" si="368">($C$17+SUM(C366:C396))*$B$51</f>
        <v>5189.7190072873418</v>
      </c>
      <c r="D365" s="27">
        <f t="shared" si="368"/>
        <v>4841.3296429337697</v>
      </c>
      <c r="E365" s="27">
        <f t="shared" si="368"/>
        <v>4479.374882882882</v>
      </c>
      <c r="F365" s="27">
        <f t="shared" si="368"/>
        <v>4121.7429379177138</v>
      </c>
      <c r="G365" s="27">
        <f t="shared" si="368"/>
        <v>3745.0075067721191</v>
      </c>
      <c r="H365" s="27">
        <f t="shared" si="368"/>
        <v>3363.0477874956296</v>
      </c>
      <c r="I365" s="27">
        <f t="shared" si="368"/>
        <v>2818.7503966734348</v>
      </c>
      <c r="J365" s="27">
        <f t="shared" si="368"/>
        <v>2232.8602419054941</v>
      </c>
      <c r="K365" s="27">
        <f t="shared" si="368"/>
        <v>1586.5153809202618</v>
      </c>
      <c r="L365" s="27">
        <f t="shared" si="368"/>
        <v>958.17446928164475</v>
      </c>
      <c r="M365" s="27">
        <f t="shared" si="368"/>
        <v>563.49682321429361</v>
      </c>
      <c r="N365" s="27">
        <f t="shared" si="368"/>
        <v>307.29084508356021</v>
      </c>
      <c r="O365" s="27">
        <f t="shared" si="368"/>
        <v>190.37771795616081</v>
      </c>
      <c r="P365" s="27">
        <f t="shared" si="368"/>
        <v>156.4562525696922</v>
      </c>
      <c r="Q365" s="27">
        <f t="shared" si="368"/>
        <v>135.19123974381139</v>
      </c>
      <c r="R365" s="27">
        <f t="shared" si="368"/>
        <v>87.462400250548498</v>
      </c>
      <c r="S365" s="27">
        <f t="shared" si="368"/>
        <v>85.777810288287611</v>
      </c>
      <c r="T365" s="27">
        <f t="shared" si="368"/>
        <v>85.777810288287611</v>
      </c>
      <c r="U365" s="27">
        <f t="shared" si="368"/>
        <v>85.777810288287611</v>
      </c>
      <c r="V365" s="27">
        <f t="shared" si="368"/>
        <v>85.777810288287611</v>
      </c>
      <c r="W365" s="27">
        <f t="shared" si="368"/>
        <v>85.777810288287611</v>
      </c>
      <c r="X365" s="27">
        <f t="shared" si="368"/>
        <v>85.777810288287611</v>
      </c>
      <c r="Y365" s="27">
        <f t="shared" si="368"/>
        <v>85.777810288287611</v>
      </c>
      <c r="Z365" s="27">
        <f t="shared" si="368"/>
        <v>85.777810288287611</v>
      </c>
      <c r="AA365" s="27">
        <f t="shared" si="368"/>
        <v>85.777810288287611</v>
      </c>
      <c r="AB365" s="27">
        <f t="shared" si="368"/>
        <v>85.777810288287611</v>
      </c>
      <c r="AC365" s="27">
        <f t="shared" si="368"/>
        <v>85.777810288287611</v>
      </c>
      <c r="AD365" s="27">
        <f t="shared" si="368"/>
        <v>85.777810288287611</v>
      </c>
      <c r="AE365" s="27">
        <f t="shared" si="368"/>
        <v>85.777810288287611</v>
      </c>
      <c r="AF365" s="27">
        <f t="shared" si="368"/>
        <v>85.777810288287611</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0</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0</v>
      </c>
      <c r="C374" s="3">
        <f t="shared" si="377"/>
        <v>0</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0</v>
      </c>
      <c r="C375" s="3">
        <f t="shared" si="378"/>
        <v>0</v>
      </c>
      <c r="D375" s="3">
        <f t="shared" si="378"/>
        <v>0</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0</v>
      </c>
      <c r="C376" s="3">
        <f t="shared" si="379"/>
        <v>0</v>
      </c>
      <c r="D376" s="3">
        <f t="shared" si="379"/>
        <v>0</v>
      </c>
      <c r="E376" s="3">
        <f t="shared" si="379"/>
        <v>0</v>
      </c>
      <c r="F376" s="3">
        <f t="shared" si="379"/>
        <v>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0</v>
      </c>
      <c r="C377" s="3">
        <f t="shared" si="380"/>
        <v>0</v>
      </c>
      <c r="D377" s="3">
        <f t="shared" si="380"/>
        <v>0</v>
      </c>
      <c r="E377" s="3">
        <f t="shared" si="380"/>
        <v>0</v>
      </c>
      <c r="F377" s="3">
        <f t="shared" si="380"/>
        <v>0</v>
      </c>
      <c r="G377" s="3">
        <f t="shared" si="380"/>
        <v>0</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1.2337117791089249E-136</v>
      </c>
      <c r="C378" s="3">
        <f t="shared" si="381"/>
        <v>0</v>
      </c>
      <c r="D378" s="3">
        <f t="shared" si="381"/>
        <v>0</v>
      </c>
      <c r="E378" s="3">
        <f t="shared" si="381"/>
        <v>0</v>
      </c>
      <c r="F378" s="3">
        <f t="shared" si="381"/>
        <v>0</v>
      </c>
      <c r="G378" s="3">
        <f t="shared" si="381"/>
        <v>0</v>
      </c>
      <c r="H378" s="3">
        <f t="shared" si="381"/>
        <v>0</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2.4070593522408619E-14</v>
      </c>
      <c r="C379" s="3">
        <f t="shared" si="382"/>
        <v>1.7723392650576598E-123</v>
      </c>
      <c r="D379" s="3">
        <f t="shared" si="382"/>
        <v>0</v>
      </c>
      <c r="E379" s="3">
        <f t="shared" si="382"/>
        <v>0</v>
      </c>
      <c r="F379" s="3">
        <f t="shared" si="382"/>
        <v>0</v>
      </c>
      <c r="G379" s="3">
        <f t="shared" si="382"/>
        <v>0</v>
      </c>
      <c r="H379" s="3">
        <f t="shared" si="382"/>
        <v>0</v>
      </c>
      <c r="I379" s="3">
        <f t="shared" si="382"/>
        <v>0</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2.7311879039514462E-3</v>
      </c>
      <c r="C380" s="3">
        <f t="shared" si="383"/>
        <v>3.9052828943344146E-13</v>
      </c>
      <c r="D380" s="3">
        <f t="shared" si="383"/>
        <v>1.3952810223887099E-111</v>
      </c>
      <c r="E380" s="3">
        <f t="shared" si="383"/>
        <v>0</v>
      </c>
      <c r="F380" s="3">
        <f t="shared" si="383"/>
        <v>0</v>
      </c>
      <c r="G380" s="3">
        <f t="shared" si="383"/>
        <v>0</v>
      </c>
      <c r="H380" s="3">
        <f t="shared" si="383"/>
        <v>0</v>
      </c>
      <c r="I380" s="3">
        <f t="shared" si="383"/>
        <v>0</v>
      </c>
      <c r="J380" s="3">
        <f t="shared" si="383"/>
        <v>0</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3.6837943879580018E-2</v>
      </c>
      <c r="C381" s="3">
        <f t="shared" si="384"/>
        <v>4.7667417632956104E-3</v>
      </c>
      <c r="D381" s="3">
        <f t="shared" si="384"/>
        <v>6.2731266178958748E-12</v>
      </c>
      <c r="E381" s="3">
        <f t="shared" si="384"/>
        <v>9.7748103616322278E-101</v>
      </c>
      <c r="F381" s="3">
        <f t="shared" si="384"/>
        <v>0</v>
      </c>
      <c r="G381" s="3">
        <f t="shared" si="384"/>
        <v>0</v>
      </c>
      <c r="H381" s="3">
        <f t="shared" si="384"/>
        <v>0</v>
      </c>
      <c r="I381" s="3">
        <f t="shared" si="384"/>
        <v>0</v>
      </c>
      <c r="J381" s="3">
        <f t="shared" si="384"/>
        <v>0</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5.5521683363066107E-2</v>
      </c>
      <c r="C382" s="3">
        <f t="shared" si="385"/>
        <v>4.616905485998099E-2</v>
      </c>
      <c r="D382" s="3">
        <f t="shared" si="385"/>
        <v>7.2985161696080313E-3</v>
      </c>
      <c r="E382" s="3">
        <f t="shared" si="385"/>
        <v>7.1132894154603088E-11</v>
      </c>
      <c r="F382" s="3">
        <f t="shared" si="385"/>
        <v>5.5008464712136805E-91</v>
      </c>
      <c r="G382" s="3">
        <f t="shared" si="385"/>
        <v>0</v>
      </c>
      <c r="H382" s="3">
        <f t="shared" si="385"/>
        <v>0</v>
      </c>
      <c r="I382" s="3">
        <f t="shared" si="385"/>
        <v>0</v>
      </c>
      <c r="J382" s="3">
        <f t="shared" si="385"/>
        <v>0</v>
      </c>
      <c r="K382" s="3">
        <f t="shared" si="385"/>
        <v>0</v>
      </c>
      <c r="L382" s="3">
        <f t="shared" si="385"/>
        <v>0</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5.8597296131417773E-2</v>
      </c>
      <c r="C383" s="3">
        <f t="shared" si="386"/>
        <v>5.7630294679119766E-2</v>
      </c>
      <c r="D383" s="3">
        <f t="shared" si="386"/>
        <v>4.8795916050066876E-2</v>
      </c>
      <c r="E383" s="3">
        <f t="shared" si="386"/>
        <v>9.2408054627766394E-3</v>
      </c>
      <c r="F383" s="3">
        <f t="shared" si="386"/>
        <v>5.4824332000912976E-10</v>
      </c>
      <c r="G383" s="3">
        <f t="shared" si="386"/>
        <v>2.9621603254461042E-82</v>
      </c>
      <c r="H383" s="3">
        <f t="shared" si="386"/>
        <v>0</v>
      </c>
      <c r="I383" s="3">
        <f t="shared" si="386"/>
        <v>0</v>
      </c>
      <c r="J383" s="3">
        <f t="shared" si="386"/>
        <v>0</v>
      </c>
      <c r="K383" s="3">
        <f t="shared" si="386"/>
        <v>0</v>
      </c>
      <c r="L383" s="3">
        <f t="shared" si="386"/>
        <v>0</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5.6192983028779564E-2</v>
      </c>
      <c r="C384" s="3">
        <f t="shared" si="387"/>
        <v>5.6108696014398773E-2</v>
      </c>
      <c r="D384" s="3">
        <f t="shared" si="387"/>
        <v>5.5272748150261945E-2</v>
      </c>
      <c r="E384" s="3">
        <f t="shared" si="387"/>
        <v>4.7568546685062114E-2</v>
      </c>
      <c r="F384" s="3">
        <f t="shared" si="387"/>
        <v>1.0602496359405853E-2</v>
      </c>
      <c r="G384" s="3">
        <f t="shared" si="387"/>
        <v>3.2084156167311595E-9</v>
      </c>
      <c r="H384" s="3">
        <f t="shared" si="387"/>
        <v>2.0659295955817299E-74</v>
      </c>
      <c r="I384" s="3">
        <f t="shared" si="387"/>
        <v>0</v>
      </c>
      <c r="J384" s="3">
        <f t="shared" si="387"/>
        <v>0</v>
      </c>
      <c r="K384" s="3">
        <f t="shared" si="387"/>
        <v>0</v>
      </c>
      <c r="L384" s="3">
        <f t="shared" si="387"/>
        <v>0</v>
      </c>
      <c r="M384" s="3">
        <f t="shared" si="387"/>
        <v>0</v>
      </c>
      <c r="N384" s="3">
        <f t="shared" si="387"/>
        <v>0</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6.3414342072277752E-2</v>
      </c>
      <c r="C385" s="3">
        <f t="shared" si="388"/>
        <v>6.340575571063034E-2</v>
      </c>
      <c r="D385" s="3">
        <f t="shared" si="388"/>
        <v>6.3319956011269343E-2</v>
      </c>
      <c r="E385" s="3">
        <f t="shared" si="388"/>
        <v>6.2468318821053019E-2</v>
      </c>
      <c r="F385" s="3">
        <f t="shared" si="388"/>
        <v>5.4557185124635164E-2</v>
      </c>
      <c r="G385" s="3">
        <f t="shared" si="388"/>
        <v>1.4085534171060078E-2</v>
      </c>
      <c r="H385" s="3">
        <f t="shared" si="388"/>
        <v>1.8534760935648588E-8</v>
      </c>
      <c r="I385" s="3">
        <f t="shared" si="388"/>
        <v>2.8848528212732625E-67</v>
      </c>
      <c r="J385" s="3">
        <f t="shared" si="388"/>
        <v>0</v>
      </c>
      <c r="K385" s="3">
        <f t="shared" si="388"/>
        <v>0</v>
      </c>
      <c r="L385" s="3">
        <f t="shared" si="388"/>
        <v>0</v>
      </c>
      <c r="M385" s="3">
        <f t="shared" si="388"/>
        <v>0</v>
      </c>
      <c r="N385" s="3">
        <f t="shared" si="388"/>
        <v>0</v>
      </c>
      <c r="O385" s="3">
        <f t="shared" si="388"/>
        <v>0</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3.5348821989095336E-2</v>
      </c>
      <c r="C386" s="3">
        <f t="shared" si="389"/>
        <v>3.5348390201687459E-2</v>
      </c>
      <c r="D386" s="3">
        <f t="shared" si="389"/>
        <v>3.5344072617684734E-2</v>
      </c>
      <c r="E386" s="3">
        <f t="shared" si="389"/>
        <v>3.5300925772149917E-2</v>
      </c>
      <c r="F386" s="3">
        <f t="shared" si="389"/>
        <v>3.4872343704427072E-2</v>
      </c>
      <c r="G386" s="3">
        <f t="shared" si="389"/>
        <v>3.0862531869544158E-2</v>
      </c>
      <c r="H386" s="3">
        <f t="shared" si="389"/>
        <v>9.0977856587990576E-3</v>
      </c>
      <c r="I386" s="3">
        <f t="shared" si="389"/>
        <v>4.507930318770578E-8</v>
      </c>
      <c r="J386" s="3">
        <f t="shared" si="389"/>
        <v>4.0215375670028477E-61</v>
      </c>
      <c r="K386" s="3">
        <f t="shared" si="389"/>
        <v>0</v>
      </c>
      <c r="L386" s="3">
        <f t="shared" si="389"/>
        <v>0</v>
      </c>
      <c r="M386" s="3">
        <f t="shared" si="389"/>
        <v>0</v>
      </c>
      <c r="N386" s="3">
        <f t="shared" si="389"/>
        <v>0</v>
      </c>
      <c r="O386" s="3">
        <f t="shared" si="389"/>
        <v>0</v>
      </c>
      <c r="P386" s="3">
        <f t="shared" si="389"/>
        <v>0</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7.0460430351282743E-2</v>
      </c>
      <c r="C387" s="3">
        <f t="shared" si="390"/>
        <v>7.0460192308455585E-2</v>
      </c>
      <c r="D387" s="3">
        <f t="shared" si="390"/>
        <v>7.0457811924414609E-2</v>
      </c>
      <c r="E387" s="3">
        <f t="shared" si="390"/>
        <v>7.043401250651582E-2</v>
      </c>
      <c r="F387" s="3">
        <f t="shared" si="390"/>
        <v>7.0196460026298424E-2</v>
      </c>
      <c r="G387" s="3">
        <f t="shared" si="390"/>
        <v>6.7864557928755204E-2</v>
      </c>
      <c r="H387" s="3">
        <f t="shared" si="390"/>
        <v>4.8408447489121632E-2</v>
      </c>
      <c r="I387" s="3">
        <f t="shared" si="390"/>
        <v>1.6508303930451193E-3</v>
      </c>
      <c r="J387" s="3">
        <f t="shared" si="390"/>
        <v>3.5116843321582909E-18</v>
      </c>
      <c r="K387" s="3">
        <f t="shared" si="390"/>
        <v>6.6626286757304946E-165</v>
      </c>
      <c r="L387" s="3">
        <f t="shared" si="390"/>
        <v>0</v>
      </c>
      <c r="M387" s="3">
        <f t="shared" si="390"/>
        <v>0</v>
      </c>
      <c r="N387" s="3">
        <f t="shared" si="390"/>
        <v>0</v>
      </c>
      <c r="O387" s="3">
        <f t="shared" si="390"/>
        <v>0</v>
      </c>
      <c r="P387" s="3">
        <f t="shared" si="390"/>
        <v>0</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8.6875444148217462E-2</v>
      </c>
      <c r="C388" s="3">
        <f t="shared" si="391"/>
        <v>8.6875414798257958E-2</v>
      </c>
      <c r="D388" s="3">
        <f t="shared" si="391"/>
        <v>8.6875121299208269E-2</v>
      </c>
      <c r="E388" s="3">
        <f t="shared" si="391"/>
        <v>8.6872186363246229E-2</v>
      </c>
      <c r="F388" s="3">
        <f t="shared" si="391"/>
        <v>8.6842842456437724E-2</v>
      </c>
      <c r="G388" s="3">
        <f t="shared" si="391"/>
        <v>8.6549947988544873E-2</v>
      </c>
      <c r="H388" s="3">
        <f t="shared" si="391"/>
        <v>8.3674788683059498E-2</v>
      </c>
      <c r="I388" s="3">
        <f t="shared" si="391"/>
        <v>5.9686038452936706E-2</v>
      </c>
      <c r="J388" s="3">
        <f t="shared" si="391"/>
        <v>2.0354200853210528E-3</v>
      </c>
      <c r="K388" s="3">
        <f t="shared" si="391"/>
        <v>4.3297923597090402E-18</v>
      </c>
      <c r="L388" s="3">
        <f t="shared" si="391"/>
        <v>8.2148040675468909E-165</v>
      </c>
      <c r="M388" s="3">
        <f t="shared" si="391"/>
        <v>0</v>
      </c>
      <c r="N388" s="3">
        <f t="shared" si="391"/>
        <v>0</v>
      </c>
      <c r="O388" s="3">
        <f t="shared" si="391"/>
        <v>0</v>
      </c>
      <c r="P388" s="3">
        <f t="shared" si="391"/>
        <v>0</v>
      </c>
      <c r="Q388" s="3">
        <f t="shared" si="391"/>
        <v>0</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9.6215979638002755E-2</v>
      </c>
      <c r="C389" s="3">
        <f t="shared" si="392"/>
        <v>9.6215976387446084E-2</v>
      </c>
      <c r="D389" s="3">
        <f t="shared" si="392"/>
        <v>9.6215943881885535E-2</v>
      </c>
      <c r="E389" s="3">
        <f t="shared" si="392"/>
        <v>9.6215618826883953E-2</v>
      </c>
      <c r="F389" s="3">
        <f t="shared" si="392"/>
        <v>9.6212368337266416E-2</v>
      </c>
      <c r="G389" s="3">
        <f t="shared" si="392"/>
        <v>9.617986948016953E-2</v>
      </c>
      <c r="H389" s="3">
        <f t="shared" si="392"/>
        <v>9.5855484062827498E-2</v>
      </c>
      <c r="I389" s="3">
        <f t="shared" si="392"/>
        <v>9.2671198070864574E-2</v>
      </c>
      <c r="J389" s="3">
        <f t="shared" si="392"/>
        <v>6.6103264538714748E-2</v>
      </c>
      <c r="K389" s="3">
        <f t="shared" si="392"/>
        <v>2.2542610606244851E-3</v>
      </c>
      <c r="L389" s="3">
        <f t="shared" si="392"/>
        <v>4.7953159092177646E-18</v>
      </c>
      <c r="M389" s="3">
        <f t="shared" si="392"/>
        <v>9.0980299662364992E-165</v>
      </c>
      <c r="N389" s="3">
        <f t="shared" si="392"/>
        <v>0</v>
      </c>
      <c r="O389" s="3">
        <f t="shared" si="392"/>
        <v>0</v>
      </c>
      <c r="P389" s="3">
        <f t="shared" si="392"/>
        <v>0</v>
      </c>
      <c r="Q389" s="3">
        <f t="shared" si="392"/>
        <v>0</v>
      </c>
      <c r="R389" s="3">
        <f t="shared" si="392"/>
        <v>0</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0.11161416830424663</v>
      </c>
      <c r="C390" s="3">
        <f t="shared" si="393"/>
        <v>0.11161416792716979</v>
      </c>
      <c r="D390" s="3">
        <f t="shared" si="393"/>
        <v>0.11161416415640137</v>
      </c>
      <c r="E390" s="3">
        <f t="shared" si="393"/>
        <v>0.11161412644872425</v>
      </c>
      <c r="F390" s="3">
        <f t="shared" si="393"/>
        <v>0.11161374937265363</v>
      </c>
      <c r="G390" s="3">
        <f t="shared" si="393"/>
        <v>0.11160997868201178</v>
      </c>
      <c r="H390" s="3">
        <f t="shared" si="393"/>
        <v>0.11157227878115226</v>
      </c>
      <c r="I390" s="3">
        <f t="shared" si="393"/>
        <v>0.11119597945352959</v>
      </c>
      <c r="J390" s="3">
        <f t="shared" si="393"/>
        <v>0.10750208751611687</v>
      </c>
      <c r="K390" s="3">
        <f t="shared" si="393"/>
        <v>7.6682281846705821E-2</v>
      </c>
      <c r="L390" s="3">
        <f t="shared" si="393"/>
        <v>2.6150279144779684E-3</v>
      </c>
      <c r="M390" s="3">
        <f t="shared" si="393"/>
        <v>5.5627474476585231E-18</v>
      </c>
      <c r="N390" s="3">
        <f t="shared" si="393"/>
        <v>1.055405815414948E-164</v>
      </c>
      <c r="O390" s="3">
        <f t="shared" si="393"/>
        <v>0</v>
      </c>
      <c r="P390" s="3">
        <f t="shared" si="393"/>
        <v>0</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6.6462351019903124E-2</v>
      </c>
      <c r="C391" s="3">
        <f t="shared" si="394"/>
        <v>6.6462350997449515E-2</v>
      </c>
      <c r="D391" s="3">
        <f t="shared" si="394"/>
        <v>6.6462350772913389E-2</v>
      </c>
      <c r="E391" s="3">
        <f t="shared" si="394"/>
        <v>6.6462348527552076E-2</v>
      </c>
      <c r="F391" s="3">
        <f t="shared" si="394"/>
        <v>6.646232607394327E-2</v>
      </c>
      <c r="G391" s="3">
        <f t="shared" si="394"/>
        <v>6.6462101538272408E-2</v>
      </c>
      <c r="H391" s="3">
        <f t="shared" si="394"/>
        <v>6.6459856223284638E-2</v>
      </c>
      <c r="I391" s="3">
        <f t="shared" si="394"/>
        <v>6.6437407244973351E-2</v>
      </c>
      <c r="J391" s="3">
        <f t="shared" si="394"/>
        <v>6.621333409751784E-2</v>
      </c>
      <c r="K391" s="3">
        <f t="shared" si="394"/>
        <v>6.4013750064227756E-2</v>
      </c>
      <c r="L391" s="3">
        <f t="shared" si="394"/>
        <v>4.5661628884683503E-2</v>
      </c>
      <c r="M391" s="3">
        <f t="shared" si="394"/>
        <v>1.5571580719609273E-3</v>
      </c>
      <c r="N391" s="3">
        <f t="shared" si="394"/>
        <v>3.3124224190664919E-18</v>
      </c>
      <c r="O391" s="3">
        <f t="shared" si="394"/>
        <v>6.2845741552857021E-165</v>
      </c>
      <c r="P391" s="3">
        <f t="shared" si="394"/>
        <v>0</v>
      </c>
      <c r="Q391" s="3">
        <f t="shared" si="394"/>
        <v>0</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4.710090660157891E-2</v>
      </c>
      <c r="C392" s="3">
        <f t="shared" si="395"/>
        <v>4.7100906599987648E-2</v>
      </c>
      <c r="D392" s="3">
        <f t="shared" si="395"/>
        <v>4.7100906584075106E-2</v>
      </c>
      <c r="E392" s="3">
        <f t="shared" si="395"/>
        <v>4.7100906424949594E-2</v>
      </c>
      <c r="F392" s="3">
        <f t="shared" si="395"/>
        <v>4.7100904833694522E-2</v>
      </c>
      <c r="G392" s="3">
        <f t="shared" si="395"/>
        <v>4.7100888921146819E-2</v>
      </c>
      <c r="H392" s="3">
        <f t="shared" si="395"/>
        <v>4.7100729795965426E-2</v>
      </c>
      <c r="I392" s="3">
        <f t="shared" si="395"/>
        <v>4.7099138573718495E-2</v>
      </c>
      <c r="J392" s="3">
        <f t="shared" si="395"/>
        <v>4.7083229307577898E-2</v>
      </c>
      <c r="K392" s="3">
        <f t="shared" si="395"/>
        <v>4.6924431909834523E-2</v>
      </c>
      <c r="L392" s="3">
        <f t="shared" si="395"/>
        <v>4.5365618528709996E-2</v>
      </c>
      <c r="M392" s="3">
        <f t="shared" si="395"/>
        <v>3.235973576463938E-2</v>
      </c>
      <c r="N392" s="3">
        <f t="shared" si="395"/>
        <v>1.1035353968577592E-3</v>
      </c>
      <c r="O392" s="3">
        <f t="shared" si="395"/>
        <v>2.3474658447371817E-18</v>
      </c>
      <c r="P392" s="3">
        <f t="shared" si="395"/>
        <v>4.4537867795282153E-165</v>
      </c>
      <c r="Q392" s="3">
        <f t="shared" si="395"/>
        <v>0</v>
      </c>
      <c r="R392" s="3">
        <f t="shared" si="395"/>
        <v>0</v>
      </c>
      <c r="S392" s="3">
        <f t="shared" si="395"/>
        <v>0</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2.2598128773550753E-2</v>
      </c>
      <c r="C393" s="3">
        <f t="shared" si="396"/>
        <v>2.2598128773474408E-2</v>
      </c>
      <c r="D393" s="3">
        <f t="shared" si="396"/>
        <v>2.2598128772710953E-2</v>
      </c>
      <c r="E393" s="3">
        <f t="shared" si="396"/>
        <v>2.2598128765076411E-2</v>
      </c>
      <c r="F393" s="3">
        <f t="shared" si="396"/>
        <v>2.2598128688730987E-2</v>
      </c>
      <c r="G393" s="3">
        <f t="shared" si="396"/>
        <v>2.2598127925276743E-2</v>
      </c>
      <c r="H393" s="3">
        <f t="shared" si="396"/>
        <v>2.2598120290735754E-2</v>
      </c>
      <c r="I393" s="3">
        <f t="shared" si="396"/>
        <v>2.2598043945467695E-2</v>
      </c>
      <c r="J393" s="3">
        <f t="shared" si="396"/>
        <v>2.2597280506972815E-2</v>
      </c>
      <c r="K393" s="3">
        <f t="shared" si="396"/>
        <v>2.2589647540414919E-2</v>
      </c>
      <c r="L393" s="3">
        <f t="shared" si="396"/>
        <v>2.2513459536785765E-2</v>
      </c>
      <c r="M393" s="3">
        <f t="shared" si="396"/>
        <v>2.1765570205940353E-2</v>
      </c>
      <c r="N393" s="3">
        <f t="shared" si="396"/>
        <v>1.5525592364296712E-2</v>
      </c>
      <c r="O393" s="3">
        <f t="shared" si="396"/>
        <v>5.2945552015007001E-4</v>
      </c>
      <c r="P393" s="3">
        <f t="shared" si="396"/>
        <v>1.1262699442164333E-18</v>
      </c>
      <c r="Q393" s="3">
        <f t="shared" si="396"/>
        <v>2.1368430978354588E-165</v>
      </c>
      <c r="R393" s="3">
        <f t="shared" si="396"/>
        <v>0</v>
      </c>
      <c r="S393" s="3">
        <f t="shared" si="396"/>
        <v>0</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6.4467605952008089E-3</v>
      </c>
      <c r="C394" s="3">
        <f t="shared" si="397"/>
        <v>6.446760595198631E-3</v>
      </c>
      <c r="D394" s="3">
        <f t="shared" si="397"/>
        <v>6.4467605951768515E-3</v>
      </c>
      <c r="E394" s="3">
        <f t="shared" si="397"/>
        <v>6.4467605949590544E-3</v>
      </c>
      <c r="F394" s="3">
        <f t="shared" si="397"/>
        <v>6.4467605927810831E-3</v>
      </c>
      <c r="G394" s="3">
        <f t="shared" si="397"/>
        <v>6.446760571001374E-3</v>
      </c>
      <c r="H394" s="3">
        <f t="shared" si="397"/>
        <v>6.446760353204282E-3</v>
      </c>
      <c r="I394" s="3">
        <f t="shared" si="397"/>
        <v>6.4467581752337732E-3</v>
      </c>
      <c r="J394" s="3">
        <f t="shared" si="397"/>
        <v>6.4467363955691527E-3</v>
      </c>
      <c r="K394" s="3">
        <f t="shared" si="397"/>
        <v>6.4465186029698199E-3</v>
      </c>
      <c r="L394" s="3">
        <f t="shared" si="397"/>
        <v>6.4443410816129396E-3</v>
      </c>
      <c r="M394" s="3">
        <f t="shared" si="397"/>
        <v>6.4226062811546759E-3</v>
      </c>
      <c r="N394" s="3">
        <f t="shared" si="397"/>
        <v>6.2092495242312088E-3</v>
      </c>
      <c r="O394" s="3">
        <f t="shared" si="397"/>
        <v>4.4291179183124059E-3</v>
      </c>
      <c r="P394" s="3">
        <f t="shared" si="397"/>
        <v>1.5104228400578107E-4</v>
      </c>
      <c r="Q394" s="3">
        <f t="shared" si="397"/>
        <v>3.2130061602397904E-19</v>
      </c>
      <c r="R394" s="3">
        <f t="shared" si="397"/>
        <v>6.0959542355432313E-166</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9.8307104636690418E-5</v>
      </c>
      <c r="C395" s="3">
        <f t="shared" si="398"/>
        <v>9.8307104636687098E-5</v>
      </c>
      <c r="D395" s="3">
        <f t="shared" si="398"/>
        <v>9.830710463665388E-5</v>
      </c>
      <c r="E395" s="3">
        <f t="shared" si="398"/>
        <v>9.8307104636321762E-5</v>
      </c>
      <c r="F395" s="3">
        <f t="shared" si="398"/>
        <v>9.8307104633000553E-5</v>
      </c>
      <c r="G395" s="3">
        <f t="shared" si="398"/>
        <v>9.8307104599788526E-5</v>
      </c>
      <c r="H395" s="3">
        <f t="shared" si="398"/>
        <v>9.8307104267668209E-5</v>
      </c>
      <c r="I395" s="3">
        <f t="shared" si="398"/>
        <v>9.8307100946465074E-5</v>
      </c>
      <c r="J395" s="3">
        <f t="shared" si="398"/>
        <v>9.830706773443997E-5</v>
      </c>
      <c r="K395" s="3">
        <f t="shared" si="398"/>
        <v>9.8306735614806065E-5</v>
      </c>
      <c r="L395" s="3">
        <f t="shared" si="398"/>
        <v>9.8303414480177973E-5</v>
      </c>
      <c r="M395" s="3">
        <f t="shared" si="398"/>
        <v>9.8270209304226694E-5</v>
      </c>
      <c r="N395" s="3">
        <f t="shared" si="398"/>
        <v>9.793877380707195E-5</v>
      </c>
      <c r="O395" s="3">
        <f t="shared" si="398"/>
        <v>9.468528165111479E-5</v>
      </c>
      <c r="P395" s="3">
        <f t="shared" si="398"/>
        <v>6.7539929894077407E-5</v>
      </c>
      <c r="Q395" s="3">
        <f t="shared" si="398"/>
        <v>2.3032543862997315E-6</v>
      </c>
      <c r="R395" s="3">
        <f t="shared" si="398"/>
        <v>4.8995356369856728E-21</v>
      </c>
      <c r="S395" s="3">
        <f t="shared" si="398"/>
        <v>9.2957633844837639E-168</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1.1020901234699518E-2</v>
      </c>
      <c r="C396" s="3">
        <f t="shared" si="399"/>
        <v>1.102090123469948E-2</v>
      </c>
      <c r="D396" s="3">
        <f t="shared" si="399"/>
        <v>1.1020901234699109E-2</v>
      </c>
      <c r="E396" s="3">
        <f t="shared" si="399"/>
        <v>1.1020901234695384E-2</v>
      </c>
      <c r="F396" s="3">
        <f t="shared" si="399"/>
        <v>1.1020901234658152E-2</v>
      </c>
      <c r="G396" s="3">
        <f t="shared" si="399"/>
        <v>1.1020901234285821E-2</v>
      </c>
      <c r="H396" s="3">
        <f t="shared" si="399"/>
        <v>1.1020901230562525E-2</v>
      </c>
      <c r="I396" s="3">
        <f t="shared" si="399"/>
        <v>1.1020901193329559E-2</v>
      </c>
      <c r="J396" s="3">
        <f t="shared" si="399"/>
        <v>1.102090082099989E-2</v>
      </c>
      <c r="K396" s="3">
        <f t="shared" si="399"/>
        <v>1.1020897097703901E-2</v>
      </c>
      <c r="L396" s="3">
        <f t="shared" si="399"/>
        <v>1.1020859864813186E-2</v>
      </c>
      <c r="M396" s="3">
        <f t="shared" si="399"/>
        <v>1.1020487542824265E-2</v>
      </c>
      <c r="N396" s="3">
        <f t="shared" si="399"/>
        <v>1.1016765014671368E-2</v>
      </c>
      <c r="O396" s="3">
        <f t="shared" si="399"/>
        <v>1.0979608820382916E-2</v>
      </c>
      <c r="P396" s="3">
        <f t="shared" si="399"/>
        <v>1.0614870016903895E-2</v>
      </c>
      <c r="Q396" s="3">
        <f t="shared" si="399"/>
        <v>7.5716897523533172E-3</v>
      </c>
      <c r="R396" s="3">
        <f t="shared" si="399"/>
        <v>2.5821062682710572E-4</v>
      </c>
      <c r="S396" s="3">
        <f t="shared" si="399"/>
        <v>5.4927157656270245E-19</v>
      </c>
      <c r="T396" s="3">
        <f t="shared" si="399"/>
        <v>1.0421188838807033E-165</v>
      </c>
      <c r="U396" s="3">
        <f t="shared" si="399"/>
        <v>0</v>
      </c>
      <c r="V396" s="3">
        <f t="shared" si="399"/>
        <v>0</v>
      </c>
      <c r="W396" s="3">
        <f t="shared" si="399"/>
        <v>0</v>
      </c>
      <c r="X396" s="3">
        <f t="shared" si="399"/>
        <v>0</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0.17681893559844533</v>
      </c>
      <c r="B397" s="80">
        <f>IF($A$64&lt;=B363,IF($B$64&gt;=B363,ABS((B365-B364)/B364),0),0)</f>
        <v>2.8656253644670704E-3</v>
      </c>
      <c r="C397" s="80">
        <f t="shared" ref="C397:AF397" si="400">IF($A$64&lt;=C363,IF($B$64&gt;=C363,ABS((C365-C364)/C364),0),0)</f>
        <v>8.8043981387894623E-3</v>
      </c>
      <c r="D397" s="80">
        <f t="shared" si="400"/>
        <v>3.7349745389702064E-3</v>
      </c>
      <c r="E397" s="80">
        <f t="shared" si="400"/>
        <v>2.1775606858662803E-2</v>
      </c>
      <c r="F397" s="80">
        <f t="shared" si="400"/>
        <v>3.5765863469696381E-2</v>
      </c>
      <c r="G397" s="80">
        <f t="shared" si="400"/>
        <v>4.9045416435768777E-2</v>
      </c>
      <c r="H397" s="80">
        <f t="shared" si="400"/>
        <v>3.6815503564543911E-2</v>
      </c>
      <c r="I397" s="80">
        <f t="shared" si="400"/>
        <v>4.1093732020573412E-2</v>
      </c>
      <c r="J397" s="80">
        <f t="shared" si="400"/>
        <v>2.5088535660820394E-2</v>
      </c>
      <c r="K397" s="80">
        <f t="shared" si="400"/>
        <v>1.9040124734397219E-2</v>
      </c>
      <c r="L397" s="80">
        <f t="shared" si="400"/>
        <v>1.9749060296409611E-2</v>
      </c>
      <c r="M397" s="80">
        <f t="shared" si="400"/>
        <v>5.8757368919364963E-2</v>
      </c>
      <c r="N397" s="80">
        <f t="shared" si="400"/>
        <v>4.3028096741776087E-2</v>
      </c>
      <c r="O397" s="80">
        <f t="shared" si="400"/>
        <v>7.7065898094068799E-3</v>
      </c>
      <c r="P397" s="80">
        <f t="shared" si="400"/>
        <v>3.5877752634204854E-2</v>
      </c>
      <c r="Q397" s="80">
        <f t="shared" si="400"/>
        <v>8.226467486198967E-2</v>
      </c>
      <c r="R397" s="80">
        <f t="shared" si="400"/>
        <v>0.38435339410784403</v>
      </c>
      <c r="S397" s="80">
        <f t="shared" si="400"/>
        <v>0.38835184896752012</v>
      </c>
      <c r="T397" s="80">
        <f t="shared" si="400"/>
        <v>0.37448584632806176</v>
      </c>
      <c r="U397" s="80">
        <f t="shared" si="400"/>
        <v>0.35790946094705994</v>
      </c>
      <c r="V397" s="80">
        <f t="shared" si="400"/>
        <v>0.34323209335246857</v>
      </c>
      <c r="W397" s="80">
        <f t="shared" si="400"/>
        <v>0.33206909166127963</v>
      </c>
      <c r="X397" s="80">
        <f t="shared" si="400"/>
        <v>0.32418887539207186</v>
      </c>
      <c r="Y397" s="80">
        <f t="shared" si="400"/>
        <v>0.31856886521124728</v>
      </c>
      <c r="Z397" s="80">
        <f t="shared" si="400"/>
        <v>0.31438651073721102</v>
      </c>
      <c r="AA397" s="80">
        <f t="shared" si="400"/>
        <v>0.31361198612619928</v>
      </c>
      <c r="AB397" s="80">
        <f t="shared" si="400"/>
        <v>0.31251852491176824</v>
      </c>
      <c r="AC397" s="80">
        <f t="shared" si="400"/>
        <v>0.30788704762624086</v>
      </c>
      <c r="AD397" s="80">
        <f t="shared" si="400"/>
        <v>0.30781283266477955</v>
      </c>
      <c r="AE397" s="80">
        <f t="shared" si="400"/>
        <v>0.30533081496216907</v>
      </c>
      <c r="AF397" s="80">
        <f t="shared" si="400"/>
        <v>0.30526648650604205</v>
      </c>
    </row>
    <row r="398" spans="1:34" x14ac:dyDescent="0.25">
      <c r="B398" s="21">
        <f>(B365-B364)^2</f>
        <v>245.61824870528187</v>
      </c>
      <c r="C398" s="21">
        <f t="shared" ref="C398:AF398" si="401">(C365-C364)^2</f>
        <v>2051.50746046419</v>
      </c>
      <c r="D398" s="21">
        <f t="shared" si="401"/>
        <v>329.42369288222079</v>
      </c>
      <c r="E398" s="21">
        <f t="shared" si="401"/>
        <v>9942.563619642242</v>
      </c>
      <c r="F398" s="21">
        <f t="shared" si="401"/>
        <v>23374.063980468705</v>
      </c>
      <c r="G398" s="21">
        <f t="shared" si="401"/>
        <v>37306.343597057494</v>
      </c>
      <c r="H398" s="21">
        <f t="shared" si="401"/>
        <v>16523.74941880802</v>
      </c>
      <c r="I398" s="21">
        <f t="shared" si="401"/>
        <v>14591.908401549783</v>
      </c>
      <c r="J398" s="21">
        <f t="shared" si="401"/>
        <v>3301.7436703823819</v>
      </c>
      <c r="K398" s="21">
        <f t="shared" si="401"/>
        <v>878.71002794372657</v>
      </c>
      <c r="L398" s="21">
        <f t="shared" si="401"/>
        <v>344.34631012718177</v>
      </c>
      <c r="M398" s="21">
        <f t="shared" si="401"/>
        <v>977.94568038230432</v>
      </c>
      <c r="N398" s="21">
        <f t="shared" si="401"/>
        <v>160.69838103324793</v>
      </c>
      <c r="O398" s="21">
        <f t="shared" si="401"/>
        <v>2.1861326303733968</v>
      </c>
      <c r="P398" s="21">
        <f t="shared" si="401"/>
        <v>33.89784591591232</v>
      </c>
      <c r="Q398" s="21">
        <f t="shared" si="401"/>
        <v>146.85508027339401</v>
      </c>
      <c r="R398" s="21">
        <f t="shared" si="401"/>
        <v>2981.54415432117</v>
      </c>
      <c r="S398" s="21">
        <f t="shared" si="401"/>
        <v>2966.1788297842058</v>
      </c>
      <c r="T398" s="21">
        <f t="shared" si="401"/>
        <v>2637.2205142265016</v>
      </c>
      <c r="U398" s="21">
        <f t="shared" si="401"/>
        <v>2286.144759789719</v>
      </c>
      <c r="V398" s="21">
        <f t="shared" si="401"/>
        <v>2009.564009033068</v>
      </c>
      <c r="W398" s="21">
        <f t="shared" si="401"/>
        <v>1818.6274325988252</v>
      </c>
      <c r="X398" s="21">
        <f t="shared" si="401"/>
        <v>1693.1500734248204</v>
      </c>
      <c r="Y398" s="21">
        <f t="shared" si="401"/>
        <v>1608.0984100623953</v>
      </c>
      <c r="Z398" s="21">
        <f t="shared" si="401"/>
        <v>1547.1022262119398</v>
      </c>
      <c r="AA398" s="21">
        <f t="shared" si="401"/>
        <v>1536.0163367940349</v>
      </c>
      <c r="AB398" s="21">
        <f t="shared" si="401"/>
        <v>1520.475554886782</v>
      </c>
      <c r="AC398" s="21">
        <f t="shared" si="401"/>
        <v>1456.0584050392608</v>
      </c>
      <c r="AD398" s="21">
        <f t="shared" si="401"/>
        <v>1455.0444710790432</v>
      </c>
      <c r="AE398" s="21">
        <f t="shared" si="401"/>
        <v>1421.4615480638747</v>
      </c>
      <c r="AF398" s="21">
        <f t="shared" si="401"/>
        <v>1420.5995356959963</v>
      </c>
      <c r="AG398" s="3"/>
      <c r="AH398" s="3"/>
    </row>
    <row r="399" spans="1:34" x14ac:dyDescent="0.25">
      <c r="A399" s="71">
        <f>SUM(B399:AF399)</f>
        <v>138568.84780927806</v>
      </c>
      <c r="B399" s="60">
        <f>IF($A$64&lt;=B363,IF($B$64&gt;=B363,ABS(B398),0),0)</f>
        <v>245.61824870528187</v>
      </c>
      <c r="C399" s="60">
        <f t="shared" ref="C399" si="402">IF($A$64&lt;=C363,IF($B$64&gt;=C363,ABS(C398),0),0)</f>
        <v>2051.50746046419</v>
      </c>
      <c r="D399" s="60">
        <f t="shared" ref="D399" si="403">IF($A$64&lt;=D363,IF($B$64&gt;=D363,ABS(D398),0),0)</f>
        <v>329.42369288222079</v>
      </c>
      <c r="E399" s="60">
        <f t="shared" ref="E399" si="404">IF($A$64&lt;=E363,IF($B$64&gt;=E363,ABS(E398),0),0)</f>
        <v>9942.563619642242</v>
      </c>
      <c r="F399" s="60">
        <f t="shared" ref="F399" si="405">IF($A$64&lt;=F363,IF($B$64&gt;=F363,ABS(F398),0),0)</f>
        <v>23374.063980468705</v>
      </c>
      <c r="G399" s="60">
        <f t="shared" ref="G399" si="406">IF($A$64&lt;=G363,IF($B$64&gt;=G363,ABS(G398),0),0)</f>
        <v>37306.343597057494</v>
      </c>
      <c r="H399" s="60">
        <f t="shared" ref="H399" si="407">IF($A$64&lt;=H363,IF($B$64&gt;=H363,ABS(H398),0),0)</f>
        <v>16523.74941880802</v>
      </c>
      <c r="I399" s="60">
        <f t="shared" ref="I399" si="408">IF($A$64&lt;=I363,IF($B$64&gt;=I363,ABS(I398),0),0)</f>
        <v>14591.908401549783</v>
      </c>
      <c r="J399" s="60">
        <f t="shared" ref="J399" si="409">IF($A$64&lt;=J363,IF($B$64&gt;=J363,ABS(J398),0),0)</f>
        <v>3301.7436703823819</v>
      </c>
      <c r="K399" s="60">
        <f t="shared" ref="K399" si="410">IF($A$64&lt;=K363,IF($B$64&gt;=K363,ABS(K398),0),0)</f>
        <v>878.71002794372657</v>
      </c>
      <c r="L399" s="60">
        <f t="shared" ref="L399" si="411">IF($A$64&lt;=L363,IF($B$64&gt;=L363,ABS(L398),0),0)</f>
        <v>344.34631012718177</v>
      </c>
      <c r="M399" s="60">
        <f t="shared" ref="M399" si="412">IF($A$64&lt;=M363,IF($B$64&gt;=M363,ABS(M398),0),0)</f>
        <v>977.94568038230432</v>
      </c>
      <c r="N399" s="60">
        <f t="shared" ref="N399" si="413">IF($A$64&lt;=N363,IF($B$64&gt;=N363,ABS(N398),0),0)</f>
        <v>160.69838103324793</v>
      </c>
      <c r="O399" s="60">
        <f t="shared" ref="O399" si="414">IF($A$64&lt;=O363,IF($B$64&gt;=O363,ABS(O398),0),0)</f>
        <v>2.1861326303733968</v>
      </c>
      <c r="P399" s="60">
        <f t="shared" ref="P399" si="415">IF($A$64&lt;=P363,IF($B$64&gt;=P363,ABS(P398),0),0)</f>
        <v>33.89784591591232</v>
      </c>
      <c r="Q399" s="60">
        <f t="shared" ref="Q399" si="416">IF($A$64&lt;=Q363,IF($B$64&gt;=Q363,ABS(Q398),0),0)</f>
        <v>146.85508027339401</v>
      </c>
      <c r="R399" s="60">
        <f t="shared" ref="R399" si="417">IF($A$64&lt;=R363,IF($B$64&gt;=R363,ABS(R398),0),0)</f>
        <v>2981.54415432117</v>
      </c>
      <c r="S399" s="60">
        <f t="shared" ref="S399" si="418">IF($A$64&lt;=S363,IF($B$64&gt;=S363,ABS(S398),0),0)</f>
        <v>2966.1788297842058</v>
      </c>
      <c r="T399" s="60">
        <f t="shared" ref="T399" si="419">IF($A$64&lt;=T363,IF($B$64&gt;=T363,ABS(T398),0),0)</f>
        <v>2637.2205142265016</v>
      </c>
      <c r="U399" s="60">
        <f t="shared" ref="U399" si="420">IF($A$64&lt;=U363,IF($B$64&gt;=U363,ABS(U398),0),0)</f>
        <v>2286.144759789719</v>
      </c>
      <c r="V399" s="60">
        <f t="shared" ref="V399" si="421">IF($A$64&lt;=V363,IF($B$64&gt;=V363,ABS(V398),0),0)</f>
        <v>2009.564009033068</v>
      </c>
      <c r="W399" s="60">
        <f t="shared" ref="W399" si="422">IF($A$64&lt;=W363,IF($B$64&gt;=W363,ABS(W398),0),0)</f>
        <v>1818.6274325988252</v>
      </c>
      <c r="X399" s="60">
        <f t="shared" ref="X399" si="423">IF($A$64&lt;=X363,IF($B$64&gt;=X363,ABS(X398),0),0)</f>
        <v>1693.1500734248204</v>
      </c>
      <c r="Y399" s="60">
        <f t="shared" ref="Y399" si="424">IF($A$64&lt;=Y363,IF($B$64&gt;=Y363,ABS(Y398),0),0)</f>
        <v>1608.0984100623953</v>
      </c>
      <c r="Z399" s="60">
        <f t="shared" ref="Z399" si="425">IF($A$64&lt;=Z363,IF($B$64&gt;=Z363,ABS(Z398),0),0)</f>
        <v>1547.1022262119398</v>
      </c>
      <c r="AA399" s="60">
        <f t="shared" ref="AA399" si="426">IF($A$64&lt;=AA363,IF($B$64&gt;=AA363,ABS(AA398),0),0)</f>
        <v>1536.0163367940349</v>
      </c>
      <c r="AB399" s="60">
        <f t="shared" ref="AB399" si="427">IF($A$64&lt;=AB363,IF($B$64&gt;=AB363,ABS(AB398),0),0)</f>
        <v>1520.475554886782</v>
      </c>
      <c r="AC399" s="60">
        <f t="shared" ref="AC399" si="428">IF($A$64&lt;=AC363,IF($B$64&gt;=AC363,ABS(AC398),0),0)</f>
        <v>1456.0584050392608</v>
      </c>
      <c r="AD399" s="60">
        <f t="shared" ref="AD399" si="429">IF($A$64&lt;=AD363,IF($B$64&gt;=AD363,ABS(AD398),0),0)</f>
        <v>1455.0444710790432</v>
      </c>
      <c r="AE399" s="60">
        <f t="shared" ref="AE399" si="430">IF($A$64&lt;=AE363,IF($B$64&gt;=AE363,ABS(AE398),0),0)</f>
        <v>1421.4615480638747</v>
      </c>
      <c r="AF399" s="60">
        <f t="shared" ref="AF399" si="431">IF($A$64&lt;=AF363,IF($B$64&gt;=AF363,ABS(AF398),0),0)</f>
        <v>1420.5995356959963</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163</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-14.406800109604639</v>
      </c>
      <c r="C403" s="107">
        <f t="shared" ref="C403:H403" si="432">IF(C125=$B$2,0,C126)</f>
        <v>-10.950515452938541</v>
      </c>
      <c r="D403" s="107">
        <f t="shared" si="432"/>
        <v>-6.5770330385822291</v>
      </c>
      <c r="E403" s="107">
        <f t="shared" si="432"/>
        <v>0</v>
      </c>
      <c r="F403" s="107">
        <f t="shared" si="432"/>
        <v>12.063922953615501</v>
      </c>
      <c r="G403" s="107">
        <f t="shared" si="432"/>
        <v>31.8000897176249</v>
      </c>
      <c r="H403" s="107">
        <f t="shared" si="432"/>
        <v>35.861537922668312</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5.5361291178458031E-22</v>
      </c>
      <c r="C404" s="3">
        <f t="shared" ref="C404:H419" si="433">$A404/EXP(-C$403)</f>
        <v>1.7548967302632991E-20</v>
      </c>
      <c r="D404" s="3">
        <f t="shared" si="433"/>
        <v>1.3919731047146803E-18</v>
      </c>
      <c r="E404" s="3">
        <f t="shared" si="433"/>
        <v>1.0000000000000001E-15</v>
      </c>
      <c r="F404" s="3">
        <f t="shared" si="433"/>
        <v>1.73498278063804E-10</v>
      </c>
      <c r="G404" s="3">
        <f t="shared" si="433"/>
        <v>6.4655204306795444E-2</v>
      </c>
      <c r="H404" s="3">
        <f t="shared" si="433"/>
        <v>3.7537732261831018</v>
      </c>
      <c r="I404" s="109">
        <f>Comparison!AL3</f>
        <v>1.0000000000000001E-15</v>
      </c>
      <c r="J404" s="3">
        <f>Comparison!AM3</f>
        <v>6574.1423129756067</v>
      </c>
      <c r="K404" s="3">
        <f>Comparison!AN3</f>
        <v>6543.7252261807771</v>
      </c>
      <c r="L404" s="3">
        <f>Comparison!AO3</f>
        <v>6524.0904126194901</v>
      </c>
      <c r="M404" s="3">
        <f>Comparison!AP3</f>
        <v>6503.9509699618966</v>
      </c>
      <c r="N404" s="3">
        <f>Comparison!AQ3</f>
        <v>6479.0859474371819</v>
      </c>
      <c r="O404" s="3">
        <f>Comparison!AR3</f>
        <v>5863.6829549380891</v>
      </c>
      <c r="P404" s="3">
        <f>Comparison!AS3</f>
        <v>5469.0375175567433</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5.536129117845803E-21</v>
      </c>
      <c r="C405" s="3">
        <f t="shared" si="433"/>
        <v>1.7548967302632989E-19</v>
      </c>
      <c r="D405" s="3">
        <f t="shared" si="433"/>
        <v>1.3919731047146802E-17</v>
      </c>
      <c r="E405" s="3">
        <f t="shared" si="433"/>
        <v>1E-14</v>
      </c>
      <c r="F405" s="3">
        <f t="shared" si="433"/>
        <v>1.7349827806380399E-9</v>
      </c>
      <c r="G405" s="3">
        <f t="shared" si="433"/>
        <v>0.64655204306795433</v>
      </c>
      <c r="H405" s="3">
        <f t="shared" si="433"/>
        <v>37.537732261831017</v>
      </c>
      <c r="I405" s="109">
        <f>Comparison!AL4</f>
        <v>1E-14</v>
      </c>
      <c r="J405" s="3">
        <f>Comparison!AM4</f>
        <v>6574.1983504239388</v>
      </c>
      <c r="K405" s="3">
        <f>Comparison!AN4</f>
        <v>6543.7799387981568</v>
      </c>
      <c r="L405" s="3">
        <f>Comparison!AO4</f>
        <v>6524.1443595856636</v>
      </c>
      <c r="M405" s="3">
        <f>Comparison!AP4</f>
        <v>6504.0043184804708</v>
      </c>
      <c r="N405" s="3">
        <f>Comparison!AQ4</f>
        <v>6479.1324839978006</v>
      </c>
      <c r="O405" s="3">
        <f>Comparison!AR4</f>
        <v>5609.1927579282792</v>
      </c>
      <c r="P405" s="3">
        <f>Comparison!AS4</f>
        <v>5144.4254375399241</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5.5361291178458031E-20</v>
      </c>
      <c r="C406" s="3">
        <f t="shared" si="433"/>
        <v>1.754896730263299E-18</v>
      </c>
      <c r="D406" s="3">
        <f t="shared" si="433"/>
        <v>1.3919731047146801E-16</v>
      </c>
      <c r="E406" s="3">
        <f t="shared" si="433"/>
        <v>1E-13</v>
      </c>
      <c r="F406" s="3">
        <f t="shared" si="433"/>
        <v>1.7349827806380399E-8</v>
      </c>
      <c r="G406" s="3">
        <f t="shared" si="433"/>
        <v>6.4655204306795442</v>
      </c>
      <c r="H406" s="3">
        <f t="shared" si="433"/>
        <v>375.37732261831019</v>
      </c>
      <c r="I406" s="109">
        <f>Comparison!AL5</f>
        <v>1E-13</v>
      </c>
      <c r="J406" s="3">
        <f>Comparison!AM5</f>
        <v>6574.1641202956771</v>
      </c>
      <c r="K406" s="3">
        <f>Comparison!AN5</f>
        <v>6543.7462938558028</v>
      </c>
      <c r="L406" s="3">
        <f>Comparison!AO5</f>
        <v>6524.1111351538066</v>
      </c>
      <c r="M406" s="3">
        <f>Comparison!AP5</f>
        <v>6503.9713230315656</v>
      </c>
      <c r="N406" s="3">
        <f>Comparison!AQ5</f>
        <v>6479.041978197979</v>
      </c>
      <c r="O406" s="3">
        <f>Comparison!AR5</f>
        <v>5370.7345311781783</v>
      </c>
      <c r="P406" s="3">
        <f>Comparison!AS5</f>
        <v>4859.4796757955091</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5.5361291178458031E-19</v>
      </c>
      <c r="C407" s="3">
        <f t="shared" si="433"/>
        <v>1.7548967302632987E-17</v>
      </c>
      <c r="D407" s="3">
        <f t="shared" si="433"/>
        <v>1.3919731047146801E-15</v>
      </c>
      <c r="E407" s="3">
        <f t="shared" si="433"/>
        <v>9.9999999999999998E-13</v>
      </c>
      <c r="F407" s="3">
        <f t="shared" si="433"/>
        <v>1.7349827806380399E-7</v>
      </c>
      <c r="G407" s="3">
        <f t="shared" si="433"/>
        <v>64.65520430679544</v>
      </c>
      <c r="H407" s="3">
        <f t="shared" si="433"/>
        <v>3753.7732261831015</v>
      </c>
      <c r="I407" s="109">
        <f>Comparison!AL6</f>
        <v>9.9999999999999998E-13</v>
      </c>
      <c r="J407" s="3">
        <f>Comparison!AM6</f>
        <v>6574.1538463873376</v>
      </c>
      <c r="K407" s="3">
        <f>Comparison!AN6</f>
        <v>6543.7363350192272</v>
      </c>
      <c r="L407" s="3">
        <f>Comparison!AO6</f>
        <v>6524.1012603146964</v>
      </c>
      <c r="M407" s="3">
        <f>Comparison!AP6</f>
        <v>6503.9615090652051</v>
      </c>
      <c r="N407" s="3">
        <f>Comparison!AQ6</f>
        <v>6478.4539559822069</v>
      </c>
      <c r="O407" s="3">
        <f>Comparison!AR6</f>
        <v>5097.9534912421213</v>
      </c>
      <c r="P407" s="3">
        <f>Comparison!AS6</f>
        <v>4579.0872874253573</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5.5361291178458027E-18</v>
      </c>
      <c r="C408" s="3">
        <f t="shared" si="433"/>
        <v>1.7548967302632987E-16</v>
      </c>
      <c r="D408" s="3">
        <f t="shared" si="433"/>
        <v>1.3919731047146801E-14</v>
      </c>
      <c r="E408" s="3">
        <f t="shared" si="433"/>
        <v>9.9999999999999994E-12</v>
      </c>
      <c r="F408" s="3">
        <f t="shared" si="433"/>
        <v>1.7349827806380398E-6</v>
      </c>
      <c r="G408" s="3">
        <f t="shared" si="433"/>
        <v>646.55204306795429</v>
      </c>
      <c r="H408" s="3">
        <f t="shared" si="433"/>
        <v>37537.732261831014</v>
      </c>
      <c r="I408" s="109">
        <f>Comparison!AL7</f>
        <v>9.9999999999999994E-12</v>
      </c>
      <c r="J408" s="3">
        <f>Comparison!AM7</f>
        <v>6574.1506604943988</v>
      </c>
      <c r="K408" s="3">
        <f>Comparison!AN7</f>
        <v>6543.7332030080934</v>
      </c>
      <c r="L408" s="3">
        <f>Comparison!AO7</f>
        <v>6524.0981470711258</v>
      </c>
      <c r="M408" s="3">
        <f>Comparison!AP7</f>
        <v>6503.9584150129849</v>
      </c>
      <c r="N408" s="3">
        <f>Comparison!AQ7</f>
        <v>6472.7726535549082</v>
      </c>
      <c r="O408" s="3">
        <f>Comparison!AR7</f>
        <v>4821.046341164677</v>
      </c>
      <c r="P408" s="3">
        <f>Comparison!AS7</f>
        <v>4274.6287252900811</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5.5361291178458029E-17</v>
      </c>
      <c r="C409" s="3">
        <f t="shared" si="433"/>
        <v>1.7548967302632989E-15</v>
      </c>
      <c r="D409" s="3">
        <f t="shared" si="433"/>
        <v>1.3919731047146803E-13</v>
      </c>
      <c r="E409" s="3">
        <f t="shared" si="433"/>
        <v>1E-10</v>
      </c>
      <c r="F409" s="3">
        <f t="shared" si="433"/>
        <v>1.7349827806380399E-5</v>
      </c>
      <c r="G409" s="3">
        <f t="shared" si="433"/>
        <v>6465.520430679544</v>
      </c>
      <c r="H409" s="3">
        <f t="shared" si="433"/>
        <v>375377.32261831017</v>
      </c>
      <c r="I409" s="109">
        <f>Comparison!AL8</f>
        <v>1E-10</v>
      </c>
      <c r="J409" s="3">
        <f>Comparison!AM8</f>
        <v>6574.149598530772</v>
      </c>
      <c r="K409" s="3">
        <f>Comparison!AN8</f>
        <v>6543.7321508487757</v>
      </c>
      <c r="L409" s="3">
        <f>Comparison!AO8</f>
        <v>6524.0971012165301</v>
      </c>
      <c r="M409" s="3">
        <f>Comparison!AP8</f>
        <v>6503.9573030886877</v>
      </c>
      <c r="N409" s="3">
        <f>Comparison!AQ8</f>
        <v>6425.3224026678754</v>
      </c>
      <c r="O409" s="3">
        <f>Comparison!AR8</f>
        <v>4535.3452020984814</v>
      </c>
      <c r="P409" s="3">
        <f>Comparison!AS8</f>
        <v>3938.1560081824523</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5.5361291178458028E-16</v>
      </c>
      <c r="C410" s="3">
        <f t="shared" si="433"/>
        <v>1.7548967302632989E-14</v>
      </c>
      <c r="D410" s="3">
        <f t="shared" si="433"/>
        <v>1.3919731047146802E-12</v>
      </c>
      <c r="E410" s="3">
        <f t="shared" si="433"/>
        <v>1.0000000000000001E-9</v>
      </c>
      <c r="F410" s="3">
        <f t="shared" si="433"/>
        <v>1.7349827806380401E-4</v>
      </c>
      <c r="G410" s="3">
        <f t="shared" si="433"/>
        <v>64655.204306795444</v>
      </c>
      <c r="H410" s="3">
        <f t="shared" si="433"/>
        <v>3753773.226183102</v>
      </c>
      <c r="I410" s="109">
        <f>Comparison!AL9</f>
        <v>1.0000000000000001E-9</v>
      </c>
      <c r="J410" s="3">
        <f>Comparison!AM9</f>
        <v>6574.1492527752453</v>
      </c>
      <c r="K410" s="3">
        <f>Comparison!AN9</f>
        <v>6543.7318082853499</v>
      </c>
      <c r="L410" s="3">
        <f>Comparison!AO9</f>
        <v>6524.0967607058046</v>
      </c>
      <c r="M410" s="3">
        <f>Comparison!AP9</f>
        <v>6503.9546441408229</v>
      </c>
      <c r="N410" s="3">
        <f>Comparison!AQ9</f>
        <v>6280.1372572444334</v>
      </c>
      <c r="O410" s="3">
        <f>Comparison!AR9</f>
        <v>4228.4929725950406</v>
      </c>
      <c r="P410" s="3">
        <f>Comparison!AS9</f>
        <v>3491.5925245283374</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5.5361291178458028E-15</v>
      </c>
      <c r="C411" s="3">
        <f t="shared" si="433"/>
        <v>1.754896730263299E-13</v>
      </c>
      <c r="D411" s="3">
        <f t="shared" si="433"/>
        <v>1.3919731047146802E-11</v>
      </c>
      <c r="E411" s="3">
        <f t="shared" si="433"/>
        <v>1E-8</v>
      </c>
      <c r="F411" s="3">
        <f t="shared" si="433"/>
        <v>1.73498278063804E-3</v>
      </c>
      <c r="G411" s="3">
        <f t="shared" si="433"/>
        <v>646552.04306795436</v>
      </c>
      <c r="H411" s="3">
        <f t="shared" si="433"/>
        <v>37537732.261831015</v>
      </c>
      <c r="I411" s="109">
        <f>Comparison!AL10</f>
        <v>1E-8</v>
      </c>
      <c r="J411" s="3">
        <f>Comparison!AM10</f>
        <v>6574.149203381603</v>
      </c>
      <c r="K411" s="3">
        <f>Comparison!AN10</f>
        <v>6543.7317593477201</v>
      </c>
      <c r="L411" s="3">
        <f>Comparison!AO10</f>
        <v>6524.0967120614177</v>
      </c>
      <c r="M411" s="3">
        <f>Comparison!AP10</f>
        <v>6503.932647473689</v>
      </c>
      <c r="N411" s="3">
        <f>Comparison!AQ10</f>
        <v>6130.7451181848783</v>
      </c>
      <c r="O411" s="3">
        <f>Comparison!AR10</f>
        <v>3871.0057883923755</v>
      </c>
      <c r="P411" s="3">
        <f>Comparison!AS10</f>
        <v>2939.5473684961994</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5.5361291178458024E-14</v>
      </c>
      <c r="C412" s="3">
        <f t="shared" si="433"/>
        <v>1.7548967302632988E-12</v>
      </c>
      <c r="D412" s="3">
        <f t="shared" si="433"/>
        <v>1.3919731047146801E-10</v>
      </c>
      <c r="E412" s="3">
        <f t="shared" si="433"/>
        <v>9.9999999999999995E-8</v>
      </c>
      <c r="F412" s="3">
        <f t="shared" si="433"/>
        <v>1.7349827806380398E-2</v>
      </c>
      <c r="G412" s="3">
        <f t="shared" si="433"/>
        <v>6465520.4306795439</v>
      </c>
      <c r="H412" s="3">
        <f t="shared" si="433"/>
        <v>375377322.61831015</v>
      </c>
      <c r="I412" s="109">
        <f>Comparison!AL11</f>
        <v>9.9999999999999995E-8</v>
      </c>
      <c r="J412" s="3">
        <f>Comparison!AM11</f>
        <v>6574.149203381603</v>
      </c>
      <c r="K412" s="3">
        <f>Comparison!AN11</f>
        <v>6543.7315146595847</v>
      </c>
      <c r="L412" s="3">
        <f>Comparison!AO11</f>
        <v>6524.0963715507314</v>
      </c>
      <c r="M412" s="3">
        <f>Comparison!AP11</f>
        <v>6503.7133657579243</v>
      </c>
      <c r="N412" s="3">
        <f>Comparison!AQ11</f>
        <v>5959.459898848826</v>
      </c>
      <c r="O412" s="3">
        <f>Comparison!AR11</f>
        <v>3401.7561264704505</v>
      </c>
      <c r="P412" s="3">
        <f>Comparison!AS11</f>
        <v>2290.3210430692648</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5.5361291178458022E-13</v>
      </c>
      <c r="C413" s="3">
        <f t="shared" si="433"/>
        <v>1.7548967302632989E-11</v>
      </c>
      <c r="D413" s="3">
        <f t="shared" si="433"/>
        <v>1.3919731047146802E-9</v>
      </c>
      <c r="E413" s="3">
        <f t="shared" si="433"/>
        <v>9.9999999999999995E-7</v>
      </c>
      <c r="F413" s="3">
        <f t="shared" si="433"/>
        <v>0.173498278063804</v>
      </c>
      <c r="G413" s="3">
        <f t="shared" si="433"/>
        <v>64655204.306795433</v>
      </c>
      <c r="H413" s="3">
        <f t="shared" si="433"/>
        <v>3753773226.1831017</v>
      </c>
      <c r="I413" s="109">
        <f>Comparison!AL12</f>
        <v>9.9999999999999995E-7</v>
      </c>
      <c r="J413" s="3">
        <f>Comparison!AM12</f>
        <v>6574.149203381603</v>
      </c>
      <c r="K413" s="3">
        <f>Comparison!AN12</f>
        <v>6543.731490190773</v>
      </c>
      <c r="L413" s="3">
        <f>Comparison!AO12</f>
        <v>6524.0939393325853</v>
      </c>
      <c r="M413" s="3">
        <f>Comparison!AP12</f>
        <v>6501.5374241274303</v>
      </c>
      <c r="N413" s="3">
        <f>Comparison!AQ12</f>
        <v>5758.6320512376351</v>
      </c>
      <c r="O413" s="3">
        <f>Comparison!AR12</f>
        <v>2827.0529060658037</v>
      </c>
      <c r="P413" s="3">
        <f>Comparison!AS12</f>
        <v>1556.8723374202477</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5.536129117845803E-12</v>
      </c>
      <c r="C414" s="3">
        <f t="shared" si="433"/>
        <v>1.754896730263299E-10</v>
      </c>
      <c r="D414" s="3">
        <f t="shared" si="433"/>
        <v>1.3919731047146804E-8</v>
      </c>
      <c r="E414" s="3">
        <f t="shared" si="433"/>
        <v>1.0000000000000001E-5</v>
      </c>
      <c r="F414" s="3">
        <f t="shared" si="433"/>
        <v>1.73498278063804</v>
      </c>
      <c r="G414" s="3">
        <f t="shared" si="433"/>
        <v>646552043.06795442</v>
      </c>
      <c r="H414" s="3">
        <f t="shared" si="433"/>
        <v>37537732261.831017</v>
      </c>
      <c r="I414" s="109">
        <f>Comparison!AL13</f>
        <v>1.0000000000000001E-5</v>
      </c>
      <c r="J414" s="3">
        <f>Comparison!AM13</f>
        <v>6574.1491786847801</v>
      </c>
      <c r="K414" s="3">
        <f>Comparison!AN13</f>
        <v>6543.7313923155243</v>
      </c>
      <c r="L414" s="3">
        <f>Comparison!AO13</f>
        <v>6524.06939835293</v>
      </c>
      <c r="M414" s="3">
        <f>Comparison!AP13</f>
        <v>6481.233154233405</v>
      </c>
      <c r="N414" s="3">
        <f>Comparison!AQ13</f>
        <v>5553.7107715147085</v>
      </c>
      <c r="O414" s="3">
        <f>Comparison!AR13</f>
        <v>2150.7951483518323</v>
      </c>
      <c r="P414" s="3">
        <f>Comparison!AS13</f>
        <v>939.61789874376836</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5.5361291178458032E-11</v>
      </c>
      <c r="C415" s="3">
        <f t="shared" si="433"/>
        <v>1.754896730263299E-9</v>
      </c>
      <c r="D415" s="3">
        <f t="shared" si="433"/>
        <v>1.3919731047146803E-7</v>
      </c>
      <c r="E415" s="3">
        <f t="shared" si="433"/>
        <v>1E-4</v>
      </c>
      <c r="F415" s="3">
        <f t="shared" si="433"/>
        <v>17.3498278063804</v>
      </c>
      <c r="G415" s="3">
        <f t="shared" si="433"/>
        <v>6465520430.6795444</v>
      </c>
      <c r="H415" s="3">
        <f t="shared" si="433"/>
        <v>375377322618.31018</v>
      </c>
      <c r="I415" s="109">
        <f>Comparison!AL14</f>
        <v>1E-4</v>
      </c>
      <c r="J415" s="3">
        <f>Comparison!AM14</f>
        <v>6574.1489070197567</v>
      </c>
      <c r="K415" s="3">
        <f>Comparison!AN14</f>
        <v>6543.7286518097571</v>
      </c>
      <c r="L415" s="3">
        <f>Comparison!AO14</f>
        <v>6523.8242419120506</v>
      </c>
      <c r="M415" s="3">
        <f>Comparison!AP14</f>
        <v>6364.7007036045688</v>
      </c>
      <c r="N415" s="3">
        <f>Comparison!AQ14</f>
        <v>5296.2160470219478</v>
      </c>
      <c r="O415" s="3">
        <f>Comparison!AR14</f>
        <v>1410.5199057082755</v>
      </c>
      <c r="P415" s="3">
        <f>Comparison!AS14</f>
        <v>532.22470015904992</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5.5361291178458029E-10</v>
      </c>
      <c r="C416" s="3">
        <f t="shared" si="433"/>
        <v>1.754896730263299E-8</v>
      </c>
      <c r="D416" s="3">
        <f t="shared" si="433"/>
        <v>1.3919731047146803E-6</v>
      </c>
      <c r="E416" s="3">
        <f t="shared" si="433"/>
        <v>1E-3</v>
      </c>
      <c r="F416" s="3">
        <f t="shared" si="433"/>
        <v>173.49827806380401</v>
      </c>
      <c r="G416" s="3">
        <f t="shared" si="433"/>
        <v>64655204306.795441</v>
      </c>
      <c r="H416" s="3">
        <f t="shared" si="433"/>
        <v>3753773226183.1016</v>
      </c>
      <c r="I416" s="109">
        <f>Comparison!AL15</f>
        <v>1E-3</v>
      </c>
      <c r="J416" s="3">
        <f>Comparison!AM15</f>
        <v>6574.1483883865922</v>
      </c>
      <c r="K416" s="3">
        <f>Comparison!AN15</f>
        <v>6543.7023234963144</v>
      </c>
      <c r="L416" s="3">
        <f>Comparison!AO15</f>
        <v>6521.3925487999713</v>
      </c>
      <c r="M416" s="3">
        <f>Comparison!AP15</f>
        <v>6219.55344224686</v>
      </c>
      <c r="N416" s="3">
        <f>Comparison!AQ15</f>
        <v>5014.3504980568096</v>
      </c>
      <c r="O416" s="3">
        <f>Comparison!AR15</f>
        <v>826.67973456797017</v>
      </c>
      <c r="P416" s="3">
        <f>Comparison!AS15</f>
        <v>294.61415856723238</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5.5361291178458027E-9</v>
      </c>
      <c r="C417" s="3">
        <f t="shared" si="433"/>
        <v>1.7548967302632988E-7</v>
      </c>
      <c r="D417" s="3">
        <f t="shared" si="433"/>
        <v>1.3919731047146802E-5</v>
      </c>
      <c r="E417" s="3">
        <f t="shared" si="433"/>
        <v>0.01</v>
      </c>
      <c r="F417" s="3">
        <f t="shared" si="433"/>
        <v>1734.9827806380399</v>
      </c>
      <c r="G417" s="3">
        <f t="shared" si="433"/>
        <v>646552043067.95435</v>
      </c>
      <c r="H417" s="3">
        <f t="shared" si="433"/>
        <v>37537732261831.016</v>
      </c>
      <c r="I417" s="109">
        <f>Comparison!AL16</f>
        <v>0.01</v>
      </c>
      <c r="J417" s="3">
        <f>Comparison!AM16</f>
        <v>6574.141102834109</v>
      </c>
      <c r="K417" s="3">
        <f>Comparison!AN16</f>
        <v>6543.4393456132884</v>
      </c>
      <c r="L417" s="3">
        <f>Comparison!AO16</f>
        <v>6498.8766153292054</v>
      </c>
      <c r="M417" s="3">
        <f>Comparison!AP16</f>
        <v>6059.9785511387736</v>
      </c>
      <c r="N417" s="3">
        <f>Comparison!AQ16</f>
        <v>4737.7084148388376</v>
      </c>
      <c r="O417" s="3">
        <f>Comparison!AR16</f>
        <v>463.10914863390207</v>
      </c>
      <c r="P417" s="3">
        <f>Comparison!AS16</f>
        <v>191.85627557437303</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5.5361291178458029E-8</v>
      </c>
      <c r="C418" s="3">
        <f t="shared" si="433"/>
        <v>1.7548967302632988E-6</v>
      </c>
      <c r="D418" s="3">
        <f t="shared" si="433"/>
        <v>1.3919731047146804E-4</v>
      </c>
      <c r="E418" s="3">
        <f t="shared" si="433"/>
        <v>0.1</v>
      </c>
      <c r="F418" s="3">
        <f t="shared" si="433"/>
        <v>17349.827806380399</v>
      </c>
      <c r="G418" s="3">
        <f t="shared" si="433"/>
        <v>6465520430679.5439</v>
      </c>
      <c r="H418" s="3">
        <f t="shared" si="433"/>
        <v>375377322618310.19</v>
      </c>
      <c r="I418" s="109">
        <f>Comparison!AL17</f>
        <v>0.1</v>
      </c>
      <c r="J418" s="3">
        <f>Comparison!AM17</f>
        <v>6574.0681741087647</v>
      </c>
      <c r="K418" s="3">
        <f>Comparison!AN17</f>
        <v>6540.8297975507394</v>
      </c>
      <c r="L418" s="3">
        <f>Comparison!AO17</f>
        <v>6376.7108933957061</v>
      </c>
      <c r="M418" s="3">
        <f>Comparison!AP17</f>
        <v>5870.6317266704709</v>
      </c>
      <c r="N418" s="3">
        <f>Comparison!AQ17</f>
        <v>4438.626264954587</v>
      </c>
      <c r="O418" s="3">
        <f>Comparison!AR17</f>
        <v>257.27368574751409</v>
      </c>
      <c r="P418" s="3">
        <f>Comparison!AS17</f>
        <v>162.27843823453597</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5.5361291178458027E-7</v>
      </c>
      <c r="C419" s="3">
        <f t="shared" si="433"/>
        <v>1.7548967302632987E-5</v>
      </c>
      <c r="D419" s="3">
        <f t="shared" si="433"/>
        <v>1.3919731047146802E-3</v>
      </c>
      <c r="E419" s="3">
        <f t="shared" si="433"/>
        <v>1</v>
      </c>
      <c r="F419" s="3">
        <f t="shared" si="433"/>
        <v>173498.278063804</v>
      </c>
      <c r="G419" s="3">
        <f t="shared" si="433"/>
        <v>64655204306795.437</v>
      </c>
      <c r="H419" s="3">
        <f t="shared" si="433"/>
        <v>3753773226183101.5</v>
      </c>
      <c r="I419" s="109">
        <f>Comparison!AL18</f>
        <v>1</v>
      </c>
      <c r="J419" s="3">
        <f>Comparison!AM18</f>
        <v>6573.3425313051102</v>
      </c>
      <c r="K419" s="3">
        <f>Comparison!AN18</f>
        <v>6516.7915822655277</v>
      </c>
      <c r="L419" s="3">
        <f>Comparison!AO18</f>
        <v>6230.3639399807598</v>
      </c>
      <c r="M419" s="3">
        <f>Comparison!AP18</f>
        <v>5669.1325406322439</v>
      </c>
      <c r="N419" s="3">
        <f>Comparison!AQ18</f>
        <v>4115.3629839514006</v>
      </c>
      <c r="O419" s="3">
        <f>Comparison!AR18</f>
        <v>179.98076982609024</v>
      </c>
      <c r="P419" s="3">
        <f>Comparison!AS18</f>
        <v>147.30961753431595</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5.5361291178458029E-6</v>
      </c>
      <c r="C420" s="3">
        <f t="shared" si="434"/>
        <v>1.7548967302632987E-4</v>
      </c>
      <c r="D420" s="3">
        <f t="shared" si="434"/>
        <v>1.3919731047146802E-2</v>
      </c>
      <c r="E420" s="3">
        <f t="shared" si="434"/>
        <v>10</v>
      </c>
      <c r="F420" s="3">
        <f t="shared" si="434"/>
        <v>1734982.78063804</v>
      </c>
      <c r="G420" s="3">
        <f t="shared" si="434"/>
        <v>646552043067954.37</v>
      </c>
      <c r="H420" s="3">
        <f t="shared" si="434"/>
        <v>3.7537732261831016E+16</v>
      </c>
      <c r="I420" s="109">
        <f>Comparison!AL19</f>
        <v>10</v>
      </c>
      <c r="J420" s="3">
        <f>Comparison!AM19</f>
        <v>6566.2492544539882</v>
      </c>
      <c r="K420" s="3">
        <f>Comparison!AN19</f>
        <v>6390.814079024768</v>
      </c>
      <c r="L420" s="3">
        <f>Comparison!AO19</f>
        <v>6066.3152248046426</v>
      </c>
      <c r="M420" s="3">
        <f>Comparison!AP19</f>
        <v>5423.4324257349326</v>
      </c>
      <c r="N420" s="3">
        <f>Comparison!AQ19</f>
        <v>3662.5886079597385</v>
      </c>
      <c r="O420" s="3">
        <f>Comparison!AR19</f>
        <v>157.55849658546879</v>
      </c>
      <c r="P420" s="3">
        <f>Comparison!AS19</f>
        <v>142.06591803394016</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5.5361291178458028E-5</v>
      </c>
      <c r="C421" s="3">
        <f t="shared" si="434"/>
        <v>1.7548967302632988E-3</v>
      </c>
      <c r="D421" s="3">
        <f t="shared" si="434"/>
        <v>0.13919731047146802</v>
      </c>
      <c r="E421" s="3">
        <f t="shared" si="434"/>
        <v>100</v>
      </c>
      <c r="F421" s="3">
        <f t="shared" si="434"/>
        <v>17349827.806380399</v>
      </c>
      <c r="G421" s="3">
        <f t="shared" si="434"/>
        <v>6465520430679544</v>
      </c>
      <c r="H421" s="3">
        <f t="shared" si="434"/>
        <v>3.7537732261831014E+17</v>
      </c>
      <c r="I421" s="109">
        <f>Comparison!AL20</f>
        <v>100</v>
      </c>
      <c r="J421" s="3">
        <f>Comparison!AM20</f>
        <v>6509.2168204054406</v>
      </c>
      <c r="K421" s="3">
        <f>Comparison!AN20</f>
        <v>6240.1474757230608</v>
      </c>
      <c r="L421" s="3">
        <f>Comparison!AO20</f>
        <v>5850.8000974148181</v>
      </c>
      <c r="M421" s="3">
        <f>Comparison!AP20</f>
        <v>5064.9009314494624</v>
      </c>
      <c r="N421" s="3">
        <f>Comparison!AQ20</f>
        <v>3039.7716426269371</v>
      </c>
      <c r="O421" s="3">
        <f>Comparison!AR20</f>
        <v>143.13037816485394</v>
      </c>
      <c r="P421" s="3">
        <f>Comparison!AS20</f>
        <v>140.2404472955443</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5.5361291178458033E-4</v>
      </c>
      <c r="C422" s="3">
        <f t="shared" si="434"/>
        <v>1.7548967302632987E-2</v>
      </c>
      <c r="D422" s="3">
        <f t="shared" si="434"/>
        <v>1.3919731047146802</v>
      </c>
      <c r="E422" s="3">
        <f t="shared" si="434"/>
        <v>1000</v>
      </c>
      <c r="F422" s="3">
        <f t="shared" si="434"/>
        <v>173498278.063804</v>
      </c>
      <c r="G422" s="3">
        <f t="shared" si="434"/>
        <v>6.465520430679544E+16</v>
      </c>
      <c r="H422" s="3">
        <f t="shared" si="434"/>
        <v>3.753773226183102E+18</v>
      </c>
      <c r="I422" s="109">
        <f>Comparison!AL21</f>
        <v>1000</v>
      </c>
      <c r="J422" s="3">
        <f>Comparison!AM21</f>
        <v>6358.877795711509</v>
      </c>
      <c r="K422" s="3">
        <f>Comparison!AN21</f>
        <v>6044.4265071962272</v>
      </c>
      <c r="L422" s="3">
        <f>Comparison!AO21</f>
        <v>5524.1383776461034</v>
      </c>
      <c r="M422" s="3">
        <f>Comparison!AP21</f>
        <v>4580.1850776889687</v>
      </c>
      <c r="N422" s="3">
        <f>Comparison!AQ21</f>
        <v>2356.5178874385392</v>
      </c>
      <c r="O422" s="3">
        <f>Comparison!AR21</f>
        <v>139.03929298884987</v>
      </c>
      <c r="P422" s="3">
        <f>Comparison!AS21</f>
        <v>137.13168564571805</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5.5361291178458024E-3</v>
      </c>
      <c r="C423" s="3">
        <f t="shared" si="434"/>
        <v>0.1754896730263299</v>
      </c>
      <c r="D423" s="3">
        <f t="shared" si="434"/>
        <v>13.919731047146803</v>
      </c>
      <c r="E423" s="3">
        <f t="shared" si="434"/>
        <v>10000</v>
      </c>
      <c r="F423" s="3">
        <f t="shared" si="434"/>
        <v>1734982780.6380401</v>
      </c>
      <c r="G423" s="3">
        <f t="shared" si="434"/>
        <v>6.4655204306795443E+17</v>
      </c>
      <c r="H423" s="3">
        <f t="shared" si="434"/>
        <v>3.7537732261831016E+19</v>
      </c>
      <c r="I423" s="109">
        <f>Comparison!AL22</f>
        <v>10000</v>
      </c>
      <c r="J423" s="3">
        <f>Comparison!AM22</f>
        <v>6198.1657141301985</v>
      </c>
      <c r="K423" s="3">
        <f>Comparison!AN22</f>
        <v>5697.9764219559002</v>
      </c>
      <c r="L423" s="3">
        <f>Comparison!AO22</f>
        <v>5037.8540321693981</v>
      </c>
      <c r="M423" s="3">
        <f>Comparison!AP22</f>
        <v>4085.8663253030418</v>
      </c>
      <c r="N423" s="3">
        <f>Comparison!AQ22</f>
        <v>1664.6092730189016</v>
      </c>
      <c r="O423" s="3">
        <f>Comparison!AR22</f>
        <v>135.60631839895524</v>
      </c>
      <c r="P423" s="3">
        <f>Comparison!AS22</f>
        <v>133.5914564553571</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5.5361291178458026E-2</v>
      </c>
      <c r="C424" s="3">
        <f t="shared" si="434"/>
        <v>1.7548967302632987</v>
      </c>
      <c r="D424" s="3">
        <f t="shared" si="434"/>
        <v>139.19731047146803</v>
      </c>
      <c r="E424" s="3">
        <f t="shared" si="434"/>
        <v>100000</v>
      </c>
      <c r="F424" s="3">
        <f t="shared" si="434"/>
        <v>17349827806.380398</v>
      </c>
      <c r="G424" s="3">
        <f t="shared" si="434"/>
        <v>6.4655204306795438E+18</v>
      </c>
      <c r="H424" s="3">
        <f t="shared" si="434"/>
        <v>3.7537732261831016E+20</v>
      </c>
      <c r="I424" s="109">
        <f>Comparison!AL23</f>
        <v>100000</v>
      </c>
      <c r="J424" s="3">
        <f>Comparison!AM23</f>
        <v>5965.2165970487267</v>
      </c>
      <c r="K424" s="3">
        <f>Comparison!AN23</f>
        <v>5222.1642197271249</v>
      </c>
      <c r="L424" s="3">
        <f>Comparison!AO23</f>
        <v>4531.1485912762591</v>
      </c>
      <c r="M424" s="3">
        <f>Comparison!AP23</f>
        <v>3641.7022773125063</v>
      </c>
      <c r="N424" s="3">
        <f>Comparison!AQ23</f>
        <v>1039.9214556238178</v>
      </c>
      <c r="O424" s="3">
        <f>Comparison!AR23</f>
        <v>132.22937471479068</v>
      </c>
      <c r="P424" s="3">
        <f>Comparison!AS23</f>
        <v>130.60597118111332</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0.55361291178458027</v>
      </c>
      <c r="C425" s="3">
        <f t="shared" si="434"/>
        <v>17.548967302632988</v>
      </c>
      <c r="D425" s="3">
        <f t="shared" si="434"/>
        <v>1391.9731047146802</v>
      </c>
      <c r="E425" s="3">
        <f t="shared" si="434"/>
        <v>1000000</v>
      </c>
      <c r="F425" s="3">
        <f t="shared" si="434"/>
        <v>173498278063.80399</v>
      </c>
      <c r="G425" s="3">
        <f t="shared" si="434"/>
        <v>6.4655204306795438E+19</v>
      </c>
      <c r="H425" s="3">
        <f t="shared" si="434"/>
        <v>3.7537732261831015E+21</v>
      </c>
      <c r="I425" s="109">
        <f>Comparison!AL24</f>
        <v>1000000</v>
      </c>
      <c r="J425" s="3">
        <f>Comparison!AM24</f>
        <v>5562.9083959530062</v>
      </c>
      <c r="K425" s="3">
        <f>Comparison!AN24</f>
        <v>4741.2273341563377</v>
      </c>
      <c r="L425" s="3">
        <f>Comparison!AO24</f>
        <v>4100.3073895013431</v>
      </c>
      <c r="M425" s="3">
        <f>Comparison!AP24</f>
        <v>3231.6591203117327</v>
      </c>
      <c r="N425" s="3">
        <f>Comparison!AQ24</f>
        <v>595.89522173414423</v>
      </c>
      <c r="O425" s="3">
        <f>Comparison!AR24</f>
        <v>129.58780540541244</v>
      </c>
      <c r="P425" s="3">
        <f>Comparison!AS24</f>
        <v>128.42317853149575</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5.5361291178458032</v>
      </c>
      <c r="C426" s="3">
        <f t="shared" si="434"/>
        <v>175.48967302632988</v>
      </c>
      <c r="D426" s="3">
        <f t="shared" si="434"/>
        <v>13919.731047146801</v>
      </c>
      <c r="E426" s="3">
        <f t="shared" si="434"/>
        <v>10000000</v>
      </c>
      <c r="F426" s="3">
        <f t="shared" si="434"/>
        <v>1734982780638.04</v>
      </c>
      <c r="G426" s="3">
        <f t="shared" si="434"/>
        <v>6.4655204306795443E+20</v>
      </c>
      <c r="H426" s="3">
        <f t="shared" si="434"/>
        <v>3.7537732261831017E+22</v>
      </c>
      <c r="I426" s="109">
        <f>Comparison!AL25</f>
        <v>10000000</v>
      </c>
      <c r="J426" s="3">
        <f>Comparison!AM25</f>
        <v>5068.6144859756578</v>
      </c>
      <c r="K426" s="3">
        <f>Comparison!AN25</f>
        <v>4311.1706397553053</v>
      </c>
      <c r="L426" s="3">
        <f>Comparison!AO25</f>
        <v>3736.9018653482362</v>
      </c>
      <c r="M426" s="3">
        <f>Comparison!AP25</f>
        <v>2785.7203085552951</v>
      </c>
      <c r="N426" s="3">
        <f>Comparison!AQ25</f>
        <v>331.71701217899948</v>
      </c>
      <c r="O426" s="3">
        <f>Comparison!AR25</f>
        <v>127.7135675720335</v>
      </c>
      <c r="P426" s="3">
        <f>Comparison!AS25</f>
        <v>126.92571513683149</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55.361291178458032</v>
      </c>
      <c r="C427" s="3">
        <f t="shared" si="434"/>
        <v>1754.8967302632989</v>
      </c>
      <c r="D427" s="3">
        <f t="shared" si="434"/>
        <v>139197.31047146802</v>
      </c>
      <c r="E427" s="3">
        <f t="shared" si="434"/>
        <v>100000000</v>
      </c>
      <c r="F427" s="3">
        <f t="shared" si="434"/>
        <v>17349827806380.4</v>
      </c>
      <c r="G427" s="3">
        <f t="shared" si="434"/>
        <v>6.4655204306795438E+21</v>
      </c>
      <c r="H427" s="3">
        <f t="shared" si="434"/>
        <v>3.753773226183102E+23</v>
      </c>
      <c r="I427" s="109">
        <f>Comparison!AL26</f>
        <v>100000000</v>
      </c>
      <c r="J427" s="3">
        <f>Comparison!AM26</f>
        <v>4583.1082918040429</v>
      </c>
      <c r="K427" s="3">
        <f>Comparison!AN26</f>
        <v>3952.2593271118144</v>
      </c>
      <c r="L427" s="3">
        <f>Comparison!AO26</f>
        <v>3408.8002756648089</v>
      </c>
      <c r="M427" s="3">
        <f>Comparison!AP26</f>
        <v>2295.1533050928924</v>
      </c>
      <c r="N427" s="3">
        <f>Comparison!AQ26</f>
        <v>192.72704730170403</v>
      </c>
      <c r="O427" s="3">
        <f>Comparison!AR26</f>
        <v>126.4367312836393</v>
      </c>
      <c r="P427" s="3">
        <f>Comparison!AS26</f>
        <v>125.87891264299097</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553.61291178458032</v>
      </c>
      <c r="C428" s="3">
        <f t="shared" si="434"/>
        <v>17548.967302632987</v>
      </c>
      <c r="D428" s="3">
        <f t="shared" si="434"/>
        <v>1391973.1047146802</v>
      </c>
      <c r="E428" s="3">
        <f t="shared" si="434"/>
        <v>1000000000</v>
      </c>
      <c r="F428" s="3">
        <f t="shared" si="434"/>
        <v>173498278063804</v>
      </c>
      <c r="G428" s="3">
        <f t="shared" si="434"/>
        <v>6.4655204306795436E+22</v>
      </c>
      <c r="H428" s="3">
        <f t="shared" si="434"/>
        <v>3.7537732261831014E+24</v>
      </c>
      <c r="I428" s="109">
        <f>Comparison!AL27</f>
        <v>1000000000</v>
      </c>
      <c r="J428" s="3">
        <f>Comparison!AM27</f>
        <v>4165.9762057055259</v>
      </c>
      <c r="K428" s="3">
        <f>Comparison!AN27</f>
        <v>3639.2172363975619</v>
      </c>
      <c r="L428" s="3">
        <f>Comparison!AO27</f>
        <v>3078.2308446927527</v>
      </c>
      <c r="M428" s="3">
        <f>Comparison!AP27</f>
        <v>1754.5150163075152</v>
      </c>
      <c r="N428" s="3">
        <f>Comparison!AQ27</f>
        <v>148.89299884614732</v>
      </c>
      <c r="O428" s="3">
        <f>Comparison!AR27</f>
        <v>125.52960401951817</v>
      </c>
      <c r="P428" s="3">
        <f>Comparison!AS27</f>
        <v>125.11103067782525</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5536.1291178458032</v>
      </c>
      <c r="C429" s="3">
        <f t="shared" si="434"/>
        <v>175489.6730263299</v>
      </c>
      <c r="D429" s="3">
        <f t="shared" si="434"/>
        <v>13919731.047146801</v>
      </c>
      <c r="E429" s="3">
        <f t="shared" si="434"/>
        <v>10000000000</v>
      </c>
      <c r="F429" s="3">
        <f t="shared" si="434"/>
        <v>1734982780638040</v>
      </c>
      <c r="G429" s="3">
        <f t="shared" si="434"/>
        <v>6.4655204306795436E+23</v>
      </c>
      <c r="H429" s="3">
        <f t="shared" si="434"/>
        <v>3.7537732261831017E+25</v>
      </c>
      <c r="I429" s="109">
        <f>Comparison!AL28</f>
        <v>10000000000</v>
      </c>
      <c r="J429" s="3">
        <f>Comparison!AM28</f>
        <v>3823.5689905233821</v>
      </c>
      <c r="K429" s="3">
        <f>Comparison!AN28</f>
        <v>3344.7021990881808</v>
      </c>
      <c r="L429" s="3">
        <f>Comparison!AO28</f>
        <v>2685.2498641877337</v>
      </c>
      <c r="M429" s="3">
        <f>Comparison!AP28</f>
        <v>1171.8757952014325</v>
      </c>
      <c r="N429" s="3">
        <f>Comparison!AQ28</f>
        <v>134.12130031566326</v>
      </c>
      <c r="O429" s="3">
        <f>Comparison!AR28</f>
        <v>124.83927834622055</v>
      </c>
      <c r="P429" s="3">
        <f>Comparison!AS28</f>
        <v>124.96985459314666</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55361.291178458028</v>
      </c>
      <c r="C430" s="3">
        <f t="shared" si="434"/>
        <v>1754896.7302632988</v>
      </c>
      <c r="D430" s="3">
        <f t="shared" si="434"/>
        <v>139197310.47146803</v>
      </c>
      <c r="E430" s="3">
        <f t="shared" si="434"/>
        <v>100000000000</v>
      </c>
      <c r="F430" s="3">
        <f t="shared" si="434"/>
        <v>1.73498278063804E+16</v>
      </c>
      <c r="G430" s="3">
        <f t="shared" si="434"/>
        <v>6.4655204306795436E+24</v>
      </c>
      <c r="H430" s="3">
        <f t="shared" si="434"/>
        <v>3.7537732261831014E+26</v>
      </c>
      <c r="I430" s="109">
        <f>Comparison!AL29</f>
        <v>100000000000</v>
      </c>
      <c r="J430" s="3">
        <f>Comparison!AM29</f>
        <v>3510.558848270296</v>
      </c>
      <c r="K430" s="3">
        <f>Comparison!AN29</f>
        <v>3034.0126163953428</v>
      </c>
      <c r="L430" s="3">
        <f>Comparison!AO29</f>
        <v>2228.0957655931211</v>
      </c>
      <c r="M430" s="3">
        <f>Comparison!AP29</f>
        <v>704.46209389908893</v>
      </c>
      <c r="N430" s="3">
        <f>Comparison!AQ29</f>
        <v>124.90206072555479</v>
      </c>
      <c r="O430" s="3">
        <f>Comparison!AR29</f>
        <v>124.70417941781746</v>
      </c>
      <c r="P430" s="3">
        <f>Comparison!AS29</f>
        <v>124.77108605330615</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553612.91178458033</v>
      </c>
      <c r="C431" s="3">
        <f t="shared" si="434"/>
        <v>17548967.302632987</v>
      </c>
      <c r="D431" s="3">
        <f t="shared" si="434"/>
        <v>1391973104.7146802</v>
      </c>
      <c r="E431" s="3">
        <f t="shared" si="434"/>
        <v>1000000000000</v>
      </c>
      <c r="F431" s="3">
        <f t="shared" si="434"/>
        <v>1.73498278063804E+17</v>
      </c>
      <c r="G431" s="3">
        <f t="shared" si="434"/>
        <v>6.465520430679544E+25</v>
      </c>
      <c r="H431" s="3">
        <f t="shared" si="434"/>
        <v>3.7537732261831019E+27</v>
      </c>
      <c r="I431" s="109">
        <f>Comparison!AL30</f>
        <v>1000000000000</v>
      </c>
      <c r="J431" s="3">
        <f>Comparison!AM30</f>
        <v>3215.4703591878829</v>
      </c>
      <c r="K431" s="3">
        <f>Comparison!AN30</f>
        <v>2653.5608861364908</v>
      </c>
      <c r="L431" s="3">
        <f>Comparison!AO30</f>
        <v>1704.9584752004923</v>
      </c>
      <c r="M431" s="3">
        <f>Comparison!AP30</f>
        <v>403.25761176970258</v>
      </c>
      <c r="N431" s="3">
        <f>Comparison!AQ30</f>
        <v>124.64007063602084</v>
      </c>
      <c r="O431" s="3">
        <f>Comparison!AR30</f>
        <v>123.9260383626436</v>
      </c>
      <c r="P431" s="3">
        <f>Comparison!AS30</f>
        <v>123.93614365125383</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5536129.1178458026</v>
      </c>
      <c r="C432" s="3">
        <f t="shared" si="434"/>
        <v>175489673.02632987</v>
      </c>
      <c r="D432" s="3">
        <f t="shared" si="434"/>
        <v>13919731047.146801</v>
      </c>
      <c r="E432" s="3">
        <f t="shared" si="434"/>
        <v>10000000000000</v>
      </c>
      <c r="F432" s="3">
        <f t="shared" si="434"/>
        <v>1.7349827806380401E+18</v>
      </c>
      <c r="G432" s="3">
        <f t="shared" si="434"/>
        <v>6.4655204306795438E+26</v>
      </c>
      <c r="H432" s="3">
        <f t="shared" si="434"/>
        <v>3.7537732261831017E+28</v>
      </c>
      <c r="I432" s="109">
        <f>Comparison!AL31</f>
        <v>10000000000000</v>
      </c>
      <c r="J432" s="3">
        <f>Comparison!AM31</f>
        <v>2870.194204228324</v>
      </c>
      <c r="K432" s="3">
        <f>Comparison!AN31</f>
        <v>2203.3378680125074</v>
      </c>
      <c r="L432" s="3">
        <f>Comparison!AO31</f>
        <v>1135.4901421385146</v>
      </c>
      <c r="M432" s="3">
        <f>Comparison!AP31</f>
        <v>227.19076746573165</v>
      </c>
      <c r="N432" s="3">
        <f>Comparison!AQ31</f>
        <v>123.89500698166064</v>
      </c>
      <c r="O432" s="3">
        <f>Comparison!AR31</f>
        <v>123.91358498832378</v>
      </c>
      <c r="P432" s="3">
        <f>Comparison!AS31</f>
        <v>123.92285545904397</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55361291.178458028</v>
      </c>
      <c r="C433" s="3">
        <f t="shared" si="434"/>
        <v>1754896730.2632987</v>
      </c>
      <c r="D433" s="3">
        <f t="shared" si="434"/>
        <v>139197310471.46802</v>
      </c>
      <c r="E433" s="3">
        <f t="shared" si="434"/>
        <v>100000000000000</v>
      </c>
      <c r="F433" s="3">
        <f t="shared" si="434"/>
        <v>1.7349827806380401E+19</v>
      </c>
      <c r="G433" s="3">
        <f t="shared" si="434"/>
        <v>6.4655204306795435E+27</v>
      </c>
      <c r="H433" s="3">
        <f t="shared" si="434"/>
        <v>3.7537732261831018E+29</v>
      </c>
      <c r="I433" s="109">
        <f>Comparison!AL32</f>
        <v>100000000000000</v>
      </c>
      <c r="J433" s="3">
        <f>Comparison!AM32</f>
        <v>2458.5183678646754</v>
      </c>
      <c r="K433" s="3">
        <f>Comparison!AN32</f>
        <v>1683.4592204898881</v>
      </c>
      <c r="L433" s="3">
        <f>Comparison!AO32</f>
        <v>680.51042901870051</v>
      </c>
      <c r="M433" s="3">
        <f>Comparison!AP32</f>
        <v>157.01371189082064</v>
      </c>
      <c r="N433" s="3">
        <f>Comparison!AQ32</f>
        <v>123.88320178471095</v>
      </c>
      <c r="O433" s="3">
        <f>Comparison!AR32</f>
        <v>123.65466987195585</v>
      </c>
      <c r="P433" s="3">
        <f>Comparison!AS32</f>
        <v>123.48008539289999</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553612911.78458023</v>
      </c>
      <c r="C434" s="3">
        <f t="shared" si="434"/>
        <v>17548967302.632988</v>
      </c>
      <c r="D434" s="3">
        <f t="shared" si="434"/>
        <v>1391973104714.6802</v>
      </c>
      <c r="E434" s="3">
        <f t="shared" si="434"/>
        <v>1000000000000000</v>
      </c>
      <c r="F434" s="3">
        <f t="shared" si="434"/>
        <v>1.7349827806380399E+20</v>
      </c>
      <c r="G434" s="3">
        <f t="shared" si="434"/>
        <v>6.465520430679544E+28</v>
      </c>
      <c r="H434" s="3">
        <f t="shared" si="434"/>
        <v>3.7537732261831017E+30</v>
      </c>
      <c r="I434" s="109">
        <f>Comparison!AL33</f>
        <v>1000000000000000</v>
      </c>
      <c r="J434" s="3">
        <f>Comparison!AM33</f>
        <v>1982.6966326072995</v>
      </c>
      <c r="K434" s="3">
        <f>Comparison!AN33</f>
        <v>1118.1414735463829</v>
      </c>
      <c r="L434" s="3">
        <f>Comparison!AO33</f>
        <v>389.33964903055204</v>
      </c>
      <c r="M434" s="3">
        <f>Comparison!AP33</f>
        <v>136.97082983111966</v>
      </c>
      <c r="N434" s="3">
        <f>Comparison!AQ33</f>
        <v>123.47472292148701</v>
      </c>
      <c r="O434" s="3">
        <f>Comparison!AR33</f>
        <v>123.64094316844046</v>
      </c>
      <c r="P434" s="3">
        <f>Comparison!AS33</f>
        <v>123.46865182434244</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-14.406800109604639</v>
      </c>
      <c r="M1" s="54">
        <v>1</v>
      </c>
      <c r="N1" s="56">
        <f>INDEX($H$217:$P$217,1,Q1)</f>
        <v>0.52427832349594095</v>
      </c>
      <c r="O1" s="11"/>
      <c r="P1" s="55">
        <v>1</v>
      </c>
      <c r="Q1" s="11">
        <v>2</v>
      </c>
    </row>
    <row r="2" spans="1:17" x14ac:dyDescent="0.25">
      <c r="A2" s="11">
        <f>'Mastercurve bestimmen'!M119</f>
        <v>0</v>
      </c>
      <c r="B2" s="11">
        <f>'Mastercurve bestimmen'!N119</f>
        <v>-10.950515452938541</v>
      </c>
      <c r="M2" s="54">
        <v>2</v>
      </c>
      <c r="N2" s="56">
        <f t="shared" ref="N2:N9" si="0">INDEX($H$217:$P$217,1,Q2)</f>
        <v>-3.5315284282063972E-2</v>
      </c>
      <c r="O2" s="11"/>
      <c r="P2" s="55">
        <v>2</v>
      </c>
      <c r="Q2" s="11">
        <f>Q1+1</f>
        <v>3</v>
      </c>
    </row>
    <row r="3" spans="1:17" x14ac:dyDescent="0.25">
      <c r="A3" s="11">
        <f>'Mastercurve bestimmen'!M120</f>
        <v>25</v>
      </c>
      <c r="B3" s="11">
        <f>'Mastercurve bestimmen'!N120</f>
        <v>-6.5770330385822291</v>
      </c>
      <c r="M3" s="54">
        <v>3</v>
      </c>
      <c r="N3" s="56">
        <f t="shared" si="0"/>
        <v>-1.5218672356373552E-4</v>
      </c>
      <c r="O3" s="11"/>
      <c r="P3" s="55">
        <v>3</v>
      </c>
      <c r="Q3" s="11">
        <f t="shared" ref="Q3:Q8" si="1">Q2+1</f>
        <v>4</v>
      </c>
    </row>
    <row r="4" spans="1:17" x14ac:dyDescent="0.25">
      <c r="A4" s="11">
        <f>'Mastercurve bestimmen'!M121</f>
        <v>50</v>
      </c>
      <c r="B4" s="11">
        <f>'Mastercurve bestimmen'!N121</f>
        <v>0</v>
      </c>
      <c r="M4" s="54">
        <v>4</v>
      </c>
      <c r="N4" s="56">
        <f t="shared" si="0"/>
        <v>1.2965286752905169E-5</v>
      </c>
      <c r="O4" s="11"/>
      <c r="P4" s="55">
        <v>4</v>
      </c>
      <c r="Q4" s="11">
        <f t="shared" si="1"/>
        <v>5</v>
      </c>
    </row>
    <row r="5" spans="1:17" x14ac:dyDescent="0.25">
      <c r="A5" s="11">
        <f>'Mastercurve bestimmen'!M122</f>
        <v>80</v>
      </c>
      <c r="B5" s="11">
        <f>'Mastercurve bestimmen'!N122</f>
        <v>12.063922953615501</v>
      </c>
      <c r="M5" s="54">
        <v>5</v>
      </c>
      <c r="N5" s="56">
        <f t="shared" si="0"/>
        <v>3.2635184253375725E-8</v>
      </c>
      <c r="O5" s="11"/>
      <c r="P5" s="55">
        <v>5</v>
      </c>
      <c r="Q5" s="11">
        <f t="shared" si="1"/>
        <v>6</v>
      </c>
    </row>
    <row r="6" spans="1:17" x14ac:dyDescent="0.25">
      <c r="A6" s="11">
        <f>'Mastercurve bestimmen'!M123</f>
        <v>125</v>
      </c>
      <c r="B6" s="11">
        <f>'Mastercurve bestimmen'!N123</f>
        <v>31.8000897176249</v>
      </c>
      <c r="M6" s="54">
        <v>6</v>
      </c>
      <c r="N6" s="56">
        <f t="shared" si="0"/>
        <v>-1.7212797645557277E-9</v>
      </c>
      <c r="O6" s="11"/>
      <c r="P6" s="55">
        <v>6</v>
      </c>
      <c r="Q6" s="11">
        <f t="shared" si="1"/>
        <v>7</v>
      </c>
    </row>
    <row r="7" spans="1:17" x14ac:dyDescent="0.25">
      <c r="A7" s="11">
        <f>'Mastercurve bestimmen'!M124</f>
        <v>160</v>
      </c>
      <c r="B7" s="11">
        <f>'Mastercurve bestimmen'!N124</f>
        <v>35.861537922668312</v>
      </c>
      <c r="M7" s="54">
        <v>7</v>
      </c>
      <c r="N7" s="56">
        <f t="shared" si="0"/>
        <v>-2.1573002487892906E-12</v>
      </c>
      <c r="O7" s="11"/>
      <c r="P7" s="55">
        <v>7</v>
      </c>
      <c r="Q7" s="11">
        <f t="shared" si="1"/>
        <v>8</v>
      </c>
    </row>
    <row r="8" spans="1:17" x14ac:dyDescent="0.25">
      <c r="A8" s="11"/>
      <c r="B8" s="11"/>
      <c r="M8" s="54">
        <v>8</v>
      </c>
      <c r="N8" s="56">
        <f t="shared" si="0"/>
        <v>7.6314676318104761E-14</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-45.801625734711926</v>
      </c>
      <c r="E15" s="11">
        <f>A15-'Mastercurve bestimmen'!$B$2</f>
        <v>-90</v>
      </c>
      <c r="F15" s="11">
        <f>B15</f>
        <v>-45.801625734711926</v>
      </c>
      <c r="G15" s="11"/>
      <c r="H15" s="11">
        <f>IF($H$12&gt;=H$14,$E15^H$14,0)</f>
        <v>4304672100000000</v>
      </c>
      <c r="I15" s="11">
        <f t="shared" ref="I15:O30" si="3">IF($H$12&gt;=I$14,$E15^I$14,0)</f>
        <v>-47829690000000</v>
      </c>
      <c r="J15" s="11">
        <f t="shared" si="3"/>
        <v>531441000000</v>
      </c>
      <c r="K15" s="11">
        <f t="shared" si="3"/>
        <v>-5904900000</v>
      </c>
      <c r="L15" s="11">
        <f t="shared" si="3"/>
        <v>65610000</v>
      </c>
      <c r="M15" s="11">
        <f t="shared" si="3"/>
        <v>-729000</v>
      </c>
      <c r="N15" s="11">
        <f t="shared" si="3"/>
        <v>8100</v>
      </c>
      <c r="O15" s="11">
        <f t="shared" si="3"/>
        <v>-90</v>
      </c>
      <c r="P15" s="11">
        <v>0</v>
      </c>
    </row>
    <row r="16" spans="1:17" x14ac:dyDescent="0.25">
      <c r="A16" s="11">
        <f>A15+1</f>
        <v>-39</v>
      </c>
      <c r="B16" s="11">
        <v>-45.738092888466561</v>
      </c>
      <c r="E16" s="11">
        <f>A16-'Mastercurve bestimmen'!$B$2</f>
        <v>-89</v>
      </c>
      <c r="F16" s="11">
        <f t="shared" ref="F16:F79" si="4">B16</f>
        <v>-45.738092888466561</v>
      </c>
      <c r="G16" s="11"/>
      <c r="H16" s="11">
        <f t="shared" ref="H16:O47" si="5">IF($H$12&gt;=H$14,$E16^H$14,0)</f>
        <v>3936588805702081</v>
      </c>
      <c r="I16" s="11">
        <f t="shared" si="3"/>
        <v>-44231334895529</v>
      </c>
      <c r="J16" s="11">
        <f t="shared" si="3"/>
        <v>496981290961</v>
      </c>
      <c r="K16" s="11">
        <f t="shared" si="3"/>
        <v>-5584059449</v>
      </c>
      <c r="L16" s="11">
        <f t="shared" si="3"/>
        <v>62742241</v>
      </c>
      <c r="M16" s="11">
        <f t="shared" si="3"/>
        <v>-704969</v>
      </c>
      <c r="N16" s="11">
        <f t="shared" si="3"/>
        <v>7921</v>
      </c>
      <c r="O16" s="11">
        <f t="shared" si="3"/>
        <v>-89</v>
      </c>
      <c r="P16" s="11">
        <f>P15</f>
        <v>0</v>
      </c>
    </row>
    <row r="17" spans="1:16" x14ac:dyDescent="0.25">
      <c r="A17" s="11">
        <f t="shared" ref="A17:A80" si="6">A16+1</f>
        <v>-38</v>
      </c>
      <c r="B17" s="11">
        <v>-45.67441338219669</v>
      </c>
      <c r="E17" s="11">
        <f>A17-'Mastercurve bestimmen'!$B$2</f>
        <v>-88</v>
      </c>
      <c r="F17" s="11">
        <f t="shared" si="4"/>
        <v>-45.67441338219669</v>
      </c>
      <c r="G17" s="11"/>
      <c r="H17" s="11">
        <f t="shared" si="5"/>
        <v>3596345248055296</v>
      </c>
      <c r="I17" s="11">
        <f t="shared" si="3"/>
        <v>-40867559636992</v>
      </c>
      <c r="J17" s="11">
        <f t="shared" si="3"/>
        <v>464404086784</v>
      </c>
      <c r="K17" s="11">
        <f t="shared" si="3"/>
        <v>-5277319168</v>
      </c>
      <c r="L17" s="11">
        <f t="shared" si="3"/>
        <v>59969536</v>
      </c>
      <c r="M17" s="11">
        <f t="shared" si="3"/>
        <v>-681472</v>
      </c>
      <c r="N17" s="11">
        <f t="shared" si="3"/>
        <v>7744</v>
      </c>
      <c r="O17" s="11">
        <f t="shared" si="3"/>
        <v>-88</v>
      </c>
      <c r="P17" s="11">
        <f t="shared" ref="P17:P80" si="7">P16</f>
        <v>0</v>
      </c>
    </row>
    <row r="18" spans="1:16" x14ac:dyDescent="0.25">
      <c r="A18" s="11">
        <f t="shared" si="6"/>
        <v>-37</v>
      </c>
      <c r="B18" s="11">
        <v>-45.610440555877801</v>
      </c>
      <c r="E18" s="11">
        <f>A18-'Mastercurve bestimmen'!$B$2</f>
        <v>-87</v>
      </c>
      <c r="F18" s="11">
        <f t="shared" si="4"/>
        <v>-45.610440555877801</v>
      </c>
      <c r="G18" s="11"/>
      <c r="H18" s="11">
        <f t="shared" si="5"/>
        <v>3282116715437121</v>
      </c>
      <c r="I18" s="11">
        <f t="shared" si="3"/>
        <v>-37725479487783</v>
      </c>
      <c r="J18" s="11">
        <f t="shared" si="3"/>
        <v>433626201009</v>
      </c>
      <c r="K18" s="11">
        <f t="shared" si="3"/>
        <v>-4984209207</v>
      </c>
      <c r="L18" s="11">
        <f t="shared" si="3"/>
        <v>57289761</v>
      </c>
      <c r="M18" s="11">
        <f t="shared" si="3"/>
        <v>-658503</v>
      </c>
      <c r="N18" s="11">
        <f t="shared" si="3"/>
        <v>7569</v>
      </c>
      <c r="O18" s="11">
        <f t="shared" si="3"/>
        <v>-87</v>
      </c>
      <c r="P18" s="11">
        <f t="shared" si="7"/>
        <v>0</v>
      </c>
    </row>
    <row r="19" spans="1:16" x14ac:dyDescent="0.25">
      <c r="A19" s="11">
        <f t="shared" si="6"/>
        <v>-36</v>
      </c>
      <c r="B19" s="11">
        <v>-45.54602774948539</v>
      </c>
      <c r="E19" s="11">
        <f>A19-'Mastercurve bestimmen'!$B$2</f>
        <v>-86</v>
      </c>
      <c r="F19" s="11">
        <f t="shared" si="4"/>
        <v>-45.54602774948539</v>
      </c>
      <c r="G19" s="11"/>
      <c r="H19" s="11">
        <f t="shared" si="5"/>
        <v>2992179271065856</v>
      </c>
      <c r="I19" s="11">
        <f t="shared" si="3"/>
        <v>-34792782221696</v>
      </c>
      <c r="J19" s="11">
        <f t="shared" si="3"/>
        <v>404567235136</v>
      </c>
      <c r="K19" s="11">
        <f t="shared" si="3"/>
        <v>-4704270176</v>
      </c>
      <c r="L19" s="11">
        <f t="shared" si="3"/>
        <v>54700816</v>
      </c>
      <c r="M19" s="11">
        <f t="shared" si="3"/>
        <v>-636056</v>
      </c>
      <c r="N19" s="11">
        <f t="shared" si="3"/>
        <v>7396</v>
      </c>
      <c r="O19" s="11">
        <f t="shared" si="3"/>
        <v>-86</v>
      </c>
      <c r="P19" s="11">
        <f t="shared" si="7"/>
        <v>0</v>
      </c>
    </row>
    <row r="20" spans="1:16" x14ac:dyDescent="0.25">
      <c r="A20" s="11">
        <f t="shared" si="6"/>
        <v>-35</v>
      </c>
      <c r="B20" s="11">
        <v>-45.481028302994957</v>
      </c>
      <c r="E20" s="11">
        <f>A20-'Mastercurve bestimmen'!$B$2</f>
        <v>-85</v>
      </c>
      <c r="F20" s="11">
        <f t="shared" si="4"/>
        <v>-45.481028302994957</v>
      </c>
      <c r="G20" s="11"/>
      <c r="H20" s="11">
        <f t="shared" si="5"/>
        <v>2724905250390625</v>
      </c>
      <c r="I20" s="11">
        <f t="shared" si="3"/>
        <v>-32057708828125</v>
      </c>
      <c r="J20" s="11">
        <f t="shared" si="3"/>
        <v>377149515625</v>
      </c>
      <c r="K20" s="11">
        <f t="shared" si="3"/>
        <v>-4437053125</v>
      </c>
      <c r="L20" s="11">
        <f t="shared" si="3"/>
        <v>52200625</v>
      </c>
      <c r="M20" s="11">
        <f t="shared" si="3"/>
        <v>-614125</v>
      </c>
      <c r="N20" s="11">
        <f t="shared" si="3"/>
        <v>7225</v>
      </c>
      <c r="O20" s="11">
        <f t="shared" si="3"/>
        <v>-85</v>
      </c>
      <c r="P20" s="11">
        <f t="shared" si="7"/>
        <v>0</v>
      </c>
    </row>
    <row r="21" spans="1:16" x14ac:dyDescent="0.25">
      <c r="A21" s="11">
        <f t="shared" si="6"/>
        <v>-34</v>
      </c>
      <c r="B21" s="11">
        <v>-45.415295556381992</v>
      </c>
      <c r="E21" s="11">
        <f>A21-'Mastercurve bestimmen'!$B$2</f>
        <v>-84</v>
      </c>
      <c r="F21" s="11">
        <f t="shared" si="4"/>
        <v>-45.415295556381992</v>
      </c>
      <c r="G21" s="11"/>
      <c r="H21" s="11">
        <f t="shared" si="5"/>
        <v>2478758911082496</v>
      </c>
      <c r="I21" s="11">
        <f t="shared" si="3"/>
        <v>-29509034655744</v>
      </c>
      <c r="J21" s="11">
        <f t="shared" si="3"/>
        <v>351298031616</v>
      </c>
      <c r="K21" s="11">
        <f t="shared" si="3"/>
        <v>-4182119424</v>
      </c>
      <c r="L21" s="11">
        <f t="shared" si="3"/>
        <v>49787136</v>
      </c>
      <c r="M21" s="11">
        <f t="shared" si="3"/>
        <v>-592704</v>
      </c>
      <c r="N21" s="11">
        <f t="shared" si="3"/>
        <v>7056</v>
      </c>
      <c r="O21" s="11">
        <f t="shared" si="3"/>
        <v>-84</v>
      </c>
      <c r="P21" s="11">
        <f t="shared" si="7"/>
        <v>0</v>
      </c>
    </row>
    <row r="22" spans="1:16" x14ac:dyDescent="0.25">
      <c r="A22" s="11">
        <f t="shared" si="6"/>
        <v>-33</v>
      </c>
      <c r="B22">
        <v>-45.34868284962198</v>
      </c>
      <c r="E22" s="11">
        <f>A22-'Mastercurve bestimmen'!$B$2</f>
        <v>-83</v>
      </c>
      <c r="F22" s="11">
        <f t="shared" si="4"/>
        <v>-45.34868284962198</v>
      </c>
      <c r="G22" s="11"/>
      <c r="H22" s="11">
        <f t="shared" si="5"/>
        <v>2252292232139041</v>
      </c>
      <c r="I22" s="11">
        <f t="shared" si="3"/>
        <v>-27136050989627</v>
      </c>
      <c r="J22" s="11">
        <f t="shared" si="3"/>
        <v>326940373369</v>
      </c>
      <c r="K22" s="11">
        <f t="shared" si="3"/>
        <v>-3939040643</v>
      </c>
      <c r="L22" s="11">
        <f t="shared" si="3"/>
        <v>47458321</v>
      </c>
      <c r="M22" s="11">
        <f t="shared" si="3"/>
        <v>-571787</v>
      </c>
      <c r="N22" s="11">
        <f t="shared" si="3"/>
        <v>6889</v>
      </c>
      <c r="O22" s="11">
        <f t="shared" si="3"/>
        <v>-83</v>
      </c>
      <c r="P22" s="11">
        <f t="shared" si="7"/>
        <v>0</v>
      </c>
    </row>
    <row r="23" spans="1:16" x14ac:dyDescent="0.25">
      <c r="A23" s="11">
        <f t="shared" si="6"/>
        <v>-32</v>
      </c>
      <c r="B23">
        <v>-45.281043522690418</v>
      </c>
      <c r="E23" s="11">
        <f>A23-'Mastercurve bestimmen'!$B$2</f>
        <v>-82</v>
      </c>
      <c r="F23" s="11">
        <f t="shared" si="4"/>
        <v>-45.281043522690418</v>
      </c>
      <c r="G23" s="11"/>
      <c r="H23" s="11">
        <f t="shared" si="5"/>
        <v>2044140858654976</v>
      </c>
      <c r="I23" s="11">
        <f t="shared" si="3"/>
        <v>-24928547056768</v>
      </c>
      <c r="J23" s="11">
        <f t="shared" si="3"/>
        <v>304006671424</v>
      </c>
      <c r="K23" s="11">
        <f t="shared" si="3"/>
        <v>-3707398432</v>
      </c>
      <c r="L23" s="11">
        <f t="shared" si="3"/>
        <v>45212176</v>
      </c>
      <c r="M23" s="11">
        <f t="shared" si="3"/>
        <v>-551368</v>
      </c>
      <c r="N23" s="11">
        <f t="shared" si="3"/>
        <v>6724</v>
      </c>
      <c r="O23" s="11">
        <f t="shared" si="3"/>
        <v>-82</v>
      </c>
      <c r="P23" s="11">
        <f t="shared" si="7"/>
        <v>0</v>
      </c>
    </row>
    <row r="24" spans="1:16" x14ac:dyDescent="0.25">
      <c r="A24" s="11">
        <f t="shared" si="6"/>
        <v>-31</v>
      </c>
      <c r="B24">
        <v>-45.212230915562813</v>
      </c>
      <c r="E24" s="11">
        <f>A24-'Mastercurve bestimmen'!$B$2</f>
        <v>-81</v>
      </c>
      <c r="F24" s="11">
        <f t="shared" si="4"/>
        <v>-45.212230915562813</v>
      </c>
      <c r="G24" s="11"/>
      <c r="H24" s="11">
        <f t="shared" si="5"/>
        <v>1853020188851841</v>
      </c>
      <c r="I24" s="11">
        <f t="shared" si="3"/>
        <v>-22876792454961</v>
      </c>
      <c r="J24" s="11">
        <f t="shared" si="3"/>
        <v>282429536481</v>
      </c>
      <c r="K24" s="11">
        <f t="shared" si="3"/>
        <v>-3486784401</v>
      </c>
      <c r="L24" s="11">
        <f t="shared" si="3"/>
        <v>43046721</v>
      </c>
      <c r="M24" s="11">
        <f t="shared" si="3"/>
        <v>-531441</v>
      </c>
      <c r="N24" s="11">
        <f t="shared" si="3"/>
        <v>6561</v>
      </c>
      <c r="O24" s="11">
        <f t="shared" si="3"/>
        <v>-81</v>
      </c>
      <c r="P24" s="11">
        <f t="shared" si="7"/>
        <v>0</v>
      </c>
    </row>
    <row r="25" spans="1:16" x14ac:dyDescent="0.25">
      <c r="A25" s="11">
        <f t="shared" si="6"/>
        <v>-30</v>
      </c>
      <c r="B25">
        <v>-45.14209836821464</v>
      </c>
      <c r="E25" s="11">
        <f>A25-'Mastercurve bestimmen'!$B$2</f>
        <v>-80</v>
      </c>
      <c r="F25" s="11">
        <f t="shared" si="4"/>
        <v>-45.14209836821464</v>
      </c>
      <c r="G25" s="11"/>
      <c r="H25" s="11">
        <f t="shared" si="5"/>
        <v>1677721600000000</v>
      </c>
      <c r="I25" s="11">
        <f t="shared" si="3"/>
        <v>-20971520000000</v>
      </c>
      <c r="J25" s="11">
        <f t="shared" si="3"/>
        <v>262144000000</v>
      </c>
      <c r="K25" s="11">
        <f t="shared" si="3"/>
        <v>-3276800000</v>
      </c>
      <c r="L25" s="11">
        <f t="shared" si="3"/>
        <v>40960000</v>
      </c>
      <c r="M25" s="11">
        <f t="shared" si="3"/>
        <v>-512000</v>
      </c>
      <c r="N25" s="11">
        <f t="shared" si="3"/>
        <v>6400</v>
      </c>
      <c r="O25" s="11">
        <f t="shared" si="3"/>
        <v>-80</v>
      </c>
      <c r="P25" s="11">
        <f t="shared" si="7"/>
        <v>0</v>
      </c>
    </row>
    <row r="26" spans="1:16" x14ac:dyDescent="0.25">
      <c r="A26" s="11">
        <f t="shared" si="6"/>
        <v>-29</v>
      </c>
      <c r="B26">
        <v>-45.0704992206214</v>
      </c>
      <c r="E26" s="11">
        <f>A26-'Mastercurve bestimmen'!$B$2</f>
        <v>-79</v>
      </c>
      <c r="F26" s="11">
        <f t="shared" si="4"/>
        <v>-45.0704992206214</v>
      </c>
      <c r="G26" s="11"/>
      <c r="H26" s="11">
        <f t="shared" si="5"/>
        <v>1517108809906561</v>
      </c>
      <c r="I26" s="11">
        <f t="shared" si="3"/>
        <v>-19203908986159</v>
      </c>
      <c r="J26" s="11">
        <f t="shared" si="3"/>
        <v>243087455521</v>
      </c>
      <c r="K26" s="11">
        <f t="shared" si="3"/>
        <v>-3077056399</v>
      </c>
      <c r="L26" s="11">
        <f t="shared" si="3"/>
        <v>38950081</v>
      </c>
      <c r="M26" s="11">
        <f t="shared" si="3"/>
        <v>-493039</v>
      </c>
      <c r="N26" s="11">
        <f t="shared" si="3"/>
        <v>6241</v>
      </c>
      <c r="O26" s="11">
        <f t="shared" si="3"/>
        <v>-79</v>
      </c>
      <c r="P26" s="11">
        <f t="shared" si="7"/>
        <v>0</v>
      </c>
    </row>
    <row r="27" spans="1:16" x14ac:dyDescent="0.25">
      <c r="A27" s="11">
        <f t="shared" si="6"/>
        <v>-28</v>
      </c>
      <c r="B27">
        <v>-44.997286812758588</v>
      </c>
      <c r="E27" s="11">
        <f>A27-'Mastercurve bestimmen'!$B$2</f>
        <v>-78</v>
      </c>
      <c r="F27" s="11">
        <f t="shared" si="4"/>
        <v>-44.997286812758588</v>
      </c>
      <c r="G27" s="11"/>
      <c r="H27" s="11">
        <f t="shared" si="5"/>
        <v>1370114370683136</v>
      </c>
      <c r="I27" s="11">
        <f t="shared" si="3"/>
        <v>-17565568854912</v>
      </c>
      <c r="J27" s="11">
        <f t="shared" si="3"/>
        <v>225199600704</v>
      </c>
      <c r="K27" s="11">
        <f t="shared" si="3"/>
        <v>-2887174368</v>
      </c>
      <c r="L27" s="11">
        <f t="shared" si="3"/>
        <v>37015056</v>
      </c>
      <c r="M27" s="11">
        <f t="shared" si="3"/>
        <v>-474552</v>
      </c>
      <c r="N27" s="11">
        <f t="shared" si="3"/>
        <v>6084</v>
      </c>
      <c r="O27" s="11">
        <f t="shared" si="3"/>
        <v>-78</v>
      </c>
      <c r="P27" s="11">
        <f t="shared" si="7"/>
        <v>0</v>
      </c>
    </row>
    <row r="28" spans="1:16" x14ac:dyDescent="0.25">
      <c r="A28" s="11">
        <f t="shared" si="6"/>
        <v>-27</v>
      </c>
      <c r="B28">
        <v>-44.922314484601692</v>
      </c>
      <c r="E28" s="11">
        <f>A28-'Mastercurve bestimmen'!$B$2</f>
        <v>-77</v>
      </c>
      <c r="F28" s="11">
        <f t="shared" si="4"/>
        <v>-44.922314484601692</v>
      </c>
      <c r="G28" s="11"/>
      <c r="H28" s="11">
        <f t="shared" si="5"/>
        <v>1235736291547681</v>
      </c>
      <c r="I28" s="11">
        <f t="shared" si="3"/>
        <v>-16048523266853</v>
      </c>
      <c r="J28" s="11">
        <f t="shared" si="3"/>
        <v>208422380089</v>
      </c>
      <c r="K28" s="11">
        <f t="shared" si="3"/>
        <v>-2706784157</v>
      </c>
      <c r="L28" s="11">
        <f t="shared" si="3"/>
        <v>35153041</v>
      </c>
      <c r="M28" s="11">
        <f t="shared" si="3"/>
        <v>-456533</v>
      </c>
      <c r="N28" s="11">
        <f t="shared" si="3"/>
        <v>5929</v>
      </c>
      <c r="O28" s="11">
        <f t="shared" si="3"/>
        <v>-77</v>
      </c>
      <c r="P28" s="11">
        <f t="shared" si="7"/>
        <v>0</v>
      </c>
    </row>
    <row r="29" spans="1:16" x14ac:dyDescent="0.25">
      <c r="A29" s="11">
        <f t="shared" si="6"/>
        <v>-26</v>
      </c>
      <c r="B29">
        <v>-44.845435576126206</v>
      </c>
      <c r="E29" s="11">
        <f>A29-'Mastercurve bestimmen'!$B$2</f>
        <v>-76</v>
      </c>
      <c r="F29" s="11">
        <f t="shared" si="4"/>
        <v>-44.845435576126206</v>
      </c>
      <c r="G29" s="11"/>
      <c r="H29" s="11">
        <f t="shared" si="5"/>
        <v>1113034787454976</v>
      </c>
      <c r="I29" s="11">
        <f t="shared" si="3"/>
        <v>-14645194571776</v>
      </c>
      <c r="J29" s="11">
        <f t="shared" si="3"/>
        <v>192699928576</v>
      </c>
      <c r="K29" s="11">
        <f t="shared" si="3"/>
        <v>-2535525376</v>
      </c>
      <c r="L29" s="11">
        <f t="shared" si="3"/>
        <v>33362176</v>
      </c>
      <c r="M29" s="11">
        <f t="shared" si="3"/>
        <v>-438976</v>
      </c>
      <c r="N29" s="11">
        <f t="shared" si="3"/>
        <v>5776</v>
      </c>
      <c r="O29" s="11">
        <f t="shared" si="3"/>
        <v>-76</v>
      </c>
      <c r="P29" s="11">
        <f t="shared" si="7"/>
        <v>0</v>
      </c>
    </row>
    <row r="30" spans="1:16" x14ac:dyDescent="0.25">
      <c r="A30" s="11">
        <f t="shared" si="6"/>
        <v>-25</v>
      </c>
      <c r="B30">
        <v>-44.766503427307626</v>
      </c>
      <c r="E30" s="11">
        <f>A30-'Mastercurve bestimmen'!$B$2</f>
        <v>-75</v>
      </c>
      <c r="F30" s="11">
        <f t="shared" si="4"/>
        <v>-44.766503427307626</v>
      </c>
      <c r="G30" s="11"/>
      <c r="H30" s="11">
        <f t="shared" si="5"/>
        <v>1001129150390625</v>
      </c>
      <c r="I30" s="11">
        <f t="shared" si="3"/>
        <v>-13348388671875</v>
      </c>
      <c r="J30" s="11">
        <f t="shared" si="3"/>
        <v>177978515625</v>
      </c>
      <c r="K30" s="11">
        <f t="shared" si="3"/>
        <v>-2373046875</v>
      </c>
      <c r="L30" s="11">
        <f t="shared" si="3"/>
        <v>31640625</v>
      </c>
      <c r="M30" s="11">
        <f t="shared" si="3"/>
        <v>-421875</v>
      </c>
      <c r="N30" s="11">
        <f t="shared" si="3"/>
        <v>5625</v>
      </c>
      <c r="O30" s="11">
        <f t="shared" si="3"/>
        <v>-75</v>
      </c>
      <c r="P30" s="11">
        <f t="shared" si="7"/>
        <v>0</v>
      </c>
    </row>
    <row r="31" spans="1:16" x14ac:dyDescent="0.25">
      <c r="A31" s="11">
        <f t="shared" si="6"/>
        <v>-24</v>
      </c>
      <c r="B31">
        <v>-44.685371378121459</v>
      </c>
      <c r="E31" s="11">
        <f>A31-'Mastercurve bestimmen'!$B$2</f>
        <v>-74</v>
      </c>
      <c r="F31" s="11">
        <f t="shared" si="4"/>
        <v>-44.685371378121459</v>
      </c>
      <c r="G31" s="11"/>
      <c r="H31" s="11">
        <f t="shared" si="5"/>
        <v>899194740203776</v>
      </c>
      <c r="I31" s="11">
        <f t="shared" si="5"/>
        <v>-12151280273024</v>
      </c>
      <c r="J31" s="11">
        <f t="shared" si="5"/>
        <v>164206490176</v>
      </c>
      <c r="K31" s="11">
        <f t="shared" si="5"/>
        <v>-2219006624</v>
      </c>
      <c r="L31" s="11">
        <f t="shared" si="5"/>
        <v>29986576</v>
      </c>
      <c r="M31" s="11">
        <f t="shared" si="5"/>
        <v>-405224</v>
      </c>
      <c r="N31" s="11">
        <f t="shared" si="5"/>
        <v>5476</v>
      </c>
      <c r="O31" s="11">
        <f t="shared" si="5"/>
        <v>-74</v>
      </c>
      <c r="P31" s="11">
        <f t="shared" si="7"/>
        <v>0</v>
      </c>
    </row>
    <row r="32" spans="1:16" x14ac:dyDescent="0.25">
      <c r="A32" s="11">
        <f t="shared" si="6"/>
        <v>-23</v>
      </c>
      <c r="B32">
        <v>-44.601892768543166</v>
      </c>
      <c r="E32" s="11">
        <f>A32-'Mastercurve bestimmen'!$B$2</f>
        <v>-73</v>
      </c>
      <c r="F32" s="11">
        <f t="shared" si="4"/>
        <v>-44.601892768543166</v>
      </c>
      <c r="G32" s="11"/>
      <c r="H32" s="11">
        <f t="shared" si="5"/>
        <v>806460091894081</v>
      </c>
      <c r="I32" s="11">
        <f t="shared" si="5"/>
        <v>-11047398519097</v>
      </c>
      <c r="J32" s="11">
        <f t="shared" si="5"/>
        <v>151334226289</v>
      </c>
      <c r="K32" s="11">
        <f t="shared" si="5"/>
        <v>-2073071593</v>
      </c>
      <c r="L32" s="11">
        <f t="shared" si="5"/>
        <v>28398241</v>
      </c>
      <c r="M32" s="11">
        <f t="shared" si="5"/>
        <v>-389017</v>
      </c>
      <c r="N32" s="11">
        <f t="shared" si="5"/>
        <v>5329</v>
      </c>
      <c r="O32" s="11">
        <f t="shared" si="5"/>
        <v>-73</v>
      </c>
      <c r="P32" s="11">
        <f t="shared" si="7"/>
        <v>0</v>
      </c>
    </row>
    <row r="33" spans="1:16" x14ac:dyDescent="0.25">
      <c r="A33" s="11">
        <f t="shared" si="6"/>
        <v>-22</v>
      </c>
      <c r="B33">
        <v>-44.515920938548263</v>
      </c>
      <c r="E33" s="11">
        <f>A33-'Mastercurve bestimmen'!$B$2</f>
        <v>-72</v>
      </c>
      <c r="F33" s="11">
        <f t="shared" si="4"/>
        <v>-44.515920938548263</v>
      </c>
      <c r="G33" s="11"/>
      <c r="H33" s="11">
        <f t="shared" si="5"/>
        <v>722204136308736</v>
      </c>
      <c r="I33" s="11">
        <f t="shared" si="5"/>
        <v>-10030613004288</v>
      </c>
      <c r="J33" s="11">
        <f t="shared" si="5"/>
        <v>139314069504</v>
      </c>
      <c r="K33" s="11">
        <f t="shared" si="5"/>
        <v>-1934917632</v>
      </c>
      <c r="L33" s="11">
        <f t="shared" si="5"/>
        <v>26873856</v>
      </c>
      <c r="M33" s="11">
        <f t="shared" si="5"/>
        <v>-373248</v>
      </c>
      <c r="N33" s="11">
        <f t="shared" si="5"/>
        <v>5184</v>
      </c>
      <c r="O33" s="11">
        <f t="shared" si="5"/>
        <v>-72</v>
      </c>
      <c r="P33" s="11">
        <f t="shared" si="7"/>
        <v>0</v>
      </c>
    </row>
    <row r="34" spans="1:16" x14ac:dyDescent="0.25">
      <c r="A34" s="11">
        <f t="shared" si="6"/>
        <v>-21</v>
      </c>
      <c r="B34">
        <v>-44.427309228112236</v>
      </c>
      <c r="E34" s="11">
        <f>A34-'Mastercurve bestimmen'!$B$2</f>
        <v>-71</v>
      </c>
      <c r="F34" s="11">
        <f t="shared" si="4"/>
        <v>-44.427309228112236</v>
      </c>
      <c r="G34" s="11"/>
      <c r="H34" s="11">
        <f t="shared" si="5"/>
        <v>645753531245761</v>
      </c>
      <c r="I34" s="11">
        <f t="shared" si="5"/>
        <v>-9095120158391</v>
      </c>
      <c r="J34" s="11">
        <f t="shared" si="5"/>
        <v>128100283921</v>
      </c>
      <c r="K34" s="11">
        <f t="shared" si="5"/>
        <v>-1804229351</v>
      </c>
      <c r="L34" s="11">
        <f t="shared" si="5"/>
        <v>25411681</v>
      </c>
      <c r="M34" s="11">
        <f t="shared" si="5"/>
        <v>-357911</v>
      </c>
      <c r="N34" s="11">
        <f t="shared" si="5"/>
        <v>5041</v>
      </c>
      <c r="O34" s="11">
        <f t="shared" si="5"/>
        <v>-71</v>
      </c>
      <c r="P34" s="11">
        <f t="shared" si="7"/>
        <v>0</v>
      </c>
    </row>
    <row r="35" spans="1:16" x14ac:dyDescent="0.25">
      <c r="A35" s="11">
        <f t="shared" si="6"/>
        <v>-20</v>
      </c>
      <c r="B35">
        <v>-44.335910977210588</v>
      </c>
      <c r="E35" s="11">
        <f>A35-'Mastercurve bestimmen'!$B$2</f>
        <v>-70</v>
      </c>
      <c r="F35" s="11">
        <f t="shared" si="4"/>
        <v>-44.335910977210588</v>
      </c>
      <c r="G35" s="11"/>
      <c r="H35" s="11">
        <f t="shared" si="5"/>
        <v>576480100000000</v>
      </c>
      <c r="I35" s="11">
        <f t="shared" si="5"/>
        <v>-8235430000000</v>
      </c>
      <c r="J35" s="11">
        <f t="shared" si="5"/>
        <v>117649000000</v>
      </c>
      <c r="K35" s="11">
        <f t="shared" si="5"/>
        <v>-1680700000</v>
      </c>
      <c r="L35" s="11">
        <f t="shared" si="5"/>
        <v>24010000</v>
      </c>
      <c r="M35" s="11">
        <f t="shared" si="5"/>
        <v>-343000</v>
      </c>
      <c r="N35" s="11">
        <f t="shared" si="5"/>
        <v>4900</v>
      </c>
      <c r="O35" s="11">
        <f t="shared" si="5"/>
        <v>-70</v>
      </c>
      <c r="P35" s="11">
        <f t="shared" si="7"/>
        <v>0</v>
      </c>
    </row>
    <row r="36" spans="1:16" x14ac:dyDescent="0.25">
      <c r="A36" s="11">
        <f t="shared" si="6"/>
        <v>-19</v>
      </c>
      <c r="B36">
        <v>-44.2415795258188</v>
      </c>
      <c r="E36" s="11">
        <f>A36-'Mastercurve bestimmen'!$B$2</f>
        <v>-69</v>
      </c>
      <c r="F36" s="11">
        <f t="shared" si="4"/>
        <v>-44.2415795258188</v>
      </c>
      <c r="G36" s="11"/>
      <c r="H36" s="11">
        <f t="shared" si="5"/>
        <v>513798374428641</v>
      </c>
      <c r="I36" s="11">
        <f t="shared" si="5"/>
        <v>-7446353252589</v>
      </c>
      <c r="J36" s="11">
        <f t="shared" si="5"/>
        <v>107918163081</v>
      </c>
      <c r="K36" s="11">
        <f t="shared" si="5"/>
        <v>-1564031349</v>
      </c>
      <c r="L36" s="11">
        <f t="shared" si="5"/>
        <v>22667121</v>
      </c>
      <c r="M36" s="11">
        <f t="shared" si="5"/>
        <v>-328509</v>
      </c>
      <c r="N36" s="11">
        <f t="shared" si="5"/>
        <v>4761</v>
      </c>
      <c r="O36" s="11">
        <f t="shared" si="5"/>
        <v>-69</v>
      </c>
      <c r="P36" s="11">
        <f t="shared" si="7"/>
        <v>0</v>
      </c>
    </row>
    <row r="37" spans="1:16" x14ac:dyDescent="0.25">
      <c r="A37" s="11">
        <f t="shared" si="6"/>
        <v>-18</v>
      </c>
      <c r="B37">
        <v>-44.144168213912366</v>
      </c>
      <c r="E37" s="11">
        <f>A37-'Mastercurve bestimmen'!$B$2</f>
        <v>-68</v>
      </c>
      <c r="F37" s="11">
        <f t="shared" si="4"/>
        <v>-44.144168213912366</v>
      </c>
      <c r="G37" s="11"/>
      <c r="H37" s="11">
        <f t="shared" si="5"/>
        <v>457163239653376</v>
      </c>
      <c r="I37" s="11">
        <f t="shared" si="5"/>
        <v>-6722988818432</v>
      </c>
      <c r="J37" s="11">
        <f t="shared" si="5"/>
        <v>98867482624</v>
      </c>
      <c r="K37" s="11">
        <f t="shared" si="5"/>
        <v>-1453933568</v>
      </c>
      <c r="L37" s="11">
        <f t="shared" si="5"/>
        <v>21381376</v>
      </c>
      <c r="M37" s="11">
        <f t="shared" si="5"/>
        <v>-314432</v>
      </c>
      <c r="N37" s="11">
        <f t="shared" si="5"/>
        <v>4624</v>
      </c>
      <c r="O37" s="11">
        <f t="shared" si="5"/>
        <v>-68</v>
      </c>
      <c r="P37" s="11">
        <f t="shared" si="7"/>
        <v>0</v>
      </c>
    </row>
    <row r="38" spans="1:16" x14ac:dyDescent="0.25">
      <c r="A38" s="11">
        <f t="shared" si="6"/>
        <v>-17</v>
      </c>
      <c r="B38">
        <v>-44.043530381466795</v>
      </c>
      <c r="E38" s="11">
        <f>A38-'Mastercurve bestimmen'!$B$2</f>
        <v>-67</v>
      </c>
      <c r="F38" s="11">
        <f t="shared" si="4"/>
        <v>-44.043530381466795</v>
      </c>
      <c r="G38" s="11"/>
      <c r="H38" s="11">
        <f t="shared" si="5"/>
        <v>406067677556641</v>
      </c>
      <c r="I38" s="11">
        <f t="shared" si="5"/>
        <v>-6060711605323</v>
      </c>
      <c r="J38" s="11">
        <f t="shared" si="5"/>
        <v>90458382169</v>
      </c>
      <c r="K38" s="11">
        <f t="shared" si="5"/>
        <v>-1350125107</v>
      </c>
      <c r="L38" s="11">
        <f t="shared" si="5"/>
        <v>20151121</v>
      </c>
      <c r="M38" s="11">
        <f t="shared" si="5"/>
        <v>-300763</v>
      </c>
      <c r="N38" s="11">
        <f t="shared" si="5"/>
        <v>4489</v>
      </c>
      <c r="O38" s="11">
        <f t="shared" si="5"/>
        <v>-67</v>
      </c>
      <c r="P38" s="11">
        <f t="shared" si="7"/>
        <v>0</v>
      </c>
    </row>
    <row r="39" spans="1:16" x14ac:dyDescent="0.25">
      <c r="A39" s="11">
        <f t="shared" si="6"/>
        <v>-16</v>
      </c>
      <c r="B39">
        <v>-43.939519368457553</v>
      </c>
      <c r="E39" s="11">
        <f>A39-'Mastercurve bestimmen'!$B$2</f>
        <v>-66</v>
      </c>
      <c r="F39" s="11">
        <f t="shared" si="4"/>
        <v>-43.939519368457553</v>
      </c>
      <c r="G39" s="11"/>
      <c r="H39" s="11">
        <f t="shared" si="5"/>
        <v>360040606269696</v>
      </c>
      <c r="I39" s="11">
        <f t="shared" si="5"/>
        <v>-5455160701056</v>
      </c>
      <c r="J39" s="11">
        <f t="shared" si="5"/>
        <v>82653950016</v>
      </c>
      <c r="K39" s="11">
        <f t="shared" si="5"/>
        <v>-1252332576</v>
      </c>
      <c r="L39" s="11">
        <f t="shared" si="5"/>
        <v>18974736</v>
      </c>
      <c r="M39" s="11">
        <f t="shared" si="5"/>
        <v>-287496</v>
      </c>
      <c r="N39" s="11">
        <f t="shared" si="5"/>
        <v>4356</v>
      </c>
      <c r="O39" s="11">
        <f t="shared" si="5"/>
        <v>-66</v>
      </c>
      <c r="P39" s="11">
        <f t="shared" si="7"/>
        <v>0</v>
      </c>
    </row>
    <row r="40" spans="1:16" x14ac:dyDescent="0.25">
      <c r="A40" s="11">
        <f t="shared" si="6"/>
        <v>-15</v>
      </c>
      <c r="B40">
        <v>-43.831988514860157</v>
      </c>
      <c r="E40" s="11">
        <f>A40-'Mastercurve bestimmen'!$B$2</f>
        <v>-65</v>
      </c>
      <c r="F40" s="11">
        <f t="shared" si="4"/>
        <v>-43.831988514860157</v>
      </c>
      <c r="G40" s="11"/>
      <c r="H40" s="11">
        <f t="shared" si="5"/>
        <v>318644812890625</v>
      </c>
      <c r="I40" s="11">
        <f t="shared" si="5"/>
        <v>-4902227890625</v>
      </c>
      <c r="J40" s="11">
        <f t="shared" si="5"/>
        <v>75418890625</v>
      </c>
      <c r="K40" s="11">
        <f t="shared" si="5"/>
        <v>-1160290625</v>
      </c>
      <c r="L40" s="11">
        <f t="shared" si="5"/>
        <v>17850625</v>
      </c>
      <c r="M40" s="11">
        <f t="shared" si="5"/>
        <v>-274625</v>
      </c>
      <c r="N40" s="11">
        <f t="shared" si="5"/>
        <v>4225</v>
      </c>
      <c r="O40" s="11">
        <f t="shared" si="5"/>
        <v>-65</v>
      </c>
      <c r="P40" s="11">
        <f t="shared" si="7"/>
        <v>0</v>
      </c>
    </row>
    <row r="41" spans="1:16" x14ac:dyDescent="0.25">
      <c r="A41" s="11">
        <f t="shared" si="6"/>
        <v>-14</v>
      </c>
      <c r="B41">
        <v>-43.720791160650094</v>
      </c>
      <c r="E41" s="11">
        <f>A41-'Mastercurve bestimmen'!$B$2</f>
        <v>-64</v>
      </c>
      <c r="F41" s="11">
        <f t="shared" si="4"/>
        <v>-43.720791160650094</v>
      </c>
      <c r="G41" s="11"/>
      <c r="H41" s="11">
        <f t="shared" si="5"/>
        <v>281474976710656</v>
      </c>
      <c r="I41" s="11">
        <f t="shared" si="5"/>
        <v>-4398046511104</v>
      </c>
      <c r="J41" s="11">
        <f t="shared" si="5"/>
        <v>68719476736</v>
      </c>
      <c r="K41" s="11">
        <f t="shared" si="5"/>
        <v>-1073741824</v>
      </c>
      <c r="L41" s="11">
        <f t="shared" si="5"/>
        <v>16777216</v>
      </c>
      <c r="M41" s="11">
        <f t="shared" si="5"/>
        <v>-262144</v>
      </c>
      <c r="N41" s="11">
        <f t="shared" si="5"/>
        <v>4096</v>
      </c>
      <c r="O41" s="11">
        <f t="shared" si="5"/>
        <v>-64</v>
      </c>
      <c r="P41" s="11">
        <f t="shared" si="7"/>
        <v>0</v>
      </c>
    </row>
    <row r="42" spans="1:16" x14ac:dyDescent="0.25">
      <c r="A42" s="11">
        <f t="shared" si="6"/>
        <v>-13</v>
      </c>
      <c r="B42">
        <v>-43.605780645802852</v>
      </c>
      <c r="E42" s="11">
        <f>A42-'Mastercurve bestimmen'!$B$2</f>
        <v>-63</v>
      </c>
      <c r="F42" s="11">
        <f t="shared" si="4"/>
        <v>-43.605780645802852</v>
      </c>
      <c r="G42" s="11"/>
      <c r="H42" s="11">
        <f t="shared" si="5"/>
        <v>248155780267521</v>
      </c>
      <c r="I42" s="11">
        <f t="shared" si="5"/>
        <v>-3938980639167</v>
      </c>
      <c r="J42" s="11">
        <f t="shared" si="5"/>
        <v>62523502209</v>
      </c>
      <c r="K42" s="11">
        <f t="shared" si="5"/>
        <v>-992436543</v>
      </c>
      <c r="L42" s="11">
        <f t="shared" si="5"/>
        <v>15752961</v>
      </c>
      <c r="M42" s="11">
        <f t="shared" si="5"/>
        <v>-250047</v>
      </c>
      <c r="N42" s="11">
        <f t="shared" si="5"/>
        <v>3969</v>
      </c>
      <c r="O42" s="11">
        <f t="shared" si="5"/>
        <v>-63</v>
      </c>
      <c r="P42" s="11">
        <f t="shared" si="7"/>
        <v>0</v>
      </c>
    </row>
    <row r="43" spans="1:16" x14ac:dyDescent="0.25">
      <c r="A43" s="11">
        <f t="shared" si="6"/>
        <v>-12</v>
      </c>
      <c r="B43">
        <v>-43.486810310293926</v>
      </c>
      <c r="E43" s="11">
        <f>A43-'Mastercurve bestimmen'!$B$2</f>
        <v>-62</v>
      </c>
      <c r="F43" s="11">
        <f t="shared" si="4"/>
        <v>-43.486810310293926</v>
      </c>
      <c r="G43" s="11"/>
      <c r="H43" s="11">
        <f t="shared" si="5"/>
        <v>218340105584896</v>
      </c>
      <c r="I43" s="11">
        <f t="shared" si="5"/>
        <v>-3521614606208</v>
      </c>
      <c r="J43" s="11">
        <f t="shared" si="5"/>
        <v>56800235584</v>
      </c>
      <c r="K43" s="11">
        <f t="shared" si="5"/>
        <v>-916132832</v>
      </c>
      <c r="L43" s="11">
        <f t="shared" si="5"/>
        <v>14776336</v>
      </c>
      <c r="M43" s="11">
        <f t="shared" si="5"/>
        <v>-238328</v>
      </c>
      <c r="N43" s="11">
        <f t="shared" si="5"/>
        <v>3844</v>
      </c>
      <c r="O43" s="11">
        <f t="shared" si="5"/>
        <v>-62</v>
      </c>
      <c r="P43" s="11">
        <f t="shared" si="7"/>
        <v>0</v>
      </c>
    </row>
    <row r="44" spans="1:16" x14ac:dyDescent="0.25">
      <c r="A44" s="11">
        <f t="shared" si="6"/>
        <v>-11</v>
      </c>
      <c r="B44">
        <v>-43.36373349409881</v>
      </c>
      <c r="E44" s="11">
        <f>A44-'Mastercurve bestimmen'!$B$2</f>
        <v>-61</v>
      </c>
      <c r="F44" s="11">
        <f t="shared" si="4"/>
        <v>-43.36373349409881</v>
      </c>
      <c r="G44" s="11"/>
      <c r="H44" s="11">
        <f t="shared" si="5"/>
        <v>191707312997281</v>
      </c>
      <c r="I44" s="11">
        <f t="shared" si="5"/>
        <v>-3142742836021</v>
      </c>
      <c r="J44" s="11">
        <f t="shared" si="5"/>
        <v>51520374361</v>
      </c>
      <c r="K44" s="11">
        <f t="shared" si="5"/>
        <v>-844596301</v>
      </c>
      <c r="L44" s="11">
        <f t="shared" si="5"/>
        <v>13845841</v>
      </c>
      <c r="M44" s="11">
        <f t="shared" si="5"/>
        <v>-226981</v>
      </c>
      <c r="N44" s="11">
        <f t="shared" si="5"/>
        <v>3721</v>
      </c>
      <c r="O44" s="11">
        <f t="shared" si="5"/>
        <v>-61</v>
      </c>
      <c r="P44" s="11">
        <f t="shared" si="7"/>
        <v>0</v>
      </c>
    </row>
    <row r="45" spans="1:16" x14ac:dyDescent="0.25">
      <c r="A45" s="11">
        <f t="shared" si="6"/>
        <v>-10</v>
      </c>
      <c r="B45">
        <v>-43.236403537192999</v>
      </c>
      <c r="E45" s="11">
        <f>A45-'Mastercurve bestimmen'!$B$2</f>
        <v>-60</v>
      </c>
      <c r="F45" s="11">
        <f t="shared" si="4"/>
        <v>-43.236403537192999</v>
      </c>
      <c r="G45" s="11"/>
      <c r="H45" s="11">
        <f t="shared" si="5"/>
        <v>167961600000000</v>
      </c>
      <c r="I45" s="11">
        <f t="shared" si="5"/>
        <v>-2799360000000</v>
      </c>
      <c r="J45" s="11">
        <f t="shared" si="5"/>
        <v>46656000000</v>
      </c>
      <c r="K45" s="11">
        <f t="shared" si="5"/>
        <v>-777600000</v>
      </c>
      <c r="L45" s="11">
        <f t="shared" si="5"/>
        <v>12960000</v>
      </c>
      <c r="M45" s="11">
        <f t="shared" si="5"/>
        <v>-216000</v>
      </c>
      <c r="N45" s="11">
        <f t="shared" si="5"/>
        <v>3600</v>
      </c>
      <c r="O45" s="11">
        <f t="shared" si="5"/>
        <v>-60</v>
      </c>
      <c r="P45" s="11">
        <f t="shared" si="7"/>
        <v>0</v>
      </c>
    </row>
    <row r="46" spans="1:16" x14ac:dyDescent="0.25">
      <c r="A46" s="11">
        <f t="shared" si="6"/>
        <v>-9</v>
      </c>
      <c r="B46">
        <v>-43.104673779551987</v>
      </c>
      <c r="E46" s="11">
        <f>A46-'Mastercurve bestimmen'!$B$2</f>
        <v>-59</v>
      </c>
      <c r="F46" s="11">
        <f t="shared" si="4"/>
        <v>-43.104673779551987</v>
      </c>
      <c r="G46" s="11"/>
      <c r="H46" s="11">
        <f t="shared" si="5"/>
        <v>146830437604321</v>
      </c>
      <c r="I46" s="11">
        <f t="shared" si="5"/>
        <v>-2488651484819</v>
      </c>
      <c r="J46" s="11">
        <f t="shared" si="5"/>
        <v>42180533641</v>
      </c>
      <c r="K46" s="11">
        <f t="shared" si="5"/>
        <v>-714924299</v>
      </c>
      <c r="L46" s="11">
        <f t="shared" si="5"/>
        <v>12117361</v>
      </c>
      <c r="M46" s="11">
        <f t="shared" si="5"/>
        <v>-205379</v>
      </c>
      <c r="N46" s="11">
        <f t="shared" si="5"/>
        <v>3481</v>
      </c>
      <c r="O46" s="11">
        <f t="shared" si="5"/>
        <v>-59</v>
      </c>
      <c r="P46" s="11">
        <f t="shared" si="7"/>
        <v>0</v>
      </c>
    </row>
    <row r="47" spans="1:16" x14ac:dyDescent="0.25">
      <c r="A47" s="11">
        <f t="shared" si="6"/>
        <v>-8</v>
      </c>
      <c r="B47">
        <v>-42.968397561151264</v>
      </c>
      <c r="E47" s="11">
        <f>A47-'Mastercurve bestimmen'!$B$2</f>
        <v>-58</v>
      </c>
      <c r="F47" s="11">
        <f t="shared" si="4"/>
        <v>-42.968397561151264</v>
      </c>
      <c r="G47" s="11"/>
      <c r="H47" s="11">
        <f t="shared" si="5"/>
        <v>128063081718016</v>
      </c>
      <c r="I47" s="11">
        <f t="shared" si="5"/>
        <v>-2207984167552</v>
      </c>
      <c r="J47" s="11">
        <f t="shared" si="5"/>
        <v>38068692544</v>
      </c>
      <c r="K47" s="11">
        <f t="shared" si="5"/>
        <v>-656356768</v>
      </c>
      <c r="L47" s="11">
        <f t="shared" si="5"/>
        <v>11316496</v>
      </c>
      <c r="M47" s="11">
        <f t="shared" si="5"/>
        <v>-195112</v>
      </c>
      <c r="N47" s="11">
        <f t="shared" si="5"/>
        <v>3364</v>
      </c>
      <c r="O47" s="11">
        <f t="shared" si="5"/>
        <v>-58</v>
      </c>
      <c r="P47" s="11">
        <f t="shared" si="7"/>
        <v>0</v>
      </c>
    </row>
    <row r="48" spans="1:16" x14ac:dyDescent="0.25">
      <c r="A48" s="11">
        <f t="shared" si="6"/>
        <v>-7</v>
      </c>
      <c r="B48">
        <v>-42.827428221966329</v>
      </c>
      <c r="E48" s="11">
        <f>A48-'Mastercurve bestimmen'!$B$2</f>
        <v>-57</v>
      </c>
      <c r="F48" s="11">
        <f t="shared" si="4"/>
        <v>-42.827428221966329</v>
      </c>
      <c r="G48" s="11"/>
      <c r="H48" s="11">
        <f t="shared" ref="H48:O79" si="8">IF($H$12&gt;=H$14,$E48^H$14,0)</f>
        <v>111429157112001</v>
      </c>
      <c r="I48" s="11">
        <f t="shared" si="8"/>
        <v>-1954897493193</v>
      </c>
      <c r="J48" s="11">
        <f t="shared" si="8"/>
        <v>34296447249</v>
      </c>
      <c r="K48" s="11">
        <f t="shared" si="8"/>
        <v>-601692057</v>
      </c>
      <c r="L48" s="11">
        <f t="shared" si="8"/>
        <v>10556001</v>
      </c>
      <c r="M48" s="11">
        <f t="shared" si="8"/>
        <v>-185193</v>
      </c>
      <c r="N48" s="11">
        <f t="shared" si="8"/>
        <v>3249</v>
      </c>
      <c r="O48" s="11">
        <f t="shared" si="8"/>
        <v>-57</v>
      </c>
      <c r="P48" s="11">
        <f t="shared" si="7"/>
        <v>0</v>
      </c>
    </row>
    <row r="49" spans="1:16" x14ac:dyDescent="0.25">
      <c r="A49" s="11">
        <f t="shared" si="6"/>
        <v>-6</v>
      </c>
      <c r="B49">
        <v>-42.681619101972665</v>
      </c>
      <c r="E49" s="11">
        <f>A49-'Mastercurve bestimmen'!$B$2</f>
        <v>-56</v>
      </c>
      <c r="F49" s="11">
        <f t="shared" si="4"/>
        <v>-42.681619101972665</v>
      </c>
      <c r="G49" s="11"/>
      <c r="H49" s="11">
        <f t="shared" si="8"/>
        <v>96717311574016</v>
      </c>
      <c r="I49" s="11">
        <f t="shared" si="8"/>
        <v>-1727094849536</v>
      </c>
      <c r="J49" s="11">
        <f t="shared" si="8"/>
        <v>30840979456</v>
      </c>
      <c r="K49" s="11">
        <f t="shared" si="8"/>
        <v>-550731776</v>
      </c>
      <c r="L49" s="11">
        <f t="shared" si="8"/>
        <v>9834496</v>
      </c>
      <c r="M49" s="11">
        <f t="shared" si="8"/>
        <v>-175616</v>
      </c>
      <c r="N49" s="11">
        <f t="shared" si="8"/>
        <v>3136</v>
      </c>
      <c r="O49" s="11">
        <f t="shared" si="8"/>
        <v>-56</v>
      </c>
      <c r="P49" s="11">
        <f t="shared" si="7"/>
        <v>0</v>
      </c>
    </row>
    <row r="50" spans="1:16" x14ac:dyDescent="0.25">
      <c r="A50" s="11">
        <f t="shared" si="6"/>
        <v>-5</v>
      </c>
      <c r="B50">
        <v>-42.530823541145764</v>
      </c>
      <c r="E50" s="11">
        <f>A50-'Mastercurve bestimmen'!$B$2</f>
        <v>-55</v>
      </c>
      <c r="F50" s="11">
        <f t="shared" si="4"/>
        <v>-42.530823541145764</v>
      </c>
      <c r="G50" s="11"/>
      <c r="H50" s="11">
        <f t="shared" si="8"/>
        <v>83733937890625</v>
      </c>
      <c r="I50" s="11">
        <f t="shared" si="8"/>
        <v>-1522435234375</v>
      </c>
      <c r="J50" s="11">
        <f t="shared" si="8"/>
        <v>27680640625</v>
      </c>
      <c r="K50" s="11">
        <f t="shared" si="8"/>
        <v>-503284375</v>
      </c>
      <c r="L50" s="11">
        <f t="shared" si="8"/>
        <v>9150625</v>
      </c>
      <c r="M50" s="11">
        <f t="shared" si="8"/>
        <v>-166375</v>
      </c>
      <c r="N50" s="11">
        <f t="shared" si="8"/>
        <v>3025</v>
      </c>
      <c r="O50" s="11">
        <f t="shared" si="8"/>
        <v>-55</v>
      </c>
      <c r="P50" s="11">
        <f t="shared" si="7"/>
        <v>0</v>
      </c>
    </row>
    <row r="51" spans="1:16" x14ac:dyDescent="0.25">
      <c r="A51" s="11">
        <f t="shared" si="6"/>
        <v>-4</v>
      </c>
      <c r="B51">
        <v>-42.374894879461138</v>
      </c>
      <c r="E51" s="11">
        <f>A51-'Mastercurve bestimmen'!$B$2</f>
        <v>-54</v>
      </c>
      <c r="F51" s="11">
        <f t="shared" si="4"/>
        <v>-42.374894879461138</v>
      </c>
      <c r="G51" s="11"/>
      <c r="H51" s="11">
        <f t="shared" si="8"/>
        <v>72301961339136</v>
      </c>
      <c r="I51" s="11">
        <f t="shared" si="8"/>
        <v>-1338925209984</v>
      </c>
      <c r="J51" s="11">
        <f t="shared" si="8"/>
        <v>24794911296</v>
      </c>
      <c r="K51" s="11">
        <f t="shared" si="8"/>
        <v>-459165024</v>
      </c>
      <c r="L51" s="11">
        <f t="shared" si="8"/>
        <v>8503056</v>
      </c>
      <c r="M51" s="11">
        <f t="shared" si="8"/>
        <v>-157464</v>
      </c>
      <c r="N51" s="11">
        <f t="shared" si="8"/>
        <v>2916</v>
      </c>
      <c r="O51" s="11">
        <f t="shared" si="8"/>
        <v>-54</v>
      </c>
      <c r="P51" s="11">
        <f t="shared" si="7"/>
        <v>0</v>
      </c>
    </row>
    <row r="52" spans="1:16" x14ac:dyDescent="0.25">
      <c r="A52" s="11">
        <f t="shared" si="6"/>
        <v>-3</v>
      </c>
      <c r="B52">
        <v>-42.213686456894266</v>
      </c>
      <c r="E52" s="11">
        <f>A52-'Mastercurve bestimmen'!$B$2</f>
        <v>-53</v>
      </c>
      <c r="F52" s="11">
        <f t="shared" si="4"/>
        <v>-42.213686456894266</v>
      </c>
      <c r="G52" s="11"/>
      <c r="H52" s="11">
        <f t="shared" si="8"/>
        <v>62259690411361</v>
      </c>
      <c r="I52" s="11">
        <f t="shared" si="8"/>
        <v>-1174711139837</v>
      </c>
      <c r="J52" s="11">
        <f t="shared" si="8"/>
        <v>22164361129</v>
      </c>
      <c r="K52" s="11">
        <f t="shared" si="8"/>
        <v>-418195493</v>
      </c>
      <c r="L52" s="11">
        <f t="shared" si="8"/>
        <v>7890481</v>
      </c>
      <c r="M52" s="11">
        <f t="shared" si="8"/>
        <v>-148877</v>
      </c>
      <c r="N52" s="11">
        <f t="shared" si="8"/>
        <v>2809</v>
      </c>
      <c r="O52" s="11">
        <f t="shared" si="8"/>
        <v>-53</v>
      </c>
      <c r="P52" s="11">
        <f t="shared" si="7"/>
        <v>0</v>
      </c>
    </row>
    <row r="53" spans="1:16" x14ac:dyDescent="0.25">
      <c r="A53" s="11">
        <f t="shared" si="6"/>
        <v>-2</v>
      </c>
      <c r="B53">
        <v>-42.047051613420642</v>
      </c>
      <c r="E53" s="11">
        <f>A53-'Mastercurve bestimmen'!$B$2</f>
        <v>-52</v>
      </c>
      <c r="F53" s="11">
        <f t="shared" si="4"/>
        <v>-42.047051613420642</v>
      </c>
      <c r="G53" s="11"/>
      <c r="H53" s="11">
        <f t="shared" si="8"/>
        <v>53459728531456</v>
      </c>
      <c r="I53" s="11">
        <f t="shared" si="8"/>
        <v>-1028071702528</v>
      </c>
      <c r="J53" s="11">
        <f t="shared" si="8"/>
        <v>19770609664</v>
      </c>
      <c r="K53" s="11">
        <f t="shared" si="8"/>
        <v>-380204032</v>
      </c>
      <c r="L53" s="11">
        <f t="shared" si="8"/>
        <v>7311616</v>
      </c>
      <c r="M53" s="11">
        <f t="shared" si="8"/>
        <v>-140608</v>
      </c>
      <c r="N53" s="11">
        <f t="shared" si="8"/>
        <v>2704</v>
      </c>
      <c r="O53" s="11">
        <f t="shared" si="8"/>
        <v>-52</v>
      </c>
      <c r="P53" s="11">
        <f t="shared" si="7"/>
        <v>0</v>
      </c>
    </row>
    <row r="54" spans="1:16" x14ac:dyDescent="0.25">
      <c r="A54" s="11">
        <f t="shared" si="6"/>
        <v>-1</v>
      </c>
      <c r="B54">
        <v>-41.874843689015755</v>
      </c>
      <c r="E54" s="11">
        <f>A54-'Mastercurve bestimmen'!$B$2</f>
        <v>-51</v>
      </c>
      <c r="F54" s="11">
        <f t="shared" si="4"/>
        <v>-41.874843689015755</v>
      </c>
      <c r="G54" s="11"/>
      <c r="H54" s="11">
        <f t="shared" si="8"/>
        <v>45767944570401</v>
      </c>
      <c r="I54" s="11">
        <f t="shared" si="8"/>
        <v>-897410677851</v>
      </c>
      <c r="J54" s="11">
        <f t="shared" si="8"/>
        <v>17596287801</v>
      </c>
      <c r="K54" s="11">
        <f t="shared" si="8"/>
        <v>-345025251</v>
      </c>
      <c r="L54" s="11">
        <f t="shared" si="8"/>
        <v>6765201</v>
      </c>
      <c r="M54" s="11">
        <f t="shared" si="8"/>
        <v>-132651</v>
      </c>
      <c r="N54" s="11">
        <f t="shared" si="8"/>
        <v>2601</v>
      </c>
      <c r="O54" s="11">
        <f t="shared" si="8"/>
        <v>-51</v>
      </c>
      <c r="P54" s="11">
        <f t="shared" si="7"/>
        <v>0</v>
      </c>
    </row>
    <row r="55" spans="1:16" x14ac:dyDescent="0.25">
      <c r="A55" s="11">
        <f t="shared" si="6"/>
        <v>0</v>
      </c>
      <c r="B55">
        <v>-41.696916023655113</v>
      </c>
      <c r="E55" s="11">
        <f>A55-'Mastercurve bestimmen'!$B$2</f>
        <v>-50</v>
      </c>
      <c r="F55" s="11">
        <f t="shared" si="4"/>
        <v>-41.696916023655113</v>
      </c>
      <c r="G55" s="11"/>
      <c r="H55" s="11">
        <f t="shared" si="8"/>
        <v>39062500000000</v>
      </c>
      <c r="I55" s="11">
        <f t="shared" si="8"/>
        <v>-781250000000</v>
      </c>
      <c r="J55" s="11">
        <f t="shared" si="8"/>
        <v>15625000000</v>
      </c>
      <c r="K55" s="11">
        <f t="shared" si="8"/>
        <v>-312500000</v>
      </c>
      <c r="L55" s="11">
        <f t="shared" si="8"/>
        <v>6250000</v>
      </c>
      <c r="M55" s="11">
        <f t="shared" si="8"/>
        <v>-125000</v>
      </c>
      <c r="N55" s="11">
        <f t="shared" si="8"/>
        <v>2500</v>
      </c>
      <c r="O55" s="11">
        <f t="shared" si="8"/>
        <v>-50</v>
      </c>
      <c r="P55" s="11">
        <f t="shared" si="7"/>
        <v>0</v>
      </c>
    </row>
    <row r="56" spans="1:16" x14ac:dyDescent="0.25">
      <c r="A56" s="11">
        <f t="shared" si="6"/>
        <v>1</v>
      </c>
      <c r="B56">
        <v>-41.565532961159505</v>
      </c>
      <c r="E56" s="11">
        <f>A56-'Mastercurve bestimmen'!$B$2</f>
        <v>-49</v>
      </c>
      <c r="F56" s="11">
        <f t="shared" si="4"/>
        <v>-41.565532961159505</v>
      </c>
      <c r="G56" s="11"/>
      <c r="H56" s="11">
        <f t="shared" si="8"/>
        <v>33232930569601</v>
      </c>
      <c r="I56" s="11">
        <f t="shared" si="8"/>
        <v>-678223072849</v>
      </c>
      <c r="J56" s="11">
        <f t="shared" si="8"/>
        <v>13841287201</v>
      </c>
      <c r="K56" s="11">
        <f t="shared" si="8"/>
        <v>-282475249</v>
      </c>
      <c r="L56" s="11">
        <f t="shared" si="8"/>
        <v>5764801</v>
      </c>
      <c r="M56" s="11">
        <f t="shared" si="8"/>
        <v>-117649</v>
      </c>
      <c r="N56" s="11">
        <f t="shared" si="8"/>
        <v>2401</v>
      </c>
      <c r="O56" s="11">
        <f t="shared" si="8"/>
        <v>-49</v>
      </c>
      <c r="P56" s="11">
        <f t="shared" si="7"/>
        <v>0</v>
      </c>
    </row>
    <row r="57" spans="1:16" x14ac:dyDescent="0.25">
      <c r="A57" s="11">
        <f t="shared" si="6"/>
        <v>2</v>
      </c>
      <c r="B57">
        <v>-41.428597079596727</v>
      </c>
      <c r="E57" s="11">
        <f>A57-'Mastercurve bestimmen'!$B$2</f>
        <v>-48</v>
      </c>
      <c r="F57" s="11">
        <f t="shared" si="4"/>
        <v>-41.428597079596727</v>
      </c>
      <c r="G57" s="11"/>
      <c r="H57" s="11">
        <f t="shared" si="8"/>
        <v>28179280429056</v>
      </c>
      <c r="I57" s="11">
        <f t="shared" si="8"/>
        <v>-587068342272</v>
      </c>
      <c r="J57" s="11">
        <f t="shared" si="8"/>
        <v>12230590464</v>
      </c>
      <c r="K57" s="11">
        <f t="shared" si="8"/>
        <v>-254803968</v>
      </c>
      <c r="L57" s="11">
        <f t="shared" si="8"/>
        <v>5308416</v>
      </c>
      <c r="M57" s="11">
        <f t="shared" si="8"/>
        <v>-110592</v>
      </c>
      <c r="N57" s="11">
        <f t="shared" si="8"/>
        <v>2304</v>
      </c>
      <c r="O57" s="11">
        <f t="shared" si="8"/>
        <v>-48</v>
      </c>
      <c r="P57" s="11">
        <f t="shared" si="7"/>
        <v>0</v>
      </c>
    </row>
    <row r="58" spans="1:16" x14ac:dyDescent="0.25">
      <c r="A58" s="11">
        <f t="shared" si="6"/>
        <v>3</v>
      </c>
      <c r="B58">
        <v>-41.286421960879899</v>
      </c>
      <c r="E58" s="11">
        <f>A58-'Mastercurve bestimmen'!$B$2</f>
        <v>-47</v>
      </c>
      <c r="F58" s="11">
        <f t="shared" si="4"/>
        <v>-41.286421960879899</v>
      </c>
      <c r="G58" s="11"/>
      <c r="H58" s="11">
        <f t="shared" si="8"/>
        <v>23811286661761</v>
      </c>
      <c r="I58" s="11">
        <f t="shared" si="8"/>
        <v>-506623120463</v>
      </c>
      <c r="J58" s="11">
        <f t="shared" si="8"/>
        <v>10779215329</v>
      </c>
      <c r="K58" s="11">
        <f t="shared" si="8"/>
        <v>-229345007</v>
      </c>
      <c r="L58" s="11">
        <f t="shared" si="8"/>
        <v>4879681</v>
      </c>
      <c r="M58" s="11">
        <f t="shared" si="8"/>
        <v>-103823</v>
      </c>
      <c r="N58" s="11">
        <f t="shared" si="8"/>
        <v>2209</v>
      </c>
      <c r="O58" s="11">
        <f t="shared" si="8"/>
        <v>-47</v>
      </c>
      <c r="P58" s="11">
        <f t="shared" si="7"/>
        <v>0</v>
      </c>
    </row>
    <row r="59" spans="1:16" x14ac:dyDescent="0.25">
      <c r="A59" s="11">
        <f t="shared" si="6"/>
        <v>4</v>
      </c>
      <c r="B59">
        <v>-41.139321186922089</v>
      </c>
      <c r="E59" s="11">
        <f>A59-'Mastercurve bestimmen'!$B$2</f>
        <v>-46</v>
      </c>
      <c r="F59" s="11">
        <f t="shared" si="4"/>
        <v>-41.139321186922089</v>
      </c>
      <c r="G59" s="11"/>
      <c r="H59" s="11">
        <f t="shared" si="8"/>
        <v>20047612231936</v>
      </c>
      <c r="I59" s="11">
        <f t="shared" si="8"/>
        <v>-435817657216</v>
      </c>
      <c r="J59" s="11">
        <f t="shared" si="8"/>
        <v>9474296896</v>
      </c>
      <c r="K59" s="11">
        <f t="shared" si="8"/>
        <v>-205962976</v>
      </c>
      <c r="L59" s="11">
        <f t="shared" si="8"/>
        <v>4477456</v>
      </c>
      <c r="M59" s="11">
        <f t="shared" si="8"/>
        <v>-97336</v>
      </c>
      <c r="N59" s="11">
        <f t="shared" si="8"/>
        <v>2116</v>
      </c>
      <c r="O59" s="11">
        <f t="shared" si="8"/>
        <v>-46</v>
      </c>
      <c r="P59" s="11">
        <f t="shared" si="7"/>
        <v>0</v>
      </c>
    </row>
    <row r="60" spans="1:16" x14ac:dyDescent="0.25">
      <c r="A60" s="11">
        <f t="shared" si="6"/>
        <v>5</v>
      </c>
      <c r="B60">
        <v>-40.987608339636431</v>
      </c>
      <c r="E60" s="11">
        <f>A60-'Mastercurve bestimmen'!$B$2</f>
        <v>-45</v>
      </c>
      <c r="F60" s="11">
        <f t="shared" si="4"/>
        <v>-40.987608339636431</v>
      </c>
      <c r="G60" s="11"/>
      <c r="H60" s="11">
        <f t="shared" si="8"/>
        <v>16815125390625</v>
      </c>
      <c r="I60" s="11">
        <f t="shared" si="8"/>
        <v>-373669453125</v>
      </c>
      <c r="J60" s="11">
        <f t="shared" si="8"/>
        <v>8303765625</v>
      </c>
      <c r="K60" s="11">
        <f t="shared" si="8"/>
        <v>-184528125</v>
      </c>
      <c r="L60" s="11">
        <f t="shared" si="8"/>
        <v>4100625</v>
      </c>
      <c r="M60" s="11">
        <f t="shared" si="8"/>
        <v>-91125</v>
      </c>
      <c r="N60" s="11">
        <f t="shared" si="8"/>
        <v>2025</v>
      </c>
      <c r="O60" s="11">
        <f t="shared" si="8"/>
        <v>-45</v>
      </c>
      <c r="P60" s="11">
        <f t="shared" si="7"/>
        <v>0</v>
      </c>
    </row>
    <row r="61" spans="1:16" x14ac:dyDescent="0.25">
      <c r="A61" s="11">
        <f t="shared" si="6"/>
        <v>6</v>
      </c>
      <c r="B61">
        <v>-40.831597000936014</v>
      </c>
      <c r="E61" s="11">
        <f>A61-'Mastercurve bestimmen'!$B$2</f>
        <v>-44</v>
      </c>
      <c r="F61" s="11">
        <f t="shared" si="4"/>
        <v>-40.831597000936014</v>
      </c>
      <c r="G61" s="11"/>
      <c r="H61" s="11">
        <f t="shared" si="8"/>
        <v>14048223625216</v>
      </c>
      <c r="I61" s="11">
        <f t="shared" si="8"/>
        <v>-319277809664</v>
      </c>
      <c r="J61" s="11">
        <f t="shared" si="8"/>
        <v>7256313856</v>
      </c>
      <c r="K61" s="11">
        <f t="shared" si="8"/>
        <v>-164916224</v>
      </c>
      <c r="L61" s="11">
        <f t="shared" si="8"/>
        <v>3748096</v>
      </c>
      <c r="M61" s="11">
        <f t="shared" si="8"/>
        <v>-85184</v>
      </c>
      <c r="N61" s="11">
        <f t="shared" si="8"/>
        <v>1936</v>
      </c>
      <c r="O61" s="11">
        <f t="shared" si="8"/>
        <v>-44</v>
      </c>
      <c r="P61" s="11">
        <f t="shared" si="7"/>
        <v>0</v>
      </c>
    </row>
    <row r="62" spans="1:16" x14ac:dyDescent="0.25">
      <c r="A62" s="11">
        <f t="shared" si="6"/>
        <v>7</v>
      </c>
      <c r="B62">
        <v>-40.671600752733944</v>
      </c>
      <c r="E62" s="11">
        <f>A62-'Mastercurve bestimmen'!$B$2</f>
        <v>-43</v>
      </c>
      <c r="F62" s="11">
        <f t="shared" si="4"/>
        <v>-40.671600752733944</v>
      </c>
      <c r="G62" s="11"/>
      <c r="H62" s="11">
        <f t="shared" si="8"/>
        <v>11688200277601</v>
      </c>
      <c r="I62" s="11">
        <f t="shared" si="8"/>
        <v>-271818611107</v>
      </c>
      <c r="J62" s="11">
        <f t="shared" si="8"/>
        <v>6321363049</v>
      </c>
      <c r="K62" s="11">
        <f t="shared" si="8"/>
        <v>-147008443</v>
      </c>
      <c r="L62" s="11">
        <f t="shared" si="8"/>
        <v>3418801</v>
      </c>
      <c r="M62" s="11">
        <f t="shared" si="8"/>
        <v>-79507</v>
      </c>
      <c r="N62" s="11">
        <f t="shared" si="8"/>
        <v>1849</v>
      </c>
      <c r="O62" s="11">
        <f t="shared" si="8"/>
        <v>-43</v>
      </c>
      <c r="P62" s="11">
        <f t="shared" si="7"/>
        <v>0</v>
      </c>
    </row>
    <row r="63" spans="1:16" x14ac:dyDescent="0.25">
      <c r="A63" s="11">
        <f t="shared" si="6"/>
        <v>8</v>
      </c>
      <c r="B63">
        <v>-40.507933176943325</v>
      </c>
      <c r="E63" s="11">
        <f>A63-'Mastercurve bestimmen'!$B$2</f>
        <v>-42</v>
      </c>
      <c r="F63" s="11">
        <f t="shared" si="4"/>
        <v>-40.507933176943325</v>
      </c>
      <c r="G63" s="11"/>
      <c r="H63" s="11">
        <f t="shared" si="8"/>
        <v>9682651996416</v>
      </c>
      <c r="I63" s="11">
        <f t="shared" si="8"/>
        <v>-230539333248</v>
      </c>
      <c r="J63" s="11">
        <f t="shared" si="8"/>
        <v>5489031744</v>
      </c>
      <c r="K63" s="11">
        <f t="shared" si="8"/>
        <v>-130691232</v>
      </c>
      <c r="L63" s="11">
        <f t="shared" si="8"/>
        <v>3111696</v>
      </c>
      <c r="M63" s="11">
        <f t="shared" si="8"/>
        <v>-74088</v>
      </c>
      <c r="N63" s="11">
        <f t="shared" si="8"/>
        <v>1764</v>
      </c>
      <c r="O63" s="11">
        <f t="shared" si="8"/>
        <v>-42</v>
      </c>
      <c r="P63" s="11">
        <f t="shared" si="7"/>
        <v>0</v>
      </c>
    </row>
    <row r="64" spans="1:16" x14ac:dyDescent="0.25">
      <c r="A64" s="11">
        <f t="shared" si="6"/>
        <v>9</v>
      </c>
      <c r="B64">
        <v>-40.340907855477255</v>
      </c>
      <c r="E64" s="11">
        <f>A64-'Mastercurve bestimmen'!$B$2</f>
        <v>-41</v>
      </c>
      <c r="F64" s="11">
        <f t="shared" si="4"/>
        <v>-40.340907855477255</v>
      </c>
      <c r="G64" s="11"/>
      <c r="H64" s="11">
        <f t="shared" si="8"/>
        <v>7984925229121</v>
      </c>
      <c r="I64" s="11">
        <f t="shared" si="8"/>
        <v>-194754273881</v>
      </c>
      <c r="J64" s="11">
        <f t="shared" si="8"/>
        <v>4750104241</v>
      </c>
      <c r="K64" s="11">
        <f t="shared" si="8"/>
        <v>-115856201</v>
      </c>
      <c r="L64" s="11">
        <f t="shared" si="8"/>
        <v>2825761</v>
      </c>
      <c r="M64" s="11">
        <f t="shared" si="8"/>
        <v>-68921</v>
      </c>
      <c r="N64" s="11">
        <f t="shared" si="8"/>
        <v>1681</v>
      </c>
      <c r="O64" s="11">
        <f t="shared" si="8"/>
        <v>-41</v>
      </c>
      <c r="P64" s="11">
        <f t="shared" si="7"/>
        <v>0</v>
      </c>
    </row>
    <row r="65" spans="1:16" x14ac:dyDescent="0.25">
      <c r="A65" s="11">
        <f t="shared" si="6"/>
        <v>10</v>
      </c>
      <c r="B65">
        <v>-40.170838370248845</v>
      </c>
      <c r="E65" s="11">
        <f>A65-'Mastercurve bestimmen'!$B$2</f>
        <v>-40</v>
      </c>
      <c r="F65" s="11">
        <f t="shared" si="4"/>
        <v>-40.170838370248845</v>
      </c>
      <c r="G65" s="11"/>
      <c r="H65" s="11">
        <f t="shared" si="8"/>
        <v>6553600000000</v>
      </c>
      <c r="I65" s="11">
        <f t="shared" si="8"/>
        <v>-163840000000</v>
      </c>
      <c r="J65" s="11">
        <f t="shared" si="8"/>
        <v>4096000000</v>
      </c>
      <c r="K65" s="11">
        <f t="shared" si="8"/>
        <v>-102400000</v>
      </c>
      <c r="L65" s="11">
        <f t="shared" si="8"/>
        <v>2560000</v>
      </c>
      <c r="M65" s="11">
        <f t="shared" si="8"/>
        <v>-64000</v>
      </c>
      <c r="N65" s="11">
        <f t="shared" si="8"/>
        <v>1600</v>
      </c>
      <c r="O65" s="11">
        <f t="shared" si="8"/>
        <v>-40</v>
      </c>
      <c r="P65" s="11">
        <f t="shared" si="7"/>
        <v>0</v>
      </c>
    </row>
    <row r="66" spans="1:16" x14ac:dyDescent="0.25">
      <c r="A66" s="11">
        <f t="shared" si="6"/>
        <v>11</v>
      </c>
      <c r="B66">
        <v>-39.998038303171192</v>
      </c>
      <c r="E66" s="11">
        <f>A66-'Mastercurve bestimmen'!$B$2</f>
        <v>-39</v>
      </c>
      <c r="F66" s="11">
        <f t="shared" si="4"/>
        <v>-39.998038303171192</v>
      </c>
      <c r="G66" s="11"/>
      <c r="H66" s="11">
        <f t="shared" si="8"/>
        <v>5352009260481</v>
      </c>
      <c r="I66" s="11">
        <f t="shared" si="8"/>
        <v>-137231006679</v>
      </c>
      <c r="J66" s="11">
        <f t="shared" si="8"/>
        <v>3518743761</v>
      </c>
      <c r="K66" s="11">
        <f t="shared" si="8"/>
        <v>-90224199</v>
      </c>
      <c r="L66" s="11">
        <f t="shared" si="8"/>
        <v>2313441</v>
      </c>
      <c r="M66" s="11">
        <f t="shared" si="8"/>
        <v>-59319</v>
      </c>
      <c r="N66" s="11">
        <f t="shared" si="8"/>
        <v>1521</v>
      </c>
      <c r="O66" s="11">
        <f t="shared" si="8"/>
        <v>-39</v>
      </c>
      <c r="P66" s="11">
        <f t="shared" si="7"/>
        <v>0</v>
      </c>
    </row>
    <row r="67" spans="1:16" x14ac:dyDescent="0.25">
      <c r="A67" s="11">
        <f t="shared" si="6"/>
        <v>12</v>
      </c>
      <c r="B67">
        <v>-39.822821236157395</v>
      </c>
      <c r="E67" s="11">
        <f>A67-'Mastercurve bestimmen'!$B$2</f>
        <v>-38</v>
      </c>
      <c r="F67" s="11">
        <f t="shared" si="4"/>
        <v>-39.822821236157395</v>
      </c>
      <c r="G67" s="11"/>
      <c r="H67" s="11">
        <f t="shared" si="8"/>
        <v>4347792138496</v>
      </c>
      <c r="I67" s="11">
        <f t="shared" si="8"/>
        <v>-114415582592</v>
      </c>
      <c r="J67" s="11">
        <f t="shared" si="8"/>
        <v>3010936384</v>
      </c>
      <c r="K67" s="11">
        <f t="shared" si="8"/>
        <v>-79235168</v>
      </c>
      <c r="L67" s="11">
        <f t="shared" si="8"/>
        <v>2085136</v>
      </c>
      <c r="M67" s="11">
        <f t="shared" si="8"/>
        <v>-54872</v>
      </c>
      <c r="N67" s="11">
        <f t="shared" si="8"/>
        <v>1444</v>
      </c>
      <c r="O67" s="11">
        <f t="shared" si="8"/>
        <v>-38</v>
      </c>
      <c r="P67" s="11">
        <f t="shared" si="7"/>
        <v>0</v>
      </c>
    </row>
    <row r="68" spans="1:16" x14ac:dyDescent="0.25">
      <c r="A68" s="11">
        <f t="shared" si="6"/>
        <v>13</v>
      </c>
      <c r="B68">
        <v>-39.645500751120565</v>
      </c>
      <c r="E68" s="11">
        <f>A68-'Mastercurve bestimmen'!$B$2</f>
        <v>-37</v>
      </c>
      <c r="F68" s="11">
        <f t="shared" si="4"/>
        <v>-39.645500751120565</v>
      </c>
      <c r="G68" s="11"/>
      <c r="H68" s="11">
        <f t="shared" si="8"/>
        <v>3512479453921</v>
      </c>
      <c r="I68" s="11">
        <f t="shared" si="8"/>
        <v>-94931877133</v>
      </c>
      <c r="J68" s="11">
        <f t="shared" si="8"/>
        <v>2565726409</v>
      </c>
      <c r="K68" s="11">
        <f t="shared" si="8"/>
        <v>-69343957</v>
      </c>
      <c r="L68" s="11">
        <f t="shared" si="8"/>
        <v>1874161</v>
      </c>
      <c r="M68" s="11">
        <f t="shared" si="8"/>
        <v>-50653</v>
      </c>
      <c r="N68" s="11">
        <f t="shared" si="8"/>
        <v>1369</v>
      </c>
      <c r="O68" s="11">
        <f t="shared" si="8"/>
        <v>-37</v>
      </c>
      <c r="P68" s="11">
        <f t="shared" si="7"/>
        <v>0</v>
      </c>
    </row>
    <row r="69" spans="1:16" x14ac:dyDescent="0.25">
      <c r="A69" s="11">
        <f t="shared" si="6"/>
        <v>14</v>
      </c>
      <c r="B69">
        <v>-39.466390429973806</v>
      </c>
      <c r="E69" s="11">
        <f>A69-'Mastercurve bestimmen'!$B$2</f>
        <v>-36</v>
      </c>
      <c r="F69" s="11">
        <f t="shared" si="4"/>
        <v>-39.466390429973806</v>
      </c>
      <c r="G69" s="11"/>
      <c r="H69" s="11">
        <f t="shared" si="8"/>
        <v>2821109907456</v>
      </c>
      <c r="I69" s="11">
        <f t="shared" si="8"/>
        <v>-78364164096</v>
      </c>
      <c r="J69" s="11">
        <f t="shared" si="8"/>
        <v>2176782336</v>
      </c>
      <c r="K69" s="11">
        <f t="shared" si="8"/>
        <v>-60466176</v>
      </c>
      <c r="L69" s="11">
        <f t="shared" si="8"/>
        <v>1679616</v>
      </c>
      <c r="M69" s="11">
        <f t="shared" si="8"/>
        <v>-46656</v>
      </c>
      <c r="N69" s="11">
        <f t="shared" si="8"/>
        <v>1296</v>
      </c>
      <c r="O69" s="11">
        <f t="shared" si="8"/>
        <v>-36</v>
      </c>
      <c r="P69" s="11">
        <f t="shared" si="7"/>
        <v>0</v>
      </c>
    </row>
    <row r="70" spans="1:16" x14ac:dyDescent="0.25">
      <c r="A70" s="11">
        <f t="shared" si="6"/>
        <v>15</v>
      </c>
      <c r="B70">
        <v>-39.285803854630217</v>
      </c>
      <c r="E70" s="11">
        <f>A70-'Mastercurve bestimmen'!$B$2</f>
        <v>-35</v>
      </c>
      <c r="F70" s="11">
        <f t="shared" si="4"/>
        <v>-39.285803854630217</v>
      </c>
      <c r="G70" s="11"/>
      <c r="H70" s="11">
        <f t="shared" si="8"/>
        <v>2251875390625</v>
      </c>
      <c r="I70" s="11">
        <f t="shared" si="8"/>
        <v>-64339296875</v>
      </c>
      <c r="J70" s="11">
        <f t="shared" si="8"/>
        <v>1838265625</v>
      </c>
      <c r="K70" s="11">
        <f t="shared" si="8"/>
        <v>-52521875</v>
      </c>
      <c r="L70" s="11">
        <f t="shared" si="8"/>
        <v>1500625</v>
      </c>
      <c r="M70" s="11">
        <f t="shared" si="8"/>
        <v>-42875</v>
      </c>
      <c r="N70" s="11">
        <f t="shared" si="8"/>
        <v>1225</v>
      </c>
      <c r="O70" s="11">
        <f t="shared" si="8"/>
        <v>-35</v>
      </c>
      <c r="P70" s="11">
        <f t="shared" si="7"/>
        <v>0</v>
      </c>
    </row>
    <row r="71" spans="1:16" x14ac:dyDescent="0.25">
      <c r="A71" s="11">
        <f t="shared" si="6"/>
        <v>16</v>
      </c>
      <c r="B71">
        <v>-39.104054607002894</v>
      </c>
      <c r="E71" s="11">
        <f>A71-'Mastercurve bestimmen'!$B$2</f>
        <v>-34</v>
      </c>
      <c r="F71" s="11">
        <f t="shared" si="4"/>
        <v>-39.104054607002894</v>
      </c>
      <c r="G71" s="11"/>
      <c r="H71" s="11">
        <f t="shared" si="8"/>
        <v>1785793904896</v>
      </c>
      <c r="I71" s="11">
        <f t="shared" si="8"/>
        <v>-52523350144</v>
      </c>
      <c r="J71" s="11">
        <f t="shared" si="8"/>
        <v>1544804416</v>
      </c>
      <c r="K71" s="11">
        <f t="shared" si="8"/>
        <v>-45435424</v>
      </c>
      <c r="L71" s="11">
        <f t="shared" si="8"/>
        <v>1336336</v>
      </c>
      <c r="M71" s="11">
        <f t="shared" si="8"/>
        <v>-39304</v>
      </c>
      <c r="N71" s="11">
        <f t="shared" si="8"/>
        <v>1156</v>
      </c>
      <c r="O71" s="11">
        <f t="shared" si="8"/>
        <v>-34</v>
      </c>
      <c r="P71" s="11">
        <f t="shared" si="7"/>
        <v>0</v>
      </c>
    </row>
    <row r="72" spans="1:16" x14ac:dyDescent="0.25">
      <c r="A72" s="11">
        <f t="shared" si="6"/>
        <v>17</v>
      </c>
      <c r="B72">
        <v>-38.921456269004949</v>
      </c>
      <c r="E72" s="11">
        <f>A72-'Mastercurve bestimmen'!$B$2</f>
        <v>-33</v>
      </c>
      <c r="F72" s="11">
        <f t="shared" si="4"/>
        <v>-38.921456269004949</v>
      </c>
      <c r="G72" s="11"/>
      <c r="H72" s="11">
        <f t="shared" si="8"/>
        <v>1406408618241</v>
      </c>
      <c r="I72" s="11">
        <f t="shared" si="8"/>
        <v>-42618442977</v>
      </c>
      <c r="J72" s="11">
        <f t="shared" si="8"/>
        <v>1291467969</v>
      </c>
      <c r="K72" s="11">
        <f t="shared" si="8"/>
        <v>-39135393</v>
      </c>
      <c r="L72" s="11">
        <f t="shared" si="8"/>
        <v>1185921</v>
      </c>
      <c r="M72" s="11">
        <f t="shared" si="8"/>
        <v>-35937</v>
      </c>
      <c r="N72" s="11">
        <f t="shared" si="8"/>
        <v>1089</v>
      </c>
      <c r="O72" s="11">
        <f t="shared" si="8"/>
        <v>-33</v>
      </c>
      <c r="P72" s="11">
        <f t="shared" si="7"/>
        <v>0</v>
      </c>
    </row>
    <row r="73" spans="1:16" x14ac:dyDescent="0.25">
      <c r="A73" s="11">
        <f t="shared" si="6"/>
        <v>18</v>
      </c>
      <c r="B73">
        <v>-38.738322422549487</v>
      </c>
      <c r="E73" s="11">
        <f>A73-'Mastercurve bestimmen'!$B$2</f>
        <v>-32</v>
      </c>
      <c r="F73" s="11">
        <f t="shared" si="4"/>
        <v>-38.738322422549487</v>
      </c>
      <c r="G73" s="11"/>
      <c r="H73" s="11">
        <f t="shared" si="8"/>
        <v>1099511627776</v>
      </c>
      <c r="I73" s="11">
        <f t="shared" si="8"/>
        <v>-34359738368</v>
      </c>
      <c r="J73" s="11">
        <f t="shared" si="8"/>
        <v>1073741824</v>
      </c>
      <c r="K73" s="11">
        <f t="shared" si="8"/>
        <v>-33554432</v>
      </c>
      <c r="L73" s="11">
        <f t="shared" si="8"/>
        <v>1048576</v>
      </c>
      <c r="M73" s="11">
        <f t="shared" si="8"/>
        <v>-32768</v>
      </c>
      <c r="N73" s="11">
        <f t="shared" si="8"/>
        <v>1024</v>
      </c>
      <c r="O73" s="11">
        <f t="shared" si="8"/>
        <v>-32</v>
      </c>
      <c r="P73" s="11">
        <f t="shared" si="7"/>
        <v>0</v>
      </c>
    </row>
    <row r="74" spans="1:16" x14ac:dyDescent="0.25">
      <c r="A74" s="11">
        <f t="shared" si="6"/>
        <v>19</v>
      </c>
      <c r="B74">
        <v>-38.554966649549606</v>
      </c>
      <c r="E74" s="11">
        <f>A74-'Mastercurve bestimmen'!$B$2</f>
        <v>-31</v>
      </c>
      <c r="F74" s="11">
        <f t="shared" si="4"/>
        <v>-38.554966649549606</v>
      </c>
      <c r="G74" s="11"/>
      <c r="H74" s="11">
        <f t="shared" si="8"/>
        <v>852891037441</v>
      </c>
      <c r="I74" s="11">
        <f t="shared" si="8"/>
        <v>-27512614111</v>
      </c>
      <c r="J74" s="11">
        <f t="shared" si="8"/>
        <v>887503681</v>
      </c>
      <c r="K74" s="11">
        <f t="shared" si="8"/>
        <v>-28629151</v>
      </c>
      <c r="L74" s="11">
        <f t="shared" si="8"/>
        <v>923521</v>
      </c>
      <c r="M74" s="11">
        <f t="shared" si="8"/>
        <v>-29791</v>
      </c>
      <c r="N74" s="11">
        <f t="shared" si="8"/>
        <v>961</v>
      </c>
      <c r="O74" s="11">
        <f t="shared" si="8"/>
        <v>-31</v>
      </c>
      <c r="P74" s="11">
        <f t="shared" si="7"/>
        <v>0</v>
      </c>
    </row>
    <row r="75" spans="1:16" x14ac:dyDescent="0.25">
      <c r="A75" s="11">
        <f t="shared" si="6"/>
        <v>20</v>
      </c>
      <c r="B75">
        <v>-38.371702531918402</v>
      </c>
      <c r="E75" s="11">
        <f>A75-'Mastercurve bestimmen'!$B$2</f>
        <v>-30</v>
      </c>
      <c r="F75" s="11">
        <f t="shared" si="4"/>
        <v>-38.371702531918402</v>
      </c>
      <c r="G75" s="11"/>
      <c r="H75" s="11">
        <f t="shared" si="8"/>
        <v>656100000000</v>
      </c>
      <c r="I75" s="11">
        <f t="shared" si="8"/>
        <v>-21870000000</v>
      </c>
      <c r="J75" s="11">
        <f t="shared" si="8"/>
        <v>729000000</v>
      </c>
      <c r="K75" s="11">
        <f t="shared" si="8"/>
        <v>-24300000</v>
      </c>
      <c r="L75" s="11">
        <f t="shared" si="8"/>
        <v>810000</v>
      </c>
      <c r="M75" s="11">
        <f t="shared" si="8"/>
        <v>-27000</v>
      </c>
      <c r="N75" s="11">
        <f t="shared" si="8"/>
        <v>900</v>
      </c>
      <c r="O75" s="11">
        <f t="shared" si="8"/>
        <v>-30</v>
      </c>
      <c r="P75" s="11">
        <f t="shared" si="7"/>
        <v>0</v>
      </c>
    </row>
    <row r="76" spans="1:16" x14ac:dyDescent="0.25">
      <c r="A76" s="11">
        <f t="shared" si="6"/>
        <v>21</v>
      </c>
      <c r="B76">
        <v>-38.188843651568995</v>
      </c>
      <c r="E76" s="11">
        <f>A76-'Mastercurve bestimmen'!$B$2</f>
        <v>-29</v>
      </c>
      <c r="F76" s="11">
        <f t="shared" si="4"/>
        <v>-38.188843651568995</v>
      </c>
      <c r="G76" s="11"/>
      <c r="H76" s="11">
        <f t="shared" si="8"/>
        <v>500246412961</v>
      </c>
      <c r="I76" s="11">
        <f t="shared" si="8"/>
        <v>-17249876309</v>
      </c>
      <c r="J76" s="11">
        <f t="shared" si="8"/>
        <v>594823321</v>
      </c>
      <c r="K76" s="11">
        <f t="shared" si="8"/>
        <v>-20511149</v>
      </c>
      <c r="L76" s="11">
        <f t="shared" si="8"/>
        <v>707281</v>
      </c>
      <c r="M76" s="11">
        <f t="shared" si="8"/>
        <v>-24389</v>
      </c>
      <c r="N76" s="11">
        <f t="shared" si="8"/>
        <v>841</v>
      </c>
      <c r="O76" s="11">
        <f t="shared" si="8"/>
        <v>-29</v>
      </c>
      <c r="P76" s="11">
        <f t="shared" si="7"/>
        <v>0</v>
      </c>
    </row>
    <row r="77" spans="1:16" x14ac:dyDescent="0.25">
      <c r="A77" s="11">
        <f t="shared" si="6"/>
        <v>22</v>
      </c>
      <c r="B77">
        <v>-38.006703590414475</v>
      </c>
      <c r="E77" s="11">
        <f>A77-'Mastercurve bestimmen'!$B$2</f>
        <v>-28</v>
      </c>
      <c r="F77" s="11">
        <f t="shared" si="4"/>
        <v>-38.006703590414475</v>
      </c>
      <c r="G77" s="11"/>
      <c r="H77" s="11">
        <f t="shared" si="8"/>
        <v>377801998336</v>
      </c>
      <c r="I77" s="11">
        <f t="shared" si="8"/>
        <v>-13492928512</v>
      </c>
      <c r="J77" s="11">
        <f t="shared" si="8"/>
        <v>481890304</v>
      </c>
      <c r="K77" s="11">
        <f t="shared" si="8"/>
        <v>-17210368</v>
      </c>
      <c r="L77" s="11">
        <f t="shared" si="8"/>
        <v>614656</v>
      </c>
      <c r="M77" s="11">
        <f t="shared" si="8"/>
        <v>-21952</v>
      </c>
      <c r="N77" s="11">
        <f t="shared" si="8"/>
        <v>784</v>
      </c>
      <c r="O77" s="11">
        <f t="shared" si="8"/>
        <v>-28</v>
      </c>
      <c r="P77" s="11">
        <f t="shared" si="7"/>
        <v>0</v>
      </c>
    </row>
    <row r="78" spans="1:16" x14ac:dyDescent="0.25">
      <c r="A78" s="11">
        <f t="shared" si="6"/>
        <v>23</v>
      </c>
      <c r="B78">
        <v>-37.825595930367939</v>
      </c>
      <c r="E78" s="11">
        <f>A78-'Mastercurve bestimmen'!$B$2</f>
        <v>-27</v>
      </c>
      <c r="F78" s="11">
        <f t="shared" si="4"/>
        <v>-37.825595930367939</v>
      </c>
      <c r="G78" s="11"/>
      <c r="H78" s="11">
        <f t="shared" si="8"/>
        <v>282429536481</v>
      </c>
      <c r="I78" s="11">
        <f t="shared" si="8"/>
        <v>-10460353203</v>
      </c>
      <c r="J78" s="11">
        <f t="shared" si="8"/>
        <v>387420489</v>
      </c>
      <c r="K78" s="11">
        <f t="shared" si="8"/>
        <v>-14348907</v>
      </c>
      <c r="L78" s="11">
        <f t="shared" si="8"/>
        <v>531441</v>
      </c>
      <c r="M78" s="11">
        <f t="shared" si="8"/>
        <v>-19683</v>
      </c>
      <c r="N78" s="11">
        <f t="shared" si="8"/>
        <v>729</v>
      </c>
      <c r="O78" s="11">
        <f t="shared" si="8"/>
        <v>-27</v>
      </c>
      <c r="P78" s="11">
        <f t="shared" si="7"/>
        <v>0</v>
      </c>
    </row>
    <row r="79" spans="1:16" x14ac:dyDescent="0.25">
      <c r="A79" s="11">
        <f t="shared" si="6"/>
        <v>24</v>
      </c>
      <c r="B79">
        <v>-37.645834253342514</v>
      </c>
      <c r="E79" s="11">
        <f>A79-'Mastercurve bestimmen'!$B$2</f>
        <v>-26</v>
      </c>
      <c r="F79" s="11">
        <f t="shared" si="4"/>
        <v>-37.645834253342514</v>
      </c>
      <c r="G79" s="11"/>
      <c r="H79" s="11">
        <f t="shared" si="8"/>
        <v>208827064576</v>
      </c>
      <c r="I79" s="11">
        <f t="shared" si="8"/>
        <v>-8031810176</v>
      </c>
      <c r="J79" s="11">
        <f t="shared" si="8"/>
        <v>308915776</v>
      </c>
      <c r="K79" s="11">
        <f t="shared" si="8"/>
        <v>-11881376</v>
      </c>
      <c r="L79" s="11">
        <f t="shared" si="8"/>
        <v>456976</v>
      </c>
      <c r="M79" s="11">
        <f t="shared" si="8"/>
        <v>-17576</v>
      </c>
      <c r="N79" s="11">
        <f t="shared" si="8"/>
        <v>676</v>
      </c>
      <c r="O79" s="11">
        <f t="shared" ref="I79:O116" si="9">IF($H$12&gt;=O$14,$E79^O$14,0)</f>
        <v>-26</v>
      </c>
      <c r="P79" s="11">
        <f t="shared" si="7"/>
        <v>0</v>
      </c>
    </row>
    <row r="80" spans="1:16" x14ac:dyDescent="0.25">
      <c r="A80" s="11">
        <f t="shared" si="6"/>
        <v>25</v>
      </c>
      <c r="B80">
        <v>-37.467732141251275</v>
      </c>
      <c r="E80" s="11">
        <f>A80-'Mastercurve bestimmen'!$B$2</f>
        <v>-25</v>
      </c>
      <c r="F80" s="11">
        <f t="shared" ref="F80:F143" si="10">B80</f>
        <v>-37.467732141251275</v>
      </c>
      <c r="G80" s="11"/>
      <c r="H80" s="11">
        <f t="shared" ref="H80:H143" si="11">IF($H$12&gt;=H$14,$E80^H$14,0)</f>
        <v>152587890625</v>
      </c>
      <c r="I80" s="11">
        <f t="shared" si="9"/>
        <v>-6103515625</v>
      </c>
      <c r="J80" s="11">
        <f t="shared" si="9"/>
        <v>244140625</v>
      </c>
      <c r="K80" s="11">
        <f t="shared" si="9"/>
        <v>-9765625</v>
      </c>
      <c r="L80" s="11">
        <f t="shared" si="9"/>
        <v>390625</v>
      </c>
      <c r="M80" s="11">
        <f t="shared" si="9"/>
        <v>-15625</v>
      </c>
      <c r="N80" s="11">
        <f t="shared" si="9"/>
        <v>625</v>
      </c>
      <c r="O80" s="11">
        <f t="shared" si="9"/>
        <v>-25</v>
      </c>
      <c r="P80" s="11">
        <f t="shared" si="7"/>
        <v>0</v>
      </c>
    </row>
    <row r="81" spans="1:16" x14ac:dyDescent="0.25">
      <c r="A81" s="11">
        <f t="shared" ref="A81:A144" si="12">A80+1</f>
        <v>26</v>
      </c>
      <c r="B81">
        <v>-37.291414253640276</v>
      </c>
      <c r="E81" s="11">
        <f>A81-'Mastercurve bestimmen'!$B$2</f>
        <v>-24</v>
      </c>
      <c r="F81" s="11">
        <f t="shared" si="10"/>
        <v>-37.291414253640276</v>
      </c>
      <c r="G81" s="11"/>
      <c r="H81" s="11">
        <f t="shared" si="11"/>
        <v>110075314176</v>
      </c>
      <c r="I81" s="11">
        <f t="shared" si="9"/>
        <v>-4586471424</v>
      </c>
      <c r="J81" s="11">
        <f t="shared" si="9"/>
        <v>191102976</v>
      </c>
      <c r="K81" s="11">
        <f t="shared" si="9"/>
        <v>-7962624</v>
      </c>
      <c r="L81" s="11">
        <f t="shared" si="9"/>
        <v>331776</v>
      </c>
      <c r="M81" s="11">
        <f t="shared" si="9"/>
        <v>-13824</v>
      </c>
      <c r="N81" s="11">
        <f t="shared" si="9"/>
        <v>576</v>
      </c>
      <c r="O81" s="11">
        <f t="shared" si="9"/>
        <v>-24</v>
      </c>
      <c r="P81" s="11">
        <f t="shared" ref="P81:P144" si="13">P80</f>
        <v>0</v>
      </c>
    </row>
    <row r="82" spans="1:16" x14ac:dyDescent="0.25">
      <c r="A82" s="11">
        <f t="shared" si="12"/>
        <v>27</v>
      </c>
      <c r="B82">
        <v>-37.116249560587271</v>
      </c>
      <c r="E82" s="11">
        <f>A82-'Mastercurve bestimmen'!$B$2</f>
        <v>-23</v>
      </c>
      <c r="F82" s="11">
        <f t="shared" si="10"/>
        <v>-37.116249560587271</v>
      </c>
      <c r="G82" s="11"/>
      <c r="H82" s="11">
        <f t="shared" si="11"/>
        <v>78310985281</v>
      </c>
      <c r="I82" s="11">
        <f t="shared" si="9"/>
        <v>-3404825447</v>
      </c>
      <c r="J82" s="11">
        <f t="shared" si="9"/>
        <v>148035889</v>
      </c>
      <c r="K82" s="11">
        <f t="shared" si="9"/>
        <v>-6436343</v>
      </c>
      <c r="L82" s="11">
        <f t="shared" si="9"/>
        <v>279841</v>
      </c>
      <c r="M82" s="11">
        <f t="shared" si="9"/>
        <v>-12167</v>
      </c>
      <c r="N82" s="11">
        <f t="shared" si="9"/>
        <v>529</v>
      </c>
      <c r="O82" s="11">
        <f t="shared" si="9"/>
        <v>-23</v>
      </c>
      <c r="P82" s="11">
        <f t="shared" si="13"/>
        <v>0</v>
      </c>
    </row>
    <row r="83" spans="1:16" x14ac:dyDescent="0.25">
      <c r="A83" s="11">
        <f t="shared" si="12"/>
        <v>28</v>
      </c>
      <c r="B83">
        <v>-36.941418109802967</v>
      </c>
      <c r="E83" s="11">
        <f>A83-'Mastercurve bestimmen'!$B$2</f>
        <v>-22</v>
      </c>
      <c r="F83" s="11">
        <f t="shared" si="10"/>
        <v>-36.941418109802967</v>
      </c>
      <c r="G83" s="11"/>
      <c r="H83" s="11">
        <f t="shared" si="11"/>
        <v>54875873536</v>
      </c>
      <c r="I83" s="11">
        <f t="shared" si="9"/>
        <v>-2494357888</v>
      </c>
      <c r="J83" s="11">
        <f t="shared" si="9"/>
        <v>113379904</v>
      </c>
      <c r="K83" s="11">
        <f t="shared" si="9"/>
        <v>-5153632</v>
      </c>
      <c r="L83" s="11">
        <f t="shared" si="9"/>
        <v>234256</v>
      </c>
      <c r="M83" s="11">
        <f t="shared" si="9"/>
        <v>-10648</v>
      </c>
      <c r="N83" s="11">
        <f t="shared" si="9"/>
        <v>484</v>
      </c>
      <c r="O83" s="11">
        <f t="shared" si="9"/>
        <v>-22</v>
      </c>
      <c r="P83" s="11">
        <f t="shared" si="13"/>
        <v>0</v>
      </c>
    </row>
    <row r="84" spans="1:16" x14ac:dyDescent="0.25">
      <c r="A84" s="11">
        <f t="shared" si="12"/>
        <v>29</v>
      </c>
      <c r="B84">
        <v>-36.766099948998033</v>
      </c>
      <c r="E84" s="11">
        <f>A84-'Mastercurve bestimmen'!$B$2</f>
        <v>-21</v>
      </c>
      <c r="F84" s="11">
        <f t="shared" si="10"/>
        <v>-36.766099948998033</v>
      </c>
      <c r="G84" s="11"/>
      <c r="H84" s="11">
        <f t="shared" si="11"/>
        <v>37822859361</v>
      </c>
      <c r="I84" s="11">
        <f t="shared" si="9"/>
        <v>-1801088541</v>
      </c>
      <c r="J84" s="11">
        <f t="shared" si="9"/>
        <v>85766121</v>
      </c>
      <c r="K84" s="11">
        <f t="shared" si="9"/>
        <v>-4084101</v>
      </c>
      <c r="L84" s="11">
        <f t="shared" si="9"/>
        <v>194481</v>
      </c>
      <c r="M84" s="11">
        <f t="shared" si="9"/>
        <v>-9261</v>
      </c>
      <c r="N84" s="11">
        <f t="shared" si="9"/>
        <v>441</v>
      </c>
      <c r="O84" s="11">
        <f t="shared" si="9"/>
        <v>-21</v>
      </c>
      <c r="P84" s="11">
        <f t="shared" si="13"/>
        <v>0</v>
      </c>
    </row>
    <row r="85" spans="1:16" x14ac:dyDescent="0.25">
      <c r="A85" s="11">
        <f t="shared" si="12"/>
        <v>30</v>
      </c>
      <c r="B85">
        <v>-36.589475125883204</v>
      </c>
      <c r="E85" s="11">
        <f>A85-'Mastercurve bestimmen'!$B$2</f>
        <v>-20</v>
      </c>
      <c r="F85" s="11">
        <f t="shared" si="10"/>
        <v>-36.589475125883204</v>
      </c>
      <c r="G85" s="11"/>
      <c r="H85" s="11">
        <f t="shared" si="11"/>
        <v>25600000000</v>
      </c>
      <c r="I85" s="11">
        <f t="shared" si="9"/>
        <v>-1280000000</v>
      </c>
      <c r="J85" s="11">
        <f t="shared" si="9"/>
        <v>64000000</v>
      </c>
      <c r="K85" s="11">
        <f t="shared" si="9"/>
        <v>-3200000</v>
      </c>
      <c r="L85" s="11">
        <f t="shared" si="9"/>
        <v>160000</v>
      </c>
      <c r="M85" s="11">
        <f t="shared" si="9"/>
        <v>-8000</v>
      </c>
      <c r="N85" s="11">
        <f t="shared" si="9"/>
        <v>400</v>
      </c>
      <c r="O85" s="11">
        <f t="shared" si="9"/>
        <v>-20</v>
      </c>
      <c r="P85" s="11">
        <f t="shared" si="13"/>
        <v>0</v>
      </c>
    </row>
    <row r="86" spans="1:16" x14ac:dyDescent="0.25">
      <c r="A86" s="11">
        <f t="shared" si="12"/>
        <v>31</v>
      </c>
      <c r="B86">
        <v>-36.410723688169142</v>
      </c>
      <c r="E86" s="11">
        <f>A86-'Mastercurve bestimmen'!$B$2</f>
        <v>-19</v>
      </c>
      <c r="F86" s="11">
        <f t="shared" si="10"/>
        <v>-36.410723688169142</v>
      </c>
      <c r="G86" s="11"/>
      <c r="H86" s="11">
        <f t="shared" si="11"/>
        <v>16983563041</v>
      </c>
      <c r="I86" s="11">
        <f t="shared" si="9"/>
        <v>-893871739</v>
      </c>
      <c r="J86" s="11">
        <f t="shared" si="9"/>
        <v>47045881</v>
      </c>
      <c r="K86" s="11">
        <f t="shared" si="9"/>
        <v>-2476099</v>
      </c>
      <c r="L86" s="11">
        <f t="shared" si="9"/>
        <v>130321</v>
      </c>
      <c r="M86" s="11">
        <f t="shared" si="9"/>
        <v>-6859</v>
      </c>
      <c r="N86" s="11">
        <f t="shared" si="9"/>
        <v>361</v>
      </c>
      <c r="O86" s="11">
        <f t="shared" si="9"/>
        <v>-19</v>
      </c>
      <c r="P86" s="11">
        <f t="shared" si="13"/>
        <v>0</v>
      </c>
    </row>
    <row r="87" spans="1:16" x14ac:dyDescent="0.25">
      <c r="A87" s="11">
        <f t="shared" si="12"/>
        <v>32</v>
      </c>
      <c r="B87">
        <v>-36.229025683566562</v>
      </c>
      <c r="E87" s="11">
        <f>A87-'Mastercurve bestimmen'!$B$2</f>
        <v>-18</v>
      </c>
      <c r="F87" s="11">
        <f t="shared" si="10"/>
        <v>-36.229025683566562</v>
      </c>
      <c r="G87" s="11"/>
      <c r="H87" s="11">
        <f t="shared" si="11"/>
        <v>11019960576</v>
      </c>
      <c r="I87" s="11">
        <f t="shared" si="9"/>
        <v>-612220032</v>
      </c>
      <c r="J87" s="11">
        <f t="shared" si="9"/>
        <v>34012224</v>
      </c>
      <c r="K87" s="11">
        <f t="shared" si="9"/>
        <v>-1889568</v>
      </c>
      <c r="L87" s="11">
        <f t="shared" si="9"/>
        <v>104976</v>
      </c>
      <c r="M87" s="11">
        <f t="shared" si="9"/>
        <v>-5832</v>
      </c>
      <c r="N87" s="11">
        <f t="shared" si="9"/>
        <v>324</v>
      </c>
      <c r="O87" s="11">
        <f t="shared" si="9"/>
        <v>-18</v>
      </c>
      <c r="P87" s="11">
        <f t="shared" si="13"/>
        <v>0</v>
      </c>
    </row>
    <row r="88" spans="1:16" x14ac:dyDescent="0.25">
      <c r="A88" s="11">
        <f t="shared" si="12"/>
        <v>33</v>
      </c>
      <c r="B88">
        <v>-36.043561159786151</v>
      </c>
      <c r="E88" s="11">
        <f>A88-'Mastercurve bestimmen'!$B$2</f>
        <v>-17</v>
      </c>
      <c r="F88" s="11">
        <f t="shared" si="10"/>
        <v>-36.043561159786151</v>
      </c>
      <c r="G88" s="11"/>
      <c r="H88" s="11">
        <f t="shared" si="11"/>
        <v>6975757441</v>
      </c>
      <c r="I88" s="11">
        <f t="shared" si="9"/>
        <v>-410338673</v>
      </c>
      <c r="J88" s="11">
        <f t="shared" si="9"/>
        <v>24137569</v>
      </c>
      <c r="K88" s="11">
        <f t="shared" si="9"/>
        <v>-1419857</v>
      </c>
      <c r="L88" s="11">
        <f t="shared" si="9"/>
        <v>83521</v>
      </c>
      <c r="M88" s="11">
        <f t="shared" si="9"/>
        <v>-4913</v>
      </c>
      <c r="N88" s="11">
        <f t="shared" si="9"/>
        <v>289</v>
      </c>
      <c r="O88" s="11">
        <f t="shared" si="9"/>
        <v>-17</v>
      </c>
      <c r="P88" s="11">
        <f t="shared" si="13"/>
        <v>0</v>
      </c>
    </row>
    <row r="89" spans="1:16" x14ac:dyDescent="0.25">
      <c r="A89" s="11">
        <f t="shared" si="12"/>
        <v>34</v>
      </c>
      <c r="B89">
        <v>-35.853510164538605</v>
      </c>
      <c r="E89" s="11">
        <f>A89-'Mastercurve bestimmen'!$B$2</f>
        <v>-16</v>
      </c>
      <c r="F89" s="11">
        <f t="shared" si="10"/>
        <v>-35.853510164538605</v>
      </c>
      <c r="G89" s="11"/>
      <c r="H89" s="11">
        <f t="shared" si="11"/>
        <v>4294967296</v>
      </c>
      <c r="I89" s="11">
        <f t="shared" si="9"/>
        <v>-268435456</v>
      </c>
      <c r="J89" s="11">
        <f t="shared" si="9"/>
        <v>16777216</v>
      </c>
      <c r="K89" s="11">
        <f t="shared" si="9"/>
        <v>-1048576</v>
      </c>
      <c r="L89" s="11">
        <f t="shared" si="9"/>
        <v>65536</v>
      </c>
      <c r="M89" s="11">
        <f t="shared" si="9"/>
        <v>-4096</v>
      </c>
      <c r="N89" s="11">
        <f t="shared" si="9"/>
        <v>256</v>
      </c>
      <c r="O89" s="11">
        <f t="shared" si="9"/>
        <v>-16</v>
      </c>
      <c r="P89" s="11">
        <f t="shared" si="13"/>
        <v>0</v>
      </c>
    </row>
    <row r="90" spans="1:16" x14ac:dyDescent="0.25">
      <c r="A90" s="11">
        <f t="shared" si="12"/>
        <v>35</v>
      </c>
      <c r="B90">
        <v>-35.658052745534626</v>
      </c>
      <c r="E90" s="11">
        <f>A90-'Mastercurve bestimmen'!$B$2</f>
        <v>-15</v>
      </c>
      <c r="F90" s="11">
        <f t="shared" si="10"/>
        <v>-35.658052745534626</v>
      </c>
      <c r="G90" s="11"/>
      <c r="H90" s="11">
        <f t="shared" si="11"/>
        <v>2562890625</v>
      </c>
      <c r="I90" s="11">
        <f t="shared" si="9"/>
        <v>-170859375</v>
      </c>
      <c r="J90" s="11">
        <f t="shared" si="9"/>
        <v>11390625</v>
      </c>
      <c r="K90" s="11">
        <f t="shared" si="9"/>
        <v>-759375</v>
      </c>
      <c r="L90" s="11">
        <f t="shared" si="9"/>
        <v>50625</v>
      </c>
      <c r="M90" s="11">
        <f t="shared" si="9"/>
        <v>-3375</v>
      </c>
      <c r="N90" s="11">
        <f t="shared" si="9"/>
        <v>225</v>
      </c>
      <c r="O90" s="11">
        <f t="shared" si="9"/>
        <v>-15</v>
      </c>
      <c r="P90" s="11">
        <f t="shared" si="13"/>
        <v>0</v>
      </c>
    </row>
    <row r="91" spans="1:16" x14ac:dyDescent="0.25">
      <c r="A91" s="11">
        <f t="shared" si="12"/>
        <v>36</v>
      </c>
      <c r="B91">
        <v>-35.456368950484901</v>
      </c>
      <c r="E91" s="11">
        <f>A91-'Mastercurve bestimmen'!$B$2</f>
        <v>-14</v>
      </c>
      <c r="F91" s="11">
        <f t="shared" si="10"/>
        <v>-35.456368950484901</v>
      </c>
      <c r="G91" s="11"/>
      <c r="H91" s="11">
        <f t="shared" si="11"/>
        <v>1475789056</v>
      </c>
      <c r="I91" s="11">
        <f t="shared" si="9"/>
        <v>-105413504</v>
      </c>
      <c r="J91" s="11">
        <f t="shared" si="9"/>
        <v>7529536</v>
      </c>
      <c r="K91" s="11">
        <f t="shared" si="9"/>
        <v>-537824</v>
      </c>
      <c r="L91" s="11">
        <f t="shared" si="9"/>
        <v>38416</v>
      </c>
      <c r="M91" s="11">
        <f t="shared" si="9"/>
        <v>-2744</v>
      </c>
      <c r="N91" s="11">
        <f t="shared" si="9"/>
        <v>196</v>
      </c>
      <c r="O91" s="11">
        <f t="shared" si="9"/>
        <v>-14</v>
      </c>
      <c r="P91" s="11">
        <f t="shared" si="13"/>
        <v>0</v>
      </c>
    </row>
    <row r="92" spans="1:16" x14ac:dyDescent="0.25">
      <c r="A92" s="11">
        <f t="shared" si="12"/>
        <v>37</v>
      </c>
      <c r="B92">
        <v>-35.247638827100133</v>
      </c>
      <c r="E92" s="11">
        <f>A92-'Mastercurve bestimmen'!$B$2</f>
        <v>-13</v>
      </c>
      <c r="F92" s="11">
        <f t="shared" si="10"/>
        <v>-35.247638827100133</v>
      </c>
      <c r="G92" s="11"/>
      <c r="H92" s="11">
        <f t="shared" si="11"/>
        <v>815730721</v>
      </c>
      <c r="I92" s="11">
        <f t="shared" si="9"/>
        <v>-62748517</v>
      </c>
      <c r="J92" s="11">
        <f t="shared" si="9"/>
        <v>4826809</v>
      </c>
      <c r="K92" s="11">
        <f t="shared" si="9"/>
        <v>-371293</v>
      </c>
      <c r="L92" s="11">
        <f t="shared" si="9"/>
        <v>28561</v>
      </c>
      <c r="M92" s="11">
        <f t="shared" si="9"/>
        <v>-2197</v>
      </c>
      <c r="N92" s="11">
        <f t="shared" si="9"/>
        <v>169</v>
      </c>
      <c r="O92" s="11">
        <f t="shared" si="9"/>
        <v>-13</v>
      </c>
      <c r="P92" s="11">
        <f t="shared" si="13"/>
        <v>0</v>
      </c>
    </row>
    <row r="93" spans="1:16" x14ac:dyDescent="0.25">
      <c r="A93" s="11">
        <f t="shared" si="12"/>
        <v>38</v>
      </c>
      <c r="B93">
        <v>-35.031042423091009</v>
      </c>
      <c r="E93" s="11">
        <f>A93-'Mastercurve bestimmen'!$B$2</f>
        <v>-12</v>
      </c>
      <c r="F93" s="11">
        <f t="shared" si="10"/>
        <v>-35.031042423091009</v>
      </c>
      <c r="G93" s="11"/>
      <c r="H93" s="11">
        <f t="shared" si="11"/>
        <v>429981696</v>
      </c>
      <c r="I93" s="11">
        <f t="shared" si="9"/>
        <v>-35831808</v>
      </c>
      <c r="J93" s="11">
        <f t="shared" si="9"/>
        <v>2985984</v>
      </c>
      <c r="K93" s="11">
        <f t="shared" si="9"/>
        <v>-248832</v>
      </c>
      <c r="L93" s="11">
        <f t="shared" si="9"/>
        <v>20736</v>
      </c>
      <c r="M93" s="11">
        <f t="shared" si="9"/>
        <v>-1728</v>
      </c>
      <c r="N93" s="11">
        <f t="shared" si="9"/>
        <v>144</v>
      </c>
      <c r="O93" s="11">
        <f t="shared" si="9"/>
        <v>-12</v>
      </c>
      <c r="P93" s="11">
        <f t="shared" si="13"/>
        <v>0</v>
      </c>
    </row>
    <row r="94" spans="1:16" x14ac:dyDescent="0.25">
      <c r="A94" s="11">
        <f t="shared" si="12"/>
        <v>39</v>
      </c>
      <c r="B94">
        <v>-34.805759786168238</v>
      </c>
      <c r="E94" s="11">
        <f>A94-'Mastercurve bestimmen'!$B$2</f>
        <v>-11</v>
      </c>
      <c r="F94" s="11">
        <f t="shared" si="10"/>
        <v>-34.805759786168238</v>
      </c>
      <c r="G94" s="11"/>
      <c r="H94" s="11">
        <f t="shared" si="11"/>
        <v>214358881</v>
      </c>
      <c r="I94" s="11">
        <f t="shared" si="9"/>
        <v>-19487171</v>
      </c>
      <c r="J94" s="11">
        <f t="shared" si="9"/>
        <v>1771561</v>
      </c>
      <c r="K94" s="11">
        <f t="shared" si="9"/>
        <v>-161051</v>
      </c>
      <c r="L94" s="11">
        <f t="shared" si="9"/>
        <v>14641</v>
      </c>
      <c r="M94" s="11">
        <f t="shared" si="9"/>
        <v>-1331</v>
      </c>
      <c r="N94" s="11">
        <f t="shared" si="9"/>
        <v>121</v>
      </c>
      <c r="O94" s="11">
        <f t="shared" si="9"/>
        <v>-11</v>
      </c>
      <c r="P94" s="11">
        <f t="shared" si="13"/>
        <v>0</v>
      </c>
    </row>
    <row r="95" spans="1:16" x14ac:dyDescent="0.25">
      <c r="A95" s="11">
        <f t="shared" si="12"/>
        <v>40</v>
      </c>
      <c r="B95">
        <v>-34.570970964042495</v>
      </c>
      <c r="E95" s="11">
        <f>A95-'Mastercurve bestimmen'!$B$2</f>
        <v>-10</v>
      </c>
      <c r="F95" s="11">
        <f t="shared" si="10"/>
        <v>-34.570970964042495</v>
      </c>
      <c r="G95" s="11"/>
      <c r="H95" s="11">
        <f t="shared" si="11"/>
        <v>100000000</v>
      </c>
      <c r="I95" s="11">
        <f t="shared" si="9"/>
        <v>-10000000</v>
      </c>
      <c r="J95" s="11">
        <f t="shared" si="9"/>
        <v>1000000</v>
      </c>
      <c r="K95" s="11">
        <f t="shared" si="9"/>
        <v>-100000</v>
      </c>
      <c r="L95" s="11">
        <f t="shared" si="9"/>
        <v>10000</v>
      </c>
      <c r="M95" s="11">
        <f t="shared" si="9"/>
        <v>-1000</v>
      </c>
      <c r="N95" s="11">
        <f t="shared" si="9"/>
        <v>100</v>
      </c>
      <c r="O95" s="11">
        <f t="shared" si="9"/>
        <v>-10</v>
      </c>
      <c r="P95" s="11">
        <f t="shared" si="13"/>
        <v>0</v>
      </c>
    </row>
    <row r="96" spans="1:16" x14ac:dyDescent="0.25">
      <c r="A96" s="11">
        <f t="shared" si="12"/>
        <v>41</v>
      </c>
      <c r="B96">
        <v>-34.325856004424494</v>
      </c>
      <c r="E96" s="11">
        <f>A96-'Mastercurve bestimmen'!$B$2</f>
        <v>-9</v>
      </c>
      <c r="F96" s="11">
        <f t="shared" si="10"/>
        <v>-34.325856004424494</v>
      </c>
      <c r="G96" s="11"/>
      <c r="H96" s="11">
        <f t="shared" si="11"/>
        <v>43046721</v>
      </c>
      <c r="I96" s="11">
        <f t="shared" si="9"/>
        <v>-4782969</v>
      </c>
      <c r="J96" s="11">
        <f t="shared" si="9"/>
        <v>531441</v>
      </c>
      <c r="K96" s="11">
        <f t="shared" si="9"/>
        <v>-59049</v>
      </c>
      <c r="L96" s="11">
        <f t="shared" si="9"/>
        <v>6561</v>
      </c>
      <c r="M96" s="11">
        <f t="shared" si="9"/>
        <v>-729</v>
      </c>
      <c r="N96" s="11">
        <f t="shared" si="9"/>
        <v>81</v>
      </c>
      <c r="O96" s="11">
        <f t="shared" si="9"/>
        <v>-9</v>
      </c>
      <c r="P96" s="11">
        <f t="shared" si="13"/>
        <v>0</v>
      </c>
    </row>
    <row r="97" spans="1:16" x14ac:dyDescent="0.25">
      <c r="A97" s="11">
        <f t="shared" si="12"/>
        <v>42</v>
      </c>
      <c r="B97">
        <v>-34.069594955024925</v>
      </c>
      <c r="E97" s="11">
        <f>A97-'Mastercurve bestimmen'!$B$2</f>
        <v>-8</v>
      </c>
      <c r="F97" s="11">
        <f t="shared" si="10"/>
        <v>-34.069594955024925</v>
      </c>
      <c r="G97" s="11"/>
      <c r="H97" s="11">
        <f t="shared" si="11"/>
        <v>16777216</v>
      </c>
      <c r="I97" s="11">
        <f t="shared" si="9"/>
        <v>-2097152</v>
      </c>
      <c r="J97" s="11">
        <f t="shared" si="9"/>
        <v>262144</v>
      </c>
      <c r="K97" s="11">
        <f t="shared" si="9"/>
        <v>-32768</v>
      </c>
      <c r="L97" s="11">
        <f t="shared" si="9"/>
        <v>4096</v>
      </c>
      <c r="M97" s="11">
        <f t="shared" si="9"/>
        <v>-512</v>
      </c>
      <c r="N97" s="11">
        <f t="shared" si="9"/>
        <v>64</v>
      </c>
      <c r="O97" s="11">
        <f t="shared" si="9"/>
        <v>-8</v>
      </c>
      <c r="P97" s="11">
        <f t="shared" si="13"/>
        <v>0</v>
      </c>
    </row>
    <row r="98" spans="1:16" x14ac:dyDescent="0.25">
      <c r="A98" s="11">
        <f t="shared" si="12"/>
        <v>43</v>
      </c>
      <c r="B98">
        <v>-33.801367863554489</v>
      </c>
      <c r="E98" s="11">
        <f>A98-'Mastercurve bestimmen'!$B$2</f>
        <v>-7</v>
      </c>
      <c r="F98" s="11">
        <f t="shared" si="10"/>
        <v>-33.801367863554489</v>
      </c>
      <c r="G98" s="11"/>
      <c r="H98" s="11">
        <f t="shared" si="11"/>
        <v>5764801</v>
      </c>
      <c r="I98" s="11">
        <f t="shared" si="9"/>
        <v>-823543</v>
      </c>
      <c r="J98" s="11">
        <f t="shared" si="9"/>
        <v>117649</v>
      </c>
      <c r="K98" s="11">
        <f t="shared" si="9"/>
        <v>-16807</v>
      </c>
      <c r="L98" s="11">
        <f t="shared" si="9"/>
        <v>2401</v>
      </c>
      <c r="M98" s="11">
        <f t="shared" si="9"/>
        <v>-343</v>
      </c>
      <c r="N98" s="11">
        <f t="shared" si="9"/>
        <v>49</v>
      </c>
      <c r="O98" s="11">
        <f t="shared" si="9"/>
        <v>-7</v>
      </c>
      <c r="P98" s="11">
        <f t="shared" si="13"/>
        <v>0</v>
      </c>
    </row>
    <row r="99" spans="1:16" x14ac:dyDescent="0.25">
      <c r="A99" s="11">
        <f t="shared" si="12"/>
        <v>44</v>
      </c>
      <c r="B99">
        <v>-33.520354777723867</v>
      </c>
      <c r="E99" s="11">
        <f>A99-'Mastercurve bestimmen'!$B$2</f>
        <v>-6</v>
      </c>
      <c r="F99" s="11">
        <f t="shared" si="10"/>
        <v>-33.520354777723867</v>
      </c>
      <c r="G99" s="11"/>
      <c r="H99" s="11">
        <f t="shared" si="11"/>
        <v>1679616</v>
      </c>
      <c r="I99" s="11">
        <f t="shared" si="9"/>
        <v>-279936</v>
      </c>
      <c r="J99" s="11">
        <f t="shared" si="9"/>
        <v>46656</v>
      </c>
      <c r="K99" s="11">
        <f t="shared" si="9"/>
        <v>-7776</v>
      </c>
      <c r="L99" s="11">
        <f t="shared" si="9"/>
        <v>1296</v>
      </c>
      <c r="M99" s="11">
        <f t="shared" si="9"/>
        <v>-216</v>
      </c>
      <c r="N99" s="11">
        <f t="shared" si="9"/>
        <v>36</v>
      </c>
      <c r="O99" s="11">
        <f t="shared" si="9"/>
        <v>-6</v>
      </c>
      <c r="P99" s="11">
        <f t="shared" si="13"/>
        <v>0</v>
      </c>
    </row>
    <row r="100" spans="1:16" x14ac:dyDescent="0.25">
      <c r="A100" s="11">
        <f t="shared" si="12"/>
        <v>45</v>
      </c>
      <c r="B100">
        <v>-33.225735745243767</v>
      </c>
      <c r="E100" s="11">
        <f>A100-'Mastercurve bestimmen'!$B$2</f>
        <v>-5</v>
      </c>
      <c r="F100" s="11">
        <f t="shared" si="10"/>
        <v>-33.225735745243767</v>
      </c>
      <c r="G100" s="11"/>
      <c r="H100" s="11">
        <f t="shared" si="11"/>
        <v>390625</v>
      </c>
      <c r="I100" s="11">
        <f t="shared" si="9"/>
        <v>-78125</v>
      </c>
      <c r="J100" s="11">
        <f t="shared" si="9"/>
        <v>15625</v>
      </c>
      <c r="K100" s="11">
        <f t="shared" si="9"/>
        <v>-3125</v>
      </c>
      <c r="L100" s="11">
        <f t="shared" si="9"/>
        <v>625</v>
      </c>
      <c r="M100" s="11">
        <f t="shared" si="9"/>
        <v>-125</v>
      </c>
      <c r="N100" s="11">
        <f t="shared" si="9"/>
        <v>25</v>
      </c>
      <c r="O100" s="11">
        <f t="shared" si="9"/>
        <v>-5</v>
      </c>
      <c r="P100" s="11">
        <f t="shared" si="13"/>
        <v>0</v>
      </c>
    </row>
    <row r="101" spans="1:16" x14ac:dyDescent="0.25">
      <c r="A101" s="11">
        <f t="shared" si="12"/>
        <v>46</v>
      </c>
      <c r="B101">
        <v>-32.916690813824886</v>
      </c>
      <c r="E101" s="11">
        <f>A101-'Mastercurve bestimmen'!$B$2</f>
        <v>-4</v>
      </c>
      <c r="F101" s="11">
        <f t="shared" si="10"/>
        <v>-32.916690813824886</v>
      </c>
      <c r="G101" s="11"/>
      <c r="H101" s="11">
        <f t="shared" si="11"/>
        <v>65536</v>
      </c>
      <c r="I101" s="11">
        <f t="shared" si="9"/>
        <v>-16384</v>
      </c>
      <c r="J101" s="11">
        <f t="shared" si="9"/>
        <v>4096</v>
      </c>
      <c r="K101" s="11">
        <f t="shared" si="9"/>
        <v>-1024</v>
      </c>
      <c r="L101" s="11">
        <f t="shared" si="9"/>
        <v>256</v>
      </c>
      <c r="M101" s="11">
        <f t="shared" si="9"/>
        <v>-64</v>
      </c>
      <c r="N101" s="11">
        <f t="shared" si="9"/>
        <v>16</v>
      </c>
      <c r="O101" s="11">
        <f t="shared" si="9"/>
        <v>-4</v>
      </c>
      <c r="P101" s="11">
        <f t="shared" si="13"/>
        <v>0</v>
      </c>
    </row>
    <row r="102" spans="1:16" x14ac:dyDescent="0.25">
      <c r="A102" s="11">
        <f t="shared" si="12"/>
        <v>47</v>
      </c>
      <c r="B102">
        <v>-32.592400031177917</v>
      </c>
      <c r="E102" s="11">
        <f>A102-'Mastercurve bestimmen'!$B$2</f>
        <v>-3</v>
      </c>
      <c r="F102" s="11">
        <f t="shared" si="10"/>
        <v>-32.592400031177917</v>
      </c>
      <c r="G102" s="11"/>
      <c r="H102" s="11">
        <f t="shared" si="11"/>
        <v>6561</v>
      </c>
      <c r="I102" s="11">
        <f t="shared" si="9"/>
        <v>-2187</v>
      </c>
      <c r="J102" s="11">
        <f t="shared" si="9"/>
        <v>729</v>
      </c>
      <c r="K102" s="11">
        <f t="shared" si="9"/>
        <v>-243</v>
      </c>
      <c r="L102" s="11">
        <f t="shared" si="9"/>
        <v>81</v>
      </c>
      <c r="M102" s="11">
        <f t="shared" si="9"/>
        <v>-27</v>
      </c>
      <c r="N102" s="11">
        <f t="shared" si="9"/>
        <v>9</v>
      </c>
      <c r="O102" s="11">
        <f t="shared" si="9"/>
        <v>-3</v>
      </c>
      <c r="P102" s="11">
        <f t="shared" si="13"/>
        <v>0</v>
      </c>
    </row>
    <row r="103" spans="1:16" x14ac:dyDescent="0.25">
      <c r="A103" s="11">
        <f t="shared" si="12"/>
        <v>48</v>
      </c>
      <c r="B103">
        <v>-32.252043445013541</v>
      </c>
      <c r="E103" s="11">
        <f>A103-'Mastercurve bestimmen'!$B$2</f>
        <v>-2</v>
      </c>
      <c r="F103" s="11">
        <f t="shared" si="10"/>
        <v>-32.252043445013541</v>
      </c>
      <c r="G103" s="11"/>
      <c r="H103" s="11">
        <f t="shared" si="11"/>
        <v>256</v>
      </c>
      <c r="I103" s="11">
        <f t="shared" si="9"/>
        <v>-128</v>
      </c>
      <c r="J103" s="11">
        <f t="shared" si="9"/>
        <v>64</v>
      </c>
      <c r="K103" s="11">
        <f t="shared" si="9"/>
        <v>-32</v>
      </c>
      <c r="L103" s="11">
        <f t="shared" si="9"/>
        <v>16</v>
      </c>
      <c r="M103" s="11">
        <f t="shared" si="9"/>
        <v>-8</v>
      </c>
      <c r="N103" s="11">
        <f t="shared" si="9"/>
        <v>4</v>
      </c>
      <c r="O103" s="11">
        <f t="shared" si="9"/>
        <v>-2</v>
      </c>
      <c r="P103" s="11">
        <f t="shared" si="13"/>
        <v>0</v>
      </c>
    </row>
    <row r="104" spans="1:16" x14ac:dyDescent="0.25">
      <c r="A104" s="11">
        <f t="shared" si="12"/>
        <v>49</v>
      </c>
      <c r="B104">
        <v>-31.894801103042475</v>
      </c>
      <c r="E104" s="11">
        <f>A104-'Mastercurve bestimmen'!$B$2</f>
        <v>-1</v>
      </c>
      <c r="F104" s="11">
        <f t="shared" si="10"/>
        <v>-31.894801103042475</v>
      </c>
      <c r="G104" s="11"/>
      <c r="H104" s="11">
        <f t="shared" si="11"/>
        <v>1</v>
      </c>
      <c r="I104" s="11">
        <f t="shared" si="9"/>
        <v>-1</v>
      </c>
      <c r="J104" s="11">
        <f t="shared" si="9"/>
        <v>1</v>
      </c>
      <c r="K104" s="11">
        <f t="shared" si="9"/>
        <v>-1</v>
      </c>
      <c r="L104" s="11">
        <f t="shared" si="9"/>
        <v>1</v>
      </c>
      <c r="M104" s="11">
        <f t="shared" si="9"/>
        <v>-1</v>
      </c>
      <c r="N104" s="11">
        <f t="shared" si="9"/>
        <v>1</v>
      </c>
      <c r="O104" s="11">
        <f t="shared" si="9"/>
        <v>-1</v>
      </c>
      <c r="P104" s="11">
        <f t="shared" si="13"/>
        <v>0</v>
      </c>
    </row>
    <row r="105" spans="1:16" x14ac:dyDescent="0.25">
      <c r="A105" s="11">
        <f t="shared" si="12"/>
        <v>50</v>
      </c>
      <c r="B105">
        <v>-31.519853052975407</v>
      </c>
      <c r="E105" s="11">
        <f>A105-'Mastercurve bestimmen'!$B$2</f>
        <v>0</v>
      </c>
      <c r="F105" s="11">
        <f t="shared" si="10"/>
        <v>-31.519853052975407</v>
      </c>
      <c r="G105" s="11"/>
      <c r="H105" s="11">
        <f t="shared" si="11"/>
        <v>0</v>
      </c>
      <c r="I105" s="11">
        <f t="shared" si="9"/>
        <v>0</v>
      </c>
      <c r="J105" s="11">
        <f t="shared" si="9"/>
        <v>0</v>
      </c>
      <c r="K105" s="11">
        <f t="shared" si="9"/>
        <v>0</v>
      </c>
      <c r="L105" s="11">
        <f t="shared" si="9"/>
        <v>0</v>
      </c>
      <c r="M105" s="11">
        <f t="shared" si="9"/>
        <v>0</v>
      </c>
      <c r="N105" s="11">
        <f t="shared" si="9"/>
        <v>0</v>
      </c>
      <c r="O105" s="11">
        <f t="shared" si="9"/>
        <v>0</v>
      </c>
      <c r="P105" s="11">
        <f t="shared" si="13"/>
        <v>0</v>
      </c>
    </row>
    <row r="106" spans="1:16" x14ac:dyDescent="0.25">
      <c r="A106" s="11">
        <f t="shared" si="12"/>
        <v>51</v>
      </c>
      <c r="B106">
        <v>-31.126667810396924</v>
      </c>
      <c r="E106" s="11">
        <f>A106-'Mastercurve bestimmen'!$B$2</f>
        <v>1</v>
      </c>
      <c r="F106" s="11">
        <f t="shared" si="10"/>
        <v>-31.126667810396924</v>
      </c>
      <c r="G106" s="11"/>
      <c r="H106" s="11">
        <f t="shared" si="11"/>
        <v>1</v>
      </c>
      <c r="I106" s="11">
        <f t="shared" si="9"/>
        <v>1</v>
      </c>
      <c r="J106" s="11">
        <f t="shared" si="9"/>
        <v>1</v>
      </c>
      <c r="K106" s="11">
        <f t="shared" si="9"/>
        <v>1</v>
      </c>
      <c r="L106" s="11">
        <f t="shared" si="9"/>
        <v>1</v>
      </c>
      <c r="M106" s="11">
        <f t="shared" si="9"/>
        <v>1</v>
      </c>
      <c r="N106" s="11">
        <f t="shared" si="9"/>
        <v>1</v>
      </c>
      <c r="O106" s="11">
        <f t="shared" si="9"/>
        <v>1</v>
      </c>
      <c r="P106" s="11">
        <f t="shared" si="13"/>
        <v>0</v>
      </c>
    </row>
    <row r="107" spans="1:16" x14ac:dyDescent="0.25">
      <c r="A107" s="11">
        <f t="shared" si="12"/>
        <v>52</v>
      </c>
      <c r="B107">
        <v>-30.715867762387184</v>
      </c>
      <c r="E107" s="11">
        <f>A107-'Mastercurve bestimmen'!$B$2</f>
        <v>2</v>
      </c>
      <c r="F107" s="11">
        <f t="shared" si="10"/>
        <v>-30.715867762387184</v>
      </c>
      <c r="G107" s="11"/>
      <c r="H107" s="11">
        <f t="shared" si="11"/>
        <v>256</v>
      </c>
      <c r="I107" s="11">
        <f t="shared" si="9"/>
        <v>128</v>
      </c>
      <c r="J107" s="11">
        <f t="shared" si="9"/>
        <v>64</v>
      </c>
      <c r="K107" s="11">
        <f t="shared" si="9"/>
        <v>32</v>
      </c>
      <c r="L107" s="11">
        <f t="shared" si="9"/>
        <v>16</v>
      </c>
      <c r="M107" s="11">
        <f t="shared" si="9"/>
        <v>8</v>
      </c>
      <c r="N107" s="11">
        <f t="shared" si="9"/>
        <v>4</v>
      </c>
      <c r="O107" s="11">
        <f t="shared" si="9"/>
        <v>2</v>
      </c>
      <c r="P107" s="11">
        <f t="shared" si="13"/>
        <v>0</v>
      </c>
    </row>
    <row r="108" spans="1:16" x14ac:dyDescent="0.25">
      <c r="A108" s="11">
        <f t="shared" si="12"/>
        <v>53</v>
      </c>
      <c r="B108">
        <v>-30.288363763900247</v>
      </c>
      <c r="E108" s="11">
        <f>A108-'Mastercurve bestimmen'!$B$2</f>
        <v>3</v>
      </c>
      <c r="F108" s="11">
        <f t="shared" si="10"/>
        <v>-30.288363763900247</v>
      </c>
      <c r="G108" s="11"/>
      <c r="H108" s="11">
        <f t="shared" si="11"/>
        <v>6561</v>
      </c>
      <c r="I108" s="11">
        <f t="shared" si="9"/>
        <v>2187</v>
      </c>
      <c r="J108" s="11">
        <f t="shared" si="9"/>
        <v>729</v>
      </c>
      <c r="K108" s="11">
        <f t="shared" si="9"/>
        <v>243</v>
      </c>
      <c r="L108" s="11">
        <f t="shared" si="9"/>
        <v>81</v>
      </c>
      <c r="M108" s="11">
        <f t="shared" si="9"/>
        <v>27</v>
      </c>
      <c r="N108" s="11">
        <f t="shared" si="9"/>
        <v>9</v>
      </c>
      <c r="O108" s="11">
        <f t="shared" si="9"/>
        <v>3</v>
      </c>
      <c r="P108" s="11">
        <f t="shared" si="13"/>
        <v>0</v>
      </c>
    </row>
    <row r="109" spans="1:16" x14ac:dyDescent="0.25">
      <c r="A109" s="11">
        <f t="shared" si="12"/>
        <v>54</v>
      </c>
      <c r="B109">
        <v>-29.845066669890162</v>
      </c>
      <c r="E109" s="11">
        <f>A109-'Mastercurve bestimmen'!$B$2</f>
        <v>4</v>
      </c>
      <c r="F109" s="11">
        <f t="shared" si="10"/>
        <v>-29.845066669890162</v>
      </c>
      <c r="G109" s="11"/>
      <c r="H109" s="11">
        <f t="shared" si="11"/>
        <v>65536</v>
      </c>
      <c r="I109" s="11">
        <f t="shared" si="9"/>
        <v>16384</v>
      </c>
      <c r="J109" s="11">
        <f t="shared" si="9"/>
        <v>4096</v>
      </c>
      <c r="K109" s="11">
        <f t="shared" si="9"/>
        <v>1024</v>
      </c>
      <c r="L109" s="11">
        <f t="shared" si="9"/>
        <v>256</v>
      </c>
      <c r="M109" s="11">
        <f t="shared" si="9"/>
        <v>64</v>
      </c>
      <c r="N109" s="11">
        <f t="shared" si="9"/>
        <v>16</v>
      </c>
      <c r="O109" s="11">
        <f t="shared" si="9"/>
        <v>4</v>
      </c>
      <c r="P109" s="11">
        <f t="shared" si="13"/>
        <v>0</v>
      </c>
    </row>
    <row r="110" spans="1:16" x14ac:dyDescent="0.25">
      <c r="A110" s="11">
        <f t="shared" si="12"/>
        <v>55</v>
      </c>
      <c r="B110">
        <v>-29.386887335310995</v>
      </c>
      <c r="E110" s="11">
        <f>A110-'Mastercurve bestimmen'!$B$2</f>
        <v>5</v>
      </c>
      <c r="F110" s="11">
        <f t="shared" si="10"/>
        <v>-29.386887335310995</v>
      </c>
      <c r="G110" s="11"/>
      <c r="H110" s="11">
        <f t="shared" si="11"/>
        <v>390625</v>
      </c>
      <c r="I110" s="11">
        <f t="shared" si="9"/>
        <v>78125</v>
      </c>
      <c r="J110" s="11">
        <f t="shared" si="9"/>
        <v>15625</v>
      </c>
      <c r="K110" s="11">
        <f t="shared" si="9"/>
        <v>3125</v>
      </c>
      <c r="L110" s="11">
        <f t="shared" si="9"/>
        <v>625</v>
      </c>
      <c r="M110" s="11">
        <f t="shared" si="9"/>
        <v>125</v>
      </c>
      <c r="N110" s="11">
        <f t="shared" si="9"/>
        <v>25</v>
      </c>
      <c r="O110" s="11">
        <f t="shared" si="9"/>
        <v>5</v>
      </c>
      <c r="P110" s="11">
        <f t="shared" si="13"/>
        <v>0</v>
      </c>
    </row>
    <row r="111" spans="1:16" x14ac:dyDescent="0.25">
      <c r="A111" s="11">
        <f t="shared" si="12"/>
        <v>56</v>
      </c>
      <c r="B111">
        <v>-28.914736615116791</v>
      </c>
      <c r="E111" s="11">
        <f>A111-'Mastercurve bestimmen'!$B$2</f>
        <v>6</v>
      </c>
      <c r="F111" s="11">
        <f t="shared" si="10"/>
        <v>-28.914736615116791</v>
      </c>
      <c r="G111" s="11"/>
      <c r="H111" s="11">
        <f t="shared" si="11"/>
        <v>1679616</v>
      </c>
      <c r="I111" s="11">
        <f t="shared" si="9"/>
        <v>279936</v>
      </c>
      <c r="J111" s="11">
        <f t="shared" si="9"/>
        <v>46656</v>
      </c>
      <c r="K111" s="11">
        <f t="shared" si="9"/>
        <v>7776</v>
      </c>
      <c r="L111" s="11">
        <f t="shared" si="9"/>
        <v>1296</v>
      </c>
      <c r="M111" s="11">
        <f t="shared" si="9"/>
        <v>216</v>
      </c>
      <c r="N111" s="11">
        <f t="shared" si="9"/>
        <v>36</v>
      </c>
      <c r="O111" s="11">
        <f t="shared" si="9"/>
        <v>6</v>
      </c>
      <c r="P111" s="11">
        <f t="shared" si="13"/>
        <v>0</v>
      </c>
    </row>
    <row r="112" spans="1:16" x14ac:dyDescent="0.25">
      <c r="A112" s="11">
        <f t="shared" si="12"/>
        <v>57</v>
      </c>
      <c r="B112">
        <v>-28.429525364261607</v>
      </c>
      <c r="E112" s="11">
        <f>A112-'Mastercurve bestimmen'!$B$2</f>
        <v>7</v>
      </c>
      <c r="F112" s="11">
        <f t="shared" si="10"/>
        <v>-28.429525364261607</v>
      </c>
      <c r="G112" s="11"/>
      <c r="H112" s="11">
        <f t="shared" si="11"/>
        <v>5764801</v>
      </c>
      <c r="I112" s="11">
        <f t="shared" si="9"/>
        <v>823543</v>
      </c>
      <c r="J112" s="11">
        <f t="shared" si="9"/>
        <v>117649</v>
      </c>
      <c r="K112" s="11">
        <f t="shared" si="9"/>
        <v>16807</v>
      </c>
      <c r="L112" s="11">
        <f t="shared" si="9"/>
        <v>2401</v>
      </c>
      <c r="M112" s="11">
        <f t="shared" si="9"/>
        <v>343</v>
      </c>
      <c r="N112" s="11">
        <f t="shared" si="9"/>
        <v>49</v>
      </c>
      <c r="O112" s="11">
        <f t="shared" si="9"/>
        <v>7</v>
      </c>
      <c r="P112" s="11">
        <f t="shared" si="13"/>
        <v>0</v>
      </c>
    </row>
    <row r="113" spans="1:16" x14ac:dyDescent="0.25">
      <c r="A113" s="11">
        <f t="shared" si="12"/>
        <v>58</v>
      </c>
      <c r="B113">
        <v>-27.932164437699502</v>
      </c>
      <c r="E113" s="11">
        <f>A113-'Mastercurve bestimmen'!$B$2</f>
        <v>8</v>
      </c>
      <c r="F113" s="11">
        <f t="shared" si="10"/>
        <v>-27.932164437699502</v>
      </c>
      <c r="G113" s="11"/>
      <c r="H113" s="11">
        <f t="shared" si="11"/>
        <v>16777216</v>
      </c>
      <c r="I113" s="11">
        <f t="shared" si="9"/>
        <v>2097152</v>
      </c>
      <c r="J113" s="11">
        <f t="shared" si="9"/>
        <v>262144</v>
      </c>
      <c r="K113" s="11">
        <f t="shared" si="9"/>
        <v>32768</v>
      </c>
      <c r="L113" s="11">
        <f t="shared" si="9"/>
        <v>4096</v>
      </c>
      <c r="M113" s="11">
        <f t="shared" si="9"/>
        <v>512</v>
      </c>
      <c r="N113" s="11">
        <f t="shared" si="9"/>
        <v>64</v>
      </c>
      <c r="O113" s="11">
        <f t="shared" si="9"/>
        <v>8</v>
      </c>
      <c r="P113" s="11">
        <f t="shared" si="13"/>
        <v>0</v>
      </c>
    </row>
    <row r="114" spans="1:16" x14ac:dyDescent="0.25">
      <c r="A114" s="11">
        <f t="shared" si="12"/>
        <v>59</v>
      </c>
      <c r="B114">
        <v>-27.42356469038452</v>
      </c>
      <c r="E114" s="11">
        <f>A114-'Mastercurve bestimmen'!$B$2</f>
        <v>9</v>
      </c>
      <c r="F114" s="11">
        <f t="shared" si="10"/>
        <v>-27.42356469038452</v>
      </c>
      <c r="G114" s="11"/>
      <c r="H114" s="11">
        <f t="shared" si="11"/>
        <v>43046721</v>
      </c>
      <c r="I114" s="11">
        <f t="shared" si="9"/>
        <v>4782969</v>
      </c>
      <c r="J114" s="11">
        <f t="shared" si="9"/>
        <v>531441</v>
      </c>
      <c r="K114" s="11">
        <f t="shared" si="9"/>
        <v>59049</v>
      </c>
      <c r="L114" s="11">
        <f t="shared" si="9"/>
        <v>6561</v>
      </c>
      <c r="M114" s="11">
        <f t="shared" si="9"/>
        <v>729</v>
      </c>
      <c r="N114" s="11">
        <f t="shared" si="9"/>
        <v>81</v>
      </c>
      <c r="O114" s="11">
        <f t="shared" si="9"/>
        <v>9</v>
      </c>
      <c r="P114" s="11">
        <f t="shared" si="13"/>
        <v>0</v>
      </c>
    </row>
    <row r="115" spans="1:16" x14ac:dyDescent="0.25">
      <c r="A115" s="11">
        <f t="shared" si="12"/>
        <v>60</v>
      </c>
      <c r="B115">
        <v>-26.904636977270727</v>
      </c>
      <c r="E115" s="11">
        <f>A115-'Mastercurve bestimmen'!$B$2</f>
        <v>10</v>
      </c>
      <c r="F115" s="11">
        <f t="shared" si="10"/>
        <v>-26.904636977270727</v>
      </c>
      <c r="G115" s="11"/>
      <c r="H115" s="11">
        <f t="shared" si="11"/>
        <v>100000000</v>
      </c>
      <c r="I115" s="11">
        <f t="shared" si="9"/>
        <v>10000000</v>
      </c>
      <c r="J115" s="11">
        <f t="shared" si="9"/>
        <v>1000000</v>
      </c>
      <c r="K115" s="11">
        <f t="shared" si="9"/>
        <v>100000</v>
      </c>
      <c r="L115" s="11">
        <f t="shared" si="9"/>
        <v>10000</v>
      </c>
      <c r="M115" s="11">
        <f t="shared" si="9"/>
        <v>1000</v>
      </c>
      <c r="N115" s="11">
        <f t="shared" si="9"/>
        <v>100</v>
      </c>
      <c r="O115" s="11">
        <f t="shared" si="9"/>
        <v>10</v>
      </c>
      <c r="P115" s="11">
        <f t="shared" si="13"/>
        <v>0</v>
      </c>
    </row>
    <row r="116" spans="1:16" x14ac:dyDescent="0.25">
      <c r="A116" s="11">
        <f t="shared" si="12"/>
        <v>61</v>
      </c>
      <c r="B116">
        <v>-26.376292153312171</v>
      </c>
      <c r="E116" s="11">
        <f>A116-'Mastercurve bestimmen'!$B$2</f>
        <v>11</v>
      </c>
      <c r="F116" s="11">
        <f t="shared" si="10"/>
        <v>-26.376292153312171</v>
      </c>
      <c r="G116" s="11"/>
      <c r="H116" s="11">
        <f t="shared" si="11"/>
        <v>214358881</v>
      </c>
      <c r="I116" s="11">
        <f t="shared" si="9"/>
        <v>19487171</v>
      </c>
      <c r="J116" s="11">
        <f t="shared" si="9"/>
        <v>1771561</v>
      </c>
      <c r="K116" s="11">
        <f t="shared" ref="I116:O152" si="14">IF($H$12&gt;=K$14,$E116^K$14,0)</f>
        <v>161051</v>
      </c>
      <c r="L116" s="11">
        <f t="shared" si="14"/>
        <v>14641</v>
      </c>
      <c r="M116" s="11">
        <f t="shared" si="14"/>
        <v>1331</v>
      </c>
      <c r="N116" s="11">
        <f t="shared" si="14"/>
        <v>121</v>
      </c>
      <c r="O116" s="11">
        <f t="shared" si="14"/>
        <v>11</v>
      </c>
      <c r="P116" s="11">
        <f t="shared" si="13"/>
        <v>0</v>
      </c>
    </row>
    <row r="117" spans="1:16" x14ac:dyDescent="0.25">
      <c r="A117" s="11">
        <f t="shared" si="12"/>
        <v>62</v>
      </c>
      <c r="B117">
        <v>-25.839441073462908</v>
      </c>
      <c r="E117" s="11">
        <f>A117-'Mastercurve bestimmen'!$B$2</f>
        <v>12</v>
      </c>
      <c r="F117" s="11">
        <f t="shared" si="10"/>
        <v>-25.839441073462908</v>
      </c>
      <c r="G117" s="11"/>
      <c r="H117" s="11">
        <f t="shared" si="11"/>
        <v>429981696</v>
      </c>
      <c r="I117" s="11">
        <f t="shared" si="14"/>
        <v>35831808</v>
      </c>
      <c r="J117" s="11">
        <f t="shared" si="14"/>
        <v>2985984</v>
      </c>
      <c r="K117" s="11">
        <f t="shared" si="14"/>
        <v>248832</v>
      </c>
      <c r="L117" s="11">
        <f t="shared" si="14"/>
        <v>20736</v>
      </c>
      <c r="M117" s="11">
        <f t="shared" si="14"/>
        <v>1728</v>
      </c>
      <c r="N117" s="11">
        <f t="shared" si="14"/>
        <v>144</v>
      </c>
      <c r="O117" s="11">
        <f t="shared" si="14"/>
        <v>12</v>
      </c>
      <c r="P117" s="11">
        <f t="shared" si="13"/>
        <v>0</v>
      </c>
    </row>
    <row r="118" spans="1:16" x14ac:dyDescent="0.25">
      <c r="A118" s="11">
        <f t="shared" si="12"/>
        <v>63</v>
      </c>
      <c r="B118">
        <v>-25.294994592676993</v>
      </c>
      <c r="E118" s="11">
        <f>A118-'Mastercurve bestimmen'!$B$2</f>
        <v>13</v>
      </c>
      <c r="F118" s="11">
        <f t="shared" si="10"/>
        <v>-25.294994592676993</v>
      </c>
      <c r="G118" s="11"/>
      <c r="H118" s="11">
        <f t="shared" si="11"/>
        <v>815730721</v>
      </c>
      <c r="I118" s="11">
        <f t="shared" si="14"/>
        <v>62748517</v>
      </c>
      <c r="J118" s="11">
        <f t="shared" si="14"/>
        <v>4826809</v>
      </c>
      <c r="K118" s="11">
        <f t="shared" si="14"/>
        <v>371293</v>
      </c>
      <c r="L118" s="11">
        <f t="shared" si="14"/>
        <v>28561</v>
      </c>
      <c r="M118" s="11">
        <f t="shared" si="14"/>
        <v>2197</v>
      </c>
      <c r="N118" s="11">
        <f t="shared" si="14"/>
        <v>169</v>
      </c>
      <c r="O118" s="11">
        <f t="shared" si="14"/>
        <v>13</v>
      </c>
      <c r="P118" s="11">
        <f t="shared" si="13"/>
        <v>0</v>
      </c>
    </row>
    <row r="119" spans="1:16" x14ac:dyDescent="0.25">
      <c r="A119" s="11">
        <f t="shared" si="12"/>
        <v>64</v>
      </c>
      <c r="B119">
        <v>-24.743863565908484</v>
      </c>
      <c r="E119" s="11">
        <f>A119-'Mastercurve bestimmen'!$B$2</f>
        <v>14</v>
      </c>
      <c r="F119" s="11">
        <f t="shared" si="10"/>
        <v>-24.743863565908484</v>
      </c>
      <c r="G119" s="11"/>
      <c r="H119" s="11">
        <f t="shared" si="11"/>
        <v>1475789056</v>
      </c>
      <c r="I119" s="11">
        <f t="shared" si="14"/>
        <v>105413504</v>
      </c>
      <c r="J119" s="11">
        <f t="shared" si="14"/>
        <v>7529536</v>
      </c>
      <c r="K119" s="11">
        <f t="shared" si="14"/>
        <v>537824</v>
      </c>
      <c r="L119" s="11">
        <f t="shared" si="14"/>
        <v>38416</v>
      </c>
      <c r="M119" s="11">
        <f t="shared" si="14"/>
        <v>2744</v>
      </c>
      <c r="N119" s="11">
        <f t="shared" si="14"/>
        <v>196</v>
      </c>
      <c r="O119" s="11">
        <f t="shared" si="14"/>
        <v>14</v>
      </c>
      <c r="P119" s="11">
        <f t="shared" si="13"/>
        <v>0</v>
      </c>
    </row>
    <row r="120" spans="1:16" x14ac:dyDescent="0.25">
      <c r="A120" s="11">
        <f t="shared" si="12"/>
        <v>65</v>
      </c>
      <c r="B120">
        <v>-24.186958848111431</v>
      </c>
      <c r="E120" s="11">
        <f>A120-'Mastercurve bestimmen'!$B$2</f>
        <v>15</v>
      </c>
      <c r="F120" s="11">
        <f t="shared" si="10"/>
        <v>-24.186958848111431</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-23.62519129423989</v>
      </c>
      <c r="E121" s="11">
        <f>A121-'Mastercurve bestimmen'!$B$2</f>
        <v>16</v>
      </c>
      <c r="F121" s="11">
        <f t="shared" si="10"/>
        <v>-23.62519129423989</v>
      </c>
      <c r="G121" s="11"/>
      <c r="H121" s="11">
        <f t="shared" si="11"/>
        <v>4294967296</v>
      </c>
      <c r="I121" s="11">
        <f t="shared" si="14"/>
        <v>268435456</v>
      </c>
      <c r="J121" s="11">
        <f t="shared" si="14"/>
        <v>16777216</v>
      </c>
      <c r="K121" s="11">
        <f t="shared" si="14"/>
        <v>1048576</v>
      </c>
      <c r="L121" s="11">
        <f t="shared" si="14"/>
        <v>65536</v>
      </c>
      <c r="M121" s="11">
        <f t="shared" si="14"/>
        <v>4096</v>
      </c>
      <c r="N121" s="11">
        <f t="shared" si="14"/>
        <v>256</v>
      </c>
      <c r="O121" s="11">
        <f t="shared" si="14"/>
        <v>16</v>
      </c>
      <c r="P121" s="11">
        <f t="shared" si="13"/>
        <v>0</v>
      </c>
    </row>
    <row r="122" spans="1:16" x14ac:dyDescent="0.25">
      <c r="A122" s="11">
        <f t="shared" si="12"/>
        <v>67</v>
      </c>
      <c r="B122">
        <v>-23.059471759247913</v>
      </c>
      <c r="E122" s="11">
        <f>A122-'Mastercurve bestimmen'!$B$2</f>
        <v>17</v>
      </c>
      <c r="F122" s="11">
        <f t="shared" si="10"/>
        <v>-23.059471759247913</v>
      </c>
      <c r="G122" s="11"/>
      <c r="H122" s="11">
        <f t="shared" si="11"/>
        <v>6975757441</v>
      </c>
      <c r="I122" s="11">
        <f t="shared" si="14"/>
        <v>410338673</v>
      </c>
      <c r="J122" s="11">
        <f t="shared" si="14"/>
        <v>24137569</v>
      </c>
      <c r="K122" s="11">
        <f t="shared" si="14"/>
        <v>1419857</v>
      </c>
      <c r="L122" s="11">
        <f t="shared" si="14"/>
        <v>83521</v>
      </c>
      <c r="M122" s="11">
        <f t="shared" si="14"/>
        <v>4913</v>
      </c>
      <c r="N122" s="11">
        <f t="shared" si="14"/>
        <v>289</v>
      </c>
      <c r="O122" s="11">
        <f t="shared" si="14"/>
        <v>17</v>
      </c>
      <c r="P122" s="11">
        <f t="shared" si="13"/>
        <v>0</v>
      </c>
    </row>
    <row r="123" spans="1:16" x14ac:dyDescent="0.25">
      <c r="A123" s="11">
        <f t="shared" si="12"/>
        <v>68</v>
      </c>
      <c r="B123">
        <v>-22.490711098089562</v>
      </c>
      <c r="E123" s="11">
        <f>A123-'Mastercurve bestimmen'!$B$2</f>
        <v>18</v>
      </c>
      <c r="F123" s="11">
        <f t="shared" si="10"/>
        <v>-22.490711098089562</v>
      </c>
      <c r="G123" s="11"/>
      <c r="H123" s="11">
        <f t="shared" si="11"/>
        <v>11019960576</v>
      </c>
      <c r="I123" s="11">
        <f t="shared" si="14"/>
        <v>612220032</v>
      </c>
      <c r="J123" s="11">
        <f t="shared" si="14"/>
        <v>34012224</v>
      </c>
      <c r="K123" s="11">
        <f t="shared" si="14"/>
        <v>1889568</v>
      </c>
      <c r="L123" s="11">
        <f t="shared" si="14"/>
        <v>104976</v>
      </c>
      <c r="M123" s="11">
        <f t="shared" si="14"/>
        <v>5832</v>
      </c>
      <c r="N123" s="11">
        <f t="shared" si="14"/>
        <v>324</v>
      </c>
      <c r="O123" s="11">
        <f t="shared" si="14"/>
        <v>18</v>
      </c>
      <c r="P123" s="11">
        <f t="shared" si="13"/>
        <v>0</v>
      </c>
    </row>
    <row r="124" spans="1:16" x14ac:dyDescent="0.25">
      <c r="A124" s="11">
        <f t="shared" si="12"/>
        <v>69</v>
      </c>
      <c r="B124">
        <v>-21.919820165718889</v>
      </c>
      <c r="E124" s="11">
        <f>A124-'Mastercurve bestimmen'!$B$2</f>
        <v>19</v>
      </c>
      <c r="F124" s="11">
        <f t="shared" si="10"/>
        <v>-21.919820165718889</v>
      </c>
      <c r="G124" s="11"/>
      <c r="H124" s="11">
        <f t="shared" si="11"/>
        <v>16983563041</v>
      </c>
      <c r="I124" s="11">
        <f t="shared" si="14"/>
        <v>893871739</v>
      </c>
      <c r="J124" s="11">
        <f t="shared" si="14"/>
        <v>47045881</v>
      </c>
      <c r="K124" s="11">
        <f t="shared" si="14"/>
        <v>2476099</v>
      </c>
      <c r="L124" s="11">
        <f t="shared" si="14"/>
        <v>130321</v>
      </c>
      <c r="M124" s="11">
        <f t="shared" si="14"/>
        <v>6859</v>
      </c>
      <c r="N124" s="11">
        <f t="shared" si="14"/>
        <v>361</v>
      </c>
      <c r="O124" s="11">
        <f t="shared" si="14"/>
        <v>19</v>
      </c>
      <c r="P124" s="11">
        <f t="shared" si="13"/>
        <v>0</v>
      </c>
    </row>
    <row r="125" spans="1:16" x14ac:dyDescent="0.25">
      <c r="A125" s="11">
        <f t="shared" si="12"/>
        <v>70</v>
      </c>
      <c r="B125">
        <v>-21.347709817089942</v>
      </c>
      <c r="E125" s="11">
        <f>A125-'Mastercurve bestimmen'!$B$2</f>
        <v>20</v>
      </c>
      <c r="F125" s="11">
        <f t="shared" si="10"/>
        <v>-21.347709817089942</v>
      </c>
      <c r="G125" s="11"/>
      <c r="H125" s="11">
        <f t="shared" si="11"/>
        <v>25600000000</v>
      </c>
      <c r="I125" s="11">
        <f t="shared" si="14"/>
        <v>1280000000</v>
      </c>
      <c r="J125" s="11">
        <f t="shared" si="14"/>
        <v>64000000</v>
      </c>
      <c r="K125" s="11">
        <f t="shared" si="14"/>
        <v>3200000</v>
      </c>
      <c r="L125" s="11">
        <f t="shared" si="14"/>
        <v>160000</v>
      </c>
      <c r="M125" s="11">
        <f t="shared" si="14"/>
        <v>8000</v>
      </c>
      <c r="N125" s="11">
        <f t="shared" si="14"/>
        <v>400</v>
      </c>
      <c r="O125" s="11">
        <f t="shared" si="14"/>
        <v>20</v>
      </c>
      <c r="P125" s="11">
        <f t="shared" si="13"/>
        <v>0</v>
      </c>
    </row>
    <row r="126" spans="1:16" x14ac:dyDescent="0.25">
      <c r="A126" s="11">
        <f t="shared" si="12"/>
        <v>71</v>
      </c>
      <c r="B126">
        <v>-20.77529090715678</v>
      </c>
      <c r="E126" s="11">
        <f>A126-'Mastercurve bestimmen'!$B$2</f>
        <v>21</v>
      </c>
      <c r="F126" s="11">
        <f t="shared" si="10"/>
        <v>-20.77529090715678</v>
      </c>
      <c r="G126" s="11"/>
      <c r="H126" s="11">
        <f t="shared" si="11"/>
        <v>37822859361</v>
      </c>
      <c r="I126" s="11">
        <f t="shared" si="14"/>
        <v>1801088541</v>
      </c>
      <c r="J126" s="11">
        <f t="shared" si="14"/>
        <v>85766121</v>
      </c>
      <c r="K126" s="11">
        <f t="shared" si="14"/>
        <v>4084101</v>
      </c>
      <c r="L126" s="11">
        <f t="shared" si="14"/>
        <v>194481</v>
      </c>
      <c r="M126" s="11">
        <f t="shared" si="14"/>
        <v>9261</v>
      </c>
      <c r="N126" s="11">
        <f t="shared" si="14"/>
        <v>441</v>
      </c>
      <c r="O126" s="11">
        <f t="shared" si="14"/>
        <v>21</v>
      </c>
      <c r="P126" s="11">
        <f t="shared" si="13"/>
        <v>0</v>
      </c>
    </row>
    <row r="127" spans="1:16" x14ac:dyDescent="0.25">
      <c r="A127" s="11">
        <f t="shared" si="12"/>
        <v>72</v>
      </c>
      <c r="B127">
        <v>-20.203474290873459</v>
      </c>
      <c r="E127" s="11">
        <f>A127-'Mastercurve bestimmen'!$B$2</f>
        <v>22</v>
      </c>
      <c r="F127" s="11">
        <f t="shared" si="10"/>
        <v>-20.203474290873459</v>
      </c>
      <c r="G127" s="11"/>
      <c r="H127" s="11">
        <f t="shared" si="11"/>
        <v>54875873536</v>
      </c>
      <c r="I127" s="11">
        <f t="shared" si="14"/>
        <v>2494357888</v>
      </c>
      <c r="J127" s="11">
        <f t="shared" si="14"/>
        <v>113379904</v>
      </c>
      <c r="K127" s="11">
        <f t="shared" si="14"/>
        <v>5153632</v>
      </c>
      <c r="L127" s="11">
        <f t="shared" si="14"/>
        <v>234256</v>
      </c>
      <c r="M127" s="11">
        <f t="shared" si="14"/>
        <v>10648</v>
      </c>
      <c r="N127" s="11">
        <f t="shared" si="14"/>
        <v>484</v>
      </c>
      <c r="O127" s="11">
        <f t="shared" si="14"/>
        <v>22</v>
      </c>
      <c r="P127" s="11">
        <f t="shared" si="13"/>
        <v>0</v>
      </c>
    </row>
    <row r="128" spans="1:16" x14ac:dyDescent="0.25">
      <c r="A128" s="11">
        <f t="shared" si="12"/>
        <v>73</v>
      </c>
      <c r="B128">
        <v>-19.633170823194035</v>
      </c>
      <c r="E128" s="11">
        <f>A128-'Mastercurve bestimmen'!$B$2</f>
        <v>23</v>
      </c>
      <c r="F128" s="11">
        <f t="shared" si="10"/>
        <v>-19.633170823194035</v>
      </c>
      <c r="G128" s="11"/>
      <c r="H128" s="11">
        <f t="shared" si="11"/>
        <v>78310985281</v>
      </c>
      <c r="I128" s="11">
        <f t="shared" si="14"/>
        <v>3404825447</v>
      </c>
      <c r="J128" s="11">
        <f t="shared" si="14"/>
        <v>148035889</v>
      </c>
      <c r="K128" s="11">
        <f t="shared" si="14"/>
        <v>6436343</v>
      </c>
      <c r="L128" s="11">
        <f t="shared" si="14"/>
        <v>279841</v>
      </c>
      <c r="M128" s="11">
        <f t="shared" si="14"/>
        <v>12167</v>
      </c>
      <c r="N128" s="11">
        <f t="shared" si="14"/>
        <v>529</v>
      </c>
      <c r="O128" s="11">
        <f t="shared" si="14"/>
        <v>23</v>
      </c>
      <c r="P128" s="11">
        <f t="shared" si="13"/>
        <v>0</v>
      </c>
    </row>
    <row r="129" spans="1:16" x14ac:dyDescent="0.25">
      <c r="A129" s="11">
        <f t="shared" si="12"/>
        <v>74</v>
      </c>
      <c r="B129">
        <v>-19.06529135907256</v>
      </c>
      <c r="E129" s="11">
        <f>A129-'Mastercurve bestimmen'!$B$2</f>
        <v>24</v>
      </c>
      <c r="F129" s="11">
        <f t="shared" si="10"/>
        <v>-19.06529135907256</v>
      </c>
      <c r="G129" s="11"/>
      <c r="H129" s="11">
        <f t="shared" si="11"/>
        <v>110075314176</v>
      </c>
      <c r="I129" s="11">
        <f t="shared" si="14"/>
        <v>4586471424</v>
      </c>
      <c r="J129" s="11">
        <f t="shared" si="14"/>
        <v>191102976</v>
      </c>
      <c r="K129" s="11">
        <f t="shared" si="14"/>
        <v>7962624</v>
      </c>
      <c r="L129" s="11">
        <f t="shared" si="14"/>
        <v>331776</v>
      </c>
      <c r="M129" s="11">
        <f t="shared" si="14"/>
        <v>13824</v>
      </c>
      <c r="N129" s="11">
        <f t="shared" si="14"/>
        <v>576</v>
      </c>
      <c r="O129" s="11">
        <f t="shared" si="14"/>
        <v>24</v>
      </c>
      <c r="P129" s="11">
        <f t="shared" si="13"/>
        <v>0</v>
      </c>
    </row>
    <row r="130" spans="1:16" x14ac:dyDescent="0.25">
      <c r="A130" s="11">
        <f t="shared" si="12"/>
        <v>75</v>
      </c>
      <c r="B130">
        <v>-18.500746753463087</v>
      </c>
      <c r="E130" s="11">
        <f>A130-'Mastercurve bestimmen'!$B$2</f>
        <v>25</v>
      </c>
      <c r="F130" s="11">
        <f t="shared" si="10"/>
        <v>-18.500746753463087</v>
      </c>
      <c r="G130" s="11"/>
      <c r="H130" s="11">
        <f t="shared" si="11"/>
        <v>152587890625</v>
      </c>
      <c r="I130" s="11">
        <f t="shared" si="14"/>
        <v>6103515625</v>
      </c>
      <c r="J130" s="11">
        <f t="shared" si="14"/>
        <v>244140625</v>
      </c>
      <c r="K130" s="11">
        <f t="shared" si="14"/>
        <v>9765625</v>
      </c>
      <c r="L130" s="11">
        <f t="shared" si="14"/>
        <v>390625</v>
      </c>
      <c r="M130" s="11">
        <f t="shared" si="14"/>
        <v>15625</v>
      </c>
      <c r="N130" s="11">
        <f t="shared" si="14"/>
        <v>625</v>
      </c>
      <c r="O130" s="11">
        <f t="shared" si="14"/>
        <v>25</v>
      </c>
      <c r="P130" s="11">
        <f t="shared" si="13"/>
        <v>0</v>
      </c>
    </row>
    <row r="131" spans="1:16" x14ac:dyDescent="0.25">
      <c r="A131" s="11">
        <f t="shared" si="12"/>
        <v>76</v>
      </c>
      <c r="B131">
        <v>-17.940447861319676</v>
      </c>
      <c r="E131" s="11">
        <f>A131-'Mastercurve bestimmen'!$B$2</f>
        <v>26</v>
      </c>
      <c r="F131" s="11">
        <f t="shared" si="10"/>
        <v>-17.940447861319676</v>
      </c>
      <c r="G131" s="11"/>
      <c r="H131" s="11">
        <f t="shared" si="11"/>
        <v>208827064576</v>
      </c>
      <c r="I131" s="11">
        <f t="shared" si="14"/>
        <v>8031810176</v>
      </c>
      <c r="J131" s="11">
        <f t="shared" si="14"/>
        <v>308915776</v>
      </c>
      <c r="K131" s="11">
        <f t="shared" si="14"/>
        <v>11881376</v>
      </c>
      <c r="L131" s="11">
        <f t="shared" si="14"/>
        <v>456976</v>
      </c>
      <c r="M131" s="11">
        <f t="shared" si="14"/>
        <v>17576</v>
      </c>
      <c r="N131" s="11">
        <f t="shared" si="14"/>
        <v>676</v>
      </c>
      <c r="O131" s="11">
        <f t="shared" si="14"/>
        <v>26</v>
      </c>
      <c r="P131" s="11">
        <f t="shared" si="13"/>
        <v>0</v>
      </c>
    </row>
    <row r="132" spans="1:16" x14ac:dyDescent="0.25">
      <c r="A132" s="11">
        <f t="shared" si="12"/>
        <v>77</v>
      </c>
      <c r="B132">
        <v>-17.385305537596373</v>
      </c>
      <c r="E132" s="11">
        <f>A132-'Mastercurve bestimmen'!$B$2</f>
        <v>27</v>
      </c>
      <c r="F132" s="11">
        <f t="shared" si="10"/>
        <v>-17.385305537596373</v>
      </c>
      <c r="G132" s="11"/>
      <c r="H132" s="11">
        <f t="shared" si="11"/>
        <v>282429536481</v>
      </c>
      <c r="I132" s="11">
        <f t="shared" si="14"/>
        <v>10460353203</v>
      </c>
      <c r="J132" s="11">
        <f t="shared" si="14"/>
        <v>387420489</v>
      </c>
      <c r="K132" s="11">
        <f t="shared" si="14"/>
        <v>14348907</v>
      </c>
      <c r="L132" s="11">
        <f t="shared" si="14"/>
        <v>531441</v>
      </c>
      <c r="M132" s="11">
        <f t="shared" si="14"/>
        <v>19683</v>
      </c>
      <c r="N132" s="11">
        <f t="shared" si="14"/>
        <v>729</v>
      </c>
      <c r="O132" s="11">
        <f t="shared" si="14"/>
        <v>27</v>
      </c>
      <c r="P132" s="11">
        <f t="shared" si="13"/>
        <v>0</v>
      </c>
    </row>
    <row r="133" spans="1:16" x14ac:dyDescent="0.25">
      <c r="A133" s="11">
        <f t="shared" si="12"/>
        <v>78</v>
      </c>
      <c r="B133">
        <v>-16.836230637247244</v>
      </c>
      <c r="E133" s="11">
        <f>A133-'Mastercurve bestimmen'!$B$2</f>
        <v>28</v>
      </c>
      <c r="F133" s="11">
        <f t="shared" si="10"/>
        <v>-16.836230637247244</v>
      </c>
      <c r="G133" s="11"/>
      <c r="H133" s="11">
        <f t="shared" si="11"/>
        <v>377801998336</v>
      </c>
      <c r="I133" s="11">
        <f t="shared" si="14"/>
        <v>13492928512</v>
      </c>
      <c r="J133" s="11">
        <f t="shared" si="14"/>
        <v>481890304</v>
      </c>
      <c r="K133" s="11">
        <f t="shared" si="14"/>
        <v>17210368</v>
      </c>
      <c r="L133" s="11">
        <f t="shared" si="14"/>
        <v>614656</v>
      </c>
      <c r="M133" s="11">
        <f t="shared" si="14"/>
        <v>21952</v>
      </c>
      <c r="N133" s="11">
        <f t="shared" si="14"/>
        <v>784</v>
      </c>
      <c r="O133" s="11">
        <f t="shared" si="14"/>
        <v>28</v>
      </c>
      <c r="P133" s="11">
        <f t="shared" si="13"/>
        <v>0</v>
      </c>
    </row>
    <row r="134" spans="1:16" x14ac:dyDescent="0.25">
      <c r="A134" s="11">
        <f t="shared" si="12"/>
        <v>79</v>
      </c>
      <c r="B134">
        <v>-16.294134015226334</v>
      </c>
      <c r="E134" s="11">
        <f>A134-'Mastercurve bestimmen'!$B$2</f>
        <v>29</v>
      </c>
      <c r="F134" s="11">
        <f t="shared" si="10"/>
        <v>-16.294134015226334</v>
      </c>
      <c r="G134" s="11"/>
      <c r="H134" s="11">
        <f t="shared" si="11"/>
        <v>500246412961</v>
      </c>
      <c r="I134" s="11">
        <f t="shared" si="14"/>
        <v>17249876309</v>
      </c>
      <c r="J134" s="11">
        <f t="shared" si="14"/>
        <v>594823321</v>
      </c>
      <c r="K134" s="11">
        <f t="shared" si="14"/>
        <v>20511149</v>
      </c>
      <c r="L134" s="11">
        <f t="shared" si="14"/>
        <v>707281</v>
      </c>
      <c r="M134" s="11">
        <f t="shared" si="14"/>
        <v>24389</v>
      </c>
      <c r="N134" s="11">
        <f t="shared" si="14"/>
        <v>841</v>
      </c>
      <c r="O134" s="11">
        <f t="shared" si="14"/>
        <v>29</v>
      </c>
      <c r="P134" s="11">
        <f t="shared" si="13"/>
        <v>0</v>
      </c>
    </row>
    <row r="135" spans="1:16" x14ac:dyDescent="0.25">
      <c r="A135" s="11">
        <f t="shared" si="12"/>
        <v>80</v>
      </c>
      <c r="B135">
        <v>-15.759926526487703</v>
      </c>
      <c r="E135" s="11">
        <f>A135-'Mastercurve bestimmen'!$B$2</f>
        <v>30</v>
      </c>
      <c r="F135" s="11">
        <f t="shared" si="10"/>
        <v>-15.759926526487703</v>
      </c>
      <c r="G135" s="11"/>
      <c r="H135" s="11">
        <f t="shared" si="11"/>
        <v>656100000000</v>
      </c>
      <c r="I135" s="11">
        <f t="shared" si="14"/>
        <v>21870000000</v>
      </c>
      <c r="J135" s="11">
        <f t="shared" si="14"/>
        <v>729000000</v>
      </c>
      <c r="K135" s="11">
        <f t="shared" si="14"/>
        <v>24300000</v>
      </c>
      <c r="L135" s="11">
        <f t="shared" si="14"/>
        <v>810000</v>
      </c>
      <c r="M135" s="11">
        <f t="shared" si="14"/>
        <v>27000</v>
      </c>
      <c r="N135" s="11">
        <f t="shared" si="14"/>
        <v>900</v>
      </c>
      <c r="O135" s="11">
        <f t="shared" si="14"/>
        <v>30</v>
      </c>
      <c r="P135" s="11">
        <f t="shared" si="13"/>
        <v>0</v>
      </c>
    </row>
    <row r="136" spans="1:16" x14ac:dyDescent="0.25">
      <c r="A136" s="11">
        <f t="shared" si="12"/>
        <v>81</v>
      </c>
      <c r="B136">
        <v>-15.234358199038235</v>
      </c>
      <c r="E136" s="11">
        <f>A136-'Mastercurve bestimmen'!$B$2</f>
        <v>31</v>
      </c>
      <c r="F136" s="11">
        <f t="shared" si="10"/>
        <v>-15.234358199038235</v>
      </c>
      <c r="G136" s="11"/>
      <c r="H136" s="11">
        <f t="shared" si="11"/>
        <v>852891037441</v>
      </c>
      <c r="I136" s="11">
        <f t="shared" si="14"/>
        <v>27512614111</v>
      </c>
      <c r="J136" s="11">
        <f t="shared" si="14"/>
        <v>887503681</v>
      </c>
      <c r="K136" s="11">
        <f t="shared" si="14"/>
        <v>28629151</v>
      </c>
      <c r="L136" s="11">
        <f t="shared" si="14"/>
        <v>923521</v>
      </c>
      <c r="M136" s="11">
        <f t="shared" si="14"/>
        <v>29791</v>
      </c>
      <c r="N136" s="11">
        <f t="shared" si="14"/>
        <v>961</v>
      </c>
      <c r="O136" s="11">
        <f t="shared" si="14"/>
        <v>31</v>
      </c>
      <c r="P136" s="11">
        <f t="shared" si="13"/>
        <v>0</v>
      </c>
    </row>
    <row r="137" spans="1:16" x14ac:dyDescent="0.25">
      <c r="A137" s="11">
        <f t="shared" si="12"/>
        <v>82</v>
      </c>
      <c r="B137">
        <v>-14.717535753096168</v>
      </c>
      <c r="E137" s="11">
        <f>A137-'Mastercurve bestimmen'!$B$2</f>
        <v>32</v>
      </c>
      <c r="F137" s="11">
        <f t="shared" si="10"/>
        <v>-14.717535753096168</v>
      </c>
      <c r="G137" s="11"/>
      <c r="H137" s="11">
        <f t="shared" si="11"/>
        <v>1099511627776</v>
      </c>
      <c r="I137" s="11">
        <f t="shared" si="14"/>
        <v>34359738368</v>
      </c>
      <c r="J137" s="11">
        <f t="shared" si="14"/>
        <v>1073741824</v>
      </c>
      <c r="K137" s="11">
        <f t="shared" si="14"/>
        <v>33554432</v>
      </c>
      <c r="L137" s="11">
        <f t="shared" si="14"/>
        <v>1048576</v>
      </c>
      <c r="M137" s="11">
        <f t="shared" si="14"/>
        <v>32768</v>
      </c>
      <c r="N137" s="11">
        <f t="shared" si="14"/>
        <v>1024</v>
      </c>
      <c r="O137" s="11">
        <f t="shared" si="14"/>
        <v>32</v>
      </c>
      <c r="P137" s="11">
        <f t="shared" si="13"/>
        <v>0</v>
      </c>
    </row>
    <row r="138" spans="1:16" x14ac:dyDescent="0.25">
      <c r="A138" s="11">
        <f t="shared" si="12"/>
        <v>83</v>
      </c>
      <c r="B138">
        <v>-14.209405081932562</v>
      </c>
      <c r="E138" s="11">
        <f>A138-'Mastercurve bestimmen'!$B$2</f>
        <v>33</v>
      </c>
      <c r="F138" s="11">
        <f t="shared" si="10"/>
        <v>-14.209405081932562</v>
      </c>
      <c r="G138" s="11"/>
      <c r="H138" s="11">
        <f t="shared" si="11"/>
        <v>1406408618241</v>
      </c>
      <c r="I138" s="11">
        <f t="shared" si="14"/>
        <v>42618442977</v>
      </c>
      <c r="J138" s="11">
        <f t="shared" si="14"/>
        <v>1291467969</v>
      </c>
      <c r="K138" s="11">
        <f t="shared" si="14"/>
        <v>39135393</v>
      </c>
      <c r="L138" s="11">
        <f t="shared" si="14"/>
        <v>1185921</v>
      </c>
      <c r="M138" s="11">
        <f t="shared" si="14"/>
        <v>35937</v>
      </c>
      <c r="N138" s="11">
        <f t="shared" si="14"/>
        <v>1089</v>
      </c>
      <c r="O138" s="11">
        <f t="shared" si="14"/>
        <v>33</v>
      </c>
      <c r="P138" s="11">
        <f t="shared" si="13"/>
        <v>0</v>
      </c>
    </row>
    <row r="139" spans="1:16" x14ac:dyDescent="0.25">
      <c r="A139" s="11">
        <f t="shared" si="12"/>
        <v>84</v>
      </c>
      <c r="B139">
        <v>-13.709912078818485</v>
      </c>
      <c r="E139" s="11">
        <f>A139-'Mastercurve bestimmen'!$B$2</f>
        <v>34</v>
      </c>
      <c r="F139" s="11">
        <f t="shared" si="10"/>
        <v>-13.709912078818485</v>
      </c>
      <c r="G139" s="11"/>
      <c r="H139" s="11">
        <f t="shared" si="11"/>
        <v>1785793904896</v>
      </c>
      <c r="I139" s="11">
        <f t="shared" si="14"/>
        <v>52523350144</v>
      </c>
      <c r="J139" s="11">
        <f t="shared" si="14"/>
        <v>1544804416</v>
      </c>
      <c r="K139" s="11">
        <f t="shared" si="14"/>
        <v>45435424</v>
      </c>
      <c r="L139" s="11">
        <f t="shared" si="14"/>
        <v>1336336</v>
      </c>
      <c r="M139" s="11">
        <f t="shared" si="14"/>
        <v>39304</v>
      </c>
      <c r="N139" s="11">
        <f t="shared" si="14"/>
        <v>1156</v>
      </c>
      <c r="O139" s="11">
        <f t="shared" si="14"/>
        <v>34</v>
      </c>
      <c r="P139" s="11">
        <f t="shared" si="13"/>
        <v>0</v>
      </c>
    </row>
    <row r="140" spans="1:16" x14ac:dyDescent="0.25">
      <c r="A140" s="11">
        <f t="shared" si="12"/>
        <v>85</v>
      </c>
      <c r="B140">
        <v>-13.219002637025</v>
      </c>
      <c r="E140" s="11">
        <f>A140-'Mastercurve bestimmen'!$B$2</f>
        <v>35</v>
      </c>
      <c r="F140" s="11">
        <f t="shared" si="10"/>
        <v>-13.219002637025</v>
      </c>
      <c r="G140" s="11"/>
      <c r="H140" s="11">
        <f t="shared" si="11"/>
        <v>2251875390625</v>
      </c>
      <c r="I140" s="11">
        <f t="shared" si="14"/>
        <v>64339296875</v>
      </c>
      <c r="J140" s="11">
        <f t="shared" si="14"/>
        <v>1838265625</v>
      </c>
      <c r="K140" s="11">
        <f t="shared" si="14"/>
        <v>52521875</v>
      </c>
      <c r="L140" s="11">
        <f t="shared" si="14"/>
        <v>1500625</v>
      </c>
      <c r="M140" s="11">
        <f t="shared" si="14"/>
        <v>42875</v>
      </c>
      <c r="N140" s="11">
        <f t="shared" si="14"/>
        <v>1225</v>
      </c>
      <c r="O140" s="11">
        <f t="shared" si="14"/>
        <v>35</v>
      </c>
      <c r="P140" s="11">
        <f t="shared" si="13"/>
        <v>0</v>
      </c>
    </row>
    <row r="141" spans="1:16" x14ac:dyDescent="0.25">
      <c r="A141" s="11">
        <f t="shared" si="12"/>
        <v>86</v>
      </c>
      <c r="B141">
        <v>-12.736622649823172</v>
      </c>
      <c r="E141" s="11">
        <f>A141-'Mastercurve bestimmen'!$B$2</f>
        <v>36</v>
      </c>
      <c r="F141" s="11">
        <f t="shared" si="10"/>
        <v>-12.736622649823172</v>
      </c>
      <c r="G141" s="11"/>
      <c r="H141" s="11">
        <f t="shared" si="11"/>
        <v>2821109907456</v>
      </c>
      <c r="I141" s="11">
        <f t="shared" si="14"/>
        <v>78364164096</v>
      </c>
      <c r="J141" s="11">
        <f t="shared" si="14"/>
        <v>2176782336</v>
      </c>
      <c r="K141" s="11">
        <f t="shared" si="14"/>
        <v>60466176</v>
      </c>
      <c r="L141" s="11">
        <f t="shared" si="14"/>
        <v>1679616</v>
      </c>
      <c r="M141" s="11">
        <f t="shared" si="14"/>
        <v>46656</v>
      </c>
      <c r="N141" s="11">
        <f t="shared" si="14"/>
        <v>1296</v>
      </c>
      <c r="O141" s="11">
        <f t="shared" si="14"/>
        <v>36</v>
      </c>
      <c r="P141" s="11">
        <f t="shared" si="13"/>
        <v>0</v>
      </c>
    </row>
    <row r="142" spans="1:16" x14ac:dyDescent="0.25">
      <c r="A142" s="11">
        <f t="shared" si="12"/>
        <v>87</v>
      </c>
      <c r="B142">
        <v>-12.262718010484072</v>
      </c>
      <c r="E142" s="11">
        <f>A142-'Mastercurve bestimmen'!$B$2</f>
        <v>37</v>
      </c>
      <c r="F142" s="11">
        <f t="shared" si="10"/>
        <v>-12.262718010484072</v>
      </c>
      <c r="G142" s="11"/>
      <c r="H142" s="11">
        <f t="shared" si="11"/>
        <v>3512479453921</v>
      </c>
      <c r="I142" s="11">
        <f t="shared" si="14"/>
        <v>94931877133</v>
      </c>
      <c r="J142" s="11">
        <f t="shared" si="14"/>
        <v>2565726409</v>
      </c>
      <c r="K142" s="11">
        <f t="shared" si="14"/>
        <v>69343957</v>
      </c>
      <c r="L142" s="11">
        <f t="shared" si="14"/>
        <v>1874161</v>
      </c>
      <c r="M142" s="11">
        <f t="shared" si="14"/>
        <v>50653</v>
      </c>
      <c r="N142" s="11">
        <f t="shared" si="14"/>
        <v>1369</v>
      </c>
      <c r="O142" s="11">
        <f t="shared" si="14"/>
        <v>37</v>
      </c>
      <c r="P142" s="11">
        <f t="shared" si="13"/>
        <v>0</v>
      </c>
    </row>
    <row r="143" spans="1:16" x14ac:dyDescent="0.25">
      <c r="A143" s="11">
        <f t="shared" si="12"/>
        <v>88</v>
      </c>
      <c r="B143">
        <v>-11.797234612278755</v>
      </c>
      <c r="E143" s="11">
        <f>A143-'Mastercurve bestimmen'!$B$2</f>
        <v>38</v>
      </c>
      <c r="F143" s="11">
        <f t="shared" si="10"/>
        <v>-11.797234612278755</v>
      </c>
      <c r="G143" s="11"/>
      <c r="H143" s="11">
        <f t="shared" si="11"/>
        <v>4347792138496</v>
      </c>
      <c r="I143" s="11">
        <f t="shared" si="14"/>
        <v>114415582592</v>
      </c>
      <c r="J143" s="11">
        <f t="shared" si="14"/>
        <v>3010936384</v>
      </c>
      <c r="K143" s="11">
        <f t="shared" si="14"/>
        <v>79235168</v>
      </c>
      <c r="L143" s="11">
        <f t="shared" si="14"/>
        <v>2085136</v>
      </c>
      <c r="M143" s="11">
        <f t="shared" si="14"/>
        <v>54872</v>
      </c>
      <c r="N143" s="11">
        <f t="shared" si="14"/>
        <v>1444</v>
      </c>
      <c r="O143" s="11">
        <f t="shared" si="14"/>
        <v>38</v>
      </c>
      <c r="P143" s="11">
        <f t="shared" si="13"/>
        <v>0</v>
      </c>
    </row>
    <row r="144" spans="1:16" x14ac:dyDescent="0.25">
      <c r="A144" s="11">
        <f t="shared" si="12"/>
        <v>89</v>
      </c>
      <c r="B144">
        <v>-11.340118348478292</v>
      </c>
      <c r="E144" s="11">
        <f>A144-'Mastercurve bestimmen'!$B$2</f>
        <v>39</v>
      </c>
      <c r="F144" s="11">
        <f t="shared" ref="F144:F207" si="15">B144</f>
        <v>-11.340118348478292</v>
      </c>
      <c r="G144" s="11"/>
      <c r="H144" s="11">
        <f t="shared" ref="H144:H207" si="16">IF($H$12&gt;=H$14,$E144^H$14,0)</f>
        <v>5352009260481</v>
      </c>
      <c r="I144" s="11">
        <f t="shared" si="14"/>
        <v>137231006679</v>
      </c>
      <c r="J144" s="11">
        <f t="shared" si="14"/>
        <v>3518743761</v>
      </c>
      <c r="K144" s="11">
        <f t="shared" si="14"/>
        <v>90224199</v>
      </c>
      <c r="L144" s="11">
        <f t="shared" si="14"/>
        <v>2313441</v>
      </c>
      <c r="M144" s="11">
        <f t="shared" si="14"/>
        <v>59319</v>
      </c>
      <c r="N144" s="11">
        <f t="shared" si="14"/>
        <v>1521</v>
      </c>
      <c r="O144" s="11">
        <f t="shared" si="14"/>
        <v>39</v>
      </c>
      <c r="P144" s="11">
        <f t="shared" si="13"/>
        <v>0</v>
      </c>
    </row>
    <row r="145" spans="1:16" x14ac:dyDescent="0.25">
      <c r="A145" s="11">
        <f t="shared" ref="A145:A208" si="17">A144+1</f>
        <v>90</v>
      </c>
      <c r="B145">
        <v>-10.891315112353752</v>
      </c>
      <c r="E145" s="11">
        <f>A145-'Mastercurve bestimmen'!$B$2</f>
        <v>40</v>
      </c>
      <c r="F145" s="11">
        <f t="shared" si="15"/>
        <v>-10.891315112353752</v>
      </c>
      <c r="G145" s="11"/>
      <c r="H145" s="11">
        <f t="shared" si="16"/>
        <v>6553600000000</v>
      </c>
      <c r="I145" s="11">
        <f t="shared" si="14"/>
        <v>163840000000</v>
      </c>
      <c r="J145" s="11">
        <f t="shared" si="14"/>
        <v>4096000000</v>
      </c>
      <c r="K145" s="11">
        <f t="shared" si="14"/>
        <v>102400000</v>
      </c>
      <c r="L145" s="11">
        <f t="shared" si="14"/>
        <v>2560000</v>
      </c>
      <c r="M145" s="11">
        <f t="shared" si="14"/>
        <v>64000</v>
      </c>
      <c r="N145" s="11">
        <f t="shared" si="14"/>
        <v>1600</v>
      </c>
      <c r="O145" s="11">
        <f t="shared" si="14"/>
        <v>40</v>
      </c>
      <c r="P145" s="11">
        <f t="shared" ref="P145:P208" si="18">P144</f>
        <v>0</v>
      </c>
    </row>
    <row r="146" spans="1:16" x14ac:dyDescent="0.25">
      <c r="A146" s="11">
        <f t="shared" si="17"/>
        <v>91</v>
      </c>
      <c r="B146">
        <v>-10.450770797176192</v>
      </c>
      <c r="E146" s="11">
        <f>A146-'Mastercurve bestimmen'!$B$2</f>
        <v>41</v>
      </c>
      <c r="F146" s="11">
        <f t="shared" si="15"/>
        <v>-10.450770797176192</v>
      </c>
      <c r="G146" s="11"/>
      <c r="H146" s="11">
        <f t="shared" si="16"/>
        <v>7984925229121</v>
      </c>
      <c r="I146" s="11">
        <f t="shared" si="14"/>
        <v>194754273881</v>
      </c>
      <c r="J146" s="11">
        <f t="shared" si="14"/>
        <v>4750104241</v>
      </c>
      <c r="K146" s="11">
        <f t="shared" si="14"/>
        <v>115856201</v>
      </c>
      <c r="L146" s="11">
        <f t="shared" si="14"/>
        <v>2825761</v>
      </c>
      <c r="M146" s="11">
        <f t="shared" si="14"/>
        <v>68921</v>
      </c>
      <c r="N146" s="11">
        <f t="shared" si="14"/>
        <v>1681</v>
      </c>
      <c r="O146" s="11">
        <f t="shared" si="14"/>
        <v>41</v>
      </c>
      <c r="P146" s="11">
        <f t="shared" si="18"/>
        <v>0</v>
      </c>
    </row>
    <row r="147" spans="1:16" x14ac:dyDescent="0.25">
      <c r="A147" s="11">
        <f t="shared" si="17"/>
        <v>92</v>
      </c>
      <c r="B147">
        <v>-10.018431296216681</v>
      </c>
      <c r="E147" s="11">
        <f>A147-'Mastercurve bestimmen'!$B$2</f>
        <v>42</v>
      </c>
      <c r="F147" s="11">
        <f t="shared" si="15"/>
        <v>-10.018431296216681</v>
      </c>
      <c r="G147" s="11"/>
      <c r="H147" s="11">
        <f t="shared" si="16"/>
        <v>9682651996416</v>
      </c>
      <c r="I147" s="11">
        <f t="shared" si="14"/>
        <v>230539333248</v>
      </c>
      <c r="J147" s="11">
        <f t="shared" si="14"/>
        <v>5489031744</v>
      </c>
      <c r="K147" s="11">
        <f t="shared" si="14"/>
        <v>130691232</v>
      </c>
      <c r="L147" s="11">
        <f t="shared" si="14"/>
        <v>3111696</v>
      </c>
      <c r="M147" s="11">
        <f t="shared" si="14"/>
        <v>74088</v>
      </c>
      <c r="N147" s="11">
        <f t="shared" si="14"/>
        <v>1764</v>
      </c>
      <c r="O147" s="11">
        <f t="shared" si="14"/>
        <v>42</v>
      </c>
      <c r="P147" s="11">
        <f t="shared" si="18"/>
        <v>0</v>
      </c>
    </row>
    <row r="148" spans="1:16" x14ac:dyDescent="0.25">
      <c r="A148" s="11">
        <f t="shared" si="17"/>
        <v>93</v>
      </c>
      <c r="B148">
        <v>-9.594242502746285</v>
      </c>
      <c r="E148" s="11">
        <f>A148-'Mastercurve bestimmen'!$B$2</f>
        <v>43</v>
      </c>
      <c r="F148" s="11">
        <f t="shared" si="15"/>
        <v>-9.594242502746285</v>
      </c>
      <c r="G148" s="11"/>
      <c r="H148" s="11">
        <f t="shared" si="16"/>
        <v>11688200277601</v>
      </c>
      <c r="I148" s="11">
        <f t="shared" si="14"/>
        <v>271818611107</v>
      </c>
      <c r="J148" s="11">
        <f t="shared" si="14"/>
        <v>6321363049</v>
      </c>
      <c r="K148" s="11">
        <f t="shared" si="14"/>
        <v>147008443</v>
      </c>
      <c r="L148" s="11">
        <f t="shared" si="14"/>
        <v>3418801</v>
      </c>
      <c r="M148" s="11">
        <f t="shared" si="14"/>
        <v>79507</v>
      </c>
      <c r="N148" s="11">
        <f t="shared" si="14"/>
        <v>1849</v>
      </c>
      <c r="O148" s="11">
        <f t="shared" si="14"/>
        <v>43</v>
      </c>
      <c r="P148" s="11">
        <f t="shared" si="18"/>
        <v>0</v>
      </c>
    </row>
    <row r="149" spans="1:16" x14ac:dyDescent="0.25">
      <c r="A149" s="11">
        <f t="shared" si="17"/>
        <v>94</v>
      </c>
      <c r="B149">
        <v>-9.1781503100360666</v>
      </c>
      <c r="E149" s="11">
        <f>A149-'Mastercurve bestimmen'!$B$2</f>
        <v>44</v>
      </c>
      <c r="F149" s="11">
        <f t="shared" si="15"/>
        <v>-9.1781503100360666</v>
      </c>
      <c r="G149" s="11"/>
      <c r="H149" s="11">
        <f t="shared" si="16"/>
        <v>14048223625216</v>
      </c>
      <c r="I149" s="11">
        <f t="shared" si="14"/>
        <v>319277809664</v>
      </c>
      <c r="J149" s="11">
        <f t="shared" si="14"/>
        <v>7256313856</v>
      </c>
      <c r="K149" s="11">
        <f t="shared" si="14"/>
        <v>164916224</v>
      </c>
      <c r="L149" s="11">
        <f t="shared" si="14"/>
        <v>3748096</v>
      </c>
      <c r="M149" s="11">
        <f t="shared" si="14"/>
        <v>85184</v>
      </c>
      <c r="N149" s="11">
        <f t="shared" si="14"/>
        <v>1936</v>
      </c>
      <c r="O149" s="11">
        <f t="shared" si="14"/>
        <v>44</v>
      </c>
      <c r="P149" s="11">
        <f t="shared" si="18"/>
        <v>0</v>
      </c>
    </row>
    <row r="150" spans="1:16" x14ac:dyDescent="0.25">
      <c r="A150" s="11">
        <f t="shared" si="17"/>
        <v>95</v>
      </c>
      <c r="B150">
        <v>-8.7701006113570976</v>
      </c>
      <c r="E150" s="11">
        <f>A150-'Mastercurve bestimmen'!$B$2</f>
        <v>45</v>
      </c>
      <c r="F150" s="11">
        <f t="shared" si="15"/>
        <v>-8.7701006113570976</v>
      </c>
      <c r="G150" s="11"/>
      <c r="H150" s="11">
        <f t="shared" si="16"/>
        <v>16815125390625</v>
      </c>
      <c r="I150" s="11">
        <f t="shared" si="14"/>
        <v>373669453125</v>
      </c>
      <c r="J150" s="11">
        <f t="shared" si="14"/>
        <v>8303765625</v>
      </c>
      <c r="K150" s="11">
        <f t="shared" si="14"/>
        <v>184528125</v>
      </c>
      <c r="L150" s="11">
        <f t="shared" si="14"/>
        <v>4100625</v>
      </c>
      <c r="M150" s="11">
        <f t="shared" si="14"/>
        <v>91125</v>
      </c>
      <c r="N150" s="11">
        <f t="shared" si="14"/>
        <v>2025</v>
      </c>
      <c r="O150" s="11">
        <f t="shared" si="14"/>
        <v>45</v>
      </c>
      <c r="P150" s="11">
        <f t="shared" si="18"/>
        <v>0</v>
      </c>
    </row>
    <row r="151" spans="1:16" x14ac:dyDescent="0.25">
      <c r="A151" s="11">
        <f t="shared" si="17"/>
        <v>96</v>
      </c>
      <c r="B151">
        <v>-8.3700392999804354</v>
      </c>
      <c r="E151" s="11">
        <f>A151-'Mastercurve bestimmen'!$B$2</f>
        <v>46</v>
      </c>
      <c r="F151" s="11">
        <f t="shared" si="15"/>
        <v>-8.3700392999804354</v>
      </c>
      <c r="G151" s="11"/>
      <c r="H151" s="11">
        <f t="shared" si="16"/>
        <v>20047612231936</v>
      </c>
      <c r="I151" s="11">
        <f t="shared" si="14"/>
        <v>435817657216</v>
      </c>
      <c r="J151" s="11">
        <f t="shared" si="14"/>
        <v>9474296896</v>
      </c>
      <c r="K151" s="11">
        <f t="shared" si="14"/>
        <v>205962976</v>
      </c>
      <c r="L151" s="11">
        <f t="shared" si="14"/>
        <v>4477456</v>
      </c>
      <c r="M151" s="11">
        <f t="shared" si="14"/>
        <v>97336</v>
      </c>
      <c r="N151" s="11">
        <f t="shared" si="14"/>
        <v>2116</v>
      </c>
      <c r="O151" s="11">
        <f t="shared" si="14"/>
        <v>46</v>
      </c>
      <c r="P151" s="11">
        <f t="shared" si="18"/>
        <v>0</v>
      </c>
    </row>
    <row r="152" spans="1:16" x14ac:dyDescent="0.25">
      <c r="A152" s="11">
        <f t="shared" si="17"/>
        <v>97</v>
      </c>
      <c r="B152">
        <v>-7.977912269177148</v>
      </c>
      <c r="E152" s="11">
        <f>A152-'Mastercurve bestimmen'!$B$2</f>
        <v>47</v>
      </c>
      <c r="F152" s="11">
        <f t="shared" si="15"/>
        <v>-7.977912269177148</v>
      </c>
      <c r="G152" s="11"/>
      <c r="H152" s="11">
        <f t="shared" si="16"/>
        <v>23811286661761</v>
      </c>
      <c r="I152" s="11">
        <f t="shared" si="14"/>
        <v>506623120463</v>
      </c>
      <c r="J152" s="11">
        <f t="shared" si="14"/>
        <v>10779215329</v>
      </c>
      <c r="K152" s="11">
        <f t="shared" si="14"/>
        <v>229345007</v>
      </c>
      <c r="L152" s="11">
        <f t="shared" si="14"/>
        <v>4879681</v>
      </c>
      <c r="M152" s="11">
        <f t="shared" si="14"/>
        <v>103823</v>
      </c>
      <c r="N152" s="11">
        <f t="shared" ref="I152:O189" si="19">IF($H$12&gt;=N$14,$E152^N$14,0)</f>
        <v>2209</v>
      </c>
      <c r="O152" s="11">
        <f t="shared" si="19"/>
        <v>47</v>
      </c>
      <c r="P152" s="11">
        <f t="shared" si="18"/>
        <v>0</v>
      </c>
    </row>
    <row r="153" spans="1:16" x14ac:dyDescent="0.25">
      <c r="A153" s="11">
        <f t="shared" si="17"/>
        <v>98</v>
      </c>
      <c r="B153">
        <v>-7.5936654122183009</v>
      </c>
      <c r="E153" s="11">
        <f>A153-'Mastercurve bestimmen'!$B$2</f>
        <v>48</v>
      </c>
      <c r="F153" s="11">
        <f t="shared" si="15"/>
        <v>-7.5936654122183009</v>
      </c>
      <c r="G153" s="11"/>
      <c r="H153" s="11">
        <f t="shared" si="16"/>
        <v>28179280429056</v>
      </c>
      <c r="I153" s="11">
        <f t="shared" si="19"/>
        <v>587068342272</v>
      </c>
      <c r="J153" s="11">
        <f t="shared" si="19"/>
        <v>12230590464</v>
      </c>
      <c r="K153" s="11">
        <f t="shared" si="19"/>
        <v>254803968</v>
      </c>
      <c r="L153" s="11">
        <f t="shared" si="19"/>
        <v>5308416</v>
      </c>
      <c r="M153" s="11">
        <f t="shared" si="19"/>
        <v>110592</v>
      </c>
      <c r="N153" s="11">
        <f t="shared" si="19"/>
        <v>2304</v>
      </c>
      <c r="O153" s="11">
        <f t="shared" si="19"/>
        <v>48</v>
      </c>
      <c r="P153" s="11">
        <f t="shared" si="18"/>
        <v>0</v>
      </c>
    </row>
    <row r="154" spans="1:16" x14ac:dyDescent="0.25">
      <c r="A154" s="11">
        <f t="shared" si="17"/>
        <v>99</v>
      </c>
      <c r="B154">
        <v>-7.2172446223749596</v>
      </c>
      <c r="E154" s="11">
        <f>A154-'Mastercurve bestimmen'!$B$2</f>
        <v>49</v>
      </c>
      <c r="F154" s="11">
        <f t="shared" si="15"/>
        <v>-7.2172446223749596</v>
      </c>
      <c r="G154" s="11"/>
      <c r="H154" s="11">
        <f t="shared" si="16"/>
        <v>33232930569601</v>
      </c>
      <c r="I154" s="11">
        <f t="shared" si="19"/>
        <v>678223072849</v>
      </c>
      <c r="J154" s="11">
        <f t="shared" si="19"/>
        <v>13841287201</v>
      </c>
      <c r="K154" s="11">
        <f t="shared" si="19"/>
        <v>282475249</v>
      </c>
      <c r="L154" s="11">
        <f t="shared" si="19"/>
        <v>5764801</v>
      </c>
      <c r="M154" s="11">
        <f t="shared" si="19"/>
        <v>117649</v>
      </c>
      <c r="N154" s="11">
        <f t="shared" si="19"/>
        <v>2401</v>
      </c>
      <c r="O154" s="11">
        <f t="shared" si="19"/>
        <v>49</v>
      </c>
      <c r="P154" s="11">
        <f t="shared" si="18"/>
        <v>0</v>
      </c>
    </row>
    <row r="155" spans="1:16" x14ac:dyDescent="0.25">
      <c r="A155" s="11">
        <f t="shared" si="17"/>
        <v>100</v>
      </c>
      <c r="B155">
        <v>-6.8485957929181875</v>
      </c>
      <c r="E155" s="11">
        <f>A155-'Mastercurve bestimmen'!$B$2</f>
        <v>50</v>
      </c>
      <c r="F155" s="11">
        <f t="shared" si="15"/>
        <v>-6.8485957929181875</v>
      </c>
      <c r="G155" s="11"/>
      <c r="H155" s="11">
        <f t="shared" si="16"/>
        <v>39062500000000</v>
      </c>
      <c r="I155" s="11">
        <f t="shared" si="19"/>
        <v>781250000000</v>
      </c>
      <c r="J155" s="11">
        <f t="shared" si="19"/>
        <v>15625000000</v>
      </c>
      <c r="K155" s="11">
        <f t="shared" si="19"/>
        <v>312500000</v>
      </c>
      <c r="L155" s="11">
        <f t="shared" si="19"/>
        <v>6250000</v>
      </c>
      <c r="M155" s="11">
        <f t="shared" si="19"/>
        <v>125000</v>
      </c>
      <c r="N155" s="11">
        <f t="shared" si="19"/>
        <v>2500</v>
      </c>
      <c r="O155" s="11">
        <f t="shared" si="19"/>
        <v>50</v>
      </c>
      <c r="P155" s="11">
        <f t="shared" si="18"/>
        <v>0</v>
      </c>
    </row>
    <row r="156" spans="1:16" x14ac:dyDescent="0.25">
      <c r="A156" s="11">
        <f t="shared" si="17"/>
        <v>101</v>
      </c>
      <c r="B156">
        <v>-6.4876648171190521</v>
      </c>
      <c r="E156" s="11">
        <f>A156-'Mastercurve bestimmen'!$B$2</f>
        <v>51</v>
      </c>
      <c r="F156" s="11">
        <f t="shared" si="15"/>
        <v>-6.4876648171190521</v>
      </c>
      <c r="G156" s="11"/>
      <c r="H156" s="11">
        <f t="shared" si="16"/>
        <v>45767944570401</v>
      </c>
      <c r="I156" s="11">
        <f t="shared" si="19"/>
        <v>897410677851</v>
      </c>
      <c r="J156" s="11">
        <f t="shared" si="19"/>
        <v>17596287801</v>
      </c>
      <c r="K156" s="11">
        <f t="shared" si="19"/>
        <v>345025251</v>
      </c>
      <c r="L156" s="11">
        <f t="shared" si="19"/>
        <v>6765201</v>
      </c>
      <c r="M156" s="11">
        <f t="shared" si="19"/>
        <v>132651</v>
      </c>
      <c r="N156" s="11">
        <f t="shared" si="19"/>
        <v>2601</v>
      </c>
      <c r="O156" s="11">
        <f t="shared" si="19"/>
        <v>51</v>
      </c>
      <c r="P156" s="11">
        <f t="shared" si="18"/>
        <v>0</v>
      </c>
    </row>
    <row r="157" spans="1:16" x14ac:dyDescent="0.25">
      <c r="A157" s="11">
        <f t="shared" si="17"/>
        <v>102</v>
      </c>
      <c r="B157">
        <v>-6.1343975882486186</v>
      </c>
      <c r="E157" s="11">
        <f>A157-'Mastercurve bestimmen'!$B$2</f>
        <v>52</v>
      </c>
      <c r="F157" s="11">
        <f t="shared" si="15"/>
        <v>-6.1343975882486186</v>
      </c>
      <c r="G157" s="11"/>
      <c r="H157" s="11">
        <f t="shared" si="16"/>
        <v>53459728531456</v>
      </c>
      <c r="I157" s="11">
        <f t="shared" si="19"/>
        <v>1028071702528</v>
      </c>
      <c r="J157" s="11">
        <f t="shared" si="19"/>
        <v>19770609664</v>
      </c>
      <c r="K157" s="11">
        <f t="shared" si="19"/>
        <v>380204032</v>
      </c>
      <c r="L157" s="11">
        <f t="shared" si="19"/>
        <v>7311616</v>
      </c>
      <c r="M157" s="11">
        <f t="shared" si="19"/>
        <v>140608</v>
      </c>
      <c r="N157" s="11">
        <f t="shared" si="19"/>
        <v>2704</v>
      </c>
      <c r="O157" s="11">
        <f t="shared" si="19"/>
        <v>52</v>
      </c>
      <c r="P157" s="11">
        <f t="shared" si="18"/>
        <v>0</v>
      </c>
    </row>
    <row r="158" spans="1:16" x14ac:dyDescent="0.25">
      <c r="A158" s="11">
        <f t="shared" si="17"/>
        <v>103</v>
      </c>
      <c r="B158">
        <v>-5.7887399995779507</v>
      </c>
      <c r="E158" s="11">
        <f>A158-'Mastercurve bestimmen'!$B$2</f>
        <v>53</v>
      </c>
      <c r="F158" s="11">
        <f t="shared" si="15"/>
        <v>-5.7887399995779507</v>
      </c>
      <c r="G158" s="11"/>
      <c r="H158" s="11">
        <f t="shared" si="16"/>
        <v>62259690411361</v>
      </c>
      <c r="I158" s="11">
        <f t="shared" si="19"/>
        <v>1174711139837</v>
      </c>
      <c r="J158" s="11">
        <f t="shared" si="19"/>
        <v>22164361129</v>
      </c>
      <c r="K158" s="11">
        <f t="shared" si="19"/>
        <v>418195493</v>
      </c>
      <c r="L158" s="11">
        <f t="shared" si="19"/>
        <v>7890481</v>
      </c>
      <c r="M158" s="11">
        <f t="shared" si="19"/>
        <v>148877</v>
      </c>
      <c r="N158" s="11">
        <f t="shared" si="19"/>
        <v>2809</v>
      </c>
      <c r="O158" s="11">
        <f t="shared" si="19"/>
        <v>53</v>
      </c>
      <c r="P158" s="11">
        <f t="shared" si="18"/>
        <v>0</v>
      </c>
    </row>
    <row r="159" spans="1:16" x14ac:dyDescent="0.25">
      <c r="A159" s="11">
        <f t="shared" si="17"/>
        <v>104</v>
      </c>
      <c r="B159">
        <v>-5.4506379443781121</v>
      </c>
      <c r="E159" s="11">
        <f>A159-'Mastercurve bestimmen'!$B$2</f>
        <v>54</v>
      </c>
      <c r="F159" s="11">
        <f t="shared" si="15"/>
        <v>-5.4506379443781121</v>
      </c>
      <c r="G159" s="11"/>
      <c r="H159" s="11">
        <f t="shared" si="16"/>
        <v>72301961339136</v>
      </c>
      <c r="I159" s="11">
        <f t="shared" si="19"/>
        <v>1338925209984</v>
      </c>
      <c r="J159" s="11">
        <f t="shared" si="19"/>
        <v>24794911296</v>
      </c>
      <c r="K159" s="11">
        <f t="shared" si="19"/>
        <v>459165024</v>
      </c>
      <c r="L159" s="11">
        <f t="shared" si="19"/>
        <v>8503056</v>
      </c>
      <c r="M159" s="11">
        <f t="shared" si="19"/>
        <v>157464</v>
      </c>
      <c r="N159" s="11">
        <f t="shared" si="19"/>
        <v>2916</v>
      </c>
      <c r="O159" s="11">
        <f t="shared" si="19"/>
        <v>54</v>
      </c>
      <c r="P159" s="11">
        <f t="shared" si="18"/>
        <v>0</v>
      </c>
    </row>
    <row r="160" spans="1:16" x14ac:dyDescent="0.25">
      <c r="A160" s="11">
        <f t="shared" si="17"/>
        <v>105</v>
      </c>
      <c r="B160">
        <v>-5.1200373159201717</v>
      </c>
      <c r="E160" s="11">
        <f>A160-'Mastercurve bestimmen'!$B$2</f>
        <v>55</v>
      </c>
      <c r="F160" s="11">
        <f t="shared" si="15"/>
        <v>-5.1200373159201717</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-4.7968840074751924</v>
      </c>
      <c r="E161" s="11">
        <f>A161-'Mastercurve bestimmen'!$B$2</f>
        <v>56</v>
      </c>
      <c r="F161" s="11">
        <f t="shared" si="15"/>
        <v>-4.7968840074751924</v>
      </c>
      <c r="G161" s="11"/>
      <c r="H161" s="11">
        <f t="shared" si="16"/>
        <v>96717311574016</v>
      </c>
      <c r="I161" s="11">
        <f t="shared" si="19"/>
        <v>1727094849536</v>
      </c>
      <c r="J161" s="11">
        <f t="shared" si="19"/>
        <v>30840979456</v>
      </c>
      <c r="K161" s="11">
        <f t="shared" si="19"/>
        <v>550731776</v>
      </c>
      <c r="L161" s="11">
        <f t="shared" si="19"/>
        <v>9834496</v>
      </c>
      <c r="M161" s="11">
        <f t="shared" si="19"/>
        <v>175616</v>
      </c>
      <c r="N161" s="11">
        <f t="shared" si="19"/>
        <v>3136</v>
      </c>
      <c r="O161" s="11">
        <f t="shared" si="19"/>
        <v>56</v>
      </c>
      <c r="P161" s="11">
        <f t="shared" si="18"/>
        <v>0</v>
      </c>
    </row>
    <row r="162" spans="1:16" x14ac:dyDescent="0.25">
      <c r="A162" s="11">
        <f t="shared" si="17"/>
        <v>107</v>
      </c>
      <c r="B162">
        <v>-4.4811239123142403</v>
      </c>
      <c r="E162" s="11">
        <f>A162-'Mastercurve bestimmen'!$B$2</f>
        <v>57</v>
      </c>
      <c r="F162" s="11">
        <f t="shared" si="15"/>
        <v>-4.4811239123142403</v>
      </c>
      <c r="G162" s="11"/>
      <c r="H162" s="11">
        <f t="shared" si="16"/>
        <v>111429157112001</v>
      </c>
      <c r="I162" s="11">
        <f t="shared" si="19"/>
        <v>1954897493193</v>
      </c>
      <c r="J162" s="11">
        <f t="shared" si="19"/>
        <v>34296447249</v>
      </c>
      <c r="K162" s="11">
        <f t="shared" si="19"/>
        <v>601692057</v>
      </c>
      <c r="L162" s="11">
        <f t="shared" si="19"/>
        <v>10556001</v>
      </c>
      <c r="M162" s="11">
        <f t="shared" si="19"/>
        <v>185193</v>
      </c>
      <c r="N162" s="11">
        <f t="shared" si="19"/>
        <v>3249</v>
      </c>
      <c r="O162" s="11">
        <f t="shared" si="19"/>
        <v>57</v>
      </c>
      <c r="P162" s="11">
        <f t="shared" si="18"/>
        <v>0</v>
      </c>
    </row>
    <row r="163" spans="1:16" x14ac:dyDescent="0.25">
      <c r="A163" s="11">
        <f t="shared" si="17"/>
        <v>108</v>
      </c>
      <c r="B163">
        <v>-4.1727029237083801</v>
      </c>
      <c r="E163" s="11">
        <f>A163-'Mastercurve bestimmen'!$B$2</f>
        <v>58</v>
      </c>
      <c r="F163" s="11">
        <f t="shared" si="15"/>
        <v>-4.1727029237083801</v>
      </c>
      <c r="G163" s="11"/>
      <c r="H163" s="11">
        <f t="shared" si="16"/>
        <v>128063081718016</v>
      </c>
      <c r="I163" s="11">
        <f t="shared" si="19"/>
        <v>2207984167552</v>
      </c>
      <c r="J163" s="11">
        <f t="shared" si="19"/>
        <v>38068692544</v>
      </c>
      <c r="K163" s="11">
        <f t="shared" si="19"/>
        <v>656356768</v>
      </c>
      <c r="L163" s="11">
        <f t="shared" si="19"/>
        <v>11316496</v>
      </c>
      <c r="M163" s="11">
        <f t="shared" si="19"/>
        <v>195112</v>
      </c>
      <c r="N163" s="11">
        <f t="shared" si="19"/>
        <v>3364</v>
      </c>
      <c r="O163" s="11">
        <f t="shared" si="19"/>
        <v>58</v>
      </c>
      <c r="P163" s="11">
        <f t="shared" si="18"/>
        <v>0</v>
      </c>
    </row>
    <row r="164" spans="1:16" x14ac:dyDescent="0.25">
      <c r="A164" s="11">
        <f t="shared" si="17"/>
        <v>109</v>
      </c>
      <c r="B164">
        <v>-3.8715669349286768</v>
      </c>
      <c r="E164" s="11">
        <f>A164-'Mastercurve bestimmen'!$B$2</f>
        <v>59</v>
      </c>
      <c r="F164" s="11">
        <f t="shared" si="15"/>
        <v>-3.8715669349286768</v>
      </c>
      <c r="G164" s="11"/>
      <c r="H164" s="11">
        <f t="shared" si="16"/>
        <v>146830437604321</v>
      </c>
      <c r="I164" s="11">
        <f t="shared" si="19"/>
        <v>2488651484819</v>
      </c>
      <c r="J164" s="11">
        <f t="shared" si="19"/>
        <v>42180533641</v>
      </c>
      <c r="K164" s="11">
        <f t="shared" si="19"/>
        <v>714924299</v>
      </c>
      <c r="L164" s="11">
        <f t="shared" si="19"/>
        <v>12117361</v>
      </c>
      <c r="M164" s="11">
        <f t="shared" si="19"/>
        <v>205379</v>
      </c>
      <c r="N164" s="11">
        <f t="shared" si="19"/>
        <v>3481</v>
      </c>
      <c r="O164" s="11">
        <f t="shared" si="19"/>
        <v>59</v>
      </c>
      <c r="P164" s="11">
        <f t="shared" si="18"/>
        <v>0</v>
      </c>
    </row>
    <row r="165" spans="1:16" x14ac:dyDescent="0.25">
      <c r="A165" s="11">
        <f t="shared" si="17"/>
        <v>110</v>
      </c>
      <c r="B165">
        <v>-3.577661839246197</v>
      </c>
      <c r="E165" s="11">
        <f>A165-'Mastercurve bestimmen'!$B$2</f>
        <v>60</v>
      </c>
      <c r="F165" s="11">
        <f t="shared" si="15"/>
        <v>-3.577661839246197</v>
      </c>
      <c r="G165" s="11"/>
      <c r="H165" s="11">
        <f t="shared" si="16"/>
        <v>167961600000000</v>
      </c>
      <c r="I165" s="11">
        <f t="shared" si="19"/>
        <v>2799360000000</v>
      </c>
      <c r="J165" s="11">
        <f t="shared" si="19"/>
        <v>46656000000</v>
      </c>
      <c r="K165" s="11">
        <f t="shared" si="19"/>
        <v>777600000</v>
      </c>
      <c r="L165" s="11">
        <f t="shared" si="19"/>
        <v>12960000</v>
      </c>
      <c r="M165" s="11">
        <f t="shared" si="19"/>
        <v>216000</v>
      </c>
      <c r="N165" s="11">
        <f t="shared" si="19"/>
        <v>3600</v>
      </c>
      <c r="O165" s="11">
        <f t="shared" si="19"/>
        <v>60</v>
      </c>
      <c r="P165" s="11">
        <f t="shared" si="18"/>
        <v>0</v>
      </c>
    </row>
    <row r="166" spans="1:16" x14ac:dyDescent="0.25">
      <c r="A166" s="11">
        <f t="shared" si="17"/>
        <v>111</v>
      </c>
      <c r="B166">
        <v>-3.2909335299320035</v>
      </c>
      <c r="E166" s="11">
        <f>A166-'Mastercurve bestimmen'!$B$2</f>
        <v>61</v>
      </c>
      <c r="F166" s="11">
        <f t="shared" si="15"/>
        <v>-3.2909335299320035</v>
      </c>
      <c r="G166" s="11"/>
      <c r="H166" s="11">
        <f t="shared" si="16"/>
        <v>191707312997281</v>
      </c>
      <c r="I166" s="11">
        <f t="shared" si="19"/>
        <v>3142742836021</v>
      </c>
      <c r="J166" s="11">
        <f t="shared" si="19"/>
        <v>51520374361</v>
      </c>
      <c r="K166" s="11">
        <f t="shared" si="19"/>
        <v>844596301</v>
      </c>
      <c r="L166" s="11">
        <f t="shared" si="19"/>
        <v>13845841</v>
      </c>
      <c r="M166" s="11">
        <f t="shared" si="19"/>
        <v>226981</v>
      </c>
      <c r="N166" s="11">
        <f t="shared" si="19"/>
        <v>3721</v>
      </c>
      <c r="O166" s="11">
        <f t="shared" si="19"/>
        <v>61</v>
      </c>
      <c r="P166" s="11">
        <f t="shared" si="18"/>
        <v>0</v>
      </c>
    </row>
    <row r="167" spans="1:16" x14ac:dyDescent="0.25">
      <c r="A167" s="11">
        <f t="shared" si="17"/>
        <v>112</v>
      </c>
      <c r="B167">
        <v>-3.0113279002571627</v>
      </c>
      <c r="E167" s="11">
        <f>A167-'Mastercurve bestimmen'!$B$2</f>
        <v>62</v>
      </c>
      <c r="F167" s="11">
        <f t="shared" si="15"/>
        <v>-3.0113279002571627</v>
      </c>
      <c r="G167" s="11"/>
      <c r="H167" s="11">
        <f t="shared" si="16"/>
        <v>218340105584896</v>
      </c>
      <c r="I167" s="11">
        <f t="shared" si="19"/>
        <v>3521614606208</v>
      </c>
      <c r="J167" s="11">
        <f t="shared" si="19"/>
        <v>56800235584</v>
      </c>
      <c r="K167" s="11">
        <f t="shared" si="19"/>
        <v>916132832</v>
      </c>
      <c r="L167" s="11">
        <f t="shared" si="19"/>
        <v>14776336</v>
      </c>
      <c r="M167" s="11">
        <f t="shared" si="19"/>
        <v>238328</v>
      </c>
      <c r="N167" s="11">
        <f t="shared" si="19"/>
        <v>3844</v>
      </c>
      <c r="O167" s="11">
        <f t="shared" si="19"/>
        <v>62</v>
      </c>
      <c r="P167" s="11">
        <f t="shared" si="18"/>
        <v>0</v>
      </c>
    </row>
    <row r="168" spans="1:16" x14ac:dyDescent="0.25">
      <c r="A168" s="11">
        <f t="shared" si="17"/>
        <v>113</v>
      </c>
      <c r="B168">
        <v>-2.7387908434927408</v>
      </c>
      <c r="E168" s="11">
        <f>A168-'Mastercurve bestimmen'!$B$2</f>
        <v>63</v>
      </c>
      <c r="F168" s="11">
        <f t="shared" si="15"/>
        <v>-2.7387908434927408</v>
      </c>
      <c r="G168" s="11"/>
      <c r="H168" s="11">
        <f t="shared" si="16"/>
        <v>248155780267521</v>
      </c>
      <c r="I168" s="11">
        <f t="shared" si="19"/>
        <v>3938980639167</v>
      </c>
      <c r="J168" s="11">
        <f t="shared" si="19"/>
        <v>62523502209</v>
      </c>
      <c r="K168" s="11">
        <f t="shared" si="19"/>
        <v>992436543</v>
      </c>
      <c r="L168" s="11">
        <f t="shared" si="19"/>
        <v>15752961</v>
      </c>
      <c r="M168" s="11">
        <f t="shared" si="19"/>
        <v>250047</v>
      </c>
      <c r="N168" s="11">
        <f t="shared" si="19"/>
        <v>3969</v>
      </c>
      <c r="O168" s="11">
        <f t="shared" si="19"/>
        <v>63</v>
      </c>
      <c r="P168" s="11">
        <f t="shared" si="18"/>
        <v>0</v>
      </c>
    </row>
    <row r="169" spans="1:16" x14ac:dyDescent="0.25">
      <c r="A169" s="11">
        <f t="shared" si="17"/>
        <v>114</v>
      </c>
      <c r="B169">
        <v>-2.4732682529098016</v>
      </c>
      <c r="E169" s="11">
        <f>A169-'Mastercurve bestimmen'!$B$2</f>
        <v>64</v>
      </c>
      <c r="F169" s="11">
        <f t="shared" si="15"/>
        <v>-2.4732682529098016</v>
      </c>
      <c r="G169" s="11"/>
      <c r="H169" s="11">
        <f t="shared" si="16"/>
        <v>281474976710656</v>
      </c>
      <c r="I169" s="11">
        <f t="shared" si="19"/>
        <v>4398046511104</v>
      </c>
      <c r="J169" s="11">
        <f t="shared" si="19"/>
        <v>68719476736</v>
      </c>
      <c r="K169" s="11">
        <f t="shared" si="19"/>
        <v>1073741824</v>
      </c>
      <c r="L169" s="11">
        <f t="shared" si="19"/>
        <v>16777216</v>
      </c>
      <c r="M169" s="11">
        <f t="shared" si="19"/>
        <v>262144</v>
      </c>
      <c r="N169" s="11">
        <f t="shared" si="19"/>
        <v>4096</v>
      </c>
      <c r="O169" s="11">
        <f t="shared" si="19"/>
        <v>64</v>
      </c>
      <c r="P169" s="11">
        <f t="shared" si="18"/>
        <v>0</v>
      </c>
    </row>
    <row r="170" spans="1:16" x14ac:dyDescent="0.25">
      <c r="A170" s="11">
        <f t="shared" si="17"/>
        <v>115</v>
      </c>
      <c r="B170">
        <v>-2.2147060217794103</v>
      </c>
      <c r="E170" s="11">
        <f>A170-'Mastercurve bestimmen'!$B$2</f>
        <v>65</v>
      </c>
      <c r="F170" s="11">
        <f t="shared" si="15"/>
        <v>-2.2147060217794103</v>
      </c>
      <c r="G170" s="11"/>
      <c r="H170" s="11">
        <f t="shared" si="16"/>
        <v>318644812890625</v>
      </c>
      <c r="I170" s="11">
        <f t="shared" si="19"/>
        <v>4902227890625</v>
      </c>
      <c r="J170" s="11">
        <f t="shared" si="19"/>
        <v>75418890625</v>
      </c>
      <c r="K170" s="11">
        <f t="shared" si="19"/>
        <v>1160290625</v>
      </c>
      <c r="L170" s="11">
        <f t="shared" si="19"/>
        <v>17850625</v>
      </c>
      <c r="M170" s="11">
        <f t="shared" si="19"/>
        <v>274625</v>
      </c>
      <c r="N170" s="11">
        <f t="shared" si="19"/>
        <v>4225</v>
      </c>
      <c r="O170" s="11">
        <f t="shared" si="19"/>
        <v>65</v>
      </c>
      <c r="P170" s="11">
        <f t="shared" si="18"/>
        <v>0</v>
      </c>
    </row>
    <row r="171" spans="1:16" x14ac:dyDescent="0.25">
      <c r="A171" s="11">
        <f t="shared" si="17"/>
        <v>116</v>
      </c>
      <c r="B171">
        <v>-1.963050043372633</v>
      </c>
      <c r="E171" s="11">
        <f>A171-'Mastercurve bestimmen'!$B$2</f>
        <v>66</v>
      </c>
      <c r="F171" s="11">
        <f t="shared" si="15"/>
        <v>-1.963050043372633</v>
      </c>
      <c r="G171" s="11"/>
      <c r="H171" s="11">
        <f t="shared" si="16"/>
        <v>360040606269696</v>
      </c>
      <c r="I171" s="11">
        <f t="shared" si="19"/>
        <v>5455160701056</v>
      </c>
      <c r="J171" s="11">
        <f t="shared" si="19"/>
        <v>82653950016</v>
      </c>
      <c r="K171" s="11">
        <f t="shared" si="19"/>
        <v>1252332576</v>
      </c>
      <c r="L171" s="11">
        <f t="shared" si="19"/>
        <v>18974736</v>
      </c>
      <c r="M171" s="11">
        <f t="shared" si="19"/>
        <v>287496</v>
      </c>
      <c r="N171" s="11">
        <f t="shared" si="19"/>
        <v>4356</v>
      </c>
      <c r="O171" s="11">
        <f t="shared" si="19"/>
        <v>66</v>
      </c>
      <c r="P171" s="11">
        <f t="shared" si="18"/>
        <v>0</v>
      </c>
    </row>
    <row r="172" spans="1:16" x14ac:dyDescent="0.25">
      <c r="A172" s="11">
        <f t="shared" si="17"/>
        <v>117</v>
      </c>
      <c r="B172">
        <v>-1.7182462109605345</v>
      </c>
      <c r="E172" s="11">
        <f>A172-'Mastercurve bestimmen'!$B$2</f>
        <v>67</v>
      </c>
      <c r="F172" s="11">
        <f t="shared" si="15"/>
        <v>-1.7182462109605345</v>
      </c>
      <c r="G172" s="11"/>
      <c r="H172" s="11">
        <f t="shared" si="16"/>
        <v>406067677556641</v>
      </c>
      <c r="I172" s="11">
        <f t="shared" si="19"/>
        <v>6060711605323</v>
      </c>
      <c r="J172" s="11">
        <f t="shared" si="19"/>
        <v>90458382169</v>
      </c>
      <c r="K172" s="11">
        <f t="shared" si="19"/>
        <v>1350125107</v>
      </c>
      <c r="L172" s="11">
        <f t="shared" si="19"/>
        <v>20151121</v>
      </c>
      <c r="M172" s="11">
        <f t="shared" si="19"/>
        <v>300763</v>
      </c>
      <c r="N172" s="11">
        <f t="shared" si="19"/>
        <v>4489</v>
      </c>
      <c r="O172" s="11">
        <f t="shared" si="19"/>
        <v>67</v>
      </c>
      <c r="P172" s="11">
        <f t="shared" si="18"/>
        <v>0</v>
      </c>
    </row>
    <row r="173" spans="1:16" x14ac:dyDescent="0.25">
      <c r="A173" s="11">
        <f t="shared" si="17"/>
        <v>118</v>
      </c>
      <c r="B173">
        <v>-1.4802404178141799</v>
      </c>
      <c r="E173" s="11">
        <f>A173-'Mastercurve bestimmen'!$B$2</f>
        <v>68</v>
      </c>
      <c r="F173" s="11">
        <f t="shared" si="15"/>
        <v>-1.4802404178141799</v>
      </c>
      <c r="G173" s="11"/>
      <c r="H173" s="11">
        <f t="shared" si="16"/>
        <v>457163239653376</v>
      </c>
      <c r="I173" s="11">
        <f t="shared" si="19"/>
        <v>6722988818432</v>
      </c>
      <c r="J173" s="11">
        <f t="shared" si="19"/>
        <v>98867482624</v>
      </c>
      <c r="K173" s="11">
        <f t="shared" si="19"/>
        <v>1453933568</v>
      </c>
      <c r="L173" s="11">
        <f t="shared" si="19"/>
        <v>21381376</v>
      </c>
      <c r="M173" s="11">
        <f t="shared" si="19"/>
        <v>314432</v>
      </c>
      <c r="N173" s="11">
        <f t="shared" si="19"/>
        <v>4624</v>
      </c>
      <c r="O173" s="11">
        <f t="shared" si="19"/>
        <v>68</v>
      </c>
      <c r="P173" s="11">
        <f t="shared" si="18"/>
        <v>0</v>
      </c>
    </row>
    <row r="174" spans="1:16" x14ac:dyDescent="0.25">
      <c r="A174" s="11">
        <f t="shared" si="17"/>
        <v>119</v>
      </c>
      <c r="B174">
        <v>-1.2489785572046341</v>
      </c>
      <c r="E174" s="11">
        <f>A174-'Mastercurve bestimmen'!$B$2</f>
        <v>69</v>
      </c>
      <c r="F174" s="11">
        <f t="shared" si="15"/>
        <v>-1.2489785572046341</v>
      </c>
      <c r="G174" s="11"/>
      <c r="H174" s="11">
        <f t="shared" si="16"/>
        <v>513798374428641</v>
      </c>
      <c r="I174" s="11">
        <f t="shared" si="19"/>
        <v>7446353252589</v>
      </c>
      <c r="J174" s="11">
        <f t="shared" si="19"/>
        <v>107918163081</v>
      </c>
      <c r="K174" s="11">
        <f t="shared" si="19"/>
        <v>1564031349</v>
      </c>
      <c r="L174" s="11">
        <f t="shared" si="19"/>
        <v>22667121</v>
      </c>
      <c r="M174" s="11">
        <f t="shared" si="19"/>
        <v>328509</v>
      </c>
      <c r="N174" s="11">
        <f t="shared" si="19"/>
        <v>4761</v>
      </c>
      <c r="O174" s="11">
        <f t="shared" si="19"/>
        <v>69</v>
      </c>
      <c r="P174" s="11">
        <f t="shared" si="18"/>
        <v>0</v>
      </c>
    </row>
    <row r="175" spans="1:16" x14ac:dyDescent="0.25">
      <c r="A175" s="11">
        <f t="shared" si="17"/>
        <v>120</v>
      </c>
      <c r="B175">
        <v>-1.0244065224029626</v>
      </c>
      <c r="E175" s="11">
        <f>A175-'Mastercurve bestimmen'!$B$2</f>
        <v>70</v>
      </c>
      <c r="F175" s="11">
        <f t="shared" si="15"/>
        <v>-1.0244065224029626</v>
      </c>
      <c r="G175" s="11"/>
      <c r="H175" s="11">
        <f t="shared" si="16"/>
        <v>576480100000000</v>
      </c>
      <c r="I175" s="11">
        <f t="shared" si="19"/>
        <v>8235430000000</v>
      </c>
      <c r="J175" s="11">
        <f t="shared" si="19"/>
        <v>117649000000</v>
      </c>
      <c r="K175" s="11">
        <f t="shared" si="19"/>
        <v>1680700000</v>
      </c>
      <c r="L175" s="11">
        <f t="shared" si="19"/>
        <v>24010000</v>
      </c>
      <c r="M175" s="11">
        <f t="shared" si="19"/>
        <v>343000</v>
      </c>
      <c r="N175" s="11">
        <f t="shared" si="19"/>
        <v>4900</v>
      </c>
      <c r="O175" s="11">
        <f t="shared" si="19"/>
        <v>70</v>
      </c>
      <c r="P175" s="11">
        <f t="shared" si="18"/>
        <v>0</v>
      </c>
    </row>
    <row r="176" spans="1:16" x14ac:dyDescent="0.25">
      <c r="A176" s="11">
        <f t="shared" si="17"/>
        <v>121</v>
      </c>
      <c r="B176">
        <v>-0.80647020668023028</v>
      </c>
      <c r="E176" s="11">
        <f>A176-'Mastercurve bestimmen'!$B$2</f>
        <v>71</v>
      </c>
      <c r="F176" s="11">
        <f t="shared" si="15"/>
        <v>-0.80647020668023028</v>
      </c>
      <c r="G176" s="11"/>
      <c r="H176" s="11">
        <f t="shared" si="16"/>
        <v>645753531245761</v>
      </c>
      <c r="I176" s="11">
        <f t="shared" si="19"/>
        <v>9095120158391</v>
      </c>
      <c r="J176" s="11">
        <f t="shared" si="19"/>
        <v>128100283921</v>
      </c>
      <c r="K176" s="11">
        <f t="shared" si="19"/>
        <v>1804229351</v>
      </c>
      <c r="L176" s="11">
        <f t="shared" si="19"/>
        <v>25411681</v>
      </c>
      <c r="M176" s="11">
        <f t="shared" si="19"/>
        <v>357911</v>
      </c>
      <c r="N176" s="11">
        <f t="shared" si="19"/>
        <v>5041</v>
      </c>
      <c r="O176" s="11">
        <f t="shared" si="19"/>
        <v>71</v>
      </c>
      <c r="P176" s="11">
        <f t="shared" si="18"/>
        <v>0</v>
      </c>
    </row>
    <row r="177" spans="1:16" x14ac:dyDescent="0.25">
      <c r="A177" s="11">
        <f t="shared" si="17"/>
        <v>122</v>
      </c>
      <c r="B177">
        <v>-0.59511550330750262</v>
      </c>
      <c r="E177" s="11">
        <f>A177-'Mastercurve bestimmen'!$B$2</f>
        <v>72</v>
      </c>
      <c r="F177" s="11">
        <f t="shared" si="15"/>
        <v>-0.59511550330750262</v>
      </c>
      <c r="G177" s="11"/>
      <c r="H177" s="11">
        <f t="shared" si="16"/>
        <v>722204136308736</v>
      </c>
      <c r="I177" s="11">
        <f t="shared" si="19"/>
        <v>10030613004288</v>
      </c>
      <c r="J177" s="11">
        <f t="shared" si="19"/>
        <v>139314069504</v>
      </c>
      <c r="K177" s="11">
        <f t="shared" si="19"/>
        <v>1934917632</v>
      </c>
      <c r="L177" s="11">
        <f t="shared" si="19"/>
        <v>26873856</v>
      </c>
      <c r="M177" s="11">
        <f t="shared" si="19"/>
        <v>373248</v>
      </c>
      <c r="N177" s="11">
        <f t="shared" si="19"/>
        <v>5184</v>
      </c>
      <c r="O177" s="11">
        <f t="shared" si="19"/>
        <v>72</v>
      </c>
      <c r="P177" s="11">
        <f t="shared" si="18"/>
        <v>0</v>
      </c>
    </row>
    <row r="178" spans="1:16" x14ac:dyDescent="0.25">
      <c r="A178" s="11">
        <f t="shared" si="17"/>
        <v>123</v>
      </c>
      <c r="B178">
        <v>-0.39028830555584504</v>
      </c>
      <c r="E178" s="11">
        <f>A178-'Mastercurve bestimmen'!$B$2</f>
        <v>73</v>
      </c>
      <c r="F178" s="11">
        <f t="shared" si="15"/>
        <v>-0.39028830555584504</v>
      </c>
      <c r="G178" s="11"/>
      <c r="H178" s="11">
        <f t="shared" si="16"/>
        <v>806460091894081</v>
      </c>
      <c r="I178" s="11">
        <f t="shared" si="19"/>
        <v>11047398519097</v>
      </c>
      <c r="J178" s="11">
        <f t="shared" si="19"/>
        <v>151334226289</v>
      </c>
      <c r="K178" s="11">
        <f t="shared" si="19"/>
        <v>2073071593</v>
      </c>
      <c r="L178" s="11">
        <f t="shared" si="19"/>
        <v>28398241</v>
      </c>
      <c r="M178" s="11">
        <f t="shared" si="19"/>
        <v>389017</v>
      </c>
      <c r="N178" s="11">
        <f t="shared" si="19"/>
        <v>5329</v>
      </c>
      <c r="O178" s="11">
        <f t="shared" si="19"/>
        <v>73</v>
      </c>
      <c r="P178" s="11">
        <f t="shared" si="18"/>
        <v>0</v>
      </c>
    </row>
    <row r="179" spans="1:16" x14ac:dyDescent="0.25">
      <c r="A179" s="11">
        <f t="shared" si="17"/>
        <v>124</v>
      </c>
      <c r="B179">
        <v>-0.19193450669632295</v>
      </c>
      <c r="E179" s="11">
        <f>A179-'Mastercurve bestimmen'!$B$2</f>
        <v>74</v>
      </c>
      <c r="F179" s="11">
        <f t="shared" si="15"/>
        <v>-0.19193450669632295</v>
      </c>
      <c r="G179" s="11"/>
      <c r="H179" s="11">
        <f t="shared" si="16"/>
        <v>899194740203776</v>
      </c>
      <c r="I179" s="11">
        <f t="shared" si="19"/>
        <v>12151280273024</v>
      </c>
      <c r="J179" s="11">
        <f t="shared" si="19"/>
        <v>164206490176</v>
      </c>
      <c r="K179" s="11">
        <f t="shared" si="19"/>
        <v>2219006624</v>
      </c>
      <c r="L179" s="11">
        <f t="shared" si="19"/>
        <v>29986576</v>
      </c>
      <c r="M179" s="11">
        <f t="shared" si="19"/>
        <v>405224</v>
      </c>
      <c r="N179" s="11">
        <f t="shared" si="19"/>
        <v>5476</v>
      </c>
      <c r="O179" s="11">
        <f t="shared" si="19"/>
        <v>74</v>
      </c>
      <c r="P179" s="11">
        <f t="shared" si="18"/>
        <v>0</v>
      </c>
    </row>
    <row r="180" spans="1:16" x14ac:dyDescent="0.25">
      <c r="A180" s="11">
        <f t="shared" si="17"/>
        <v>125</v>
      </c>
      <c r="B180">
        <v>0</v>
      </c>
      <c r="E180" s="11">
        <f>A180-'Mastercurve bestimmen'!$B$2</f>
        <v>75</v>
      </c>
      <c r="F180" s="11">
        <f t="shared" si="15"/>
        <v>0</v>
      </c>
      <c r="G180" s="11"/>
      <c r="H180" s="11">
        <f t="shared" si="16"/>
        <v>1001129150390625</v>
      </c>
      <c r="I180" s="11">
        <f t="shared" si="19"/>
        <v>13348388671875</v>
      </c>
      <c r="J180" s="11">
        <f t="shared" si="19"/>
        <v>177978515625</v>
      </c>
      <c r="K180" s="11">
        <f t="shared" si="19"/>
        <v>2373046875</v>
      </c>
      <c r="L180" s="11">
        <f t="shared" si="19"/>
        <v>31640625</v>
      </c>
      <c r="M180" s="11">
        <f t="shared" si="19"/>
        <v>421875</v>
      </c>
      <c r="N180" s="11">
        <f t="shared" si="19"/>
        <v>5625</v>
      </c>
      <c r="O180" s="11">
        <f t="shared" si="19"/>
        <v>75</v>
      </c>
      <c r="P180" s="11">
        <f t="shared" si="18"/>
        <v>0</v>
      </c>
    </row>
    <row r="181" spans="1:16" x14ac:dyDescent="0.25">
      <c r="A181" s="11">
        <f t="shared" si="17"/>
        <v>126</v>
      </c>
      <c r="B181">
        <v>0.1855906138807312</v>
      </c>
      <c r="E181" s="11">
        <f>A181-'Mastercurve bestimmen'!$B$2</f>
        <v>76</v>
      </c>
      <c r="F181" s="11">
        <f t="shared" si="15"/>
        <v>0.1855906138807312</v>
      </c>
      <c r="G181" s="11"/>
      <c r="H181" s="11">
        <f t="shared" si="16"/>
        <v>1113034787454976</v>
      </c>
      <c r="I181" s="11">
        <f t="shared" si="19"/>
        <v>14645194571776</v>
      </c>
      <c r="J181" s="11">
        <f t="shared" si="19"/>
        <v>192699928576</v>
      </c>
      <c r="K181" s="11">
        <f t="shared" si="19"/>
        <v>2535525376</v>
      </c>
      <c r="L181" s="11">
        <f t="shared" si="19"/>
        <v>33362176</v>
      </c>
      <c r="M181" s="11">
        <f t="shared" si="19"/>
        <v>438976</v>
      </c>
      <c r="N181" s="11">
        <f t="shared" si="19"/>
        <v>5776</v>
      </c>
      <c r="O181" s="11">
        <f t="shared" si="19"/>
        <v>76</v>
      </c>
      <c r="P181" s="11">
        <f t="shared" si="18"/>
        <v>0</v>
      </c>
    </row>
    <row r="182" spans="1:16" x14ac:dyDescent="0.25">
      <c r="A182" s="11">
        <f t="shared" si="17"/>
        <v>127</v>
      </c>
      <c r="B182">
        <v>0.36499790476817601</v>
      </c>
      <c r="E182" s="11">
        <f>A182-'Mastercurve bestimmen'!$B$2</f>
        <v>77</v>
      </c>
      <c r="F182" s="11">
        <f t="shared" si="15"/>
        <v>0.36499790476817601</v>
      </c>
      <c r="G182" s="11"/>
      <c r="H182" s="11">
        <f t="shared" si="16"/>
        <v>1235736291547681</v>
      </c>
      <c r="I182" s="11">
        <f t="shared" si="19"/>
        <v>16048523266853</v>
      </c>
      <c r="J182" s="11">
        <f t="shared" si="19"/>
        <v>208422380089</v>
      </c>
      <c r="K182" s="11">
        <f t="shared" si="19"/>
        <v>2706784157</v>
      </c>
      <c r="L182" s="11">
        <f t="shared" si="19"/>
        <v>35153041</v>
      </c>
      <c r="M182" s="11">
        <f t="shared" si="19"/>
        <v>456533</v>
      </c>
      <c r="N182" s="11">
        <f t="shared" si="19"/>
        <v>5929</v>
      </c>
      <c r="O182" s="11">
        <f t="shared" si="19"/>
        <v>77</v>
      </c>
      <c r="P182" s="11">
        <f t="shared" si="18"/>
        <v>0</v>
      </c>
    </row>
    <row r="183" spans="1:16" x14ac:dyDescent="0.25">
      <c r="A183" s="11">
        <f t="shared" si="17"/>
        <v>128</v>
      </c>
      <c r="B183">
        <v>0.53840373510331363</v>
      </c>
      <c r="E183" s="11">
        <f>A183-'Mastercurve bestimmen'!$B$2</f>
        <v>78</v>
      </c>
      <c r="F183" s="11">
        <f t="shared" si="15"/>
        <v>0.53840373510331363</v>
      </c>
      <c r="G183" s="11"/>
      <c r="H183" s="11">
        <f t="shared" si="16"/>
        <v>1370114370683136</v>
      </c>
      <c r="I183" s="11">
        <f t="shared" si="19"/>
        <v>17565568854912</v>
      </c>
      <c r="J183" s="11">
        <f t="shared" si="19"/>
        <v>225199600704</v>
      </c>
      <c r="K183" s="11">
        <f t="shared" si="19"/>
        <v>2887174368</v>
      </c>
      <c r="L183" s="11">
        <f t="shared" si="19"/>
        <v>37015056</v>
      </c>
      <c r="M183" s="11">
        <f t="shared" si="19"/>
        <v>474552</v>
      </c>
      <c r="N183" s="11">
        <f t="shared" si="19"/>
        <v>6084</v>
      </c>
      <c r="O183" s="11">
        <f t="shared" si="19"/>
        <v>78</v>
      </c>
      <c r="P183" s="11">
        <f t="shared" si="18"/>
        <v>0</v>
      </c>
    </row>
    <row r="184" spans="1:16" x14ac:dyDescent="0.25">
      <c r="A184" s="11">
        <f t="shared" si="17"/>
        <v>129</v>
      </c>
      <c r="B184">
        <v>0.70598996732712282</v>
      </c>
      <c r="E184" s="11">
        <f>A184-'Mastercurve bestimmen'!$B$2</f>
        <v>79</v>
      </c>
      <c r="F184" s="11">
        <f t="shared" si="15"/>
        <v>0.70598996732712282</v>
      </c>
      <c r="G184" s="11"/>
      <c r="H184" s="11">
        <f t="shared" si="16"/>
        <v>1517108809906561</v>
      </c>
      <c r="I184" s="11">
        <f t="shared" si="19"/>
        <v>19203908986159</v>
      </c>
      <c r="J184" s="11">
        <f t="shared" si="19"/>
        <v>243087455521</v>
      </c>
      <c r="K184" s="11">
        <f t="shared" si="19"/>
        <v>3077056399</v>
      </c>
      <c r="L184" s="11">
        <f t="shared" si="19"/>
        <v>38950081</v>
      </c>
      <c r="M184" s="11">
        <f t="shared" si="19"/>
        <v>493039</v>
      </c>
      <c r="N184" s="11">
        <f t="shared" si="19"/>
        <v>6241</v>
      </c>
      <c r="O184" s="11">
        <f t="shared" si="19"/>
        <v>79</v>
      </c>
      <c r="P184" s="11">
        <f t="shared" si="18"/>
        <v>0</v>
      </c>
    </row>
    <row r="185" spans="1:16" x14ac:dyDescent="0.25">
      <c r="A185" s="11">
        <f t="shared" si="17"/>
        <v>130</v>
      </c>
      <c r="B185">
        <v>0.8679384638805826</v>
      </c>
      <c r="E185" s="11">
        <f>A185-'Mastercurve bestimmen'!$B$2</f>
        <v>80</v>
      </c>
      <c r="F185" s="11">
        <f t="shared" si="15"/>
        <v>0.8679384638805826</v>
      </c>
      <c r="G185" s="11"/>
      <c r="H185" s="11">
        <f t="shared" si="16"/>
        <v>1677721600000000</v>
      </c>
      <c r="I185" s="11">
        <f t="shared" si="19"/>
        <v>20971520000000</v>
      </c>
      <c r="J185" s="11">
        <f t="shared" si="19"/>
        <v>262144000000</v>
      </c>
      <c r="K185" s="11">
        <f t="shared" si="19"/>
        <v>3276800000</v>
      </c>
      <c r="L185" s="11">
        <f t="shared" si="19"/>
        <v>40960000</v>
      </c>
      <c r="M185" s="11">
        <f t="shared" si="19"/>
        <v>512000</v>
      </c>
      <c r="N185" s="11">
        <f t="shared" si="19"/>
        <v>6400</v>
      </c>
      <c r="O185" s="11">
        <f t="shared" si="19"/>
        <v>80</v>
      </c>
      <c r="P185" s="11">
        <f t="shared" si="18"/>
        <v>0</v>
      </c>
    </row>
    <row r="186" spans="1:16" x14ac:dyDescent="0.25">
      <c r="A186" s="11">
        <f t="shared" si="17"/>
        <v>131</v>
      </c>
      <c r="B186">
        <v>1.0244310872046722</v>
      </c>
      <c r="E186" s="11">
        <f>A186-'Mastercurve bestimmen'!$B$2</f>
        <v>81</v>
      </c>
      <c r="F186" s="11">
        <f t="shared" si="15"/>
        <v>1.0244310872046722</v>
      </c>
      <c r="G186" s="11"/>
      <c r="H186" s="11">
        <f t="shared" si="16"/>
        <v>1853020188851841</v>
      </c>
      <c r="I186" s="11">
        <f t="shared" si="19"/>
        <v>22876792454961</v>
      </c>
      <c r="J186" s="11">
        <f t="shared" si="19"/>
        <v>282429536481</v>
      </c>
      <c r="K186" s="11">
        <f t="shared" si="19"/>
        <v>3486784401</v>
      </c>
      <c r="L186" s="11">
        <f t="shared" si="19"/>
        <v>43046721</v>
      </c>
      <c r="M186" s="11">
        <f t="shared" si="19"/>
        <v>531441</v>
      </c>
      <c r="N186" s="11">
        <f t="shared" si="19"/>
        <v>6561</v>
      </c>
      <c r="O186" s="11">
        <f t="shared" si="19"/>
        <v>81</v>
      </c>
      <c r="P186" s="11">
        <f t="shared" si="18"/>
        <v>0</v>
      </c>
    </row>
    <row r="187" spans="1:16" x14ac:dyDescent="0.25">
      <c r="A187" s="11">
        <f t="shared" si="17"/>
        <v>132</v>
      </c>
      <c r="B187">
        <v>1.1756496997403705</v>
      </c>
      <c r="E187" s="11">
        <f>A187-'Mastercurve bestimmen'!$B$2</f>
        <v>82</v>
      </c>
      <c r="F187" s="11">
        <f t="shared" si="15"/>
        <v>1.1756496997403705</v>
      </c>
      <c r="G187" s="11"/>
      <c r="H187" s="11">
        <f t="shared" si="16"/>
        <v>2044140858654976</v>
      </c>
      <c r="I187" s="11">
        <f t="shared" si="19"/>
        <v>24928547056768</v>
      </c>
      <c r="J187" s="11">
        <f t="shared" si="19"/>
        <v>304006671424</v>
      </c>
      <c r="K187" s="11">
        <f t="shared" si="19"/>
        <v>3707398432</v>
      </c>
      <c r="L187" s="11">
        <f t="shared" si="19"/>
        <v>45212176</v>
      </c>
      <c r="M187" s="11">
        <f t="shared" si="19"/>
        <v>551368</v>
      </c>
      <c r="N187" s="11">
        <f t="shared" si="19"/>
        <v>6724</v>
      </c>
      <c r="O187" s="11">
        <f t="shared" si="19"/>
        <v>82</v>
      </c>
      <c r="P187" s="11">
        <f t="shared" si="18"/>
        <v>0</v>
      </c>
    </row>
    <row r="188" spans="1:16" x14ac:dyDescent="0.25">
      <c r="A188" s="11">
        <f t="shared" si="17"/>
        <v>133</v>
      </c>
      <c r="B188">
        <v>1.3217761639286563</v>
      </c>
      <c r="E188" s="11">
        <f>A188-'Mastercurve bestimmen'!$B$2</f>
        <v>83</v>
      </c>
      <c r="F188" s="11">
        <f t="shared" si="15"/>
        <v>1.3217761639286563</v>
      </c>
      <c r="G188" s="11"/>
      <c r="H188" s="11">
        <f t="shared" si="16"/>
        <v>2252292232139041</v>
      </c>
      <c r="I188" s="11">
        <f t="shared" si="19"/>
        <v>27136050989627</v>
      </c>
      <c r="J188" s="11">
        <f t="shared" si="19"/>
        <v>326940373369</v>
      </c>
      <c r="K188" s="11">
        <f t="shared" si="19"/>
        <v>3939040643</v>
      </c>
      <c r="L188" s="11">
        <f t="shared" si="19"/>
        <v>47458321</v>
      </c>
      <c r="M188" s="11">
        <f t="shared" si="19"/>
        <v>571787</v>
      </c>
      <c r="N188" s="11">
        <f t="shared" si="19"/>
        <v>6889</v>
      </c>
      <c r="O188" s="11">
        <f t="shared" si="19"/>
        <v>83</v>
      </c>
      <c r="P188" s="11">
        <f t="shared" si="18"/>
        <v>0</v>
      </c>
    </row>
    <row r="189" spans="1:16" x14ac:dyDescent="0.25">
      <c r="A189" s="11">
        <f t="shared" si="17"/>
        <v>134</v>
      </c>
      <c r="B189">
        <v>1.4629923422105091</v>
      </c>
      <c r="E189" s="11">
        <f>A189-'Mastercurve bestimmen'!$B$2</f>
        <v>84</v>
      </c>
      <c r="F189" s="11">
        <f t="shared" si="15"/>
        <v>1.4629923422105091</v>
      </c>
      <c r="G189" s="11"/>
      <c r="H189" s="11">
        <f t="shared" si="16"/>
        <v>2478758911082496</v>
      </c>
      <c r="I189" s="11">
        <f t="shared" si="19"/>
        <v>29509034655744</v>
      </c>
      <c r="J189" s="11">
        <f t="shared" ref="I189:O215" si="20">IF($H$12&gt;=J$14,$E189^J$14,0)</f>
        <v>351298031616</v>
      </c>
      <c r="K189" s="11">
        <f t="shared" si="20"/>
        <v>4182119424</v>
      </c>
      <c r="L189" s="11">
        <f t="shared" si="20"/>
        <v>49787136</v>
      </c>
      <c r="M189" s="11">
        <f t="shared" si="20"/>
        <v>592704</v>
      </c>
      <c r="N189" s="11">
        <f t="shared" si="20"/>
        <v>7056</v>
      </c>
      <c r="O189" s="11">
        <f t="shared" si="20"/>
        <v>84</v>
      </c>
      <c r="P189" s="11">
        <f t="shared" si="18"/>
        <v>0</v>
      </c>
    </row>
    <row r="190" spans="1:16" x14ac:dyDescent="0.25">
      <c r="A190" s="11">
        <f t="shared" si="17"/>
        <v>135</v>
      </c>
      <c r="B190">
        <v>1.5994800970269076</v>
      </c>
      <c r="E190" s="11">
        <f>A190-'Mastercurve bestimmen'!$B$2</f>
        <v>85</v>
      </c>
      <c r="F190" s="11">
        <f t="shared" si="15"/>
        <v>1.5994800970269076</v>
      </c>
      <c r="G190" s="11"/>
      <c r="H190" s="11">
        <f t="shared" si="16"/>
        <v>2724905250390625</v>
      </c>
      <c r="I190" s="11">
        <f t="shared" si="20"/>
        <v>32057708828125</v>
      </c>
      <c r="J190" s="11">
        <f t="shared" si="20"/>
        <v>377149515625</v>
      </c>
      <c r="K190" s="11">
        <f t="shared" si="20"/>
        <v>4437053125</v>
      </c>
      <c r="L190" s="11">
        <f t="shared" si="20"/>
        <v>52200625</v>
      </c>
      <c r="M190" s="11">
        <f t="shared" si="20"/>
        <v>614125</v>
      </c>
      <c r="N190" s="11">
        <f t="shared" si="20"/>
        <v>7225</v>
      </c>
      <c r="O190" s="11">
        <f t="shared" si="20"/>
        <v>85</v>
      </c>
      <c r="P190" s="11">
        <f t="shared" si="18"/>
        <v>0</v>
      </c>
    </row>
    <row r="191" spans="1:16" x14ac:dyDescent="0.25">
      <c r="A191" s="11">
        <f t="shared" si="17"/>
        <v>136</v>
      </c>
      <c r="B191">
        <v>1.7314212908188309</v>
      </c>
      <c r="E191" s="11">
        <f>A191-'Mastercurve bestimmen'!$B$2</f>
        <v>86</v>
      </c>
      <c r="F191" s="11">
        <f t="shared" si="15"/>
        <v>1.7314212908188309</v>
      </c>
      <c r="G191" s="11"/>
      <c r="H191" s="11">
        <f t="shared" si="16"/>
        <v>2992179271065856</v>
      </c>
      <c r="I191" s="11">
        <f t="shared" si="20"/>
        <v>34792782221696</v>
      </c>
      <c r="J191" s="11">
        <f t="shared" si="20"/>
        <v>404567235136</v>
      </c>
      <c r="K191" s="11">
        <f t="shared" si="20"/>
        <v>4704270176</v>
      </c>
      <c r="L191" s="11">
        <f t="shared" si="20"/>
        <v>54700816</v>
      </c>
      <c r="M191" s="11">
        <f t="shared" si="20"/>
        <v>636056</v>
      </c>
      <c r="N191" s="11">
        <f t="shared" si="20"/>
        <v>7396</v>
      </c>
      <c r="O191" s="11">
        <f t="shared" si="20"/>
        <v>86</v>
      </c>
      <c r="P191" s="11">
        <f t="shared" si="18"/>
        <v>0</v>
      </c>
    </row>
    <row r="192" spans="1:16" x14ac:dyDescent="0.25">
      <c r="A192" s="11">
        <f t="shared" si="17"/>
        <v>137</v>
      </c>
      <c r="B192">
        <v>1.8589977860272577</v>
      </c>
      <c r="E192" s="11">
        <f>A192-'Mastercurve bestimmen'!$B$2</f>
        <v>87</v>
      </c>
      <c r="F192" s="11">
        <f t="shared" si="15"/>
        <v>1.8589977860272577</v>
      </c>
      <c r="G192" s="11"/>
      <c r="H192" s="11">
        <f t="shared" si="16"/>
        <v>3282116715437121</v>
      </c>
      <c r="I192" s="11">
        <f t="shared" si="20"/>
        <v>37725479487783</v>
      </c>
      <c r="J192" s="11">
        <f t="shared" si="20"/>
        <v>433626201009</v>
      </c>
      <c r="K192" s="11">
        <f t="shared" si="20"/>
        <v>4984209207</v>
      </c>
      <c r="L192" s="11">
        <f t="shared" si="20"/>
        <v>57289761</v>
      </c>
      <c r="M192" s="11">
        <f t="shared" si="20"/>
        <v>658503</v>
      </c>
      <c r="N192" s="11">
        <f t="shared" si="20"/>
        <v>7569</v>
      </c>
      <c r="O192" s="11">
        <f t="shared" si="20"/>
        <v>87</v>
      </c>
      <c r="P192" s="11">
        <f t="shared" si="18"/>
        <v>0</v>
      </c>
    </row>
    <row r="193" spans="1:16" x14ac:dyDescent="0.25">
      <c r="A193" s="11">
        <f t="shared" si="17"/>
        <v>138</v>
      </c>
      <c r="B193">
        <v>1.9823914450931674</v>
      </c>
      <c r="E193" s="11">
        <f>A193-'Mastercurve bestimmen'!$B$2</f>
        <v>88</v>
      </c>
      <c r="F193" s="11">
        <f t="shared" si="15"/>
        <v>1.9823914450931674</v>
      </c>
      <c r="G193" s="11"/>
      <c r="H193" s="11">
        <f t="shared" si="16"/>
        <v>3596345248055296</v>
      </c>
      <c r="I193" s="11">
        <f t="shared" si="20"/>
        <v>40867559636992</v>
      </c>
      <c r="J193" s="11">
        <f t="shared" si="20"/>
        <v>464404086784</v>
      </c>
      <c r="K193" s="11">
        <f t="shared" si="20"/>
        <v>5277319168</v>
      </c>
      <c r="L193" s="11">
        <f t="shared" si="20"/>
        <v>59969536</v>
      </c>
      <c r="M193" s="11">
        <f t="shared" si="20"/>
        <v>681472</v>
      </c>
      <c r="N193" s="11">
        <f t="shared" si="20"/>
        <v>7744</v>
      </c>
      <c r="O193" s="11">
        <f t="shared" si="20"/>
        <v>88</v>
      </c>
      <c r="P193" s="11">
        <f t="shared" si="18"/>
        <v>0</v>
      </c>
    </row>
    <row r="194" spans="1:16" x14ac:dyDescent="0.25">
      <c r="A194" s="11">
        <f t="shared" si="17"/>
        <v>139</v>
      </c>
      <c r="B194">
        <v>2.1017841304575389</v>
      </c>
      <c r="E194" s="11">
        <f>A194-'Mastercurve bestimmen'!$B$2</f>
        <v>89</v>
      </c>
      <c r="F194" s="11">
        <f t="shared" si="15"/>
        <v>2.1017841304575389</v>
      </c>
      <c r="G194" s="11"/>
      <c r="H194" s="11">
        <f t="shared" si="16"/>
        <v>3936588805702081</v>
      </c>
      <c r="I194" s="11">
        <f t="shared" si="20"/>
        <v>44231334895529</v>
      </c>
      <c r="J194" s="11">
        <f t="shared" si="20"/>
        <v>496981290961</v>
      </c>
      <c r="K194" s="11">
        <f t="shared" si="20"/>
        <v>5584059449</v>
      </c>
      <c r="L194" s="11">
        <f t="shared" si="20"/>
        <v>62742241</v>
      </c>
      <c r="M194" s="11">
        <f t="shared" si="20"/>
        <v>704969</v>
      </c>
      <c r="N194" s="11">
        <f t="shared" si="20"/>
        <v>7921</v>
      </c>
      <c r="O194" s="11">
        <f t="shared" si="20"/>
        <v>89</v>
      </c>
      <c r="P194" s="11">
        <f t="shared" si="18"/>
        <v>0</v>
      </c>
    </row>
    <row r="195" spans="1:16" x14ac:dyDescent="0.25">
      <c r="A195" s="11">
        <f t="shared" si="17"/>
        <v>140</v>
      </c>
      <c r="B195">
        <v>2.2173577045613508</v>
      </c>
      <c r="E195" s="11">
        <f>A195-'Mastercurve bestimmen'!$B$2</f>
        <v>90</v>
      </c>
      <c r="F195" s="11">
        <f t="shared" si="15"/>
        <v>2.2173577045613508</v>
      </c>
      <c r="G195" s="11"/>
      <c r="H195" s="11">
        <f t="shared" si="16"/>
        <v>4304672100000000</v>
      </c>
      <c r="I195" s="11">
        <f t="shared" si="20"/>
        <v>47829690000000</v>
      </c>
      <c r="J195" s="11">
        <f t="shared" si="20"/>
        <v>531441000000</v>
      </c>
      <c r="K195" s="11">
        <f t="shared" si="20"/>
        <v>5904900000</v>
      </c>
      <c r="L195" s="11">
        <f t="shared" si="20"/>
        <v>65610000</v>
      </c>
      <c r="M195" s="11">
        <f t="shared" si="20"/>
        <v>729000</v>
      </c>
      <c r="N195" s="11">
        <f t="shared" si="20"/>
        <v>8100</v>
      </c>
      <c r="O195" s="11">
        <f t="shared" si="20"/>
        <v>90</v>
      </c>
      <c r="P195" s="11">
        <f t="shared" si="18"/>
        <v>0</v>
      </c>
    </row>
    <row r="196" spans="1:16" x14ac:dyDescent="0.25">
      <c r="A196" s="11">
        <f t="shared" si="17"/>
        <v>141</v>
      </c>
      <c r="B196">
        <v>2.3292940298455829</v>
      </c>
      <c r="E196" s="11">
        <f>A196-'Mastercurve bestimmen'!$B$2</f>
        <v>91</v>
      </c>
      <c r="F196" s="11">
        <f t="shared" si="15"/>
        <v>2.3292940298455829</v>
      </c>
      <c r="G196" s="11"/>
      <c r="H196" s="11">
        <f t="shared" si="16"/>
        <v>4702525276151521</v>
      </c>
      <c r="I196" s="11">
        <f t="shared" si="20"/>
        <v>51676101935731</v>
      </c>
      <c r="J196" s="11">
        <f t="shared" si="20"/>
        <v>567869252041</v>
      </c>
      <c r="K196" s="11">
        <f t="shared" si="20"/>
        <v>6240321451</v>
      </c>
      <c r="L196" s="11">
        <f t="shared" si="20"/>
        <v>68574961</v>
      </c>
      <c r="M196" s="11">
        <f t="shared" si="20"/>
        <v>753571</v>
      </c>
      <c r="N196" s="11">
        <f t="shared" si="20"/>
        <v>8281</v>
      </c>
      <c r="O196" s="11">
        <f t="shared" si="20"/>
        <v>91</v>
      </c>
      <c r="P196" s="11">
        <f t="shared" si="18"/>
        <v>0</v>
      </c>
    </row>
    <row r="197" spans="1:16" x14ac:dyDescent="0.25">
      <c r="A197" s="11">
        <f t="shared" si="17"/>
        <v>142</v>
      </c>
      <c r="B197">
        <v>2.437774968751214</v>
      </c>
      <c r="E197" s="11">
        <f>A197-'Mastercurve bestimmen'!$B$2</f>
        <v>92</v>
      </c>
      <c r="F197" s="11">
        <f t="shared" si="15"/>
        <v>2.437774968751214</v>
      </c>
      <c r="G197" s="11"/>
      <c r="H197" s="11">
        <f t="shared" si="16"/>
        <v>5132188731375616</v>
      </c>
      <c r="I197" s="11">
        <f t="shared" si="20"/>
        <v>55784660123648</v>
      </c>
      <c r="J197" s="11">
        <f t="shared" si="20"/>
        <v>606355001344</v>
      </c>
      <c r="K197" s="11">
        <f t="shared" si="20"/>
        <v>6590815232</v>
      </c>
      <c r="L197" s="11">
        <f t="shared" si="20"/>
        <v>71639296</v>
      </c>
      <c r="M197" s="11">
        <f t="shared" si="20"/>
        <v>778688</v>
      </c>
      <c r="N197" s="11">
        <f t="shared" si="20"/>
        <v>8464</v>
      </c>
      <c r="O197" s="11">
        <f t="shared" si="20"/>
        <v>92</v>
      </c>
      <c r="P197" s="11">
        <f t="shared" si="18"/>
        <v>0</v>
      </c>
    </row>
    <row r="198" spans="1:16" x14ac:dyDescent="0.25">
      <c r="A198" s="11">
        <f t="shared" si="17"/>
        <v>143</v>
      </c>
      <c r="B198">
        <v>2.5429823837192229</v>
      </c>
      <c r="E198" s="11">
        <f>A198-'Mastercurve bestimmen'!$B$2</f>
        <v>93</v>
      </c>
      <c r="F198" s="11">
        <f t="shared" si="15"/>
        <v>2.5429823837192229</v>
      </c>
      <c r="G198" s="11"/>
      <c r="H198" s="11">
        <f t="shared" si="16"/>
        <v>5595818096650401</v>
      </c>
      <c r="I198" s="11">
        <f t="shared" si="20"/>
        <v>60170087060757</v>
      </c>
      <c r="J198" s="11">
        <f t="shared" si="20"/>
        <v>646990183449</v>
      </c>
      <c r="K198" s="11">
        <f t="shared" si="20"/>
        <v>6956883693</v>
      </c>
      <c r="L198" s="11">
        <f t="shared" si="20"/>
        <v>74805201</v>
      </c>
      <c r="M198" s="11">
        <f t="shared" si="20"/>
        <v>804357</v>
      </c>
      <c r="N198" s="11">
        <f t="shared" si="20"/>
        <v>8649</v>
      </c>
      <c r="O198" s="11">
        <f t="shared" si="20"/>
        <v>93</v>
      </c>
      <c r="P198" s="11">
        <f t="shared" si="18"/>
        <v>0</v>
      </c>
    </row>
    <row r="199" spans="1:16" x14ac:dyDescent="0.25">
      <c r="A199" s="11">
        <f t="shared" si="17"/>
        <v>144</v>
      </c>
      <c r="B199">
        <v>2.6450981371905882</v>
      </c>
      <c r="E199" s="11">
        <f>A199-'Mastercurve bestimmen'!$B$2</f>
        <v>94</v>
      </c>
      <c r="F199" s="11">
        <f t="shared" si="15"/>
        <v>2.6450981371905882</v>
      </c>
      <c r="G199" s="11"/>
      <c r="H199" s="11">
        <f t="shared" si="16"/>
        <v>6095689385410816</v>
      </c>
      <c r="I199" s="11">
        <f t="shared" si="20"/>
        <v>64847759419264</v>
      </c>
      <c r="J199" s="11">
        <f t="shared" si="20"/>
        <v>689869781056</v>
      </c>
      <c r="K199" s="11">
        <f t="shared" si="20"/>
        <v>7339040224</v>
      </c>
      <c r="L199" s="11">
        <f t="shared" si="20"/>
        <v>78074896</v>
      </c>
      <c r="M199" s="11">
        <f t="shared" si="20"/>
        <v>830584</v>
      </c>
      <c r="N199" s="11">
        <f t="shared" si="20"/>
        <v>8836</v>
      </c>
      <c r="O199" s="11">
        <f t="shared" si="20"/>
        <v>94</v>
      </c>
      <c r="P199" s="11">
        <f t="shared" si="18"/>
        <v>0</v>
      </c>
    </row>
    <row r="200" spans="1:16" x14ac:dyDescent="0.25">
      <c r="A200" s="11">
        <f t="shared" si="17"/>
        <v>145</v>
      </c>
      <c r="B200">
        <v>2.7443040916062893</v>
      </c>
      <c r="E200" s="11">
        <f>A200-'Mastercurve bestimmen'!$B$2</f>
        <v>95</v>
      </c>
      <c r="F200" s="11">
        <f t="shared" si="15"/>
        <v>2.7443040916062893</v>
      </c>
      <c r="G200" s="11"/>
      <c r="H200" s="11">
        <f t="shared" si="16"/>
        <v>6634204312890625</v>
      </c>
      <c r="I200" s="11">
        <f t="shared" si="20"/>
        <v>69833729609375</v>
      </c>
      <c r="J200" s="11">
        <f t="shared" si="20"/>
        <v>735091890625</v>
      </c>
      <c r="K200" s="11">
        <f t="shared" si="20"/>
        <v>7737809375</v>
      </c>
      <c r="L200" s="11">
        <f t="shared" si="20"/>
        <v>81450625</v>
      </c>
      <c r="M200" s="11">
        <f t="shared" si="20"/>
        <v>857375</v>
      </c>
      <c r="N200" s="11">
        <f t="shared" si="20"/>
        <v>9025</v>
      </c>
      <c r="O200" s="11">
        <f t="shared" si="20"/>
        <v>95</v>
      </c>
      <c r="P200" s="11">
        <f t="shared" si="18"/>
        <v>0</v>
      </c>
    </row>
    <row r="201" spans="1:16" x14ac:dyDescent="0.25">
      <c r="A201" s="11">
        <f t="shared" si="17"/>
        <v>146</v>
      </c>
      <c r="B201">
        <v>2.8407821094073058</v>
      </c>
      <c r="E201" s="11">
        <f>A201-'Mastercurve bestimmen'!$B$2</f>
        <v>96</v>
      </c>
      <c r="F201" s="11">
        <f t="shared" si="15"/>
        <v>2.8407821094073058</v>
      </c>
      <c r="G201" s="11"/>
      <c r="H201" s="11">
        <f t="shared" si="16"/>
        <v>7213895789838336</v>
      </c>
      <c r="I201" s="11">
        <f t="shared" si="20"/>
        <v>75144747810816</v>
      </c>
      <c r="J201" s="11">
        <f t="shared" si="20"/>
        <v>782757789696</v>
      </c>
      <c r="K201" s="11">
        <f t="shared" si="20"/>
        <v>8153726976</v>
      </c>
      <c r="L201" s="11">
        <f t="shared" si="20"/>
        <v>84934656</v>
      </c>
      <c r="M201" s="11">
        <f t="shared" si="20"/>
        <v>884736</v>
      </c>
      <c r="N201" s="11">
        <f t="shared" si="20"/>
        <v>9216</v>
      </c>
      <c r="O201" s="11">
        <f t="shared" si="20"/>
        <v>96</v>
      </c>
      <c r="P201" s="11">
        <f t="shared" si="18"/>
        <v>0</v>
      </c>
    </row>
    <row r="202" spans="1:16" x14ac:dyDescent="0.25">
      <c r="A202" s="11">
        <f t="shared" si="17"/>
        <v>147</v>
      </c>
      <c r="B202">
        <v>2.9347140530346154</v>
      </c>
      <c r="E202" s="11">
        <f>A202-'Mastercurve bestimmen'!$B$2</f>
        <v>97</v>
      </c>
      <c r="F202" s="11">
        <f t="shared" si="15"/>
        <v>2.9347140530346154</v>
      </c>
      <c r="G202" s="11"/>
      <c r="H202" s="11">
        <f t="shared" si="16"/>
        <v>7837433594376961</v>
      </c>
      <c r="I202" s="11">
        <f t="shared" si="20"/>
        <v>80798284478113</v>
      </c>
      <c r="J202" s="11">
        <f t="shared" si="20"/>
        <v>832972004929</v>
      </c>
      <c r="K202" s="11">
        <f t="shared" si="20"/>
        <v>8587340257</v>
      </c>
      <c r="L202" s="11">
        <f t="shared" si="20"/>
        <v>88529281</v>
      </c>
      <c r="M202" s="11">
        <f t="shared" si="20"/>
        <v>912673</v>
      </c>
      <c r="N202" s="11">
        <f t="shared" si="20"/>
        <v>9409</v>
      </c>
      <c r="O202" s="11">
        <f t="shared" si="20"/>
        <v>97</v>
      </c>
      <c r="P202" s="11">
        <f t="shared" si="18"/>
        <v>0</v>
      </c>
    </row>
    <row r="203" spans="1:16" x14ac:dyDescent="0.25">
      <c r="A203" s="11">
        <f t="shared" si="17"/>
        <v>148</v>
      </c>
      <c r="B203">
        <v>3.0262817849291981</v>
      </c>
      <c r="E203" s="11">
        <f>A203-'Mastercurve bestimmen'!$B$2</f>
        <v>98</v>
      </c>
      <c r="F203" s="11">
        <f t="shared" si="15"/>
        <v>3.0262817849291981</v>
      </c>
      <c r="G203" s="11"/>
      <c r="H203" s="11">
        <f t="shared" si="16"/>
        <v>8507630225817856</v>
      </c>
      <c r="I203" s="11">
        <f t="shared" si="20"/>
        <v>86812553324672</v>
      </c>
      <c r="J203" s="11">
        <f t="shared" si="20"/>
        <v>885842380864</v>
      </c>
      <c r="K203" s="11">
        <f t="shared" si="20"/>
        <v>9039207968</v>
      </c>
      <c r="L203" s="11">
        <f t="shared" si="20"/>
        <v>92236816</v>
      </c>
      <c r="M203" s="11">
        <f t="shared" si="20"/>
        <v>941192</v>
      </c>
      <c r="N203" s="11">
        <f t="shared" si="20"/>
        <v>9604</v>
      </c>
      <c r="O203" s="11">
        <f t="shared" si="20"/>
        <v>98</v>
      </c>
      <c r="P203" s="11">
        <f t="shared" si="18"/>
        <v>0</v>
      </c>
    </row>
    <row r="204" spans="1:16" x14ac:dyDescent="0.25">
      <c r="A204" s="11">
        <f t="shared" si="17"/>
        <v>149</v>
      </c>
      <c r="B204">
        <v>3.1156671675320333</v>
      </c>
      <c r="E204" s="11">
        <f>A204-'Mastercurve bestimmen'!$B$2</f>
        <v>99</v>
      </c>
      <c r="F204" s="11">
        <f t="shared" si="15"/>
        <v>3.1156671675320333</v>
      </c>
      <c r="G204" s="11"/>
      <c r="H204" s="11">
        <f t="shared" si="16"/>
        <v>9227446944279200</v>
      </c>
      <c r="I204" s="11">
        <f t="shared" si="20"/>
        <v>93206534790699</v>
      </c>
      <c r="J204" s="11">
        <f t="shared" si="20"/>
        <v>941480149401</v>
      </c>
      <c r="K204" s="11">
        <f t="shared" si="20"/>
        <v>9509900499</v>
      </c>
      <c r="L204" s="11">
        <f t="shared" si="20"/>
        <v>96059601</v>
      </c>
      <c r="M204" s="11">
        <f t="shared" si="20"/>
        <v>970299</v>
      </c>
      <c r="N204" s="11">
        <f t="shared" si="20"/>
        <v>9801</v>
      </c>
      <c r="O204" s="11">
        <f t="shared" si="20"/>
        <v>99</v>
      </c>
      <c r="P204" s="11">
        <f t="shared" si="18"/>
        <v>0</v>
      </c>
    </row>
    <row r="205" spans="1:16" x14ac:dyDescent="0.25">
      <c r="A205" s="11">
        <f t="shared" si="17"/>
        <v>150</v>
      </c>
      <c r="B205">
        <v>3.2030520632840989</v>
      </c>
      <c r="E205" s="11">
        <f>A205-'Mastercurve bestimmen'!$B$2</f>
        <v>100</v>
      </c>
      <c r="F205" s="11">
        <f t="shared" si="15"/>
        <v>3.2030520632840989</v>
      </c>
      <c r="G205" s="11"/>
      <c r="H205" s="11">
        <f t="shared" si="16"/>
        <v>1E+16</v>
      </c>
      <c r="I205" s="11">
        <f t="shared" si="20"/>
        <v>100000000000000</v>
      </c>
      <c r="J205" s="11">
        <f t="shared" si="20"/>
        <v>1000000000000</v>
      </c>
      <c r="K205" s="11">
        <f t="shared" si="20"/>
        <v>10000000000</v>
      </c>
      <c r="L205" s="11">
        <f t="shared" si="20"/>
        <v>100000000</v>
      </c>
      <c r="M205" s="11">
        <f t="shared" si="20"/>
        <v>1000000</v>
      </c>
      <c r="N205" s="11">
        <f t="shared" si="20"/>
        <v>10000</v>
      </c>
      <c r="O205" s="11">
        <f t="shared" si="20"/>
        <v>100</v>
      </c>
      <c r="P205" s="11">
        <f t="shared" si="18"/>
        <v>0</v>
      </c>
    </row>
    <row r="206" spans="1:16" x14ac:dyDescent="0.25">
      <c r="A206" s="11">
        <f t="shared" si="17"/>
        <v>151</v>
      </c>
      <c r="B206">
        <v>3.2886183346263742</v>
      </c>
      <c r="E206" s="11">
        <f>A206-'Mastercurve bestimmen'!$B$2</f>
        <v>101</v>
      </c>
      <c r="F206" s="11">
        <f t="shared" si="15"/>
        <v>3.2886183346263742</v>
      </c>
      <c r="G206" s="11"/>
      <c r="H206" s="11">
        <f t="shared" si="16"/>
        <v>1.08285670562808E+16</v>
      </c>
      <c r="I206" s="11">
        <f t="shared" si="20"/>
        <v>107213535210701</v>
      </c>
      <c r="J206" s="11">
        <f t="shared" si="20"/>
        <v>1061520150601</v>
      </c>
      <c r="K206" s="11">
        <f t="shared" si="20"/>
        <v>10510100501</v>
      </c>
      <c r="L206" s="11">
        <f t="shared" si="20"/>
        <v>104060401</v>
      </c>
      <c r="M206" s="11">
        <f t="shared" si="20"/>
        <v>1030301</v>
      </c>
      <c r="N206" s="11">
        <f t="shared" si="20"/>
        <v>10201</v>
      </c>
      <c r="O206" s="11">
        <f t="shared" si="20"/>
        <v>101</v>
      </c>
      <c r="P206" s="11">
        <f t="shared" si="18"/>
        <v>0</v>
      </c>
    </row>
    <row r="207" spans="1:16" x14ac:dyDescent="0.25">
      <c r="A207" s="11">
        <f t="shared" si="17"/>
        <v>152</v>
      </c>
      <c r="B207">
        <v>3.3725478439998384</v>
      </c>
      <c r="E207" s="11">
        <f>A207-'Mastercurve bestimmen'!$B$2</f>
        <v>102</v>
      </c>
      <c r="F207" s="11">
        <f t="shared" si="15"/>
        <v>3.3725478439998384</v>
      </c>
      <c r="G207" s="11"/>
      <c r="H207" s="11">
        <f t="shared" si="16"/>
        <v>1.1716593810022656E+16</v>
      </c>
      <c r="I207" s="11">
        <f t="shared" si="20"/>
        <v>114868566764928</v>
      </c>
      <c r="J207" s="11">
        <f t="shared" si="20"/>
        <v>1126162419264</v>
      </c>
      <c r="K207" s="11">
        <f t="shared" si="20"/>
        <v>11040808032</v>
      </c>
      <c r="L207" s="11">
        <f t="shared" si="20"/>
        <v>108243216</v>
      </c>
      <c r="M207" s="11">
        <f t="shared" si="20"/>
        <v>1061208</v>
      </c>
      <c r="N207" s="11">
        <f t="shared" si="20"/>
        <v>10404</v>
      </c>
      <c r="O207" s="11">
        <f t="shared" si="20"/>
        <v>102</v>
      </c>
      <c r="P207" s="11">
        <f t="shared" si="18"/>
        <v>0</v>
      </c>
    </row>
    <row r="208" spans="1:16" x14ac:dyDescent="0.25">
      <c r="A208" s="11">
        <f t="shared" si="17"/>
        <v>153</v>
      </c>
      <c r="B208">
        <v>3.455022453845471</v>
      </c>
      <c r="E208" s="11">
        <f>A208-'Mastercurve bestimmen'!$B$2</f>
        <v>103</v>
      </c>
      <c r="F208" s="11">
        <f t="shared" ref="F208:F215" si="21">B208</f>
        <v>3.455022453845471</v>
      </c>
      <c r="G208" s="11"/>
      <c r="H208" s="11">
        <f t="shared" ref="H208:H215" si="22">IF($H$12&gt;=H$14,$E208^H$14,0)</f>
        <v>1.266770081387616E+16</v>
      </c>
      <c r="I208" s="11">
        <f t="shared" si="20"/>
        <v>122987386542487</v>
      </c>
      <c r="J208" s="11">
        <f t="shared" si="20"/>
        <v>1194052296529</v>
      </c>
      <c r="K208" s="11">
        <f t="shared" si="20"/>
        <v>11592740743</v>
      </c>
      <c r="L208" s="11">
        <f t="shared" si="20"/>
        <v>112550881</v>
      </c>
      <c r="M208" s="11">
        <f t="shared" si="20"/>
        <v>1092727</v>
      </c>
      <c r="N208" s="11">
        <f t="shared" si="20"/>
        <v>10609</v>
      </c>
      <c r="O208" s="11">
        <f t="shared" si="20"/>
        <v>103</v>
      </c>
      <c r="P208" s="11">
        <f t="shared" si="18"/>
        <v>0</v>
      </c>
    </row>
    <row r="209" spans="1:16" x14ac:dyDescent="0.25">
      <c r="A209" s="11">
        <f t="shared" ref="A209:A215" si="23">A208+1</f>
        <v>154</v>
      </c>
      <c r="B209">
        <v>3.5362240266042502</v>
      </c>
      <c r="E209" s="11">
        <f>A209-'Mastercurve bestimmen'!$B$2</f>
        <v>104</v>
      </c>
      <c r="F209" s="11">
        <f t="shared" si="21"/>
        <v>3.5362240266042502</v>
      </c>
      <c r="G209" s="11"/>
      <c r="H209" s="11">
        <f t="shared" si="22"/>
        <v>1.3685690504052736E+16</v>
      </c>
      <c r="I209" s="11">
        <f t="shared" si="20"/>
        <v>131593177923584</v>
      </c>
      <c r="J209" s="11">
        <f t="shared" si="20"/>
        <v>1265319018496</v>
      </c>
      <c r="K209" s="11">
        <f t="shared" si="20"/>
        <v>12166529024</v>
      </c>
      <c r="L209" s="11">
        <f t="shared" si="20"/>
        <v>116985856</v>
      </c>
      <c r="M209" s="11">
        <f t="shared" si="20"/>
        <v>1124864</v>
      </c>
      <c r="N209" s="11">
        <f t="shared" si="20"/>
        <v>10816</v>
      </c>
      <c r="O209" s="11">
        <f t="shared" si="20"/>
        <v>104</v>
      </c>
      <c r="P209" s="11">
        <f t="shared" ref="P209:P215" si="24">P208</f>
        <v>0</v>
      </c>
    </row>
    <row r="210" spans="1:16" x14ac:dyDescent="0.25">
      <c r="A210" s="11">
        <f t="shared" si="23"/>
        <v>155</v>
      </c>
      <c r="B210">
        <v>3.6163344247171554</v>
      </c>
      <c r="E210" s="11">
        <f>A210-'Mastercurve bestimmen'!$B$2</f>
        <v>105</v>
      </c>
      <c r="F210" s="11">
        <f t="shared" si="21"/>
        <v>3.6163344247171554</v>
      </c>
      <c r="G210" s="11"/>
      <c r="H210" s="11">
        <f t="shared" si="22"/>
        <v>1.4774554437890624E+16</v>
      </c>
      <c r="I210" s="11">
        <f t="shared" si="20"/>
        <v>140710042265625</v>
      </c>
      <c r="J210" s="11">
        <f t="shared" si="20"/>
        <v>1340095640625</v>
      </c>
      <c r="K210" s="11">
        <f t="shared" si="20"/>
        <v>12762815625</v>
      </c>
      <c r="L210" s="11">
        <f t="shared" si="20"/>
        <v>121550625</v>
      </c>
      <c r="M210" s="11">
        <f t="shared" si="20"/>
        <v>1157625</v>
      </c>
      <c r="N210" s="11">
        <f t="shared" si="20"/>
        <v>11025</v>
      </c>
      <c r="O210" s="11">
        <f t="shared" si="20"/>
        <v>105</v>
      </c>
      <c r="P210" s="11">
        <f t="shared" si="24"/>
        <v>0</v>
      </c>
    </row>
    <row r="211" spans="1:16" x14ac:dyDescent="0.25">
      <c r="A211" s="11">
        <f t="shared" si="23"/>
        <v>156</v>
      </c>
      <c r="B211">
        <v>3.6955355106251657</v>
      </c>
      <c r="E211" s="11">
        <f>A211-'Mastercurve bestimmen'!$B$2</f>
        <v>106</v>
      </c>
      <c r="F211" s="11">
        <f t="shared" si="21"/>
        <v>3.6955355106251657</v>
      </c>
      <c r="G211" s="11"/>
      <c r="H211" s="11">
        <f t="shared" si="22"/>
        <v>1.5938480745308416E+16</v>
      </c>
      <c r="I211" s="11">
        <f t="shared" si="20"/>
        <v>150363025899136</v>
      </c>
      <c r="J211" s="11">
        <f t="shared" si="20"/>
        <v>1418519112256</v>
      </c>
      <c r="K211" s="11">
        <f t="shared" si="20"/>
        <v>13382255776</v>
      </c>
      <c r="L211" s="11">
        <f t="shared" si="20"/>
        <v>126247696</v>
      </c>
      <c r="M211" s="11">
        <f t="shared" si="20"/>
        <v>1191016</v>
      </c>
      <c r="N211" s="11">
        <f t="shared" si="20"/>
        <v>11236</v>
      </c>
      <c r="O211" s="11">
        <f t="shared" si="20"/>
        <v>106</v>
      </c>
      <c r="P211" s="11">
        <f t="shared" si="24"/>
        <v>0</v>
      </c>
    </row>
    <row r="212" spans="1:16" x14ac:dyDescent="0.25">
      <c r="A212" s="11">
        <f t="shared" si="23"/>
        <v>157</v>
      </c>
      <c r="B212">
        <v>3.7740091467692598</v>
      </c>
      <c r="E212" s="11">
        <f>A212-'Mastercurve bestimmen'!$B$2</f>
        <v>107</v>
      </c>
      <c r="F212" s="11">
        <f t="shared" si="21"/>
        <v>3.7740091467692598</v>
      </c>
      <c r="G212" s="11"/>
      <c r="H212" s="11">
        <f t="shared" si="22"/>
        <v>1.71818617983192E+16</v>
      </c>
      <c r="I212" s="11">
        <f t="shared" si="20"/>
        <v>160578147647843</v>
      </c>
      <c r="J212" s="11">
        <f t="shared" si="20"/>
        <v>1500730351849</v>
      </c>
      <c r="K212" s="11">
        <f t="shared" si="20"/>
        <v>14025517307</v>
      </c>
      <c r="L212" s="11">
        <f t="shared" si="20"/>
        <v>131079601</v>
      </c>
      <c r="M212" s="11">
        <f t="shared" si="20"/>
        <v>1225043</v>
      </c>
      <c r="N212" s="11">
        <f t="shared" si="20"/>
        <v>11449</v>
      </c>
      <c r="O212" s="11">
        <f t="shared" si="20"/>
        <v>107</v>
      </c>
      <c r="P212" s="11">
        <f t="shared" si="24"/>
        <v>0</v>
      </c>
    </row>
    <row r="213" spans="1:16" x14ac:dyDescent="0.25">
      <c r="A213" s="11">
        <f t="shared" si="23"/>
        <v>158</v>
      </c>
      <c r="B213">
        <v>3.8519371955904167</v>
      </c>
      <c r="E213" s="11">
        <f>A213-'Mastercurve bestimmen'!$B$2</f>
        <v>108</v>
      </c>
      <c r="F213" s="11">
        <f t="shared" si="21"/>
        <v>3.8519371955904167</v>
      </c>
      <c r="G213" s="11"/>
      <c r="H213" s="11">
        <f t="shared" si="22"/>
        <v>1.8509302102818816E+16</v>
      </c>
      <c r="I213" s="11">
        <f t="shared" si="20"/>
        <v>171382426877952</v>
      </c>
      <c r="J213" s="11">
        <f t="shared" si="20"/>
        <v>1586874322944</v>
      </c>
      <c r="K213" s="11">
        <f t="shared" si="20"/>
        <v>14693280768</v>
      </c>
      <c r="L213" s="11">
        <f t="shared" si="20"/>
        <v>136048896</v>
      </c>
      <c r="M213" s="11">
        <f t="shared" si="20"/>
        <v>1259712</v>
      </c>
      <c r="N213" s="11">
        <f t="shared" si="20"/>
        <v>11664</v>
      </c>
      <c r="O213" s="11">
        <f t="shared" si="20"/>
        <v>108</v>
      </c>
      <c r="P213" s="11">
        <f t="shared" si="24"/>
        <v>0</v>
      </c>
    </row>
    <row r="214" spans="1:16" x14ac:dyDescent="0.25">
      <c r="A214" s="11">
        <f t="shared" si="23"/>
        <v>159</v>
      </c>
      <c r="B214">
        <v>3.9295015195296163</v>
      </c>
      <c r="E214" s="11">
        <f>A214-'Mastercurve bestimmen'!$B$2</f>
        <v>109</v>
      </c>
      <c r="F214" s="11">
        <f t="shared" si="21"/>
        <v>3.9295015195296163</v>
      </c>
      <c r="G214" s="11"/>
      <c r="H214" s="11">
        <f t="shared" si="22"/>
        <v>1.992562641690192E+16</v>
      </c>
      <c r="I214" s="11">
        <f t="shared" si="20"/>
        <v>182803912081669</v>
      </c>
      <c r="J214" s="11">
        <f t="shared" si="20"/>
        <v>1677100110841</v>
      </c>
      <c r="K214" s="11">
        <f t="shared" si="20"/>
        <v>15386239549</v>
      </c>
      <c r="L214" s="11">
        <f t="shared" si="20"/>
        <v>141158161</v>
      </c>
      <c r="M214" s="11">
        <f t="shared" si="20"/>
        <v>1295029</v>
      </c>
      <c r="N214" s="11">
        <f t="shared" si="20"/>
        <v>11881</v>
      </c>
      <c r="O214" s="11">
        <f t="shared" si="20"/>
        <v>109</v>
      </c>
      <c r="P214" s="11">
        <f t="shared" si="24"/>
        <v>0</v>
      </c>
    </row>
    <row r="215" spans="1:16" x14ac:dyDescent="0.25">
      <c r="A215" s="11">
        <f t="shared" si="23"/>
        <v>160</v>
      </c>
      <c r="B215">
        <v>4.0068839810278361</v>
      </c>
      <c r="E215" s="11">
        <f>A215-'Mastercurve bestimmen'!$B$2</f>
        <v>110</v>
      </c>
      <c r="F215" s="11">
        <f t="shared" si="21"/>
        <v>4.0068839810278361</v>
      </c>
      <c r="G215" s="11"/>
      <c r="H215" s="11">
        <f t="shared" si="22"/>
        <v>2.14358881E+16</v>
      </c>
      <c r="I215" s="11">
        <f t="shared" si="20"/>
        <v>194871710000000</v>
      </c>
      <c r="J215" s="11">
        <f t="shared" si="20"/>
        <v>1771561000000</v>
      </c>
      <c r="K215" s="11">
        <f t="shared" si="20"/>
        <v>16105100000</v>
      </c>
      <c r="L215" s="11">
        <f t="shared" si="20"/>
        <v>146410000</v>
      </c>
      <c r="M215" s="11">
        <f t="shared" si="20"/>
        <v>1331000</v>
      </c>
      <c r="N215" s="11">
        <f t="shared" si="20"/>
        <v>12100</v>
      </c>
      <c r="O215" s="11">
        <f t="shared" si="20"/>
        <v>110</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0.52427832349594095</v>
      </c>
      <c r="J217" s="98">
        <v>-3.5315284282063972E-2</v>
      </c>
      <c r="K217" s="98">
        <v>-1.5218672356373552E-4</v>
      </c>
      <c r="L217" s="98">
        <v>1.2965286752905169E-5</v>
      </c>
      <c r="M217" s="98">
        <v>3.2635184253375725E-8</v>
      </c>
      <c r="N217" s="98">
        <v>-1.7212797645557277E-9</v>
      </c>
      <c r="O217" s="98">
        <v>-2.1573002487892906E-12</v>
      </c>
      <c r="P217" s="98">
        <v>7.6314676318104761E-14</v>
      </c>
    </row>
    <row r="218" spans="1:16" x14ac:dyDescent="0.25">
      <c r="G218" s="11"/>
      <c r="H218" s="11">
        <v>0</v>
      </c>
      <c r="I218" s="11">
        <v>0.11883437827828065</v>
      </c>
      <c r="J218" s="11">
        <v>2.6690301459261689E-3</v>
      </c>
      <c r="K218" s="3">
        <v>9.981444187013635E-5</v>
      </c>
      <c r="L218" s="3">
        <v>1.4984858230152606E-6</v>
      </c>
      <c r="M218" s="3">
        <v>2.4370629390323229E-8</v>
      </c>
      <c r="N218" s="3">
        <v>2.8176428127932897E-10</v>
      </c>
      <c r="O218" s="11">
        <v>1.7648779090405688E-12</v>
      </c>
      <c r="P218" s="11">
        <v>1.7814190606788563E-14</v>
      </c>
    </row>
    <row r="219" spans="1:16" x14ac:dyDescent="0.25">
      <c r="G219" s="11"/>
      <c r="H219" s="11">
        <v>0.79979045971086982</v>
      </c>
      <c r="I219" s="11">
        <v>13.317739258598893</v>
      </c>
      <c r="J219" s="11" t="e">
        <v>#N/A</v>
      </c>
      <c r="K219" s="11" t="e">
        <v>#N/A</v>
      </c>
      <c r="L219" s="11" t="e">
        <v>#N/A</v>
      </c>
      <c r="M219" s="11" t="e">
        <v>#N/A</v>
      </c>
      <c r="N219" s="11" t="e">
        <v>#N/A</v>
      </c>
      <c r="O219" s="11" t="e">
        <v>#N/A</v>
      </c>
      <c r="P219" s="11" t="e">
        <v>#N/A</v>
      </c>
    </row>
    <row r="222" spans="1:16" x14ac:dyDescent="0.25">
      <c r="E222">
        <f>E15</f>
        <v>-90</v>
      </c>
      <c r="F222">
        <f>$H$217*0+E222*$I$217+E222^2*$J$217+E222^3*$K$217+E222^4*$L$217+E222^5*$M$217+E222^6*$N$217+E222^7*$O$217+E222^8*$P$217</f>
        <v>-47.415745212709396</v>
      </c>
      <c r="G222">
        <f>F15</f>
        <v>-45.801625734711926</v>
      </c>
    </row>
    <row r="223" spans="1:16" x14ac:dyDescent="0.25">
      <c r="E223" s="11">
        <f t="shared" ref="E223:E286" si="25">E16</f>
        <v>-89</v>
      </c>
      <c r="F223" s="11">
        <f t="shared" ref="F223:F286" si="26">$H$217*0+E223*$I$217+E223^2*$J$217+E223^3*$K$217+E223^4*$L$217+E223^5*$M$217+E223^6*$N$217+E223^7*$O$217+E223^8*$P$217</f>
        <v>-47.475947395315245</v>
      </c>
      <c r="G223" s="11">
        <f t="shared" ref="G223:G286" si="27">F16</f>
        <v>-45.738092888466561</v>
      </c>
    </row>
    <row r="224" spans="1:16" x14ac:dyDescent="0.25">
      <c r="E224" s="11">
        <f t="shared" si="25"/>
        <v>-88</v>
      </c>
      <c r="F224" s="11">
        <f t="shared" si="26"/>
        <v>-47.362952852895148</v>
      </c>
      <c r="G224" s="11">
        <f t="shared" si="27"/>
        <v>-45.67441338219669</v>
      </c>
    </row>
    <row r="225" spans="5:7" x14ac:dyDescent="0.25">
      <c r="E225" s="11">
        <f t="shared" si="25"/>
        <v>-87</v>
      </c>
      <c r="F225" s="11">
        <f t="shared" si="26"/>
        <v>-47.113737422063565</v>
      </c>
      <c r="G225" s="11">
        <f t="shared" si="27"/>
        <v>-45.610440555877801</v>
      </c>
    </row>
    <row r="226" spans="5:7" x14ac:dyDescent="0.25">
      <c r="E226" s="11">
        <f t="shared" si="25"/>
        <v>-86</v>
      </c>
      <c r="F226" s="11">
        <f t="shared" si="26"/>
        <v>-46.761183583043703</v>
      </c>
      <c r="G226" s="11">
        <f t="shared" si="27"/>
        <v>-45.54602774948539</v>
      </c>
    </row>
    <row r="227" spans="5:7" x14ac:dyDescent="0.25">
      <c r="E227" s="11">
        <f t="shared" si="25"/>
        <v>-85</v>
      </c>
      <c r="F227" s="11">
        <f t="shared" si="26"/>
        <v>-46.334353342722551</v>
      </c>
      <c r="G227" s="11">
        <f t="shared" si="27"/>
        <v>-45.481028302994957</v>
      </c>
    </row>
    <row r="228" spans="5:7" x14ac:dyDescent="0.25">
      <c r="E228" s="11">
        <f t="shared" si="25"/>
        <v>-84</v>
      </c>
      <c r="F228" s="11">
        <f t="shared" si="26"/>
        <v>-45.858749765387756</v>
      </c>
      <c r="G228" s="11">
        <f t="shared" si="27"/>
        <v>-45.415295556381992</v>
      </c>
    </row>
    <row r="229" spans="5:7" x14ac:dyDescent="0.25">
      <c r="E229" s="11">
        <f t="shared" si="25"/>
        <v>-83</v>
      </c>
      <c r="F229" s="11">
        <f t="shared" si="26"/>
        <v>-45.356567428183752</v>
      </c>
      <c r="G229" s="11">
        <f t="shared" si="27"/>
        <v>-45.34868284962198</v>
      </c>
    </row>
    <row r="230" spans="5:7" x14ac:dyDescent="0.25">
      <c r="E230" s="11">
        <f t="shared" si="25"/>
        <v>-82</v>
      </c>
      <c r="F230" s="11">
        <f t="shared" si="26"/>
        <v>-44.846932075239607</v>
      </c>
      <c r="G230" s="11">
        <f t="shared" si="27"/>
        <v>-45.281043522690418</v>
      </c>
    </row>
    <row r="231" spans="5:7" x14ac:dyDescent="0.25">
      <c r="E231" s="11">
        <f t="shared" si="25"/>
        <v>-81</v>
      </c>
      <c r="F231" s="11">
        <f t="shared" si="26"/>
        <v>-44.346129741353366</v>
      </c>
      <c r="G231" s="11">
        <f t="shared" si="27"/>
        <v>-45.212230915562813</v>
      </c>
    </row>
    <row r="232" spans="5:7" x14ac:dyDescent="0.25">
      <c r="E232" s="11">
        <f t="shared" si="25"/>
        <v>-80</v>
      </c>
      <c r="F232" s="11">
        <f t="shared" si="26"/>
        <v>-43.867825613032181</v>
      </c>
      <c r="G232" s="11">
        <f t="shared" si="27"/>
        <v>-45.14209836821464</v>
      </c>
    </row>
    <row r="233" spans="5:7" x14ac:dyDescent="0.25">
      <c r="E233" s="11">
        <f t="shared" si="25"/>
        <v>-79</v>
      </c>
      <c r="F233" s="11">
        <f t="shared" si="26"/>
        <v>-43.423272891616307</v>
      </c>
      <c r="G233" s="11">
        <f t="shared" si="27"/>
        <v>-45.0704992206214</v>
      </c>
    </row>
    <row r="234" spans="5:7" x14ac:dyDescent="0.25">
      <c r="E234" s="11">
        <f t="shared" si="25"/>
        <v>-78</v>
      </c>
      <c r="F234" s="11">
        <f t="shared" si="26"/>
        <v>-43.021511920134046</v>
      </c>
      <c r="G234" s="11">
        <f t="shared" si="27"/>
        <v>-44.997286812758588</v>
      </c>
    </row>
    <row r="235" spans="5:7" x14ac:dyDescent="0.25">
      <c r="E235" s="11">
        <f t="shared" si="25"/>
        <v>-77</v>
      </c>
      <c r="F235" s="11">
        <f t="shared" si="26"/>
        <v>-42.669559832462085</v>
      </c>
      <c r="G235" s="11">
        <f t="shared" si="27"/>
        <v>-44.922314484601692</v>
      </c>
    </row>
    <row r="236" spans="5:7" x14ac:dyDescent="0.25">
      <c r="E236" s="11">
        <f t="shared" si="25"/>
        <v>-76</v>
      </c>
      <c r="F236" s="11">
        <f t="shared" si="26"/>
        <v>-42.372590980283519</v>
      </c>
      <c r="G236" s="11">
        <f t="shared" si="27"/>
        <v>-44.845435576126206</v>
      </c>
    </row>
    <row r="237" spans="5:7" x14ac:dyDescent="0.25">
      <c r="E237" s="11">
        <f t="shared" si="25"/>
        <v>-75</v>
      </c>
      <c r="F237" s="11">
        <f t="shared" si="26"/>
        <v>-42.134108390262938</v>
      </c>
      <c r="G237" s="11">
        <f t="shared" si="27"/>
        <v>-44.766503427307626</v>
      </c>
    </row>
    <row r="238" spans="5:7" x14ac:dyDescent="0.25">
      <c r="E238" s="11">
        <f t="shared" si="25"/>
        <v>-74</v>
      </c>
      <c r="F238" s="11">
        <f t="shared" si="26"/>
        <v>-41.956106500779029</v>
      </c>
      <c r="G238" s="11">
        <f t="shared" si="27"/>
        <v>-44.685371378121459</v>
      </c>
    </row>
    <row r="239" spans="5:7" x14ac:dyDescent="0.25">
      <c r="E239" s="11">
        <f t="shared" si="25"/>
        <v>-73</v>
      </c>
      <c r="F239" s="11">
        <f t="shared" si="26"/>
        <v>-41.839225424479444</v>
      </c>
      <c r="G239" s="11">
        <f t="shared" si="27"/>
        <v>-44.601892768543166</v>
      </c>
    </row>
    <row r="240" spans="5:7" x14ac:dyDescent="0.25">
      <c r="E240" s="11">
        <f t="shared" si="25"/>
        <v>-72</v>
      </c>
      <c r="F240" s="11">
        <f t="shared" si="26"/>
        <v>-41.78289697984281</v>
      </c>
      <c r="G240" s="11">
        <f t="shared" si="27"/>
        <v>-44.515920938548263</v>
      </c>
    </row>
    <row r="241" spans="5:7" x14ac:dyDescent="0.25">
      <c r="E241" s="11">
        <f t="shared" si="25"/>
        <v>-71</v>
      </c>
      <c r="F241" s="11">
        <f t="shared" si="26"/>
        <v>-41.785482731859574</v>
      </c>
      <c r="G241" s="11">
        <f t="shared" si="27"/>
        <v>-44.427309228112236</v>
      </c>
    </row>
    <row r="242" spans="5:7" x14ac:dyDescent="0.25">
      <c r="E242" s="11">
        <f t="shared" si="25"/>
        <v>-70</v>
      </c>
      <c r="F242" s="11">
        <f t="shared" si="26"/>
        <v>-41.844404278864836</v>
      </c>
      <c r="G242" s="11">
        <f t="shared" si="27"/>
        <v>-44.335910977210588</v>
      </c>
    </row>
    <row r="243" spans="5:7" x14ac:dyDescent="0.25">
      <c r="E243" s="11">
        <f t="shared" si="25"/>
        <v>-69</v>
      </c>
      <c r="F243" s="11">
        <f t="shared" si="26"/>
        <v>-41.956266019476502</v>
      </c>
      <c r="G243" s="11">
        <f t="shared" si="27"/>
        <v>-44.2415795258188</v>
      </c>
    </row>
    <row r="244" spans="5:7" x14ac:dyDescent="0.25">
      <c r="E244" s="11">
        <f t="shared" si="25"/>
        <v>-68</v>
      </c>
      <c r="F244" s="11">
        <f t="shared" si="26"/>
        <v>-42.116970630520505</v>
      </c>
      <c r="G244" s="11">
        <f t="shared" si="27"/>
        <v>-44.144168213912366</v>
      </c>
    </row>
    <row r="245" spans="5:7" x14ac:dyDescent="0.25">
      <c r="E245" s="11">
        <f t="shared" si="25"/>
        <v>-67</v>
      </c>
      <c r="F245" s="11">
        <f t="shared" si="26"/>
        <v>-42.32182748374322</v>
      </c>
      <c r="G245" s="11">
        <f t="shared" si="27"/>
        <v>-44.043530381466795</v>
      </c>
    </row>
    <row r="246" spans="5:7" x14ac:dyDescent="0.25">
      <c r="E246" s="11">
        <f t="shared" si="25"/>
        <v>-66</v>
      </c>
      <c r="F246" s="11">
        <f t="shared" si="26"/>
        <v>-42.565654226036578</v>
      </c>
      <c r="G246" s="11">
        <f t="shared" si="27"/>
        <v>-43.939519368457553</v>
      </c>
    </row>
    <row r="247" spans="5:7" x14ac:dyDescent="0.25">
      <c r="E247" s="11">
        <f t="shared" si="25"/>
        <v>-65</v>
      </c>
      <c r="F247" s="11">
        <f t="shared" si="26"/>
        <v>-42.842871744823206</v>
      </c>
      <c r="G247" s="11">
        <f t="shared" si="27"/>
        <v>-43.831988514860157</v>
      </c>
    </row>
    <row r="248" spans="5:7" x14ac:dyDescent="0.25">
      <c r="E248" s="11">
        <f t="shared" si="25"/>
        <v>-64</v>
      </c>
      <c r="F248" s="11">
        <f t="shared" si="26"/>
        <v>-43.147592737173014</v>
      </c>
      <c r="G248" s="11">
        <f t="shared" si="27"/>
        <v>-43.720791160650094</v>
      </c>
    </row>
    <row r="249" spans="5:7" x14ac:dyDescent="0.25">
      <c r="E249" s="11">
        <f t="shared" si="25"/>
        <v>-63</v>
      </c>
      <c r="F249" s="11">
        <f t="shared" si="26"/>
        <v>-43.473704098144609</v>
      </c>
      <c r="G249" s="11">
        <f t="shared" si="27"/>
        <v>-43.605780645802852</v>
      </c>
    </row>
    <row r="250" spans="5:7" x14ac:dyDescent="0.25">
      <c r="E250" s="11">
        <f t="shared" si="25"/>
        <v>-62</v>
      </c>
      <c r="F250" s="11">
        <f t="shared" si="26"/>
        <v>-43.814943340768146</v>
      </c>
      <c r="G250" s="11">
        <f t="shared" si="27"/>
        <v>-43.486810310293926</v>
      </c>
    </row>
    <row r="251" spans="5:7" x14ac:dyDescent="0.25">
      <c r="E251" s="11">
        <f t="shared" si="25"/>
        <v>-61</v>
      </c>
      <c r="F251" s="11">
        <f t="shared" si="26"/>
        <v>-44.164969257010583</v>
      </c>
      <c r="G251" s="11">
        <f t="shared" si="27"/>
        <v>-43.36373349409881</v>
      </c>
    </row>
    <row r="252" spans="5:7" x14ac:dyDescent="0.25">
      <c r="E252" s="11">
        <f t="shared" si="25"/>
        <v>-60</v>
      </c>
      <c r="F252" s="11">
        <f t="shared" si="26"/>
        <v>-44.517427025984112</v>
      </c>
      <c r="G252" s="11">
        <f t="shared" si="27"/>
        <v>-43.236403537192999</v>
      </c>
    </row>
    <row r="253" spans="5:7" x14ac:dyDescent="0.25">
      <c r="E253" s="11">
        <f t="shared" si="25"/>
        <v>-59</v>
      </c>
      <c r="F253" s="11">
        <f t="shared" si="26"/>
        <v>-44.866007972585635</v>
      </c>
      <c r="G253" s="11">
        <f t="shared" si="27"/>
        <v>-43.104673779551987</v>
      </c>
    </row>
    <row r="254" spans="5:7" x14ac:dyDescent="0.25">
      <c r="E254" s="11">
        <f t="shared" si="25"/>
        <v>-58</v>
      </c>
      <c r="F254" s="11">
        <f t="shared" si="26"/>
        <v>-45.204504176674618</v>
      </c>
      <c r="G254" s="11">
        <f t="shared" si="27"/>
        <v>-42.968397561151264</v>
      </c>
    </row>
    <row r="255" spans="5:7" x14ac:dyDescent="0.25">
      <c r="E255" s="11">
        <f t="shared" si="25"/>
        <v>-57</v>
      </c>
      <c r="F255" s="11">
        <f t="shared" si="26"/>
        <v>-45.526858129821797</v>
      </c>
      <c r="G255" s="11">
        <f t="shared" si="27"/>
        <v>-42.827428221966329</v>
      </c>
    </row>
    <row r="256" spans="5:7" x14ac:dyDescent="0.25">
      <c r="E256" s="11">
        <f t="shared" si="25"/>
        <v>-56</v>
      </c>
      <c r="F256" s="11">
        <f t="shared" si="26"/>
        <v>-45.827207633582987</v>
      </c>
      <c r="G256" s="11">
        <f t="shared" si="27"/>
        <v>-42.681619101972665</v>
      </c>
    </row>
    <row r="257" spans="5:7" x14ac:dyDescent="0.25">
      <c r="E257" s="11">
        <f t="shared" si="25"/>
        <v>-55</v>
      </c>
      <c r="F257" s="11">
        <f t="shared" si="26"/>
        <v>-46.099926130176542</v>
      </c>
      <c r="G257" s="11">
        <f t="shared" si="27"/>
        <v>-42.530823541145764</v>
      </c>
    </row>
    <row r="258" spans="5:7" x14ac:dyDescent="0.25">
      <c r="E258" s="11">
        <f t="shared" si="25"/>
        <v>-54</v>
      </c>
      <c r="F258" s="11">
        <f t="shared" si="26"/>
        <v>-46.339658653364175</v>
      </c>
      <c r="G258" s="11">
        <f t="shared" si="27"/>
        <v>-42.374894879461138</v>
      </c>
    </row>
    <row r="259" spans="5:7" x14ac:dyDescent="0.25">
      <c r="E259" s="11">
        <f t="shared" si="25"/>
        <v>-53</v>
      </c>
      <c r="F259" s="11">
        <f t="shared" si="26"/>
        <v>-46.541353584259596</v>
      </c>
      <c r="G259" s="11">
        <f t="shared" si="27"/>
        <v>-42.213686456894266</v>
      </c>
    </row>
    <row r="260" spans="5:7" x14ac:dyDescent="0.25">
      <c r="E260" s="11">
        <f t="shared" si="25"/>
        <v>-52</v>
      </c>
      <c r="F260" s="11">
        <f t="shared" si="26"/>
        <v>-46.700290393711498</v>
      </c>
      <c r="G260" s="11">
        <f t="shared" si="27"/>
        <v>-42.047051613420642</v>
      </c>
    </row>
    <row r="261" spans="5:7" x14ac:dyDescent="0.25">
      <c r="E261" s="11">
        <f t="shared" si="25"/>
        <v>-51</v>
      </c>
      <c r="F261" s="11">
        <f t="shared" si="26"/>
        <v>-46.81210354983056</v>
      </c>
      <c r="G261" s="11">
        <f t="shared" si="27"/>
        <v>-41.874843689015755</v>
      </c>
    </row>
    <row r="262" spans="5:7" x14ac:dyDescent="0.25">
      <c r="E262" s="11">
        <f t="shared" si="25"/>
        <v>-50</v>
      </c>
      <c r="F262" s="11">
        <f t="shared" si="26"/>
        <v>-46.872802766153285</v>
      </c>
      <c r="G262" s="11">
        <f t="shared" si="27"/>
        <v>-41.696916023655113</v>
      </c>
    </row>
    <row r="263" spans="5:7" x14ac:dyDescent="0.25">
      <c r="E263" s="11">
        <f t="shared" si="25"/>
        <v>-49</v>
      </c>
      <c r="F263" s="11">
        <f t="shared" si="26"/>
        <v>-46.878789762858041</v>
      </c>
      <c r="G263" s="11">
        <f t="shared" si="27"/>
        <v>-41.565532961159505</v>
      </c>
    </row>
    <row r="264" spans="5:7" x14ac:dyDescent="0.25">
      <c r="E264" s="11">
        <f t="shared" si="25"/>
        <v>-48</v>
      </c>
      <c r="F264" s="11">
        <f t="shared" si="26"/>
        <v>-46.826871710372565</v>
      </c>
      <c r="G264" s="11">
        <f t="shared" si="27"/>
        <v>-41.428597079596727</v>
      </c>
    </row>
    <row r="265" spans="5:7" x14ac:dyDescent="0.25">
      <c r="E265" s="11">
        <f t="shared" si="25"/>
        <v>-47</v>
      </c>
      <c r="F265" s="11">
        <f t="shared" si="26"/>
        <v>-46.714271521633989</v>
      </c>
      <c r="G265" s="11">
        <f t="shared" si="27"/>
        <v>-41.286421960879899</v>
      </c>
    </row>
    <row r="266" spans="5:7" x14ac:dyDescent="0.25">
      <c r="E266" s="11">
        <f t="shared" si="25"/>
        <v>-46</v>
      </c>
      <c r="F266" s="11">
        <f t="shared" si="26"/>
        <v>-46.538635156186757</v>
      </c>
      <c r="G266" s="11">
        <f t="shared" si="27"/>
        <v>-41.139321186922089</v>
      </c>
    </row>
    <row r="267" spans="5:7" x14ac:dyDescent="0.25">
      <c r="E267" s="11">
        <f t="shared" si="25"/>
        <v>-45</v>
      </c>
      <c r="F267" s="11">
        <f t="shared" si="26"/>
        <v>-46.298036096225204</v>
      </c>
      <c r="G267" s="11">
        <f t="shared" si="27"/>
        <v>-40.987608339636431</v>
      </c>
    </row>
    <row r="268" spans="5:7" x14ac:dyDescent="0.25">
      <c r="E268" s="11">
        <f t="shared" si="25"/>
        <v>-44</v>
      </c>
      <c r="F268" s="11">
        <f t="shared" si="26"/>
        <v>-45.990977151612526</v>
      </c>
      <c r="G268" s="11">
        <f t="shared" si="27"/>
        <v>-40.831597000936014</v>
      </c>
    </row>
    <row r="269" spans="5:7" x14ac:dyDescent="0.25">
      <c r="E269" s="11">
        <f t="shared" si="25"/>
        <v>-43</v>
      </c>
      <c r="F269" s="11">
        <f t="shared" si="26"/>
        <v>-45.616389747828755</v>
      </c>
      <c r="G269" s="11">
        <f t="shared" si="27"/>
        <v>-40.671600752733944</v>
      </c>
    </row>
    <row r="270" spans="5:7" x14ac:dyDescent="0.25">
      <c r="E270" s="11">
        <f t="shared" si="25"/>
        <v>-42</v>
      </c>
      <c r="F270" s="11">
        <f t="shared" si="26"/>
        <v>-45.173630847725271</v>
      </c>
      <c r="G270" s="11">
        <f t="shared" si="27"/>
        <v>-40.507933176943325</v>
      </c>
    </row>
    <row r="271" spans="5:7" x14ac:dyDescent="0.25">
      <c r="E271" s="11">
        <f t="shared" si="25"/>
        <v>-41</v>
      </c>
      <c r="F271" s="11">
        <f t="shared" si="26"/>
        <v>-44.662477654884718</v>
      </c>
      <c r="G271" s="11">
        <f t="shared" si="27"/>
        <v>-40.340907855477255</v>
      </c>
    </row>
    <row r="272" spans="5:7" x14ac:dyDescent="0.25">
      <c r="E272" s="11">
        <f t="shared" si="25"/>
        <v>-40</v>
      </c>
      <c r="F272" s="11">
        <f t="shared" si="26"/>
        <v>-44.083120243309644</v>
      </c>
      <c r="G272" s="11">
        <f t="shared" si="27"/>
        <v>-40.170838370248845</v>
      </c>
    </row>
    <row r="273" spans="5:7" x14ac:dyDescent="0.25">
      <c r="E273" s="11">
        <f t="shared" si="25"/>
        <v>-39</v>
      </c>
      <c r="F273" s="11">
        <f t="shared" si="26"/>
        <v>-43.436152255085027</v>
      </c>
      <c r="G273" s="11">
        <f t="shared" si="27"/>
        <v>-39.998038303171192</v>
      </c>
    </row>
    <row r="274" spans="5:7" x14ac:dyDescent="0.25">
      <c r="E274" s="11">
        <f t="shared" si="25"/>
        <v>-38</v>
      </c>
      <c r="F274" s="11">
        <f t="shared" si="26"/>
        <v>-42.722559804583319</v>
      </c>
      <c r="G274" s="11">
        <f t="shared" si="27"/>
        <v>-39.822821236157395</v>
      </c>
    </row>
    <row r="275" spans="5:7" x14ac:dyDescent="0.25">
      <c r="E275" s="11">
        <f t="shared" si="25"/>
        <v>-37</v>
      </c>
      <c r="F275" s="11">
        <f t="shared" si="26"/>
        <v>-41.943708724704052</v>
      </c>
      <c r="G275" s="11">
        <f t="shared" si="27"/>
        <v>-39.645500751120565</v>
      </c>
    </row>
    <row r="276" spans="5:7" x14ac:dyDescent="0.25">
      <c r="E276" s="11">
        <f t="shared" si="25"/>
        <v>-36</v>
      </c>
      <c r="F276" s="11">
        <f t="shared" si="26"/>
        <v>-41.101330287561986</v>
      </c>
      <c r="G276" s="11">
        <f t="shared" si="27"/>
        <v>-39.466390429973806</v>
      </c>
    </row>
    <row r="277" spans="5:7" x14ac:dyDescent="0.25">
      <c r="E277" s="11">
        <f t="shared" si="25"/>
        <v>-35</v>
      </c>
      <c r="F277" s="11">
        <f t="shared" si="26"/>
        <v>-40.197505528961855</v>
      </c>
      <c r="G277" s="11">
        <f t="shared" si="27"/>
        <v>-39.285803854630217</v>
      </c>
    </row>
    <row r="278" spans="5:7" x14ac:dyDescent="0.25">
      <c r="E278" s="11">
        <f t="shared" si="25"/>
        <v>-34</v>
      </c>
      <c r="F278" s="11">
        <f t="shared" si="26"/>
        <v>-39.234648302920093</v>
      </c>
      <c r="G278" s="11">
        <f t="shared" si="27"/>
        <v>-39.104054607002894</v>
      </c>
    </row>
    <row r="279" spans="5:7" x14ac:dyDescent="0.25">
      <c r="E279" s="11">
        <f t="shared" si="25"/>
        <v>-33</v>
      </c>
      <c r="F279" s="11">
        <f t="shared" si="26"/>
        <v>-38.215487189417203</v>
      </c>
      <c r="G279" s="11">
        <f t="shared" si="27"/>
        <v>-38.921456269004949</v>
      </c>
    </row>
    <row r="280" spans="5:7" x14ac:dyDescent="0.25">
      <c r="E280" s="11">
        <f t="shared" si="25"/>
        <v>-32</v>
      </c>
      <c r="F280" s="11">
        <f t="shared" si="26"/>
        <v>-37.143046375487224</v>
      </c>
      <c r="G280" s="11">
        <f t="shared" si="27"/>
        <v>-38.738322422549487</v>
      </c>
    </row>
    <row r="281" spans="5:7" x14ac:dyDescent="0.25">
      <c r="E281" s="11">
        <f t="shared" si="25"/>
        <v>-31</v>
      </c>
      <c r="F281" s="11">
        <f t="shared" si="26"/>
        <v>-36.020625626673976</v>
      </c>
      <c r="G281" s="11">
        <f t="shared" si="27"/>
        <v>-38.554966649549606</v>
      </c>
    </row>
    <row r="282" spans="5:7" x14ac:dyDescent="0.25">
      <c r="E282" s="11">
        <f t="shared" si="25"/>
        <v>-30</v>
      </c>
      <c r="F282" s="11">
        <f t="shared" si="26"/>
        <v>-34.851779462806583</v>
      </c>
      <c r="G282" s="11">
        <f t="shared" si="27"/>
        <v>-38.371702531918402</v>
      </c>
    </row>
    <row r="283" spans="5:7" x14ac:dyDescent="0.25">
      <c r="E283" s="11">
        <f t="shared" si="25"/>
        <v>-29</v>
      </c>
      <c r="F283" s="11">
        <f t="shared" si="26"/>
        <v>-33.640295648969804</v>
      </c>
      <c r="G283" s="11">
        <f t="shared" si="27"/>
        <v>-38.188843651568995</v>
      </c>
    </row>
    <row r="284" spans="5:7" x14ac:dyDescent="0.25">
      <c r="E284" s="11">
        <f t="shared" si="25"/>
        <v>-28</v>
      </c>
      <c r="F284" s="11">
        <f t="shared" si="26"/>
        <v>-32.390173109467725</v>
      </c>
      <c r="G284" s="11">
        <f t="shared" si="27"/>
        <v>-38.006703590414475</v>
      </c>
    </row>
    <row r="285" spans="5:7" x14ac:dyDescent="0.25">
      <c r="E285" s="11">
        <f t="shared" si="25"/>
        <v>-27</v>
      </c>
      <c r="F285" s="11">
        <f t="shared" si="26"/>
        <v>-31.105599369502425</v>
      </c>
      <c r="G285" s="11">
        <f t="shared" si="27"/>
        <v>-37.825595930367939</v>
      </c>
    </row>
    <row r="286" spans="5:7" x14ac:dyDescent="0.25">
      <c r="E286" s="11">
        <f t="shared" si="25"/>
        <v>-26</v>
      </c>
      <c r="F286" s="11">
        <f t="shared" si="26"/>
        <v>-29.790927626211872</v>
      </c>
      <c r="G286" s="11">
        <f t="shared" si="27"/>
        <v>-37.645834253342514</v>
      </c>
    </row>
    <row r="287" spans="5:7" x14ac:dyDescent="0.25">
      <c r="E287" s="11">
        <f t="shared" ref="E287:E350" si="28">E80</f>
        <v>-25</v>
      </c>
      <c r="F287" s="11">
        <f t="shared" ref="F287:F350" si="29">$H$217*0+E287*$I$217+E287^2*$J$217+E287^3*$K$217+E287^4*$L$217+E287^5*$M$217+E287^6*$N$217+E287^7*$O$217+E287^8*$P$217</f>
        <v>-28.45065354763501</v>
      </c>
      <c r="G287" s="11">
        <f t="shared" ref="G287:G350" si="30">F80</f>
        <v>-37.467732141251275</v>
      </c>
    </row>
    <row r="288" spans="5:7" x14ac:dyDescent="0.25">
      <c r="E288" s="11">
        <f t="shared" si="28"/>
        <v>-24</v>
      </c>
      <c r="F288" s="11">
        <f t="shared" si="29"/>
        <v>-27.089391895094</v>
      </c>
      <c r="G288" s="11">
        <f t="shared" si="30"/>
        <v>-37.291414253640276</v>
      </c>
    </row>
    <row r="289" spans="5:7" x14ac:dyDescent="0.25">
      <c r="E289" s="11">
        <f t="shared" si="28"/>
        <v>-23</v>
      </c>
      <c r="F289" s="11">
        <f t="shared" si="29"/>
        <v>-25.711853061407652</v>
      </c>
      <c r="G289" s="11">
        <f t="shared" si="30"/>
        <v>-37.116249560587271</v>
      </c>
    </row>
    <row r="290" spans="5:7" x14ac:dyDescent="0.25">
      <c r="E290" s="11">
        <f t="shared" si="28"/>
        <v>-22</v>
      </c>
      <c r="F290" s="11">
        <f t="shared" si="29"/>
        <v>-24.322819614272092</v>
      </c>
      <c r="G290" s="11">
        <f t="shared" si="30"/>
        <v>-36.941418109802967</v>
      </c>
    </row>
    <row r="291" spans="5:7" x14ac:dyDescent="0.25">
      <c r="E291" s="11">
        <f t="shared" si="28"/>
        <v>-21</v>
      </c>
      <c r="F291" s="11">
        <f t="shared" si="29"/>
        <v>-22.927122931068453</v>
      </c>
      <c r="G291" s="11">
        <f t="shared" si="30"/>
        <v>-36.766099948998033</v>
      </c>
    </row>
    <row r="292" spans="5:7" x14ac:dyDescent="0.25">
      <c r="E292" s="11">
        <f t="shared" si="28"/>
        <v>-20</v>
      </c>
      <c r="F292" s="11">
        <f t="shared" si="29"/>
        <v>-21.529620008279867</v>
      </c>
      <c r="G292" s="11">
        <f t="shared" si="30"/>
        <v>-36.589475125883204</v>
      </c>
    </row>
    <row r="293" spans="5:7" x14ac:dyDescent="0.25">
      <c r="E293" s="11">
        <f t="shared" si="28"/>
        <v>-19</v>
      </c>
      <c r="F293" s="11">
        <f t="shared" si="29"/>
        <v>-20.135170525623419</v>
      </c>
      <c r="G293" s="11">
        <f t="shared" si="30"/>
        <v>-36.410723688169142</v>
      </c>
    </row>
    <row r="294" spans="5:7" x14ac:dyDescent="0.25">
      <c r="E294" s="11">
        <f t="shared" si="28"/>
        <v>-18</v>
      </c>
      <c r="F294" s="11">
        <f t="shared" si="29"/>
        <v>-18.748614241925264</v>
      </c>
      <c r="G294" s="11">
        <f t="shared" si="30"/>
        <v>-36.229025683566562</v>
      </c>
    </row>
    <row r="295" spans="5:7" x14ac:dyDescent="0.25">
      <c r="E295" s="11">
        <f t="shared" si="28"/>
        <v>-17</v>
      </c>
      <c r="F295" s="11">
        <f t="shared" si="29"/>
        <v>-17.374748796690639</v>
      </c>
      <c r="G295" s="11">
        <f t="shared" si="30"/>
        <v>-36.043561159786151</v>
      </c>
    </row>
    <row r="296" spans="5:7" x14ac:dyDescent="0.25">
      <c r="E296" s="11">
        <f t="shared" si="28"/>
        <v>-16</v>
      </c>
      <c r="F296" s="11">
        <f t="shared" si="29"/>
        <v>-16.018307988243023</v>
      </c>
      <c r="G296" s="11">
        <f t="shared" si="30"/>
        <v>-35.853510164538605</v>
      </c>
    </row>
    <row r="297" spans="5:7" x14ac:dyDescent="0.25">
      <c r="E297" s="11">
        <f t="shared" si="28"/>
        <v>-15</v>
      </c>
      <c r="F297" s="11">
        <f t="shared" si="29"/>
        <v>-14.683940596229945</v>
      </c>
      <c r="G297" s="11">
        <f t="shared" si="30"/>
        <v>-35.658052745534626</v>
      </c>
    </row>
    <row r="298" spans="5:7" x14ac:dyDescent="0.25">
      <c r="E298" s="11">
        <f t="shared" si="28"/>
        <v>-14</v>
      </c>
      <c r="F298" s="11">
        <f t="shared" si="29"/>
        <v>-13.376189813215868</v>
      </c>
      <c r="G298" s="11">
        <f t="shared" si="30"/>
        <v>-35.456368950484901</v>
      </c>
    </row>
    <row r="299" spans="5:7" x14ac:dyDescent="0.25">
      <c r="E299" s="11">
        <f t="shared" si="28"/>
        <v>-13</v>
      </c>
      <c r="F299" s="11">
        <f t="shared" si="29"/>
        <v>-12.099473347005583</v>
      </c>
      <c r="G299" s="11">
        <f t="shared" si="30"/>
        <v>-35.247638827100133</v>
      </c>
    </row>
    <row r="300" spans="5:7" x14ac:dyDescent="0.25">
      <c r="E300" s="11">
        <f t="shared" si="28"/>
        <v>-12</v>
      </c>
      <c r="F300" s="11">
        <f t="shared" si="29"/>
        <v>-10.858064252264485</v>
      </c>
      <c r="G300" s="11">
        <f t="shared" si="30"/>
        <v>-35.031042423091009</v>
      </c>
    </row>
    <row r="301" spans="5:7" x14ac:dyDescent="0.25">
      <c r="E301" s="11">
        <f t="shared" si="28"/>
        <v>-11</v>
      </c>
      <c r="F301" s="11">
        <f t="shared" si="29"/>
        <v>-9.6560725469251789</v>
      </c>
      <c r="G301" s="11">
        <f t="shared" si="30"/>
        <v>-34.805759786168238</v>
      </c>
    </row>
    <row r="302" spans="5:7" x14ac:dyDescent="0.25">
      <c r="E302" s="11">
        <f t="shared" si="28"/>
        <v>-10</v>
      </c>
      <c r="F302" s="11">
        <f t="shared" si="29"/>
        <v>-8.4974276657927934</v>
      </c>
      <c r="G302" s="11">
        <f t="shared" si="30"/>
        <v>-34.570970964042495</v>
      </c>
    </row>
    <row r="303" spans="5:7" x14ac:dyDescent="0.25">
      <c r="E303" s="11">
        <f t="shared" si="28"/>
        <v>-9</v>
      </c>
      <c r="F303" s="11">
        <f t="shared" si="29"/>
        <v>-7.3858618006844159</v>
      </c>
      <c r="G303" s="11">
        <f t="shared" si="30"/>
        <v>-34.325856004424494</v>
      </c>
    </row>
    <row r="304" spans="5:7" x14ac:dyDescent="0.25">
      <c r="E304" s="11">
        <f t="shared" si="28"/>
        <v>-8</v>
      </c>
      <c r="F304" s="11">
        <f t="shared" si="29"/>
        <v>-6.3248941733609643</v>
      </c>
      <c r="G304" s="11">
        <f t="shared" si="30"/>
        <v>-34.069594955024925</v>
      </c>
    </row>
    <row r="305" spans="5:7" x14ac:dyDescent="0.25">
      <c r="E305" s="11">
        <f t="shared" si="28"/>
        <v>-7</v>
      </c>
      <c r="F305" s="11">
        <f t="shared" si="29"/>
        <v>-5.3178162844329604</v>
      </c>
      <c r="G305" s="11">
        <f t="shared" si="30"/>
        <v>-33.801367863554489</v>
      </c>
    </row>
    <row r="306" spans="5:7" x14ac:dyDescent="0.25">
      <c r="E306" s="11">
        <f t="shared" si="28"/>
        <v>-6</v>
      </c>
      <c r="F306" s="11">
        <f t="shared" si="29"/>
        <v>-4.3676781783445122</v>
      </c>
      <c r="G306" s="11">
        <f t="shared" si="30"/>
        <v>-33.520354777723867</v>
      </c>
    </row>
    <row r="307" spans="5:7" x14ac:dyDescent="0.25">
      <c r="E307" s="11">
        <f t="shared" si="28"/>
        <v>-5</v>
      </c>
      <c r="F307" s="11">
        <f t="shared" si="29"/>
        <v>-3.4772757614628818</v>
      </c>
      <c r="G307" s="11">
        <f t="shared" si="30"/>
        <v>-33.225735745243767</v>
      </c>
    </row>
    <row r="308" spans="5:7" x14ac:dyDescent="0.25">
      <c r="E308" s="11">
        <f t="shared" si="28"/>
        <v>-4</v>
      </c>
      <c r="F308" s="11">
        <f t="shared" si="29"/>
        <v>-2.6491392072239903</v>
      </c>
      <c r="G308" s="11">
        <f t="shared" si="30"/>
        <v>-32.916690813824886</v>
      </c>
    </row>
    <row r="309" spans="5:7" x14ac:dyDescent="0.25">
      <c r="E309" s="11">
        <f t="shared" si="28"/>
        <v>-3</v>
      </c>
      <c r="F309" s="11">
        <f t="shared" si="29"/>
        <v>-1.8855224792071983</v>
      </c>
      <c r="G309" s="11">
        <f t="shared" si="30"/>
        <v>-32.592400031177917</v>
      </c>
    </row>
    <row r="310" spans="5:7" x14ac:dyDescent="0.25">
      <c r="E310" s="11">
        <f t="shared" si="28"/>
        <v>-2</v>
      </c>
      <c r="F310" s="11">
        <f t="shared" si="29"/>
        <v>-1.1883939999357116</v>
      </c>
      <c r="G310" s="11">
        <f t="shared" si="30"/>
        <v>-32.252043445013541</v>
      </c>
    </row>
    <row r="311" spans="5:7" x14ac:dyDescent="0.25">
      <c r="E311" s="11">
        <f t="shared" si="28"/>
        <v>-1</v>
      </c>
      <c r="F311" s="11">
        <f t="shared" si="29"/>
        <v>-0.55942849012191875</v>
      </c>
      <c r="G311" s="11">
        <f t="shared" si="30"/>
        <v>-31.894801103042475</v>
      </c>
    </row>
    <row r="312" spans="5:7" x14ac:dyDescent="0.25">
      <c r="E312" s="11">
        <f t="shared" si="28"/>
        <v>0</v>
      </c>
      <c r="F312" s="11">
        <f t="shared" si="29"/>
        <v>0</v>
      </c>
      <c r="G312" s="11">
        <f t="shared" si="30"/>
        <v>-31.519853052975407</v>
      </c>
    </row>
    <row r="313" spans="5:7" x14ac:dyDescent="0.25">
      <c r="E313" s="11">
        <f t="shared" si="28"/>
        <v>1</v>
      </c>
      <c r="F313" s="11">
        <f t="shared" si="29"/>
        <v>0.48882384868888967</v>
      </c>
      <c r="G313" s="11">
        <f t="shared" si="30"/>
        <v>-31.126667810396924</v>
      </c>
    </row>
    <row r="314" spans="5:7" x14ac:dyDescent="0.25">
      <c r="E314" s="11">
        <f t="shared" si="28"/>
        <v>2</v>
      </c>
      <c r="F314" s="11">
        <f t="shared" si="29"/>
        <v>0.90628639457055582</v>
      </c>
      <c r="G314" s="11">
        <f t="shared" si="30"/>
        <v>-30.715867762387184</v>
      </c>
    </row>
    <row r="315" spans="5:7" x14ac:dyDescent="0.25">
      <c r="E315" s="11">
        <f t="shared" si="28"/>
        <v>3</v>
      </c>
      <c r="F315" s="11">
        <f t="shared" si="29"/>
        <v>1.2519452299595217</v>
      </c>
      <c r="G315" s="11">
        <f t="shared" si="30"/>
        <v>-30.288363763900247</v>
      </c>
    </row>
    <row r="316" spans="5:7" x14ac:dyDescent="0.25">
      <c r="E316" s="11">
        <f t="shared" si="28"/>
        <v>4</v>
      </c>
      <c r="F316" s="11">
        <f t="shared" si="29"/>
        <v>1.5256742462943162</v>
      </c>
      <c r="G316" s="11">
        <f t="shared" si="30"/>
        <v>-29.845066669890162</v>
      </c>
    </row>
    <row r="317" spans="5:7" x14ac:dyDescent="0.25">
      <c r="E317" s="11">
        <f t="shared" si="28"/>
        <v>5</v>
      </c>
      <c r="F317" s="11">
        <f t="shared" si="29"/>
        <v>1.7276644254290132</v>
      </c>
      <c r="G317" s="11">
        <f t="shared" si="30"/>
        <v>-29.386887335310995</v>
      </c>
    </row>
    <row r="318" spans="5:7" x14ac:dyDescent="0.25">
      <c r="E318" s="11">
        <f t="shared" si="28"/>
        <v>6</v>
      </c>
      <c r="F318" s="11">
        <f t="shared" si="29"/>
        <v>1.8584233736007487</v>
      </c>
      <c r="G318" s="11">
        <f t="shared" si="30"/>
        <v>-28.914736615116791</v>
      </c>
    </row>
    <row r="319" spans="5:7" x14ac:dyDescent="0.25">
      <c r="E319" s="11">
        <f t="shared" si="28"/>
        <v>7</v>
      </c>
      <c r="F319" s="11">
        <f t="shared" si="29"/>
        <v>1.9187735979699458</v>
      </c>
      <c r="G319" s="11">
        <f t="shared" si="30"/>
        <v>-28.429525364261607</v>
      </c>
    </row>
    <row r="320" spans="5:7" x14ac:dyDescent="0.25">
      <c r="E320" s="11">
        <f t="shared" si="28"/>
        <v>8</v>
      </c>
      <c r="F320" s="11">
        <f t="shared" si="29"/>
        <v>1.9098495287069925</v>
      </c>
      <c r="G320" s="11">
        <f t="shared" si="30"/>
        <v>-27.932164437699502</v>
      </c>
    </row>
    <row r="321" spans="5:7" x14ac:dyDescent="0.25">
      <c r="E321" s="11">
        <f t="shared" si="28"/>
        <v>9</v>
      </c>
      <c r="F321" s="11">
        <f t="shared" si="29"/>
        <v>1.8330932926761228</v>
      </c>
      <c r="G321" s="11">
        <f t="shared" si="30"/>
        <v>-27.42356469038452</v>
      </c>
    </row>
    <row r="322" spans="5:7" x14ac:dyDescent="0.25">
      <c r="E322" s="11">
        <f t="shared" si="28"/>
        <v>10</v>
      </c>
      <c r="F322" s="11">
        <f t="shared" si="29"/>
        <v>1.6902492478442541</v>
      </c>
      <c r="G322" s="11">
        <f t="shared" si="30"/>
        <v>-26.904636977270727</v>
      </c>
    </row>
    <row r="323" spans="5:7" x14ac:dyDescent="0.25">
      <c r="E323" s="11">
        <f t="shared" si="28"/>
        <v>11</v>
      </c>
      <c r="F323" s="11">
        <f t="shared" si="29"/>
        <v>1.4833572906195498</v>
      </c>
      <c r="G323" s="11">
        <f t="shared" si="30"/>
        <v>-26.376292153312171</v>
      </c>
    </row>
    <row r="324" spans="5:7" x14ac:dyDescent="0.25">
      <c r="E324" s="11">
        <f t="shared" si="28"/>
        <v>12</v>
      </c>
      <c r="F324" s="11">
        <f t="shared" si="29"/>
        <v>1.2147449514014743</v>
      </c>
      <c r="G324" s="11">
        <f t="shared" si="30"/>
        <v>-25.839441073462908</v>
      </c>
    </row>
    <row r="325" spans="5:7" x14ac:dyDescent="0.25">
      <c r="E325" s="11">
        <f t="shared" si="28"/>
        <v>13</v>
      </c>
      <c r="F325" s="11">
        <f t="shared" si="29"/>
        <v>0.8870182967011323</v>
      </c>
      <c r="G325" s="11">
        <f t="shared" si="30"/>
        <v>-25.294994592676993</v>
      </c>
    </row>
    <row r="326" spans="5:7" x14ac:dyDescent="0.25">
      <c r="E326" s="11">
        <f t="shared" si="28"/>
        <v>14</v>
      </c>
      <c r="F326" s="11">
        <f t="shared" si="29"/>
        <v>0.50305165926766104</v>
      </c>
      <c r="G326" s="11">
        <f t="shared" si="30"/>
        <v>-24.743863565908484</v>
      </c>
    </row>
    <row r="327" spans="5:7" x14ac:dyDescent="0.25">
      <c r="E327" s="11">
        <f t="shared" si="28"/>
        <v>15</v>
      </c>
      <c r="F327" s="11">
        <f t="shared" si="29"/>
        <v>6.5976220733492144E-2</v>
      </c>
      <c r="G327" s="11">
        <f t="shared" si="30"/>
        <v>-24.186958848111431</v>
      </c>
    </row>
    <row r="328" spans="5:7" x14ac:dyDescent="0.25">
      <c r="E328" s="11">
        <f t="shared" si="28"/>
        <v>16</v>
      </c>
      <c r="F328" s="11">
        <f t="shared" si="29"/>
        <v>-0.42083252563172369</v>
      </c>
      <c r="G328" s="11">
        <f t="shared" si="30"/>
        <v>-23.62519129423989</v>
      </c>
    </row>
    <row r="329" spans="5:7" x14ac:dyDescent="0.25">
      <c r="E329" s="11">
        <f t="shared" si="28"/>
        <v>17</v>
      </c>
      <c r="F329" s="11">
        <f t="shared" si="29"/>
        <v>-0.95376840139172059</v>
      </c>
      <c r="G329" s="11">
        <f t="shared" si="30"/>
        <v>-23.059471759247913</v>
      </c>
    </row>
    <row r="330" spans="5:7" x14ac:dyDescent="0.25">
      <c r="E330" s="11">
        <f t="shared" si="28"/>
        <v>18</v>
      </c>
      <c r="F330" s="11">
        <f t="shared" si="29"/>
        <v>-1.5290092248949285</v>
      </c>
      <c r="G330" s="11">
        <f t="shared" si="30"/>
        <v>-22.490711098089562</v>
      </c>
    </row>
    <row r="331" spans="5:7" x14ac:dyDescent="0.25">
      <c r="E331" s="11">
        <f t="shared" si="28"/>
        <v>19</v>
      </c>
      <c r="F331" s="11">
        <f t="shared" si="29"/>
        <v>-2.14253251188565</v>
      </c>
      <c r="G331" s="11">
        <f t="shared" si="30"/>
        <v>-21.919820165718889</v>
      </c>
    </row>
    <row r="332" spans="5:7" x14ac:dyDescent="0.25">
      <c r="E332" s="11">
        <f t="shared" si="28"/>
        <v>20</v>
      </c>
      <c r="F332" s="11">
        <f t="shared" si="29"/>
        <v>-2.7901321548772979</v>
      </c>
      <c r="G332" s="11">
        <f t="shared" si="30"/>
        <v>-21.347709817089942</v>
      </c>
    </row>
    <row r="333" spans="5:7" x14ac:dyDescent="0.25">
      <c r="E333" s="11">
        <f t="shared" si="28"/>
        <v>21</v>
      </c>
      <c r="F333" s="11">
        <f t="shared" si="29"/>
        <v>-3.4674360383128278</v>
      </c>
      <c r="G333" s="11">
        <f t="shared" si="30"/>
        <v>-20.77529090715678</v>
      </c>
    </row>
    <row r="334" spans="5:7" x14ac:dyDescent="0.25">
      <c r="E334" s="11">
        <f t="shared" si="28"/>
        <v>22</v>
      </c>
      <c r="F334" s="11">
        <f t="shared" si="29"/>
        <v>-4.1699245434605219</v>
      </c>
      <c r="G334" s="11">
        <f t="shared" si="30"/>
        <v>-20.203474290873459</v>
      </c>
    </row>
    <row r="335" spans="5:7" x14ac:dyDescent="0.25">
      <c r="E335" s="11">
        <f t="shared" si="28"/>
        <v>23</v>
      </c>
      <c r="F335" s="11">
        <f t="shared" si="29"/>
        <v>-4.8929498939162546</v>
      </c>
      <c r="G335" s="11">
        <f t="shared" si="30"/>
        <v>-19.633170823194035</v>
      </c>
    </row>
    <row r="336" spans="5:7" x14ac:dyDescent="0.25">
      <c r="E336" s="11">
        <f t="shared" si="28"/>
        <v>24</v>
      </c>
      <c r="F336" s="11">
        <f t="shared" si="29"/>
        <v>-5.6317562895064128</v>
      </c>
      <c r="G336" s="11">
        <f t="shared" si="30"/>
        <v>-19.06529135907256</v>
      </c>
    </row>
    <row r="337" spans="5:7" x14ac:dyDescent="0.25">
      <c r="E337" s="11">
        <f t="shared" si="28"/>
        <v>25</v>
      </c>
      <c r="F337" s="11">
        <f t="shared" si="29"/>
        <v>-6.3815007733085523</v>
      </c>
      <c r="G337" s="11">
        <f t="shared" si="30"/>
        <v>-18.500746753463087</v>
      </c>
    </row>
    <row r="338" spans="5:7" x14ac:dyDescent="0.25">
      <c r="E338" s="11">
        <f t="shared" si="28"/>
        <v>26</v>
      </c>
      <c r="F338" s="11">
        <f t="shared" si="29"/>
        <v>-7.137274773429934</v>
      </c>
      <c r="G338" s="11">
        <f t="shared" si="30"/>
        <v>-17.940447861319676</v>
      </c>
    </row>
    <row r="339" spans="5:7" x14ac:dyDescent="0.25">
      <c r="E339" s="11">
        <f t="shared" si="28"/>
        <v>27</v>
      </c>
      <c r="F339" s="11">
        <f t="shared" si="29"/>
        <v>-7.8941262581070299</v>
      </c>
      <c r="G339" s="11">
        <f t="shared" si="30"/>
        <v>-17.385305537596373</v>
      </c>
    </row>
    <row r="340" spans="5:7" x14ac:dyDescent="0.25">
      <c r="E340" s="11">
        <f t="shared" si="28"/>
        <v>28</v>
      </c>
      <c r="F340" s="11">
        <f t="shared" si="29"/>
        <v>-8.6470824396121451</v>
      </c>
      <c r="G340" s="11">
        <f t="shared" si="30"/>
        <v>-16.836230637247244</v>
      </c>
    </row>
    <row r="341" spans="5:7" x14ac:dyDescent="0.25">
      <c r="E341" s="11">
        <f t="shared" si="28"/>
        <v>29</v>
      </c>
      <c r="F341" s="11">
        <f t="shared" si="29"/>
        <v>-9.3911729593762097</v>
      </c>
      <c r="G341" s="11">
        <f t="shared" si="30"/>
        <v>-16.294134015226334</v>
      </c>
    </row>
    <row r="342" spans="5:7" x14ac:dyDescent="0.25">
      <c r="E342" s="11">
        <f t="shared" si="28"/>
        <v>30</v>
      </c>
      <c r="F342" s="11">
        <f t="shared" si="29"/>
        <v>-10.121453483659824</v>
      </c>
      <c r="G342" s="11">
        <f t="shared" si="30"/>
        <v>-15.759926526487703</v>
      </c>
    </row>
    <row r="343" spans="5:7" x14ac:dyDescent="0.25">
      <c r="E343" s="11">
        <f t="shared" si="28"/>
        <v>31</v>
      </c>
      <c r="F343" s="11">
        <f t="shared" si="29"/>
        <v>-10.833029636027705</v>
      </c>
      <c r="G343" s="11">
        <f t="shared" si="30"/>
        <v>-15.234358199038235</v>
      </c>
    </row>
    <row r="344" spans="5:7" x14ac:dyDescent="0.25">
      <c r="E344" s="11">
        <f t="shared" si="28"/>
        <v>32</v>
      </c>
      <c r="F344" s="11">
        <f t="shared" si="29"/>
        <v>-11.521081189804487</v>
      </c>
      <c r="G344" s="11">
        <f t="shared" si="30"/>
        <v>-14.717535753096168</v>
      </c>
    </row>
    <row r="345" spans="5:7" x14ac:dyDescent="0.25">
      <c r="E345" s="11">
        <f t="shared" si="28"/>
        <v>33</v>
      </c>
      <c r="F345" s="11">
        <f t="shared" si="29"/>
        <v>-12.180886440613079</v>
      </c>
      <c r="G345" s="11">
        <f t="shared" si="30"/>
        <v>-14.209405081932562</v>
      </c>
    </row>
    <row r="346" spans="5:7" x14ac:dyDescent="0.25">
      <c r="E346" s="11">
        <f t="shared" si="28"/>
        <v>34</v>
      </c>
      <c r="F346" s="11">
        <f t="shared" si="29"/>
        <v>-12.807846676019533</v>
      </c>
      <c r="G346" s="11">
        <f t="shared" si="30"/>
        <v>-13.709912078818485</v>
      </c>
    </row>
    <row r="347" spans="5:7" x14ac:dyDescent="0.25">
      <c r="E347" s="11">
        <f t="shared" si="28"/>
        <v>35</v>
      </c>
      <c r="F347" s="11">
        <f t="shared" si="29"/>
        <v>-13.397510656231505</v>
      </c>
      <c r="G347" s="11">
        <f t="shared" si="30"/>
        <v>-13.219002637025</v>
      </c>
    </row>
    <row r="348" spans="5:7" x14ac:dyDescent="0.25">
      <c r="E348" s="11">
        <f t="shared" si="28"/>
        <v>36</v>
      </c>
      <c r="F348" s="11">
        <f t="shared" si="29"/>
        <v>-13.945599016720379</v>
      </c>
      <c r="G348" s="11">
        <f t="shared" si="30"/>
        <v>-12.736622649823172</v>
      </c>
    </row>
    <row r="349" spans="5:7" x14ac:dyDescent="0.25">
      <c r="E349" s="11">
        <f t="shared" si="28"/>
        <v>37</v>
      </c>
      <c r="F349" s="11">
        <f t="shared" si="29"/>
        <v>-14.448028500559998</v>
      </c>
      <c r="G349" s="11">
        <f t="shared" si="30"/>
        <v>-12.262718010484072</v>
      </c>
    </row>
    <row r="350" spans="5:7" x14ac:dyDescent="0.25">
      <c r="E350" s="11">
        <f t="shared" si="28"/>
        <v>38</v>
      </c>
      <c r="F350" s="11">
        <f t="shared" si="29"/>
        <v>-14.900935925198233</v>
      </c>
      <c r="G350" s="11">
        <f t="shared" si="30"/>
        <v>-11.797234612278755</v>
      </c>
    </row>
    <row r="351" spans="5:7" x14ac:dyDescent="0.25">
      <c r="E351" s="11">
        <f t="shared" ref="E351:E414" si="31">E144</f>
        <v>39</v>
      </c>
      <c r="F351" s="11">
        <f t="shared" ref="F351:F414" si="32">$H$217*0+E351*$I$217+E351^2*$J$217+E351^3*$K$217+E351^4*$L$217+E351^5*$M$217+E351^6*$N$217+E351^7*$O$217+E351^8*$P$217</f>
        <v>-15.30070178530003</v>
      </c>
      <c r="G351" s="11">
        <f t="shared" ref="G351:G414" si="33">F144</f>
        <v>-11.340118348478292</v>
      </c>
    </row>
    <row r="352" spans="5:7" x14ac:dyDescent="0.25">
      <c r="E352" s="11">
        <f t="shared" si="31"/>
        <v>40</v>
      </c>
      <c r="F352" s="11">
        <f t="shared" si="32"/>
        <v>-15.643973390224449</v>
      </c>
      <c r="G352" s="11">
        <f t="shared" si="33"/>
        <v>-10.891315112353752</v>
      </c>
    </row>
    <row r="353" spans="5:7" x14ac:dyDescent="0.25">
      <c r="E353" s="11">
        <f t="shared" si="31"/>
        <v>41</v>
      </c>
      <c r="F353" s="11">
        <f t="shared" si="32"/>
        <v>-15.927687431620239</v>
      </c>
      <c r="G353" s="11">
        <f t="shared" si="33"/>
        <v>-10.450770797176192</v>
      </c>
    </row>
    <row r="354" spans="5:7" x14ac:dyDescent="0.25">
      <c r="E354" s="11">
        <f t="shared" si="31"/>
        <v>42</v>
      </c>
      <c r="F354" s="11">
        <f t="shared" si="32"/>
        <v>-16.149091873548201</v>
      </c>
      <c r="G354" s="11">
        <f t="shared" si="33"/>
        <v>-10.018431296216681</v>
      </c>
    </row>
    <row r="355" spans="5:7" x14ac:dyDescent="0.25">
      <c r="E355" s="11">
        <f t="shared" si="31"/>
        <v>43</v>
      </c>
      <c r="F355" s="11">
        <f t="shared" si="32"/>
        <v>-16.305767054461292</v>
      </c>
      <c r="G355" s="11">
        <f t="shared" si="33"/>
        <v>-9.594242502746285</v>
      </c>
    </row>
    <row r="356" spans="5:7" x14ac:dyDescent="0.25">
      <c r="E356" s="11">
        <f t="shared" si="31"/>
        <v>44</v>
      </c>
      <c r="F356" s="11">
        <f t="shared" si="32"/>
        <v>-16.395645887296343</v>
      </c>
      <c r="G356" s="11">
        <f t="shared" si="33"/>
        <v>-9.1781503100360666</v>
      </c>
    </row>
    <row r="357" spans="5:7" x14ac:dyDescent="0.25">
      <c r="E357" s="11">
        <f t="shared" si="31"/>
        <v>45</v>
      </c>
      <c r="F357" s="11">
        <f t="shared" si="32"/>
        <v>-16.417033040854463</v>
      </c>
      <c r="G357" s="11">
        <f t="shared" si="33"/>
        <v>-8.7701006113570976</v>
      </c>
    </row>
    <row r="358" spans="5:7" x14ac:dyDescent="0.25">
      <c r="E358" s="11">
        <f t="shared" si="31"/>
        <v>46</v>
      </c>
      <c r="F358" s="11">
        <f t="shared" si="32"/>
        <v>-16.368622982570191</v>
      </c>
      <c r="G358" s="11">
        <f t="shared" si="33"/>
        <v>-8.3700392999804354</v>
      </c>
    </row>
    <row r="359" spans="5:7" x14ac:dyDescent="0.25">
      <c r="E359" s="11">
        <f t="shared" si="31"/>
        <v>47</v>
      </c>
      <c r="F359" s="11">
        <f t="shared" si="32"/>
        <v>-16.249516759691964</v>
      </c>
      <c r="G359" s="11">
        <f t="shared" si="33"/>
        <v>-7.977912269177148</v>
      </c>
    </row>
    <row r="360" spans="5:7" x14ac:dyDescent="0.25">
      <c r="E360" s="11">
        <f t="shared" si="31"/>
        <v>48</v>
      </c>
      <c r="F360" s="11">
        <f t="shared" si="32"/>
        <v>-16.059237392820414</v>
      </c>
      <c r="G360" s="11">
        <f t="shared" si="33"/>
        <v>-7.5936654122183009</v>
      </c>
    </row>
    <row r="361" spans="5:7" x14ac:dyDescent="0.25">
      <c r="E361" s="11">
        <f t="shared" si="31"/>
        <v>49</v>
      </c>
      <c r="F361" s="11">
        <f t="shared" si="32"/>
        <v>-15.797743752672861</v>
      </c>
      <c r="G361" s="11">
        <f t="shared" si="33"/>
        <v>-7.2172446223749596</v>
      </c>
    </row>
    <row r="362" spans="5:7" x14ac:dyDescent="0.25">
      <c r="E362" s="11">
        <f t="shared" si="31"/>
        <v>50</v>
      </c>
      <c r="F362" s="11">
        <f t="shared" si="32"/>
        <v>-15.465442787866511</v>
      </c>
      <c r="G362" s="11">
        <f t="shared" si="33"/>
        <v>-6.8485957929181875</v>
      </c>
    </row>
    <row r="363" spans="5:7" x14ac:dyDescent="0.25">
      <c r="E363" s="11">
        <f t="shared" si="31"/>
        <v>51</v>
      </c>
      <c r="F363" s="11">
        <f t="shared" si="32"/>
        <v>-15.063199968434597</v>
      </c>
      <c r="G363" s="11">
        <f t="shared" si="33"/>
        <v>-6.4876648171190521</v>
      </c>
    </row>
    <row r="364" spans="5:7" x14ac:dyDescent="0.25">
      <c r="E364" s="11">
        <f t="shared" si="31"/>
        <v>52</v>
      </c>
      <c r="F364" s="11">
        <f t="shared" si="32"/>
        <v>-14.59234780671412</v>
      </c>
      <c r="G364" s="11">
        <f t="shared" si="33"/>
        <v>-6.1343975882486186</v>
      </c>
    </row>
    <row r="365" spans="5:7" x14ac:dyDescent="0.25">
      <c r="E365" s="11">
        <f t="shared" si="31"/>
        <v>53</v>
      </c>
      <c r="F365" s="11">
        <f t="shared" si="32"/>
        <v>-14.05469231416558</v>
      </c>
      <c r="G365" s="11">
        <f t="shared" si="33"/>
        <v>-5.7887399995779507</v>
      </c>
    </row>
    <row r="366" spans="5:7" x14ac:dyDescent="0.25">
      <c r="E366" s="11">
        <f t="shared" si="31"/>
        <v>54</v>
      </c>
      <c r="F366" s="11">
        <f t="shared" si="32"/>
        <v>-13.45251724960878</v>
      </c>
      <c r="G366" s="11">
        <f t="shared" si="33"/>
        <v>-5.4506379443781121</v>
      </c>
    </row>
    <row r="367" spans="5:7" x14ac:dyDescent="0.25">
      <c r="E367" s="11">
        <f t="shared" si="31"/>
        <v>55</v>
      </c>
      <c r="F367" s="11">
        <f t="shared" si="32"/>
        <v>-12.788586011281492</v>
      </c>
      <c r="G367" s="11">
        <f t="shared" si="33"/>
        <v>-5.1200373159201717</v>
      </c>
    </row>
    <row r="368" spans="5:7" x14ac:dyDescent="0.25">
      <c r="E368" s="11">
        <f t="shared" si="31"/>
        <v>56</v>
      </c>
      <c r="F368" s="11">
        <f t="shared" si="32"/>
        <v>-12.066141022051283</v>
      </c>
      <c r="G368" s="11">
        <f t="shared" si="33"/>
        <v>-4.7968840074751924</v>
      </c>
    </row>
    <row r="369" spans="5:7" x14ac:dyDescent="0.25">
      <c r="E369" s="11">
        <f t="shared" si="31"/>
        <v>57</v>
      </c>
      <c r="F369" s="11">
        <f t="shared" si="32"/>
        <v>-11.288900454032595</v>
      </c>
      <c r="G369" s="11">
        <f t="shared" si="33"/>
        <v>-4.4811239123142403</v>
      </c>
    </row>
    <row r="370" spans="5:7" x14ac:dyDescent="0.25">
      <c r="E370" s="11">
        <f t="shared" si="31"/>
        <v>58</v>
      </c>
      <c r="F370" s="11">
        <f t="shared" si="32"/>
        <v>-10.461052135785714</v>
      </c>
      <c r="G370" s="11">
        <f t="shared" si="33"/>
        <v>-4.1727029237083801</v>
      </c>
    </row>
    <row r="371" spans="5:7" x14ac:dyDescent="0.25">
      <c r="E371" s="11">
        <f t="shared" si="31"/>
        <v>59</v>
      </c>
      <c r="F371" s="11">
        <f t="shared" si="32"/>
        <v>-9.5872444821962706</v>
      </c>
      <c r="G371" s="11">
        <f t="shared" si="33"/>
        <v>-3.8715669349286768</v>
      </c>
    </row>
    <row r="372" spans="5:7" x14ac:dyDescent="0.25">
      <c r="E372" s="11">
        <f t="shared" si="31"/>
        <v>60</v>
      </c>
      <c r="F372" s="11">
        <f t="shared" si="32"/>
        <v>-8.672574284056596</v>
      </c>
      <c r="G372" s="11">
        <f t="shared" si="33"/>
        <v>-3.577661839246197</v>
      </c>
    </row>
    <row r="373" spans="5:7" x14ac:dyDescent="0.25">
      <c r="E373" s="11">
        <f t="shared" si="31"/>
        <v>61</v>
      </c>
      <c r="F373" s="11">
        <f t="shared" si="32"/>
        <v>-7.7225711912948327</v>
      </c>
      <c r="G373" s="11">
        <f t="shared" si="33"/>
        <v>-3.2909335299320035</v>
      </c>
    </row>
    <row r="374" spans="5:7" x14ac:dyDescent="0.25">
      <c r="E374" s="11">
        <f t="shared" si="31"/>
        <v>62</v>
      </c>
      <c r="F374" s="11">
        <f t="shared" si="32"/>
        <v>-6.7431787207186282</v>
      </c>
      <c r="G374" s="11">
        <f t="shared" si="33"/>
        <v>-3.0113279002571627</v>
      </c>
    </row>
    <row r="375" spans="5:7" x14ac:dyDescent="0.25">
      <c r="E375" s="11">
        <f t="shared" si="31"/>
        <v>63</v>
      </c>
      <c r="F375" s="11">
        <f t="shared" si="32"/>
        <v>-5.7407316160646076</v>
      </c>
      <c r="G375" s="11">
        <f t="shared" si="33"/>
        <v>-2.7387908434927408</v>
      </c>
    </row>
    <row r="376" spans="5:7" x14ac:dyDescent="0.25">
      <c r="E376" s="11">
        <f t="shared" si="31"/>
        <v>64</v>
      </c>
      <c r="F376" s="11">
        <f t="shared" si="32"/>
        <v>-4.7219293850679485</v>
      </c>
      <c r="G376" s="11">
        <f t="shared" si="33"/>
        <v>-2.4732682529098016</v>
      </c>
    </row>
    <row r="377" spans="5:7" x14ac:dyDescent="0.25">
      <c r="E377" s="11">
        <f t="shared" si="31"/>
        <v>65</v>
      </c>
      <c r="F377" s="11">
        <f t="shared" si="32"/>
        <v>-3.6938058351878702</v>
      </c>
      <c r="G377" s="11">
        <f t="shared" si="33"/>
        <v>-2.2147060217794103</v>
      </c>
    </row>
    <row r="378" spans="5:7" x14ac:dyDescent="0.25">
      <c r="E378" s="11">
        <f t="shared" si="31"/>
        <v>66</v>
      </c>
      <c r="F378" s="11">
        <f t="shared" si="32"/>
        <v>-2.6636944265498101</v>
      </c>
      <c r="G378" s="11">
        <f t="shared" si="33"/>
        <v>-1.963050043372633</v>
      </c>
    </row>
    <row r="379" spans="5:7" x14ac:dyDescent="0.25">
      <c r="E379" s="11">
        <f t="shared" si="31"/>
        <v>67</v>
      </c>
      <c r="F379" s="11">
        <f t="shared" si="32"/>
        <v>-1.6391892575863416</v>
      </c>
      <c r="G379" s="11">
        <f t="shared" si="33"/>
        <v>-1.7182462109605345</v>
      </c>
    </row>
    <row r="380" spans="5:7" x14ac:dyDescent="0.25">
      <c r="E380" s="11">
        <f t="shared" si="31"/>
        <v>68</v>
      </c>
      <c r="F380" s="11">
        <f t="shared" si="32"/>
        <v>-0.62810149578346142</v>
      </c>
      <c r="G380" s="11">
        <f t="shared" si="33"/>
        <v>-1.4802404178141799</v>
      </c>
    </row>
    <row r="381" spans="5:7" x14ac:dyDescent="0.25">
      <c r="E381" s="11">
        <f t="shared" si="31"/>
        <v>69</v>
      </c>
      <c r="F381" s="11">
        <f t="shared" si="32"/>
        <v>0.36158893714010532</v>
      </c>
      <c r="G381" s="11">
        <f t="shared" si="33"/>
        <v>-1.2489785572046341</v>
      </c>
    </row>
    <row r="382" spans="5:7" x14ac:dyDescent="0.25">
      <c r="E382" s="11">
        <f t="shared" si="31"/>
        <v>70</v>
      </c>
      <c r="F382" s="11">
        <f t="shared" si="32"/>
        <v>1.3217866193679058</v>
      </c>
      <c r="G382" s="11">
        <f t="shared" si="33"/>
        <v>-1.0244065224029626</v>
      </c>
    </row>
    <row r="383" spans="5:7" x14ac:dyDescent="0.25">
      <c r="E383" s="11">
        <f t="shared" si="31"/>
        <v>71</v>
      </c>
      <c r="F383" s="11">
        <f t="shared" si="32"/>
        <v>2.2443390192599253</v>
      </c>
      <c r="G383" s="11">
        <f t="shared" si="33"/>
        <v>-0.80647020668023028</v>
      </c>
    </row>
    <row r="384" spans="5:7" x14ac:dyDescent="0.25">
      <c r="E384" s="11">
        <f t="shared" si="31"/>
        <v>72</v>
      </c>
      <c r="F384" s="11">
        <f t="shared" si="32"/>
        <v>3.1211002216700976</v>
      </c>
      <c r="G384" s="11">
        <f t="shared" si="33"/>
        <v>-0.59511550330750262</v>
      </c>
    </row>
    <row r="385" spans="5:7" x14ac:dyDescent="0.25">
      <c r="E385" s="11">
        <f t="shared" si="31"/>
        <v>73</v>
      </c>
      <c r="F385" s="11">
        <f t="shared" si="32"/>
        <v>3.9440001932839337</v>
      </c>
      <c r="G385" s="11">
        <f t="shared" si="33"/>
        <v>-0.39028830555584504</v>
      </c>
    </row>
    <row r="386" spans="5:7" x14ac:dyDescent="0.25">
      <c r="E386" s="11">
        <f t="shared" si="31"/>
        <v>74</v>
      </c>
      <c r="F386" s="11">
        <f t="shared" si="32"/>
        <v>4.705119793034207</v>
      </c>
      <c r="G386" s="11">
        <f t="shared" si="33"/>
        <v>-0.19193450669632295</v>
      </c>
    </row>
    <row r="387" spans="5:7" x14ac:dyDescent="0.25">
      <c r="E387" s="11">
        <f t="shared" si="31"/>
        <v>75</v>
      </c>
      <c r="F387" s="11">
        <f t="shared" si="32"/>
        <v>5.396771736727132</v>
      </c>
      <c r="G387" s="11">
        <f t="shared" si="33"/>
        <v>0</v>
      </c>
    </row>
    <row r="388" spans="5:7" x14ac:dyDescent="0.25">
      <c r="E388" s="11">
        <f t="shared" si="31"/>
        <v>76</v>
      </c>
      <c r="F388" s="11">
        <f t="shared" si="32"/>
        <v>6.011587728090376</v>
      </c>
      <c r="G388" s="11">
        <f t="shared" si="33"/>
        <v>0.1855906138807312</v>
      </c>
    </row>
    <row r="389" spans="5:7" x14ac:dyDescent="0.25">
      <c r="E389" s="11">
        <f t="shared" si="31"/>
        <v>77</v>
      </c>
      <c r="F389" s="11">
        <f t="shared" si="32"/>
        <v>6.542611971528288</v>
      </c>
      <c r="G389" s="11">
        <f t="shared" si="33"/>
        <v>0.36499790476817601</v>
      </c>
    </row>
    <row r="390" spans="5:7" x14ac:dyDescent="0.25">
      <c r="E390" s="11">
        <f t="shared" si="31"/>
        <v>78</v>
      </c>
      <c r="F390" s="11">
        <f t="shared" si="32"/>
        <v>6.9834012849501619</v>
      </c>
      <c r="G390" s="11">
        <f t="shared" si="33"/>
        <v>0.53840373510331363</v>
      </c>
    </row>
    <row r="391" spans="5:7" x14ac:dyDescent="0.25">
      <c r="E391" s="11">
        <f t="shared" si="31"/>
        <v>79</v>
      </c>
      <c r="F391" s="11">
        <f t="shared" si="32"/>
        <v>7.3281320341133949</v>
      </c>
      <c r="G391" s="11">
        <f t="shared" si="33"/>
        <v>0.70598996732712282</v>
      </c>
    </row>
    <row r="392" spans="5:7" x14ac:dyDescent="0.25">
      <c r="E392" s="11">
        <f t="shared" si="31"/>
        <v>80</v>
      </c>
      <c r="F392" s="11">
        <f t="shared" si="32"/>
        <v>7.571714112997185</v>
      </c>
      <c r="G392" s="11">
        <f t="shared" si="33"/>
        <v>0.8679384638805826</v>
      </c>
    </row>
    <row r="393" spans="5:7" x14ac:dyDescent="0.25">
      <c r="E393" s="11">
        <f t="shared" si="31"/>
        <v>81</v>
      </c>
      <c r="F393" s="11">
        <f t="shared" si="32"/>
        <v>7.7099121978047265</v>
      </c>
      <c r="G393" s="11">
        <f t="shared" si="33"/>
        <v>1.0244310872046722</v>
      </c>
    </row>
    <row r="394" spans="5:7" x14ac:dyDescent="0.25">
      <c r="E394" s="11">
        <f t="shared" si="31"/>
        <v>82</v>
      </c>
      <c r="F394" s="11">
        <f t="shared" si="32"/>
        <v>7.7394745052654628</v>
      </c>
      <c r="G394" s="11">
        <f t="shared" si="33"/>
        <v>1.1756496997403705</v>
      </c>
    </row>
    <row r="395" spans="5:7" x14ac:dyDescent="0.25">
      <c r="E395" s="11">
        <f t="shared" si="31"/>
        <v>83</v>
      </c>
      <c r="F395" s="11">
        <f t="shared" si="32"/>
        <v>7.6582692889858492</v>
      </c>
      <c r="G395" s="11">
        <f t="shared" si="33"/>
        <v>1.3217761639286563</v>
      </c>
    </row>
    <row r="396" spans="5:7" x14ac:dyDescent="0.25">
      <c r="E396" s="11">
        <f t="shared" si="31"/>
        <v>84</v>
      </c>
      <c r="F396" s="11">
        <f t="shared" si="32"/>
        <v>7.4654293106760861</v>
      </c>
      <c r="G396" s="11">
        <f t="shared" si="33"/>
        <v>1.4629923422105091</v>
      </c>
    </row>
    <row r="397" spans="5:7" x14ac:dyDescent="0.25">
      <c r="E397" s="11">
        <f t="shared" si="31"/>
        <v>85</v>
      </c>
      <c r="F397" s="11">
        <f t="shared" si="32"/>
        <v>7.161504526154971</v>
      </c>
      <c r="G397" s="11">
        <f t="shared" si="33"/>
        <v>1.5994800970269076</v>
      </c>
    </row>
    <row r="398" spans="5:7" x14ac:dyDescent="0.25">
      <c r="E398" s="11">
        <f t="shared" si="31"/>
        <v>86</v>
      </c>
      <c r="F398" s="11">
        <f t="shared" si="32"/>
        <v>6.7486232291150543</v>
      </c>
      <c r="G398" s="11">
        <f t="shared" si="33"/>
        <v>1.7314212908188309</v>
      </c>
    </row>
    <row r="399" spans="5:7" x14ac:dyDescent="0.25">
      <c r="E399" s="11">
        <f t="shared" si="31"/>
        <v>87</v>
      </c>
      <c r="F399" s="11">
        <f t="shared" si="32"/>
        <v>6.230661898703346</v>
      </c>
      <c r="G399" s="11">
        <f t="shared" si="33"/>
        <v>1.8589977860272577</v>
      </c>
    </row>
    <row r="400" spans="5:7" x14ac:dyDescent="0.25">
      <c r="E400" s="11">
        <f t="shared" si="31"/>
        <v>88</v>
      </c>
      <c r="F400" s="11">
        <f t="shared" si="32"/>
        <v>5.6134240000534419</v>
      </c>
      <c r="G400" s="11">
        <f t="shared" si="33"/>
        <v>1.9823914450931674</v>
      </c>
    </row>
    <row r="401" spans="5:7" x14ac:dyDescent="0.25">
      <c r="E401" s="11">
        <f t="shared" si="31"/>
        <v>89</v>
      </c>
      <c r="F401" s="11">
        <f t="shared" si="32"/>
        <v>4.9048279899793101</v>
      </c>
      <c r="G401" s="11">
        <f t="shared" si="33"/>
        <v>2.1017841304575389</v>
      </c>
    </row>
    <row r="402" spans="5:7" x14ac:dyDescent="0.25">
      <c r="E402" s="11">
        <f t="shared" si="31"/>
        <v>90</v>
      </c>
      <c r="F402" s="11">
        <f t="shared" si="32"/>
        <v>4.115104783121069</v>
      </c>
      <c r="G402" s="11">
        <f t="shared" si="33"/>
        <v>2.2173577045613508</v>
      </c>
    </row>
    <row r="403" spans="5:7" x14ac:dyDescent="0.25">
      <c r="E403" s="11">
        <f t="shared" si="31"/>
        <v>91</v>
      </c>
      <c r="F403" s="11">
        <f t="shared" si="32"/>
        <v>3.2570049369044227</v>
      </c>
      <c r="G403" s="11">
        <f t="shared" si="33"/>
        <v>2.3292940298455829</v>
      </c>
    </row>
    <row r="404" spans="5:7" x14ac:dyDescent="0.25">
      <c r="E404" s="11">
        <f t="shared" si="31"/>
        <v>92</v>
      </c>
      <c r="F404" s="11">
        <f t="shared" si="32"/>
        <v>2.3460158167612235</v>
      </c>
      <c r="G404" s="11">
        <f t="shared" si="33"/>
        <v>2.437774968751214</v>
      </c>
    </row>
    <row r="405" spans="5:7" x14ac:dyDescent="0.25">
      <c r="E405" s="11">
        <f t="shared" si="31"/>
        <v>93</v>
      </c>
      <c r="F405" s="11">
        <f t="shared" si="32"/>
        <v>1.4005890061264381</v>
      </c>
      <c r="G405" s="11">
        <f t="shared" si="33"/>
        <v>2.5429823837192229</v>
      </c>
    </row>
    <row r="406" spans="5:7" x14ac:dyDescent="0.25">
      <c r="E406" s="11">
        <f t="shared" si="31"/>
        <v>94</v>
      </c>
      <c r="F406" s="11">
        <f t="shared" si="32"/>
        <v>0.44237822880808153</v>
      </c>
      <c r="G406" s="11">
        <f t="shared" si="33"/>
        <v>2.6450981371905882</v>
      </c>
    </row>
    <row r="407" spans="5:7" x14ac:dyDescent="0.25">
      <c r="E407" s="11">
        <f t="shared" si="31"/>
        <v>95</v>
      </c>
      <c r="F407" s="11">
        <f t="shared" si="32"/>
        <v>-0.5035119455919812</v>
      </c>
      <c r="G407" s="11">
        <f t="shared" si="33"/>
        <v>2.7443040916062893</v>
      </c>
    </row>
    <row r="408" spans="5:7" x14ac:dyDescent="0.25">
      <c r="E408" s="11">
        <f t="shared" si="31"/>
        <v>96</v>
      </c>
      <c r="F408" s="11">
        <f t="shared" si="32"/>
        <v>-1.4082663394622159</v>
      </c>
      <c r="G408" s="11">
        <f t="shared" si="33"/>
        <v>2.8407821094073058</v>
      </c>
    </row>
    <row r="409" spans="5:7" x14ac:dyDescent="0.25">
      <c r="E409" s="11">
        <f t="shared" si="31"/>
        <v>97</v>
      </c>
      <c r="F409" s="11">
        <f t="shared" si="32"/>
        <v>-2.2390880713381875</v>
      </c>
      <c r="G409" s="11">
        <f t="shared" si="33"/>
        <v>2.9347140530346154</v>
      </c>
    </row>
    <row r="410" spans="5:7" x14ac:dyDescent="0.25">
      <c r="E410" s="11">
        <f t="shared" si="31"/>
        <v>98</v>
      </c>
      <c r="F410" s="11">
        <f t="shared" si="32"/>
        <v>-2.9589158465313403</v>
      </c>
      <c r="G410" s="11">
        <f t="shared" si="33"/>
        <v>3.0262817849291981</v>
      </c>
    </row>
    <row r="411" spans="5:7" x14ac:dyDescent="0.25">
      <c r="E411" s="11">
        <f t="shared" si="31"/>
        <v>99</v>
      </c>
      <c r="F411" s="11">
        <f t="shared" si="32"/>
        <v>-3.526129351244208</v>
      </c>
      <c r="G411" s="11">
        <f t="shared" si="33"/>
        <v>3.1156671675320333</v>
      </c>
    </row>
    <row r="412" spans="5:7" x14ac:dyDescent="0.25">
      <c r="E412" s="11">
        <f t="shared" si="31"/>
        <v>100</v>
      </c>
      <c r="F412" s="11">
        <f t="shared" si="32"/>
        <v>-3.8942424641161324</v>
      </c>
      <c r="G412" s="11">
        <f t="shared" si="33"/>
        <v>3.2030520632840989</v>
      </c>
    </row>
    <row r="413" spans="5:7" x14ac:dyDescent="0.25">
      <c r="E413" s="11">
        <f t="shared" si="31"/>
        <v>101</v>
      </c>
      <c r="F413" s="11">
        <f t="shared" si="32"/>
        <v>-4.0115839960662925</v>
      </c>
      <c r="G413" s="11">
        <f t="shared" si="33"/>
        <v>3.2886183346263742</v>
      </c>
    </row>
    <row r="414" spans="5:7" x14ac:dyDescent="0.25">
      <c r="E414" s="11">
        <f t="shared" si="31"/>
        <v>102</v>
      </c>
      <c r="F414" s="11">
        <f t="shared" si="32"/>
        <v>-3.8209656662148745</v>
      </c>
      <c r="G414" s="11">
        <f t="shared" si="33"/>
        <v>3.3725478439998384</v>
      </c>
    </row>
    <row r="415" spans="5:7" x14ac:dyDescent="0.25">
      <c r="E415" s="11">
        <f t="shared" ref="E415:E422" si="34">E208</f>
        <v>103</v>
      </c>
      <c r="F415" s="11">
        <f t="shared" ref="F415:F422" si="35">$H$217*0+E415*$I$217+E415^2*$J$217+E415^3*$K$217+E415^4*$L$217+E415^5*$M$217+E415^6*$N$217+E415^7*$O$217+E415^8*$P$217</f>
        <v>-3.2593370186016273</v>
      </c>
      <c r="G415" s="11">
        <f t="shared" ref="G415:G422" si="36">F208</f>
        <v>3.455022453845471</v>
      </c>
    </row>
    <row r="416" spans="5:7" x14ac:dyDescent="0.25">
      <c r="E416" s="11">
        <f t="shared" si="34"/>
        <v>104</v>
      </c>
      <c r="F416" s="11">
        <f t="shared" si="35"/>
        <v>-2.2574269813246701</v>
      </c>
      <c r="G416" s="11">
        <f t="shared" si="36"/>
        <v>3.5362240266042502</v>
      </c>
    </row>
    <row r="417" spans="5:7" x14ac:dyDescent="0.25">
      <c r="E417" s="11">
        <f t="shared" si="34"/>
        <v>105</v>
      </c>
      <c r="F417" s="11">
        <f t="shared" si="35"/>
        <v>-0.73937176666936466</v>
      </c>
      <c r="G417" s="11">
        <f t="shared" si="36"/>
        <v>3.6163344247171554</v>
      </c>
    </row>
    <row r="418" spans="5:7" x14ac:dyDescent="0.25">
      <c r="E418" s="11">
        <f t="shared" si="34"/>
        <v>106</v>
      </c>
      <c r="F418" s="11">
        <f t="shared" si="35"/>
        <v>1.3776711923060247</v>
      </c>
      <c r="G418" s="11">
        <f t="shared" si="36"/>
        <v>3.6955355106251657</v>
      </c>
    </row>
    <row r="419" spans="5:7" x14ac:dyDescent="0.25">
      <c r="E419" s="11">
        <f t="shared" si="34"/>
        <v>107</v>
      </c>
      <c r="F419" s="11">
        <f t="shared" si="35"/>
        <v>4.1839235763193301</v>
      </c>
      <c r="G419" s="11">
        <f t="shared" si="36"/>
        <v>3.7740091467692598</v>
      </c>
    </row>
    <row r="420" spans="5:7" x14ac:dyDescent="0.25">
      <c r="E420" s="11">
        <f t="shared" si="34"/>
        <v>108</v>
      </c>
      <c r="F420" s="11">
        <f t="shared" si="35"/>
        <v>7.7774010962193643</v>
      </c>
      <c r="G420" s="11">
        <f t="shared" si="36"/>
        <v>3.8519371955904167</v>
      </c>
    </row>
    <row r="421" spans="5:7" x14ac:dyDescent="0.25">
      <c r="E421" s="11">
        <f t="shared" si="34"/>
        <v>109</v>
      </c>
      <c r="F421" s="11">
        <f t="shared" si="35"/>
        <v>12.26434330490747</v>
      </c>
      <c r="G421" s="11">
        <f t="shared" si="36"/>
        <v>3.9295015195296163</v>
      </c>
    </row>
    <row r="422" spans="5:7" x14ac:dyDescent="0.25">
      <c r="E422" s="11">
        <f t="shared" si="34"/>
        <v>110</v>
      </c>
      <c r="F422" s="11">
        <f t="shared" si="35"/>
        <v>17.759658621644348</v>
      </c>
      <c r="G422" s="11">
        <f t="shared" si="36"/>
        <v>4.0068839810278361</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3.8009999999999997E-5</v>
      </c>
      <c r="C3" s="2">
        <v>1.4990000000000001E-4</v>
      </c>
      <c r="D3" s="2">
        <v>-4.6210000000000001E-4</v>
      </c>
      <c r="E3" s="2">
        <v>0</v>
      </c>
      <c r="F3" s="2">
        <v>0</v>
      </c>
      <c r="G3" s="2">
        <v>0</v>
      </c>
      <c r="H3" s="2">
        <v>7.0572289999999994E-5</v>
      </c>
      <c r="I3" s="2">
        <v>1.5235524000000001E-5</v>
      </c>
      <c r="J3" s="2">
        <v>-1.9562213E-4</v>
      </c>
      <c r="K3" s="3"/>
      <c r="L3" s="3">
        <f>-B3/D3</f>
        <v>8.2254923176801553E-2</v>
      </c>
      <c r="M3" s="3"/>
      <c r="N3" s="2">
        <f>IF('Modell einstellen'!$B$1="Voll",H3/0.35,H3/0.35*2)</f>
        <v>2.0163511428571428E-4</v>
      </c>
      <c r="O3" s="2">
        <f>IF('Modell einstellen'!$B$1="Voll",J3/0.35,J3/0.35*2)</f>
        <v>-5.5892037142857146E-4</v>
      </c>
      <c r="P3" s="3">
        <f>-N3/O3</f>
        <v>0.36075821278502584</v>
      </c>
      <c r="Q3" s="3"/>
      <c r="R3" s="3"/>
      <c r="S3" s="3"/>
      <c r="T3" s="3"/>
      <c r="U3" s="3"/>
      <c r="V3" s="3"/>
      <c r="W3" s="3"/>
    </row>
    <row r="4" spans="1:23" x14ac:dyDescent="0.25">
      <c r="A4" s="2">
        <v>1E-14</v>
      </c>
      <c r="B4" s="2">
        <v>3.8000000000000002E-5</v>
      </c>
      <c r="C4" s="2">
        <v>1.4990000000000001E-4</v>
      </c>
      <c r="D4" s="2">
        <v>-4.6210000000000001E-4</v>
      </c>
      <c r="E4" s="2">
        <v>0</v>
      </c>
      <c r="F4" s="2">
        <v>0</v>
      </c>
      <c r="G4" s="2">
        <v>0</v>
      </c>
      <c r="H4" s="2">
        <v>7.0573720999999996E-5</v>
      </c>
      <c r="I4" s="2">
        <v>1.5236729E-5</v>
      </c>
      <c r="J4" s="2">
        <v>-1.9561843000000001E-4</v>
      </c>
      <c r="K4" s="3"/>
      <c r="L4" s="3">
        <f t="shared" ref="L4:L33" si="0">-B4/D4</f>
        <v>8.2233282839212288E-2</v>
      </c>
      <c r="M4" s="3"/>
      <c r="N4" s="2">
        <f>IF('Modell einstellen'!$B$1="Voll",H4/0.35,H4/0.35*2)</f>
        <v>2.0163920285714285E-4</v>
      </c>
      <c r="O4" s="2">
        <f>IF('Modell einstellen'!$B$1="Voll",J4/0.35,J4/0.35*2)</f>
        <v>-5.5890980000000007E-4</v>
      </c>
      <c r="P4" s="3">
        <f t="shared" ref="P4:P33" si="1">-N4/O4</f>
        <v>0.36077235156217125</v>
      </c>
      <c r="Q4" s="3"/>
      <c r="R4" s="3"/>
      <c r="S4" s="3"/>
      <c r="T4" s="3"/>
      <c r="U4" s="3"/>
      <c r="V4" s="3"/>
      <c r="W4" s="3"/>
    </row>
    <row r="5" spans="1:23" x14ac:dyDescent="0.25">
      <c r="A5" s="2">
        <v>1E-13</v>
      </c>
      <c r="B5" s="2">
        <v>3.8000000000000002E-5</v>
      </c>
      <c r="C5" s="2">
        <v>1.4990000000000001E-4</v>
      </c>
      <c r="D5" s="2">
        <v>-4.6210000000000001E-4</v>
      </c>
      <c r="E5" s="2">
        <v>0</v>
      </c>
      <c r="F5" s="2">
        <v>0</v>
      </c>
      <c r="G5" s="2">
        <v>0</v>
      </c>
      <c r="H5" s="2">
        <v>7.0574096999999998E-5</v>
      </c>
      <c r="I5" s="2">
        <v>1.5236904000000001E-5</v>
      </c>
      <c r="J5" s="2">
        <v>-1.9561943999999999E-4</v>
      </c>
      <c r="K5" s="3"/>
      <c r="L5" s="3">
        <f t="shared" si="0"/>
        <v>8.2233282839212288E-2</v>
      </c>
      <c r="M5" s="3"/>
      <c r="N5" s="2">
        <f>IF('Modell einstellen'!$B$1="Voll",H5/0.35,H5/0.35*2)</f>
        <v>2.0164027714285714E-4</v>
      </c>
      <c r="O5" s="2">
        <f>IF('Modell einstellen'!$B$1="Voll",J5/0.35,J5/0.35*2)</f>
        <v>-5.5891268571428576E-4</v>
      </c>
      <c r="P5" s="3">
        <f t="shared" si="1"/>
        <v>0.3607724109628368</v>
      </c>
      <c r="Q5" s="3"/>
      <c r="R5" s="3"/>
      <c r="S5" s="3"/>
      <c r="T5" s="3"/>
      <c r="U5" s="3"/>
      <c r="V5" s="3"/>
      <c r="W5" s="3"/>
    </row>
    <row r="6" spans="1:23" x14ac:dyDescent="0.25">
      <c r="A6" s="2">
        <v>9.9999999999999998E-13</v>
      </c>
      <c r="B6" s="2">
        <v>3.8000000000000002E-5</v>
      </c>
      <c r="C6" s="2">
        <v>1.4990000000000001E-4</v>
      </c>
      <c r="D6" s="2">
        <v>-4.6210000000000001E-4</v>
      </c>
      <c r="E6" s="2">
        <v>0</v>
      </c>
      <c r="F6" s="2">
        <v>0</v>
      </c>
      <c r="G6" s="2">
        <v>0</v>
      </c>
      <c r="H6" s="2">
        <v>7.0574212999999995E-5</v>
      </c>
      <c r="I6" s="2">
        <v>1.5236953E-5</v>
      </c>
      <c r="J6" s="2">
        <v>-1.9561974000000001E-4</v>
      </c>
      <c r="K6" s="3"/>
      <c r="L6" s="3">
        <f t="shared" si="0"/>
        <v>8.2233282839212288E-2</v>
      </c>
      <c r="M6" s="3"/>
      <c r="N6" s="2">
        <f>IF('Modell einstellen'!$B$1="Voll",H6/0.35,H6/0.35*2)</f>
        <v>2.0164060857142858E-4</v>
      </c>
      <c r="O6" s="2">
        <f>IF('Modell einstellen'!$B$1="Voll",J6/0.35,J6/0.35*2)</f>
        <v>-5.5891354285714288E-4</v>
      </c>
      <c r="P6" s="3">
        <f t="shared" si="1"/>
        <v>0.36077245067394526</v>
      </c>
      <c r="Q6" s="3"/>
      <c r="R6" s="3"/>
      <c r="S6" s="3"/>
      <c r="T6" s="3"/>
      <c r="U6" s="3"/>
      <c r="V6" s="3"/>
      <c r="W6" s="3"/>
    </row>
    <row r="7" spans="1:23" x14ac:dyDescent="0.25">
      <c r="A7" s="2">
        <v>9.9999999999999994E-12</v>
      </c>
      <c r="B7" s="2">
        <v>3.8000000000000002E-5</v>
      </c>
      <c r="C7" s="2">
        <v>1.4990000000000001E-4</v>
      </c>
      <c r="D7" s="2">
        <v>-4.6210000000000001E-4</v>
      </c>
      <c r="E7" s="2">
        <v>0</v>
      </c>
      <c r="F7" s="2">
        <v>0</v>
      </c>
      <c r="G7" s="2">
        <v>0</v>
      </c>
      <c r="H7" s="2">
        <v>7.0574252000000002E-5</v>
      </c>
      <c r="I7" s="2">
        <v>1.5236967E-5</v>
      </c>
      <c r="J7" s="2">
        <v>-1.9561983E-4</v>
      </c>
      <c r="K7" s="3"/>
      <c r="L7" s="3">
        <f t="shared" si="0"/>
        <v>8.2233282839212288E-2</v>
      </c>
      <c r="M7" s="3"/>
      <c r="N7" s="2">
        <f>IF('Modell einstellen'!$B$1="Voll",H7/0.35,H7/0.35*2)</f>
        <v>2.0164072000000002E-4</v>
      </c>
      <c r="O7" s="2">
        <f>IF('Modell einstellen'!$B$1="Voll",J7/0.35,J7/0.35*2)</f>
        <v>-5.5891380000000002E-4</v>
      </c>
      <c r="P7" s="3">
        <f t="shared" si="1"/>
        <v>0.36077248405747009</v>
      </c>
      <c r="Q7" s="3"/>
      <c r="R7" s="3"/>
      <c r="S7" s="3"/>
      <c r="T7" s="3"/>
      <c r="U7" s="3"/>
      <c r="V7" s="3"/>
      <c r="W7" s="3"/>
    </row>
    <row r="8" spans="1:23" x14ac:dyDescent="0.25">
      <c r="A8" s="2">
        <v>1E-10</v>
      </c>
      <c r="B8" s="2">
        <v>3.8000000000000002E-5</v>
      </c>
      <c r="C8" s="2">
        <v>1.4990000000000001E-4</v>
      </c>
      <c r="D8" s="2">
        <v>-4.6210000000000001E-4</v>
      </c>
      <c r="E8" s="2">
        <v>0</v>
      </c>
      <c r="F8" s="2">
        <v>0</v>
      </c>
      <c r="G8" s="2">
        <v>0</v>
      </c>
      <c r="H8" s="2">
        <v>7.0574265000000004E-5</v>
      </c>
      <c r="I8" s="2">
        <v>1.5236972E-5</v>
      </c>
      <c r="J8" s="2">
        <v>-1.9561985999999999E-4</v>
      </c>
      <c r="K8" s="3"/>
      <c r="L8" s="3">
        <f t="shared" si="0"/>
        <v>8.2233282839212288E-2</v>
      </c>
      <c r="M8" s="3"/>
      <c r="N8" s="2">
        <f>IF('Modell einstellen'!$B$1="Voll",H8/0.35,H8/0.35*2)</f>
        <v>2.0164075714285717E-4</v>
      </c>
      <c r="O8" s="2">
        <f>IF('Modell einstellen'!$B$1="Voll",J8/0.35,J8/0.35*2)</f>
        <v>-5.5891388571428573E-4</v>
      </c>
      <c r="P8" s="3">
        <f t="shared" si="1"/>
        <v>0.36077249518530485</v>
      </c>
      <c r="Q8" s="3"/>
      <c r="R8" s="3"/>
      <c r="S8" s="3"/>
      <c r="T8" s="3"/>
      <c r="U8" s="3"/>
      <c r="V8" s="3"/>
      <c r="W8" s="3"/>
    </row>
    <row r="9" spans="1:23" x14ac:dyDescent="0.25">
      <c r="A9" s="2">
        <v>1.0000000000000001E-9</v>
      </c>
      <c r="B9" s="2">
        <v>3.8000000000000002E-5</v>
      </c>
      <c r="C9" s="2">
        <v>1.4990000000000001E-4</v>
      </c>
      <c r="D9" s="2">
        <v>-4.6210000000000001E-4</v>
      </c>
      <c r="E9" s="2">
        <v>0</v>
      </c>
      <c r="F9" s="2">
        <v>0</v>
      </c>
      <c r="G9" s="2">
        <v>0</v>
      </c>
      <c r="H9" s="2">
        <v>7.0574269000000001E-5</v>
      </c>
      <c r="I9" s="2">
        <v>1.5236972999999999E-5</v>
      </c>
      <c r="J9" s="2">
        <v>-1.9561987000000001E-4</v>
      </c>
      <c r="K9" s="3"/>
      <c r="L9" s="3">
        <f t="shared" si="0"/>
        <v>8.2233282839212288E-2</v>
      </c>
      <c r="M9" s="3"/>
      <c r="N9" s="2">
        <f>IF('Modell einstellen'!$B$1="Voll",H9/0.35,H9/0.35*2)</f>
        <v>2.0164076857142859E-4</v>
      </c>
      <c r="O9" s="2">
        <f>IF('Modell einstellen'!$B$1="Voll",J9/0.35,J9/0.35*2)</f>
        <v>-5.5891391428571438E-4</v>
      </c>
      <c r="P9" s="3">
        <f t="shared" si="1"/>
        <v>0.36077249719059723</v>
      </c>
      <c r="Q9" s="3"/>
      <c r="R9" s="3"/>
      <c r="S9" s="3"/>
      <c r="T9" s="3"/>
      <c r="U9" s="3"/>
      <c r="V9" s="3"/>
      <c r="W9" s="3"/>
    </row>
    <row r="10" spans="1:23" x14ac:dyDescent="0.25">
      <c r="A10" s="2">
        <v>1E-8</v>
      </c>
      <c r="B10" s="2">
        <v>3.8000000000000002E-5</v>
      </c>
      <c r="C10" s="2">
        <v>1.4990000000000001E-4</v>
      </c>
      <c r="D10" s="2">
        <v>-4.6210000000000001E-4</v>
      </c>
      <c r="E10" s="2">
        <v>0</v>
      </c>
      <c r="F10" s="2">
        <v>0</v>
      </c>
      <c r="G10" s="2">
        <v>0</v>
      </c>
      <c r="H10" s="2">
        <v>7.0574270999999993E-5</v>
      </c>
      <c r="I10" s="2">
        <v>1.5236974000000001E-5</v>
      </c>
      <c r="J10" s="2">
        <v>-1.9561987000000001E-4</v>
      </c>
      <c r="K10" s="3"/>
      <c r="L10" s="3">
        <f t="shared" si="0"/>
        <v>8.2233282839212288E-2</v>
      </c>
      <c r="M10" s="3"/>
      <c r="N10" s="2">
        <f>IF('Modell einstellen'!$B$1="Voll",H10/0.35,H10/0.35*2)</f>
        <v>2.0164077428571427E-4</v>
      </c>
      <c r="O10" s="2">
        <f>IF('Modell einstellen'!$B$1="Voll",J10/0.35,J10/0.35*2)</f>
        <v>-5.5891391428571438E-4</v>
      </c>
      <c r="P10" s="3">
        <f t="shared" si="1"/>
        <v>0.36077250741450745</v>
      </c>
      <c r="Q10" s="3"/>
      <c r="R10" s="3"/>
      <c r="S10" s="3"/>
      <c r="T10" s="3"/>
      <c r="U10" s="3"/>
      <c r="V10" s="3"/>
      <c r="W10" s="3"/>
    </row>
    <row r="11" spans="1:23" x14ac:dyDescent="0.25">
      <c r="A11" s="2">
        <v>9.9999999999999995E-8</v>
      </c>
      <c r="B11" s="2">
        <v>3.8000000000000002E-5</v>
      </c>
      <c r="C11" s="2">
        <v>1.4990000000000001E-4</v>
      </c>
      <c r="D11" s="2">
        <v>-4.6210000000000001E-4</v>
      </c>
      <c r="E11" s="2">
        <v>0</v>
      </c>
      <c r="F11" s="2">
        <v>0</v>
      </c>
      <c r="G11" s="2">
        <v>0</v>
      </c>
      <c r="H11" s="2">
        <v>7.0574270999999993E-5</v>
      </c>
      <c r="I11" s="2">
        <v>1.5236974000000001E-5</v>
      </c>
      <c r="J11" s="2">
        <v>-1.9561987000000001E-4</v>
      </c>
      <c r="K11" s="3"/>
      <c r="L11" s="3">
        <f t="shared" si="0"/>
        <v>8.2233282839212288E-2</v>
      </c>
      <c r="M11" s="3"/>
      <c r="N11" s="2">
        <f>IF('Modell einstellen'!$B$1="Voll",H11/0.35,H11/0.35*2)</f>
        <v>2.0164077428571427E-4</v>
      </c>
      <c r="O11" s="2">
        <f>IF('Modell einstellen'!$B$1="Voll",J11/0.35,J11/0.35*2)</f>
        <v>-5.5891391428571438E-4</v>
      </c>
      <c r="P11" s="3">
        <f t="shared" si="1"/>
        <v>0.36077250741450745</v>
      </c>
      <c r="Q11" s="3"/>
      <c r="R11" s="3"/>
      <c r="S11" s="3"/>
      <c r="T11" s="3"/>
      <c r="U11" s="3"/>
      <c r="V11" s="3"/>
      <c r="W11" s="3"/>
    </row>
    <row r="12" spans="1:23" x14ac:dyDescent="0.25">
      <c r="A12" s="2">
        <v>9.9999999999999995E-7</v>
      </c>
      <c r="B12" s="2">
        <v>3.8000000000000002E-5</v>
      </c>
      <c r="C12" s="2">
        <v>1.4990000000000001E-4</v>
      </c>
      <c r="D12" s="2">
        <v>-4.6210000000000001E-4</v>
      </c>
      <c r="E12" s="2">
        <v>0</v>
      </c>
      <c r="F12" s="2">
        <v>0</v>
      </c>
      <c r="G12" s="2">
        <v>0</v>
      </c>
      <c r="H12" s="2">
        <v>7.0574270999999993E-5</v>
      </c>
      <c r="I12" s="2">
        <v>1.5236974000000001E-5</v>
      </c>
      <c r="J12" s="2">
        <v>-1.9561987000000001E-4</v>
      </c>
      <c r="K12" s="3"/>
      <c r="L12" s="3">
        <f t="shared" si="0"/>
        <v>8.2233282839212288E-2</v>
      </c>
      <c r="M12" s="3"/>
      <c r="N12" s="2">
        <f>IF('Modell einstellen'!$B$1="Voll",H12/0.35,H12/0.35*2)</f>
        <v>2.0164077428571427E-4</v>
      </c>
      <c r="O12" s="2">
        <f>IF('Modell einstellen'!$B$1="Voll",J12/0.35,J12/0.35*2)</f>
        <v>-5.5891391428571438E-4</v>
      </c>
      <c r="P12" s="3">
        <f t="shared" si="1"/>
        <v>0.36077250741450745</v>
      </c>
      <c r="Q12" s="3"/>
      <c r="R12" s="3"/>
      <c r="S12" s="3"/>
      <c r="T12" s="3"/>
      <c r="U12" s="3"/>
      <c r="V12" s="3"/>
      <c r="W12" s="3"/>
    </row>
    <row r="13" spans="1:23" x14ac:dyDescent="0.25">
      <c r="A13" s="2">
        <v>1.0000000000000001E-5</v>
      </c>
      <c r="B13" s="2">
        <v>3.8000000000000002E-5</v>
      </c>
      <c r="C13" s="2">
        <v>1.4990000000000001E-4</v>
      </c>
      <c r="D13" s="2">
        <v>-4.6210000000000001E-4</v>
      </c>
      <c r="E13" s="2">
        <v>0</v>
      </c>
      <c r="F13" s="2">
        <v>0</v>
      </c>
      <c r="G13" s="2">
        <v>0</v>
      </c>
      <c r="H13" s="2">
        <v>7.0574272000000003E-5</v>
      </c>
      <c r="I13" s="2">
        <v>1.5236974000000001E-5</v>
      </c>
      <c r="J13" s="2">
        <v>-1.9561987000000001E-4</v>
      </c>
      <c r="K13" s="3"/>
      <c r="L13" s="3">
        <f t="shared" si="0"/>
        <v>8.2233282839212288E-2</v>
      </c>
      <c r="M13" s="3"/>
      <c r="N13" s="2">
        <f>IF('Modell einstellen'!$B$1="Voll",H13/0.35,H13/0.35*2)</f>
        <v>2.0164077714285717E-4</v>
      </c>
      <c r="O13" s="2">
        <f>IF('Modell einstellen'!$B$1="Voll",J13/0.35,J13/0.35*2)</f>
        <v>-5.5891391428571438E-4</v>
      </c>
      <c r="P13" s="3">
        <f t="shared" si="1"/>
        <v>0.3607725125264627</v>
      </c>
      <c r="Q13" s="3"/>
      <c r="R13" s="3"/>
      <c r="S13" s="3"/>
      <c r="T13" s="3"/>
      <c r="U13" s="3"/>
      <c r="V13" s="3"/>
      <c r="W13" s="3"/>
    </row>
    <row r="14" spans="1:23" x14ac:dyDescent="0.25">
      <c r="A14" s="2">
        <v>1E-4</v>
      </c>
      <c r="B14" s="2">
        <v>3.8000000000000002E-5</v>
      </c>
      <c r="C14" s="2">
        <v>1.4990000000000001E-4</v>
      </c>
      <c r="D14" s="2">
        <v>-4.6210000000000001E-4</v>
      </c>
      <c r="E14" s="2">
        <v>0</v>
      </c>
      <c r="F14" s="2">
        <v>0</v>
      </c>
      <c r="G14" s="2">
        <v>0</v>
      </c>
      <c r="H14" s="2">
        <v>7.0574272999999999E-5</v>
      </c>
      <c r="I14" s="2">
        <v>1.5236974000000001E-5</v>
      </c>
      <c r="J14" s="2">
        <v>-1.9561987999999999E-4</v>
      </c>
      <c r="K14" s="3"/>
      <c r="L14" s="3">
        <f t="shared" si="0"/>
        <v>8.2233282839212288E-2</v>
      </c>
      <c r="M14" s="3"/>
      <c r="N14" s="2">
        <f>IF('Modell einstellen'!$B$1="Voll",H14/0.35,H14/0.35*2)</f>
        <v>2.0164078E-4</v>
      </c>
      <c r="O14" s="2">
        <f>IF('Modell einstellen'!$B$1="Voll",J14/0.35,J14/0.35*2)</f>
        <v>-5.5891394285714291E-4</v>
      </c>
      <c r="P14" s="3">
        <f t="shared" si="1"/>
        <v>0.36077249919588944</v>
      </c>
      <c r="Q14" s="3"/>
      <c r="R14" s="3"/>
      <c r="S14" s="3"/>
      <c r="T14" s="3"/>
      <c r="U14" s="3"/>
      <c r="V14" s="3"/>
      <c r="W14" s="3"/>
    </row>
    <row r="15" spans="1:23" x14ac:dyDescent="0.25">
      <c r="A15" s="2">
        <v>1E-3</v>
      </c>
      <c r="B15" s="2">
        <v>3.8000000000000002E-5</v>
      </c>
      <c r="C15" s="2">
        <v>1.4990000000000001E-4</v>
      </c>
      <c r="D15" s="2">
        <v>-4.6210000000000001E-4</v>
      </c>
      <c r="E15" s="2">
        <v>0</v>
      </c>
      <c r="F15" s="2">
        <v>0</v>
      </c>
      <c r="G15" s="2">
        <v>0</v>
      </c>
      <c r="H15" s="2">
        <v>7.0574283999999996E-5</v>
      </c>
      <c r="I15" s="2">
        <v>1.5236975999999999E-5</v>
      </c>
      <c r="J15" s="2">
        <v>-1.9561989000000001E-4</v>
      </c>
      <c r="K15" s="3"/>
      <c r="L15" s="3">
        <f t="shared" si="0"/>
        <v>8.2233282839212288E-2</v>
      </c>
      <c r="M15" s="3"/>
      <c r="N15" s="2">
        <f>IF('Modell einstellen'!$B$1="Voll",H15/0.35,H15/0.35*2)</f>
        <v>2.0164081142857142E-4</v>
      </c>
      <c r="O15" s="2">
        <f>IF('Modell einstellen'!$B$1="Voll",J15/0.35,J15/0.35*2)</f>
        <v>-5.5891397142857145E-4</v>
      </c>
      <c r="P15" s="3">
        <f t="shared" si="1"/>
        <v>0.36077253698486383</v>
      </c>
      <c r="Q15" s="3"/>
      <c r="R15" s="3"/>
      <c r="S15" s="3"/>
      <c r="T15" s="3"/>
      <c r="U15" s="3"/>
      <c r="V15" s="3"/>
      <c r="W15" s="3"/>
    </row>
    <row r="16" spans="1:23" x14ac:dyDescent="0.25">
      <c r="A16" s="2">
        <v>0.01</v>
      </c>
      <c r="B16" s="2">
        <v>3.8000000000000002E-5</v>
      </c>
      <c r="C16" s="2">
        <v>1.4990000000000001E-4</v>
      </c>
      <c r="D16" s="2">
        <v>-4.6210000000000001E-4</v>
      </c>
      <c r="E16" s="2">
        <v>0</v>
      </c>
      <c r="F16" s="2">
        <v>0</v>
      </c>
      <c r="G16" s="2">
        <v>0</v>
      </c>
      <c r="H16" s="2">
        <v>7.0574398999999997E-5</v>
      </c>
      <c r="I16" s="2">
        <v>1.5236988E-5</v>
      </c>
      <c r="J16" s="2">
        <v>-1.9562006999999999E-4</v>
      </c>
      <c r="K16" s="3"/>
      <c r="L16" s="3">
        <f t="shared" si="0"/>
        <v>8.2233282839212288E-2</v>
      </c>
      <c r="M16" s="3"/>
      <c r="N16" s="2">
        <f>IF('Modell einstellen'!$B$1="Voll",H16/0.35,H16/0.35*2)</f>
        <v>2.0164114E-4</v>
      </c>
      <c r="O16" s="2">
        <f>IF('Modell einstellen'!$B$1="Voll",J16/0.35,J16/0.35*2)</f>
        <v>-5.5891448571428572E-4</v>
      </c>
      <c r="P16" s="3">
        <f t="shared" si="1"/>
        <v>0.36077279289389885</v>
      </c>
      <c r="Q16" s="3"/>
      <c r="R16" s="3"/>
      <c r="S16" s="3"/>
      <c r="T16" s="3"/>
      <c r="U16" s="3"/>
      <c r="V16" s="3"/>
      <c r="W16" s="3"/>
    </row>
    <row r="17" spans="1:23" x14ac:dyDescent="0.25">
      <c r="A17" s="2">
        <v>0.1</v>
      </c>
      <c r="B17" s="2">
        <v>3.8000000000000002E-5</v>
      </c>
      <c r="C17" s="2">
        <v>1.4990000000000001E-4</v>
      </c>
      <c r="D17" s="2">
        <v>-4.6210000000000001E-4</v>
      </c>
      <c r="E17" s="2">
        <v>0</v>
      </c>
      <c r="F17" s="2">
        <v>0</v>
      </c>
      <c r="G17" s="2">
        <v>0</v>
      </c>
      <c r="H17" s="2">
        <v>7.0575541999999997E-5</v>
      </c>
      <c r="I17" s="2">
        <v>1.5237115E-5</v>
      </c>
      <c r="J17" s="2">
        <v>-1.9562188E-4</v>
      </c>
      <c r="K17" s="3"/>
      <c r="L17" s="3">
        <f t="shared" si="0"/>
        <v>8.2233282839212288E-2</v>
      </c>
      <c r="M17" s="3"/>
      <c r="N17" s="2">
        <f>IF('Modell einstellen'!$B$1="Voll",H17/0.35,H17/0.35*2)</f>
        <v>2.0164440571428572E-4</v>
      </c>
      <c r="O17" s="2">
        <f>IF('Modell einstellen'!$B$1="Voll",J17/0.35,J17/0.35*2)</f>
        <v>-5.5891965714285712E-4</v>
      </c>
      <c r="P17" s="3">
        <f t="shared" si="1"/>
        <v>0.36077529773254408</v>
      </c>
      <c r="Q17" s="3"/>
      <c r="R17" s="3"/>
      <c r="S17" s="3"/>
      <c r="T17" s="3"/>
      <c r="U17" s="3"/>
      <c r="V17" s="3"/>
      <c r="W17" s="3"/>
    </row>
    <row r="18" spans="1:23" x14ac:dyDescent="0.25">
      <c r="A18" s="2">
        <v>1</v>
      </c>
      <c r="B18" s="2">
        <v>3.799E-5</v>
      </c>
      <c r="C18" s="2">
        <v>1.4990000000000001E-4</v>
      </c>
      <c r="D18" s="2">
        <v>-4.6220000000000001E-4</v>
      </c>
      <c r="E18" s="2">
        <v>0</v>
      </c>
      <c r="F18" s="2">
        <v>0</v>
      </c>
      <c r="G18" s="2">
        <v>0</v>
      </c>
      <c r="H18" s="2">
        <v>7.0586947999999998E-5</v>
      </c>
      <c r="I18" s="2">
        <v>1.523838E-5</v>
      </c>
      <c r="J18" s="2">
        <v>-1.9563986000000001E-4</v>
      </c>
      <c r="K18" s="3"/>
      <c r="L18" s="3">
        <f t="shared" si="0"/>
        <v>8.2193855473820854E-2</v>
      </c>
      <c r="M18" s="3"/>
      <c r="N18" s="2">
        <f>IF('Modell einstellen'!$B$1="Voll",H18/0.35,H18/0.35*2)</f>
        <v>2.0167699428571428E-4</v>
      </c>
      <c r="O18" s="2">
        <f>IF('Modell einstellen'!$B$1="Voll",J18/0.35,J18/0.35*2)</f>
        <v>-5.5897102857142866E-4</v>
      </c>
      <c r="P18" s="3">
        <f t="shared" si="1"/>
        <v>0.36080044220027546</v>
      </c>
      <c r="Q18" s="3"/>
      <c r="R18" s="3"/>
      <c r="S18" s="3"/>
      <c r="T18" s="3"/>
      <c r="U18" s="3"/>
      <c r="V18" s="3"/>
      <c r="W18" s="3"/>
    </row>
    <row r="19" spans="1:23" x14ac:dyDescent="0.25">
      <c r="A19" s="2">
        <v>10</v>
      </c>
      <c r="B19" s="2">
        <v>3.786E-5</v>
      </c>
      <c r="C19" s="2">
        <v>1.4999999999999999E-4</v>
      </c>
      <c r="D19" s="2">
        <v>-4.6220000000000001E-4</v>
      </c>
      <c r="E19" s="2">
        <v>0</v>
      </c>
      <c r="F19" s="2">
        <v>0</v>
      </c>
      <c r="G19" s="2">
        <v>0</v>
      </c>
      <c r="H19" s="2">
        <v>7.0698582999999994E-5</v>
      </c>
      <c r="I19" s="2">
        <v>1.5250763E-5</v>
      </c>
      <c r="J19" s="2">
        <v>-1.9581582000000001E-4</v>
      </c>
      <c r="K19" s="3"/>
      <c r="L19" s="3">
        <f t="shared" si="0"/>
        <v>8.1912591951536134E-2</v>
      </c>
      <c r="M19" s="3"/>
      <c r="N19" s="2">
        <f>IF('Modell einstellen'!$B$1="Voll",H19/0.35,H19/0.35*2)</f>
        <v>2.0199595142857143E-4</v>
      </c>
      <c r="O19" s="2">
        <f>IF('Modell einstellen'!$B$1="Voll",J19/0.35,J19/0.35*2)</f>
        <v>-5.5947377142857152E-4</v>
      </c>
      <c r="P19" s="3">
        <f t="shared" si="1"/>
        <v>0.36104632914746104</v>
      </c>
      <c r="Q19" s="3"/>
      <c r="R19" s="3"/>
      <c r="S19" s="3"/>
      <c r="T19" s="3"/>
      <c r="U19" s="3"/>
      <c r="V19" s="3"/>
      <c r="W19" s="3"/>
    </row>
    <row r="20" spans="1:23" x14ac:dyDescent="0.25">
      <c r="A20" s="2">
        <v>100</v>
      </c>
      <c r="B20" s="2">
        <v>3.6820000000000003E-5</v>
      </c>
      <c r="C20" s="2">
        <v>1.5090000000000001E-4</v>
      </c>
      <c r="D20" s="2">
        <v>-4.6289999999999998E-4</v>
      </c>
      <c r="E20" s="2">
        <v>0</v>
      </c>
      <c r="F20" s="2">
        <v>0</v>
      </c>
      <c r="G20" s="2">
        <v>0</v>
      </c>
      <c r="H20" s="2">
        <v>7.1605658000000003E-5</v>
      </c>
      <c r="I20" s="2">
        <v>1.5351167999999999E-5</v>
      </c>
      <c r="J20" s="2">
        <v>-1.9724388999999999E-4</v>
      </c>
      <c r="K20" s="3"/>
      <c r="L20" s="3">
        <f t="shared" si="0"/>
        <v>7.9542017714409177E-2</v>
      </c>
      <c r="M20" s="3"/>
      <c r="N20" s="2">
        <f>IF('Modell einstellen'!$B$1="Voll",H20/0.35,H20/0.35*2)</f>
        <v>2.0458759428571431E-4</v>
      </c>
      <c r="O20" s="2">
        <f>IF('Modell einstellen'!$B$1="Voll",J20/0.35,J20/0.35*2)</f>
        <v>-5.6355397142857143E-4</v>
      </c>
      <c r="P20" s="3">
        <f t="shared" si="1"/>
        <v>0.36303105764137994</v>
      </c>
      <c r="Q20" s="3"/>
      <c r="R20" s="3"/>
      <c r="S20" s="3"/>
      <c r="T20" s="3"/>
      <c r="U20" s="3"/>
      <c r="V20" s="3"/>
      <c r="W20" s="3"/>
    </row>
    <row r="21" spans="1:23" x14ac:dyDescent="0.25">
      <c r="A21" s="2">
        <v>1000</v>
      </c>
      <c r="B21" s="2">
        <v>3.4539999999999998E-5</v>
      </c>
      <c r="C21" s="2">
        <v>1.5359999999999999E-4</v>
      </c>
      <c r="D21" s="2">
        <v>-4.6529999999999998E-4</v>
      </c>
      <c r="E21" s="2">
        <v>0</v>
      </c>
      <c r="F21" s="2">
        <v>0</v>
      </c>
      <c r="G21" s="2">
        <v>0</v>
      </c>
      <c r="H21" s="2">
        <v>7.4043992000000003E-5</v>
      </c>
      <c r="I21" s="2">
        <v>1.5652086E-5</v>
      </c>
      <c r="J21" s="2">
        <v>-2.011618E-4</v>
      </c>
      <c r="K21" s="3"/>
      <c r="L21" s="3">
        <f t="shared" si="0"/>
        <v>7.4231678486997632E-2</v>
      </c>
      <c r="M21" s="3"/>
      <c r="N21" s="2">
        <f>IF('Modell einstellen'!$B$1="Voll",H21/0.35,H21/0.35*2)</f>
        <v>2.1155426285714287E-4</v>
      </c>
      <c r="O21" s="2">
        <f>IF('Modell einstellen'!$B$1="Voll",J21/0.35,J21/0.35*2)</f>
        <v>-5.7474800000000003E-4</v>
      </c>
      <c r="P21" s="3">
        <f t="shared" si="1"/>
        <v>0.36808177298075478</v>
      </c>
      <c r="Q21" s="3"/>
      <c r="R21" s="3"/>
      <c r="S21" s="3"/>
      <c r="T21" s="3"/>
      <c r="U21" s="3"/>
      <c r="V21" s="3"/>
      <c r="W21" s="3"/>
    </row>
    <row r="22" spans="1:23" x14ac:dyDescent="0.25">
      <c r="A22" s="2">
        <v>10000</v>
      </c>
      <c r="B22" s="2">
        <v>3.222E-5</v>
      </c>
      <c r="C22" s="2">
        <v>1.5689999999999999E-4</v>
      </c>
      <c r="D22" s="2">
        <v>-4.682E-4</v>
      </c>
      <c r="E22" s="2">
        <v>0</v>
      </c>
      <c r="F22" s="2">
        <v>0</v>
      </c>
      <c r="G22" s="2">
        <v>0</v>
      </c>
      <c r="H22" s="2">
        <v>7.6758646000000007E-5</v>
      </c>
      <c r="I22" s="2">
        <v>1.6019991000000001E-5</v>
      </c>
      <c r="J22" s="2">
        <v>-2.0558295E-4</v>
      </c>
      <c r="K22" s="3"/>
      <c r="L22" s="3">
        <f t="shared" si="0"/>
        <v>6.8816744980777445E-2</v>
      </c>
      <c r="M22" s="3"/>
      <c r="N22" s="2">
        <f>IF('Modell einstellen'!$B$1="Voll",H22/0.35,H22/0.35*2)</f>
        <v>2.1931041714285719E-4</v>
      </c>
      <c r="O22" s="2">
        <f>IF('Modell einstellen'!$B$1="Voll",J22/0.35,J22/0.35*2)</f>
        <v>-5.8737985714285719E-4</v>
      </c>
      <c r="P22" s="3">
        <f t="shared" si="1"/>
        <v>0.37337068078846036</v>
      </c>
      <c r="Q22" s="3"/>
      <c r="R22" s="3"/>
      <c r="S22" s="3"/>
      <c r="T22" s="3"/>
      <c r="U22" s="3"/>
      <c r="V22" s="3"/>
      <c r="W22" s="3"/>
    </row>
    <row r="23" spans="1:23" x14ac:dyDescent="0.25">
      <c r="A23" s="2">
        <v>100000</v>
      </c>
      <c r="B23" s="2">
        <v>3.3930000000000002E-5</v>
      </c>
      <c r="C23" s="2">
        <v>1.652E-4</v>
      </c>
      <c r="D23" s="2">
        <v>-4.7919999999999999E-4</v>
      </c>
      <c r="E23" s="2">
        <v>0</v>
      </c>
      <c r="F23" s="2">
        <v>0</v>
      </c>
      <c r="G23" s="2">
        <v>0</v>
      </c>
      <c r="H23" s="2">
        <v>8.0551175999999996E-5</v>
      </c>
      <c r="I23" s="2">
        <v>1.6932984000000002E-5</v>
      </c>
      <c r="J23" s="2">
        <v>-2.1281621E-4</v>
      </c>
      <c r="K23" s="3"/>
      <c r="L23" s="3">
        <f t="shared" si="0"/>
        <v>7.0805509181969956E-2</v>
      </c>
      <c r="M23" s="3"/>
      <c r="N23" s="2">
        <f>IF('Modell einstellen'!$B$1="Voll",H23/0.35,H23/0.35*2)</f>
        <v>2.3014621714285714E-4</v>
      </c>
      <c r="O23" s="2">
        <f>IF('Modell einstellen'!$B$1="Voll",J23/0.35,J23/0.35*2)</f>
        <v>-6.0804631428571431E-4</v>
      </c>
      <c r="P23" s="3">
        <f t="shared" si="1"/>
        <v>0.3785011301535724</v>
      </c>
      <c r="Q23" s="3"/>
      <c r="R23" s="3"/>
      <c r="S23" s="3"/>
      <c r="T23" s="3"/>
      <c r="U23" s="3"/>
      <c r="V23" s="3"/>
      <c r="W23" s="3"/>
    </row>
    <row r="24" spans="1:23" x14ac:dyDescent="0.25">
      <c r="A24" s="2">
        <v>1000000</v>
      </c>
      <c r="B24" s="2">
        <v>5.1549999999999999E-5</v>
      </c>
      <c r="C24" s="2">
        <v>1.886E-4</v>
      </c>
      <c r="D24" s="2">
        <v>-5.1730000000000005E-4</v>
      </c>
      <c r="E24" s="2">
        <v>0</v>
      </c>
      <c r="F24" s="2">
        <v>0</v>
      </c>
      <c r="G24" s="2">
        <v>0</v>
      </c>
      <c r="H24" s="2">
        <v>8.6782694999999998E-5</v>
      </c>
      <c r="I24" s="2">
        <v>1.9571083E-5</v>
      </c>
      <c r="J24" s="2">
        <v>-2.2780095000000001E-4</v>
      </c>
      <c r="K24" s="3"/>
      <c r="L24" s="3">
        <f t="shared" si="0"/>
        <v>9.9652039435530623E-2</v>
      </c>
      <c r="M24" s="3"/>
      <c r="N24" s="2">
        <f>IF('Modell einstellen'!$B$1="Voll",H24/0.35,H24/0.35*2)</f>
        <v>2.4795055714285717E-4</v>
      </c>
      <c r="O24" s="2">
        <f>IF('Modell einstellen'!$B$1="Voll",J24/0.35,J24/0.35*2)</f>
        <v>-6.5085985714285718E-4</v>
      </c>
      <c r="P24" s="3">
        <f t="shared" si="1"/>
        <v>0.3809584420082533</v>
      </c>
      <c r="Q24" s="3"/>
      <c r="R24" s="3"/>
      <c r="S24" s="3"/>
      <c r="T24" s="3"/>
      <c r="U24" s="3"/>
      <c r="V24" s="3"/>
      <c r="W24" s="3"/>
    </row>
    <row r="25" spans="1:23" x14ac:dyDescent="0.25">
      <c r="A25" s="2">
        <v>10000000</v>
      </c>
      <c r="B25" s="2">
        <v>8.6429999999999997E-5</v>
      </c>
      <c r="C25" s="2">
        <v>2.2599999999999999E-4</v>
      </c>
      <c r="D25" s="2">
        <v>-5.8290000000000002E-4</v>
      </c>
      <c r="E25" s="2">
        <v>0</v>
      </c>
      <c r="F25" s="2">
        <v>0</v>
      </c>
      <c r="G25" s="2">
        <v>0</v>
      </c>
      <c r="H25" s="2">
        <v>9.5096234999999995E-5</v>
      </c>
      <c r="I25" s="2">
        <v>2.3913036000000001E-5</v>
      </c>
      <c r="J25" s="2">
        <v>-2.5016577000000001E-4</v>
      </c>
      <c r="K25" s="3"/>
      <c r="L25" s="3">
        <f t="shared" si="0"/>
        <v>0.14827586206896551</v>
      </c>
      <c r="M25" s="3"/>
      <c r="N25" s="2">
        <f>IF('Modell einstellen'!$B$1="Voll",H25/0.35,H25/0.35*2)</f>
        <v>2.7170352857142858E-4</v>
      </c>
      <c r="O25" s="2">
        <f>IF('Modell einstellen'!$B$1="Voll",J25/0.35,J25/0.35*2)</f>
        <v>-7.1475934285714299E-4</v>
      </c>
      <c r="P25" s="3">
        <f t="shared" si="1"/>
        <v>0.38013288148894225</v>
      </c>
      <c r="Q25" s="3"/>
      <c r="R25" s="3"/>
      <c r="S25" s="3"/>
      <c r="T25" s="3"/>
      <c r="U25" s="3"/>
      <c r="V25" s="3"/>
      <c r="W25" s="3"/>
    </row>
    <row r="26" spans="1:23" x14ac:dyDescent="0.25">
      <c r="A26" s="2">
        <v>100000000</v>
      </c>
      <c r="B26" s="2">
        <v>1.2239999999999999E-4</v>
      </c>
      <c r="C26" s="2">
        <v>2.6810000000000001E-4</v>
      </c>
      <c r="D26" s="2">
        <v>-6.5490000000000004E-4</v>
      </c>
      <c r="E26" s="2">
        <v>0</v>
      </c>
      <c r="F26" s="2">
        <v>0</v>
      </c>
      <c r="G26" s="2">
        <v>0</v>
      </c>
      <c r="H26" s="2">
        <v>1.0505922E-4</v>
      </c>
      <c r="I26" s="2">
        <v>2.8941176000000001E-5</v>
      </c>
      <c r="J26" s="2">
        <v>-2.7677771000000001E-4</v>
      </c>
      <c r="K26" s="3"/>
      <c r="L26" s="3">
        <f t="shared" si="0"/>
        <v>0.18689876316994958</v>
      </c>
      <c r="M26" s="3"/>
      <c r="N26" s="2">
        <f>IF('Modell einstellen'!$B$1="Voll",H26/0.35,H26/0.35*2)</f>
        <v>3.0016919999999999E-4</v>
      </c>
      <c r="O26" s="2">
        <f>IF('Modell einstellen'!$B$1="Voll",J26/0.35,J26/0.35*2)</f>
        <v>-7.9079345714285724E-4</v>
      </c>
      <c r="P26" s="3">
        <f t="shared" si="1"/>
        <v>0.37957977179592961</v>
      </c>
      <c r="Q26" s="3"/>
      <c r="R26" s="3"/>
      <c r="S26" s="3"/>
      <c r="T26" s="3"/>
      <c r="U26" s="3"/>
      <c r="V26" s="3"/>
      <c r="W26" s="3"/>
    </row>
    <row r="27" spans="1:23" x14ac:dyDescent="0.25">
      <c r="A27" s="2">
        <v>1000000000</v>
      </c>
      <c r="B27" s="2">
        <v>1.5320000000000001E-4</v>
      </c>
      <c r="C27" s="2">
        <v>3.0880000000000002E-4</v>
      </c>
      <c r="D27" s="2">
        <v>-7.224E-4</v>
      </c>
      <c r="E27" s="2">
        <v>0</v>
      </c>
      <c r="F27" s="2">
        <v>0</v>
      </c>
      <c r="G27" s="2">
        <v>0</v>
      </c>
      <c r="H27" s="2">
        <v>1.1559988E-4</v>
      </c>
      <c r="I27" s="2">
        <v>3.3982442000000003E-5</v>
      </c>
      <c r="J27" s="2">
        <v>-3.0446972999999998E-4</v>
      </c>
      <c r="K27" s="3"/>
      <c r="L27" s="3">
        <f t="shared" si="0"/>
        <v>0.21207087486157256</v>
      </c>
      <c r="M27" s="3"/>
      <c r="N27" s="2">
        <f>IF('Modell einstellen'!$B$1="Voll",H27/0.35,H27/0.35*2)</f>
        <v>3.3028537142857143E-4</v>
      </c>
      <c r="O27" s="2">
        <f>IF('Modell einstellen'!$B$1="Voll",J27/0.35,J27/0.35*2)</f>
        <v>-8.6991351428571432E-4</v>
      </c>
      <c r="P27" s="3">
        <f t="shared" si="1"/>
        <v>0.37967610113491412</v>
      </c>
      <c r="Q27" s="3"/>
      <c r="R27" s="3"/>
      <c r="S27" s="3"/>
      <c r="T27" s="3"/>
      <c r="U27" s="3"/>
      <c r="V27" s="3"/>
      <c r="W27" s="3"/>
    </row>
    <row r="28" spans="1:23" x14ac:dyDescent="0.25">
      <c r="A28" s="2">
        <v>10000000000</v>
      </c>
      <c r="B28" s="2">
        <v>1.771E-4</v>
      </c>
      <c r="C28" s="2">
        <v>3.4620000000000001E-4</v>
      </c>
      <c r="D28" s="2">
        <v>-7.8149999999999997E-4</v>
      </c>
      <c r="E28" s="2">
        <v>0</v>
      </c>
      <c r="F28" s="2">
        <v>0</v>
      </c>
      <c r="G28" s="2">
        <v>0</v>
      </c>
      <c r="H28" s="2">
        <v>1.2604727000000001E-4</v>
      </c>
      <c r="I28" s="2">
        <v>3.8786586000000001E-5</v>
      </c>
      <c r="J28" s="2">
        <v>-3.3164030000000001E-4</v>
      </c>
      <c r="K28" s="3"/>
      <c r="L28" s="3">
        <f t="shared" si="0"/>
        <v>0.22661548304542548</v>
      </c>
      <c r="M28" s="3"/>
      <c r="N28" s="2">
        <f>IF('Modell einstellen'!$B$1="Voll",H28/0.35,H28/0.35*2)</f>
        <v>3.6013505714285721E-4</v>
      </c>
      <c r="O28" s="2">
        <f>IF('Modell einstellen'!$B$1="Voll",J28/0.35,J28/0.35*2)</f>
        <v>-9.4754371428571436E-4</v>
      </c>
      <c r="P28" s="3">
        <f t="shared" si="1"/>
        <v>0.38007223488822078</v>
      </c>
      <c r="Q28" s="3"/>
      <c r="R28" s="3"/>
      <c r="S28" s="3"/>
      <c r="T28" s="3"/>
      <c r="U28" s="3"/>
      <c r="V28" s="3"/>
      <c r="W28" s="3"/>
    </row>
    <row r="29" spans="1:23" x14ac:dyDescent="0.25">
      <c r="A29" s="2">
        <v>100000000000</v>
      </c>
      <c r="B29" s="2">
        <v>1.9340000000000001E-4</v>
      </c>
      <c r="C29" s="2">
        <v>3.834E-4</v>
      </c>
      <c r="D29" s="2">
        <v>-8.3469999999999996E-4</v>
      </c>
      <c r="E29" s="2">
        <v>0</v>
      </c>
      <c r="F29" s="2">
        <v>0</v>
      </c>
      <c r="G29" s="2">
        <v>0</v>
      </c>
      <c r="H29" s="2">
        <v>1.3764195E-4</v>
      </c>
      <c r="I29" s="2">
        <v>4.3714880000000003E-5</v>
      </c>
      <c r="J29" s="2">
        <v>-3.6085418000000001E-4</v>
      </c>
      <c r="K29" s="3"/>
      <c r="L29" s="3">
        <f t="shared" si="0"/>
        <v>0.23170001198035226</v>
      </c>
      <c r="M29" s="3"/>
      <c r="N29" s="2">
        <f>IF('Modell einstellen'!$B$1="Voll",H29/0.35,H29/0.35*2)</f>
        <v>3.9326271428571431E-4</v>
      </c>
      <c r="O29" s="2">
        <f>IF('Modell einstellen'!$B$1="Voll",J29/0.35,J29/0.35*2)</f>
        <v>-1.0310119428571429E-3</v>
      </c>
      <c r="P29" s="3">
        <f t="shared" si="1"/>
        <v>0.38143371375107804</v>
      </c>
      <c r="Q29" s="3"/>
      <c r="R29" s="3"/>
      <c r="S29" s="3"/>
      <c r="T29" s="3"/>
      <c r="U29" s="3"/>
      <c r="V29" s="3"/>
      <c r="W29" s="3"/>
    </row>
    <row r="30" spans="1:23" x14ac:dyDescent="0.25">
      <c r="A30" s="2">
        <v>1000000000000</v>
      </c>
      <c r="B30" s="2">
        <v>2.018E-4</v>
      </c>
      <c r="C30" s="2">
        <v>4.2240000000000002E-4</v>
      </c>
      <c r="D30" s="2">
        <v>-8.8340000000000001E-4</v>
      </c>
      <c r="E30" s="2">
        <v>0</v>
      </c>
      <c r="F30" s="2">
        <v>0</v>
      </c>
      <c r="G30" s="2">
        <v>0</v>
      </c>
      <c r="H30" s="2">
        <v>1.5079275E-4</v>
      </c>
      <c r="I30" s="2">
        <v>4.9058842E-5</v>
      </c>
      <c r="J30" s="2">
        <v>-3.9345111000000001E-4</v>
      </c>
      <c r="K30" s="3"/>
      <c r="L30" s="3">
        <f t="shared" si="0"/>
        <v>0.22843558976681005</v>
      </c>
      <c r="M30" s="3"/>
      <c r="N30" s="2">
        <f>IF('Modell einstellen'!$B$1="Voll",H30/0.35,H30/0.35*2)</f>
        <v>4.308364285714286E-4</v>
      </c>
      <c r="O30" s="2">
        <f>IF('Modell einstellen'!$B$1="Voll",J30/0.35,J30/0.35*2)</f>
        <v>-1.1241460285714286E-3</v>
      </c>
      <c r="P30" s="3">
        <f t="shared" si="1"/>
        <v>0.3832566389252276</v>
      </c>
      <c r="Q30" s="3"/>
      <c r="R30" s="3"/>
      <c r="S30" s="3"/>
      <c r="T30" s="3"/>
      <c r="U30" s="3"/>
      <c r="V30" s="3"/>
      <c r="W30" s="3"/>
    </row>
    <row r="31" spans="1:23" x14ac:dyDescent="0.25">
      <c r="A31" s="2">
        <v>10000000000000</v>
      </c>
      <c r="B31" s="2">
        <v>1.9689999999999999E-4</v>
      </c>
      <c r="C31" s="2">
        <v>4.7429999999999998E-4</v>
      </c>
      <c r="D31" s="2">
        <v>-9.3380000000000004E-4</v>
      </c>
      <c r="E31" s="2">
        <v>0</v>
      </c>
      <c r="F31" s="2">
        <v>0</v>
      </c>
      <c r="G31" s="2">
        <v>0</v>
      </c>
      <c r="H31" s="2">
        <v>1.7001620000000001E-4</v>
      </c>
      <c r="I31" s="2">
        <v>5.6363604000000001E-5</v>
      </c>
      <c r="J31" s="2">
        <v>-4.3969864000000002E-4</v>
      </c>
      <c r="K31" s="3"/>
      <c r="L31" s="3">
        <f t="shared" si="0"/>
        <v>0.21085885628614262</v>
      </c>
      <c r="M31" s="3"/>
      <c r="N31" s="2">
        <f>IF('Modell einstellen'!$B$1="Voll",H31/0.35,H31/0.35*2)</f>
        <v>4.8576057142857146E-4</v>
      </c>
      <c r="O31" s="2">
        <f>IF('Modell einstellen'!$B$1="Voll",J31/0.35,J31/0.35*2)</f>
        <v>-1.2562818285714286E-3</v>
      </c>
      <c r="P31" s="3">
        <f t="shared" si="1"/>
        <v>0.38666528511436832</v>
      </c>
      <c r="Q31" s="3"/>
      <c r="R31" s="3"/>
      <c r="S31" s="3"/>
      <c r="T31" s="3"/>
      <c r="U31" s="3"/>
      <c r="V31" s="3"/>
      <c r="W31" s="3"/>
    </row>
    <row r="32" spans="1:23" x14ac:dyDescent="0.25">
      <c r="A32" s="2">
        <v>100000000000000</v>
      </c>
      <c r="B32" s="2">
        <v>1.6589999999999999E-4</v>
      </c>
      <c r="C32" s="2">
        <v>5.5060000000000005E-4</v>
      </c>
      <c r="D32" s="2">
        <v>-9.8489999999999992E-4</v>
      </c>
      <c r="E32" s="2">
        <v>0</v>
      </c>
      <c r="F32" s="2">
        <v>0</v>
      </c>
      <c r="G32" s="2">
        <v>0</v>
      </c>
      <c r="H32" s="2">
        <v>2.0030227E-4</v>
      </c>
      <c r="I32" s="2">
        <v>6.7535314999999998E-5</v>
      </c>
      <c r="J32" s="2">
        <v>-5.1150855999999997E-4</v>
      </c>
      <c r="K32" s="3"/>
      <c r="L32" s="3">
        <f t="shared" si="0"/>
        <v>0.16844349680170576</v>
      </c>
      <c r="M32" s="3"/>
      <c r="N32" s="2">
        <f>IF('Modell einstellen'!$B$1="Voll",H32/0.35,H32/0.35*2)</f>
        <v>5.7229220000000003E-4</v>
      </c>
      <c r="O32" s="2">
        <f>IF('Modell einstellen'!$B$1="Voll",J32/0.35,J32/0.35*2)</f>
        <v>-1.4614530285714286E-3</v>
      </c>
      <c r="P32" s="3">
        <f t="shared" si="1"/>
        <v>0.39159123749561497</v>
      </c>
      <c r="Q32" s="3"/>
      <c r="R32" s="3"/>
      <c r="S32" s="3"/>
      <c r="T32" s="3"/>
      <c r="U32" s="3"/>
      <c r="V32" s="3"/>
      <c r="W32" s="3"/>
    </row>
    <row r="33" spans="1:23" x14ac:dyDescent="0.25">
      <c r="A33" s="2">
        <v>1000000000000000</v>
      </c>
      <c r="B33" s="2">
        <v>7.6569999999999994E-5</v>
      </c>
      <c r="C33" s="2">
        <v>6.7009999999999997E-4</v>
      </c>
      <c r="D33" s="2">
        <v>-1.023E-3</v>
      </c>
      <c r="E33" s="2">
        <v>0</v>
      </c>
      <c r="F33" s="2">
        <v>0</v>
      </c>
      <c r="G33" s="2">
        <v>0</v>
      </c>
      <c r="H33" s="2">
        <v>2.5166108999999999E-4</v>
      </c>
      <c r="I33" s="2">
        <v>8.5884998000000003E-5</v>
      </c>
      <c r="J33" s="2">
        <v>-6.3097520000000005E-4</v>
      </c>
      <c r="K33" s="3"/>
      <c r="L33" s="3">
        <f t="shared" si="0"/>
        <v>7.4848484848484845E-2</v>
      </c>
      <c r="M33" s="3"/>
      <c r="N33" s="2">
        <f>IF('Modell einstellen'!$B$1="Voll",H33/0.35,H33/0.35*2)</f>
        <v>7.1903168571428578E-4</v>
      </c>
      <c r="O33" s="2">
        <f>IF('Modell einstellen'!$B$1="Voll",J33/0.35,J33/0.35*2)</f>
        <v>-1.802786285714286E-3</v>
      </c>
      <c r="P33" s="3">
        <f t="shared" si="1"/>
        <v>0.39884466140666064</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4.0639999999999997E-5</v>
      </c>
      <c r="C3" s="3">
        <v>1.518E-4</v>
      </c>
      <c r="D3" s="3">
        <v>-4.661E-4</v>
      </c>
      <c r="E3" s="3">
        <v>0</v>
      </c>
      <c r="F3" s="3">
        <v>0</v>
      </c>
      <c r="G3" s="3">
        <v>0</v>
      </c>
      <c r="H3" s="3">
        <v>7.0840387000000005E-5</v>
      </c>
      <c r="I3" s="3">
        <v>1.5443532E-5</v>
      </c>
      <c r="J3" s="3">
        <v>-1.9659138E-4</v>
      </c>
      <c r="L3" s="3">
        <f>-B3/D3</f>
        <v>8.7191589787599222E-2</v>
      </c>
      <c r="M3" s="3"/>
      <c r="N3" s="2">
        <f>IF('Modell einstellen'!$B$1="Voll",H3/0.35,H3/0.35*2)</f>
        <v>2.0240110571428574E-4</v>
      </c>
      <c r="O3" s="2">
        <f>IF('Modell einstellen'!$B$1="Voll",J3/0.35,J3/0.35*2)</f>
        <v>-5.6168965714285715E-4</v>
      </c>
      <c r="P3" s="3">
        <f>-N3/O3</f>
        <v>0.36034330192910802</v>
      </c>
    </row>
    <row r="4" spans="1:16" x14ac:dyDescent="0.25">
      <c r="A4" s="3">
        <v>1E-14</v>
      </c>
      <c r="B4" s="3">
        <v>4.0639999999999997E-5</v>
      </c>
      <c r="C4" s="3">
        <v>1.518E-4</v>
      </c>
      <c r="D4" s="3">
        <v>-4.661E-4</v>
      </c>
      <c r="E4" s="3">
        <v>0</v>
      </c>
      <c r="F4" s="3">
        <v>0</v>
      </c>
      <c r="G4" s="3">
        <v>0</v>
      </c>
      <c r="H4" s="3">
        <v>7.0841911E-5</v>
      </c>
      <c r="I4" s="3">
        <v>1.5444687999999999E-5</v>
      </c>
      <c r="J4" s="3">
        <v>-1.9658762000000001E-4</v>
      </c>
      <c r="L4" s="3">
        <f t="shared" ref="L4:L33" si="0">-B4/D4</f>
        <v>8.7191589787599222E-2</v>
      </c>
      <c r="M4" s="3"/>
      <c r="N4" s="2">
        <f>IF('Modell einstellen'!$B$1="Voll",H4/0.35,H4/0.35*2)</f>
        <v>2.0240546000000002E-4</v>
      </c>
      <c r="O4" s="2">
        <f>IF('Modell einstellen'!$B$1="Voll",J4/0.35,J4/0.35*2)</f>
        <v>-5.6167891428571433E-4</v>
      </c>
      <c r="P4" s="3">
        <f t="shared" ref="P4:P33" si="1">-N4/O4</f>
        <v>0.36035794624300349</v>
      </c>
    </row>
    <row r="5" spans="1:16" x14ac:dyDescent="0.25">
      <c r="A5" s="3">
        <v>1E-13</v>
      </c>
      <c r="B5" s="3">
        <v>4.0639999999999997E-5</v>
      </c>
      <c r="C5" s="3">
        <v>1.518E-4</v>
      </c>
      <c r="D5" s="3">
        <v>-4.661E-4</v>
      </c>
      <c r="E5" s="3">
        <v>0</v>
      </c>
      <c r="F5" s="3">
        <v>0</v>
      </c>
      <c r="G5" s="3">
        <v>0</v>
      </c>
      <c r="H5" s="3">
        <v>7.0842286000000006E-5</v>
      </c>
      <c r="I5" s="3">
        <v>1.5444859999999999E-5</v>
      </c>
      <c r="J5" s="3">
        <v>-1.9658862E-4</v>
      </c>
      <c r="L5" s="3">
        <f t="shared" si="0"/>
        <v>8.7191589787599222E-2</v>
      </c>
      <c r="M5" s="3"/>
      <c r="N5" s="2">
        <f>IF('Modell einstellen'!$B$1="Voll",H5/0.35,H5/0.35*2)</f>
        <v>2.0240653142857145E-4</v>
      </c>
      <c r="O5" s="2">
        <f>IF('Modell einstellen'!$B$1="Voll",J5/0.35,J5/0.35*2)</f>
        <v>-5.6168177142857149E-4</v>
      </c>
      <c r="P5" s="3">
        <f t="shared" si="1"/>
        <v>0.36035802072368178</v>
      </c>
    </row>
    <row r="6" spans="1:16" x14ac:dyDescent="0.25">
      <c r="A6" s="3">
        <v>9.9999999999999998E-13</v>
      </c>
      <c r="B6" s="3">
        <v>4.0639999999999997E-5</v>
      </c>
      <c r="C6" s="3">
        <v>1.518E-4</v>
      </c>
      <c r="D6" s="3">
        <v>-4.661E-4</v>
      </c>
      <c r="E6" s="3">
        <v>0</v>
      </c>
      <c r="F6" s="3">
        <v>0</v>
      </c>
      <c r="G6" s="3">
        <v>0</v>
      </c>
      <c r="H6" s="3">
        <v>7.0842402999999999E-5</v>
      </c>
      <c r="I6" s="3">
        <v>1.5444908E-5</v>
      </c>
      <c r="J6" s="3">
        <v>-1.9658891E-4</v>
      </c>
      <c r="L6" s="3">
        <f t="shared" si="0"/>
        <v>8.7191589787599222E-2</v>
      </c>
      <c r="M6" s="3"/>
      <c r="N6" s="2">
        <f>IF('Modell einstellen'!$B$1="Voll",H6/0.35,H6/0.35*2)</f>
        <v>2.0240686571428571E-4</v>
      </c>
      <c r="O6" s="2">
        <f>IF('Modell einstellen'!$B$1="Voll",J6/0.35,J6/0.35*2)</f>
        <v>-5.6168260000000008E-4</v>
      </c>
      <c r="P6" s="3">
        <f t="shared" si="1"/>
        <v>0.36035808428868132</v>
      </c>
    </row>
    <row r="7" spans="1:16" x14ac:dyDescent="0.25">
      <c r="A7" s="3">
        <v>9.9999999999999994E-12</v>
      </c>
      <c r="B7" s="3">
        <v>4.0639999999999997E-5</v>
      </c>
      <c r="C7" s="3">
        <v>1.518E-4</v>
      </c>
      <c r="D7" s="3">
        <v>-4.661E-4</v>
      </c>
      <c r="E7" s="3">
        <v>0</v>
      </c>
      <c r="F7" s="3">
        <v>0</v>
      </c>
      <c r="G7" s="3">
        <v>0</v>
      </c>
      <c r="H7" s="3">
        <v>7.0842440999999997E-5</v>
      </c>
      <c r="I7" s="3">
        <v>1.5444921999999999E-5</v>
      </c>
      <c r="J7" s="3">
        <v>-1.96589E-4</v>
      </c>
      <c r="L7" s="3">
        <f t="shared" si="0"/>
        <v>8.7191589787599222E-2</v>
      </c>
      <c r="M7" s="3"/>
      <c r="N7" s="2">
        <f>IF('Modell einstellen'!$B$1="Voll",H7/0.35,H7/0.35*2)</f>
        <v>2.0240697428571428E-4</v>
      </c>
      <c r="O7" s="2">
        <f>IF('Modell einstellen'!$B$1="Voll",J7/0.35,J7/0.35*2)</f>
        <v>-5.6168285714285721E-4</v>
      </c>
      <c r="P7" s="3">
        <f t="shared" si="1"/>
        <v>0.36035811261057327</v>
      </c>
    </row>
    <row r="8" spans="1:16" x14ac:dyDescent="0.25">
      <c r="A8" s="3">
        <v>1E-10</v>
      </c>
      <c r="B8" s="3">
        <v>4.0639999999999997E-5</v>
      </c>
      <c r="C8" s="3">
        <v>1.518E-4</v>
      </c>
      <c r="D8" s="3">
        <v>-4.661E-4</v>
      </c>
      <c r="E8" s="3">
        <v>0</v>
      </c>
      <c r="F8" s="3">
        <v>0</v>
      </c>
      <c r="G8" s="3">
        <v>0</v>
      </c>
      <c r="H8" s="3">
        <v>7.0842453999999999E-5</v>
      </c>
      <c r="I8" s="3">
        <v>1.5444926E-5</v>
      </c>
      <c r="J8" s="3">
        <v>-1.9658903000000001E-4</v>
      </c>
      <c r="L8" s="3">
        <f t="shared" si="0"/>
        <v>8.7191589787599222E-2</v>
      </c>
      <c r="M8" s="3"/>
      <c r="N8" s="2">
        <f>IF('Modell einstellen'!$B$1="Voll",H8/0.35,H8/0.35*2)</f>
        <v>2.0240701142857143E-4</v>
      </c>
      <c r="O8" s="2">
        <f>IF('Modell einstellen'!$B$1="Voll",J8/0.35,J8/0.35*2)</f>
        <v>-5.6168294285714293E-4</v>
      </c>
      <c r="P8" s="3">
        <f t="shared" si="1"/>
        <v>0.36035812374678278</v>
      </c>
    </row>
    <row r="9" spans="1:16" x14ac:dyDescent="0.25">
      <c r="A9" s="3">
        <v>1.0000000000000001E-9</v>
      </c>
      <c r="B9" s="3">
        <v>4.0639999999999997E-5</v>
      </c>
      <c r="C9" s="3">
        <v>1.518E-4</v>
      </c>
      <c r="D9" s="3">
        <v>-4.661E-4</v>
      </c>
      <c r="E9" s="3">
        <v>0</v>
      </c>
      <c r="F9" s="3">
        <v>0</v>
      </c>
      <c r="G9" s="3">
        <v>0</v>
      </c>
      <c r="H9" s="3">
        <v>7.0842457999999997E-5</v>
      </c>
      <c r="I9" s="3">
        <v>1.5444927999999998E-5</v>
      </c>
      <c r="J9" s="3">
        <v>-1.9658904E-4</v>
      </c>
      <c r="L9" s="3">
        <f t="shared" si="0"/>
        <v>8.7191589787599222E-2</v>
      </c>
      <c r="M9" s="3"/>
      <c r="N9" s="2">
        <f>IF('Modell einstellen'!$B$1="Voll",H9/0.35,H9/0.35*2)</f>
        <v>2.0240702285714287E-4</v>
      </c>
      <c r="O9" s="2">
        <f>IF('Modell einstellen'!$B$1="Voll",J9/0.35,J9/0.35*2)</f>
        <v>-5.6168297142857146E-4</v>
      </c>
      <c r="P9" s="3">
        <f t="shared" si="1"/>
        <v>0.36035812576326737</v>
      </c>
    </row>
    <row r="10" spans="1:16" x14ac:dyDescent="0.25">
      <c r="A10" s="3">
        <v>1E-8</v>
      </c>
      <c r="B10" s="3">
        <v>4.0639999999999997E-5</v>
      </c>
      <c r="C10" s="3">
        <v>1.518E-4</v>
      </c>
      <c r="D10" s="3">
        <v>-4.661E-4</v>
      </c>
      <c r="E10" s="3">
        <v>0</v>
      </c>
      <c r="F10" s="3">
        <v>0</v>
      </c>
      <c r="G10" s="3">
        <v>0</v>
      </c>
      <c r="H10" s="3">
        <v>7.0842460000000002E-5</v>
      </c>
      <c r="I10" s="3">
        <v>1.5444927999999998E-5</v>
      </c>
      <c r="J10" s="3">
        <v>-1.9658904E-4</v>
      </c>
      <c r="L10" s="3">
        <f t="shared" si="0"/>
        <v>8.7191589787599222E-2</v>
      </c>
      <c r="M10" s="3"/>
      <c r="N10" s="2">
        <f>IF('Modell einstellen'!$B$1="Voll",H10/0.35,H10/0.35*2)</f>
        <v>2.0240702857142858E-4</v>
      </c>
      <c r="O10" s="2">
        <f>IF('Modell einstellen'!$B$1="Voll",J10/0.35,J10/0.35*2)</f>
        <v>-5.6168297142857146E-4</v>
      </c>
      <c r="P10" s="3">
        <f t="shared" si="1"/>
        <v>0.36035813593677452</v>
      </c>
    </row>
    <row r="11" spans="1:16" x14ac:dyDescent="0.25">
      <c r="A11" s="3">
        <v>9.9999999999999995E-8</v>
      </c>
      <c r="B11" s="3">
        <v>4.0639999999999997E-5</v>
      </c>
      <c r="C11" s="3">
        <v>1.518E-4</v>
      </c>
      <c r="D11" s="3">
        <v>-4.661E-4</v>
      </c>
      <c r="E11" s="3">
        <v>0</v>
      </c>
      <c r="F11" s="3">
        <v>0</v>
      </c>
      <c r="G11" s="3">
        <v>0</v>
      </c>
      <c r="H11" s="3">
        <v>7.0842460000000002E-5</v>
      </c>
      <c r="I11" s="3">
        <v>1.5444927999999998E-5</v>
      </c>
      <c r="J11" s="3">
        <v>-1.9658904999999999E-4</v>
      </c>
      <c r="L11" s="3">
        <f t="shared" si="0"/>
        <v>8.7191589787599222E-2</v>
      </c>
      <c r="M11" s="3"/>
      <c r="N11" s="2">
        <f>IF('Modell einstellen'!$B$1="Voll",H11/0.35,H11/0.35*2)</f>
        <v>2.0240702857142858E-4</v>
      </c>
      <c r="O11" s="2">
        <f>IF('Modell einstellen'!$B$1="Voll",J11/0.35,J11/0.35*2)</f>
        <v>-5.61683E-4</v>
      </c>
      <c r="P11" s="3">
        <f t="shared" si="1"/>
        <v>0.36035811760624514</v>
      </c>
    </row>
    <row r="12" spans="1:16" x14ac:dyDescent="0.25">
      <c r="A12" s="3">
        <v>9.9999999999999995E-7</v>
      </c>
      <c r="B12" s="3">
        <v>4.0639999999999997E-5</v>
      </c>
      <c r="C12" s="3">
        <v>1.518E-4</v>
      </c>
      <c r="D12" s="3">
        <v>-4.661E-4</v>
      </c>
      <c r="E12" s="3">
        <v>0</v>
      </c>
      <c r="F12" s="3">
        <v>0</v>
      </c>
      <c r="G12" s="3">
        <v>0</v>
      </c>
      <c r="H12" s="3">
        <v>7.0842460999999998E-5</v>
      </c>
      <c r="I12" s="3">
        <v>1.5444927999999998E-5</v>
      </c>
      <c r="J12" s="3">
        <v>-1.9658904999999999E-4</v>
      </c>
      <c r="L12" s="3">
        <f t="shared" si="0"/>
        <v>8.7191589787599222E-2</v>
      </c>
      <c r="M12" s="3"/>
      <c r="N12" s="2">
        <f>IF('Modell einstellen'!$B$1="Voll",H12/0.35,H12/0.35*2)</f>
        <v>2.0240703142857143E-4</v>
      </c>
      <c r="O12" s="2">
        <f>IF('Modell einstellen'!$B$1="Voll",J12/0.35,J12/0.35*2)</f>
        <v>-5.61683E-4</v>
      </c>
      <c r="P12" s="3">
        <f t="shared" si="1"/>
        <v>0.36035812269299844</v>
      </c>
    </row>
    <row r="13" spans="1:16" x14ac:dyDescent="0.25">
      <c r="A13" s="3">
        <v>1.0000000000000001E-5</v>
      </c>
      <c r="B13" s="3">
        <v>4.0639999999999997E-5</v>
      </c>
      <c r="C13" s="3">
        <v>1.518E-4</v>
      </c>
      <c r="D13" s="3">
        <v>-4.661E-4</v>
      </c>
      <c r="E13" s="3">
        <v>0</v>
      </c>
      <c r="F13" s="3">
        <v>0</v>
      </c>
      <c r="G13" s="3">
        <v>0</v>
      </c>
      <c r="H13" s="3">
        <v>7.0842464999999996E-5</v>
      </c>
      <c r="I13" s="3">
        <v>1.5444929000000001E-5</v>
      </c>
      <c r="J13" s="3">
        <v>-1.9658904999999999E-4</v>
      </c>
      <c r="L13" s="3">
        <f t="shared" si="0"/>
        <v>8.7191589787599222E-2</v>
      </c>
      <c r="M13" s="3"/>
      <c r="N13" s="2">
        <f>IF('Modell einstellen'!$B$1="Voll",H13/0.35,H13/0.35*2)</f>
        <v>2.0240704285714284E-4</v>
      </c>
      <c r="O13" s="2">
        <f>IF('Modell einstellen'!$B$1="Voll",J13/0.35,J13/0.35*2)</f>
        <v>-5.61683E-4</v>
      </c>
      <c r="P13" s="3">
        <f t="shared" si="1"/>
        <v>0.36035814304001162</v>
      </c>
    </row>
    <row r="14" spans="1:16" x14ac:dyDescent="0.25">
      <c r="A14" s="3">
        <v>1E-4</v>
      </c>
      <c r="B14" s="3">
        <v>4.0639999999999997E-5</v>
      </c>
      <c r="C14" s="3">
        <v>1.518E-4</v>
      </c>
      <c r="D14" s="3">
        <v>-4.661E-4</v>
      </c>
      <c r="E14" s="3">
        <v>0</v>
      </c>
      <c r="F14" s="3">
        <v>0</v>
      </c>
      <c r="G14" s="3">
        <v>0</v>
      </c>
      <c r="H14" s="3">
        <v>7.0842507000000004E-5</v>
      </c>
      <c r="I14" s="3">
        <v>1.5444934000000001E-5</v>
      </c>
      <c r="J14" s="3">
        <v>-1.9658912000000001E-4</v>
      </c>
      <c r="L14" s="3">
        <f t="shared" si="0"/>
        <v>8.7191589787599222E-2</v>
      </c>
      <c r="M14" s="3"/>
      <c r="N14" s="2">
        <f>IF('Modell einstellen'!$B$1="Voll",H14/0.35,H14/0.35*2)</f>
        <v>2.0240716285714288E-4</v>
      </c>
      <c r="O14" s="2">
        <f>IF('Modell einstellen'!$B$1="Voll",J14/0.35,J14/0.35*2)</f>
        <v>-5.6168320000000006E-4</v>
      </c>
      <c r="P14" s="3">
        <f t="shared" si="1"/>
        <v>0.36035822836991183</v>
      </c>
    </row>
    <row r="15" spans="1:16" x14ac:dyDescent="0.25">
      <c r="A15" s="3">
        <v>1E-3</v>
      </c>
      <c r="B15" s="3">
        <v>4.0639999999999997E-5</v>
      </c>
      <c r="C15" s="3">
        <v>1.518E-4</v>
      </c>
      <c r="D15" s="3">
        <v>-4.661E-4</v>
      </c>
      <c r="E15" s="3">
        <v>0</v>
      </c>
      <c r="F15" s="3">
        <v>0</v>
      </c>
      <c r="G15" s="3">
        <v>0</v>
      </c>
      <c r="H15" s="3">
        <v>7.0842922999999995E-5</v>
      </c>
      <c r="I15" s="3">
        <v>1.5444981E-5</v>
      </c>
      <c r="J15" s="3">
        <v>-1.9658978E-4</v>
      </c>
      <c r="L15" s="3">
        <f t="shared" si="0"/>
        <v>8.7191589787599222E-2</v>
      </c>
      <c r="M15" s="3"/>
      <c r="N15" s="2">
        <f>IF('Modell einstellen'!$B$1="Voll",H15/0.35,H15/0.35*2)</f>
        <v>2.0240835142857141E-4</v>
      </c>
      <c r="O15" s="2">
        <f>IF('Modell einstellen'!$B$1="Voll",J15/0.35,J15/0.35*2)</f>
        <v>-5.6168508571428574E-4</v>
      </c>
      <c r="P15" s="3">
        <f t="shared" si="1"/>
        <v>0.36035913464067154</v>
      </c>
    </row>
    <row r="16" spans="1:16" x14ac:dyDescent="0.25">
      <c r="A16" s="3">
        <v>0.01</v>
      </c>
      <c r="B16" s="3">
        <v>4.0639999999999997E-5</v>
      </c>
      <c r="C16" s="3">
        <v>1.518E-4</v>
      </c>
      <c r="D16" s="3">
        <v>-4.661E-4</v>
      </c>
      <c r="E16" s="3">
        <v>0</v>
      </c>
      <c r="F16" s="3">
        <v>0</v>
      </c>
      <c r="G16" s="3">
        <v>0</v>
      </c>
      <c r="H16" s="3">
        <v>7.0847080999999996E-5</v>
      </c>
      <c r="I16" s="3">
        <v>1.5445455999999999E-5</v>
      </c>
      <c r="J16" s="3">
        <v>-1.9659637000000001E-4</v>
      </c>
      <c r="L16" s="3">
        <f t="shared" si="0"/>
        <v>8.7191589787599222E-2</v>
      </c>
      <c r="M16" s="3"/>
      <c r="N16" s="2">
        <f>IF('Modell einstellen'!$B$1="Voll",H16/0.35,H16/0.35*2)</f>
        <v>2.0242023142857143E-4</v>
      </c>
      <c r="O16" s="2">
        <f>IF('Modell einstellen'!$B$1="Voll",J16/0.35,J16/0.35*2)</f>
        <v>-5.617039142857144E-4</v>
      </c>
      <c r="P16" s="3">
        <f t="shared" si="1"/>
        <v>0.36036820517082785</v>
      </c>
    </row>
    <row r="17" spans="1:16" x14ac:dyDescent="0.25">
      <c r="A17" s="3">
        <v>0.1</v>
      </c>
      <c r="B17" s="3">
        <v>4.0590000000000003E-5</v>
      </c>
      <c r="C17" s="3">
        <v>1.518E-4</v>
      </c>
      <c r="D17" s="3">
        <v>-4.661E-4</v>
      </c>
      <c r="E17" s="3">
        <v>0</v>
      </c>
      <c r="F17" s="3">
        <v>0</v>
      </c>
      <c r="G17" s="3">
        <v>0</v>
      </c>
      <c r="H17" s="3">
        <v>7.0888340999999996E-5</v>
      </c>
      <c r="I17" s="3">
        <v>1.5450167E-5</v>
      </c>
      <c r="J17" s="3">
        <v>-1.9666181000000001E-4</v>
      </c>
      <c r="L17" s="3">
        <f t="shared" si="0"/>
        <v>8.708431667024244E-2</v>
      </c>
      <c r="M17" s="3"/>
      <c r="N17" s="2">
        <f>IF('Modell einstellen'!$B$1="Voll",H17/0.35,H17/0.35*2)</f>
        <v>2.0253811714285715E-4</v>
      </c>
      <c r="O17" s="2">
        <f>IF('Modell einstellen'!$B$1="Voll",J17/0.35,J17/0.35*2)</f>
        <v>-5.6189088571428577E-4</v>
      </c>
      <c r="P17" s="3">
        <f t="shared" si="1"/>
        <v>0.36045809300748322</v>
      </c>
    </row>
    <row r="18" spans="1:16" x14ac:dyDescent="0.25">
      <c r="A18" s="3">
        <v>1</v>
      </c>
      <c r="B18" s="3">
        <v>4.0160000000000002E-5</v>
      </c>
      <c r="C18" s="3">
        <v>1.5220000000000001E-4</v>
      </c>
      <c r="D18" s="3">
        <v>-4.6640000000000001E-4</v>
      </c>
      <c r="E18" s="3">
        <v>0</v>
      </c>
      <c r="F18" s="3">
        <v>0</v>
      </c>
      <c r="G18" s="3">
        <v>0</v>
      </c>
      <c r="H18" s="3">
        <v>7.1270091999999999E-5</v>
      </c>
      <c r="I18" s="3">
        <v>1.5493726000000002E-5</v>
      </c>
      <c r="J18" s="3">
        <v>-1.9726695999999999E-4</v>
      </c>
      <c r="L18" s="3">
        <f t="shared" si="0"/>
        <v>8.6106346483704979E-2</v>
      </c>
      <c r="M18" s="3"/>
      <c r="N18" s="2">
        <f>IF('Modell einstellen'!$B$1="Voll",H18/0.35,H18/0.35*2)</f>
        <v>2.0362883428571429E-4</v>
      </c>
      <c r="O18" s="2">
        <f>IF('Modell einstellen'!$B$1="Voll",J18/0.35,J18/0.35*2)</f>
        <v>-5.6361988571428567E-4</v>
      </c>
      <c r="P18" s="3">
        <f t="shared" si="1"/>
        <v>0.36128752630445571</v>
      </c>
    </row>
    <row r="19" spans="1:16" x14ac:dyDescent="0.25">
      <c r="A19" s="3">
        <v>10</v>
      </c>
      <c r="B19" s="3">
        <v>3.8269999999999998E-5</v>
      </c>
      <c r="C19" s="3">
        <v>1.5449999999999999E-4</v>
      </c>
      <c r="D19" s="3">
        <v>-4.685E-4</v>
      </c>
      <c r="E19" s="3">
        <v>0</v>
      </c>
      <c r="F19" s="3">
        <v>0</v>
      </c>
      <c r="G19" s="3">
        <v>0</v>
      </c>
      <c r="H19" s="3">
        <v>7.3294918999999994E-5</v>
      </c>
      <c r="I19" s="3">
        <v>1.5746303E-5</v>
      </c>
      <c r="J19" s="3">
        <v>-2.0053561000000001E-4</v>
      </c>
      <c r="L19" s="3">
        <f t="shared" si="0"/>
        <v>8.1686232657417285E-2</v>
      </c>
      <c r="M19" s="3"/>
      <c r="N19" s="2">
        <f>IF('Modell einstellen'!$B$1="Voll",H19/0.35,H19/0.35*2)</f>
        <v>2.0941405428571427E-4</v>
      </c>
      <c r="O19" s="2">
        <f>IF('Modell einstellen'!$B$1="Voll",J19/0.35,J19/0.35*2)</f>
        <v>-5.7295888571428581E-4</v>
      </c>
      <c r="P19" s="3">
        <f t="shared" si="1"/>
        <v>0.36549577902897135</v>
      </c>
    </row>
    <row r="20" spans="1:16" x14ac:dyDescent="0.25">
      <c r="A20" s="3">
        <v>100</v>
      </c>
      <c r="B20" s="3">
        <v>3.5939999999999998E-5</v>
      </c>
      <c r="C20" s="3">
        <v>1.574E-4</v>
      </c>
      <c r="D20" s="3">
        <v>-4.7100000000000001E-4</v>
      </c>
      <c r="E20" s="3">
        <v>0</v>
      </c>
      <c r="F20" s="3">
        <v>0</v>
      </c>
      <c r="G20" s="3">
        <v>0</v>
      </c>
      <c r="H20" s="3">
        <v>7.5819420000000003E-5</v>
      </c>
      <c r="I20" s="3">
        <v>1.6075078000000001E-5</v>
      </c>
      <c r="J20" s="3">
        <v>-2.0462267000000001E-4</v>
      </c>
      <c r="L20" s="3">
        <f t="shared" si="0"/>
        <v>7.6305732484076433E-2</v>
      </c>
      <c r="M20" s="3"/>
      <c r="N20" s="2">
        <f>IF('Modell einstellen'!$B$1="Voll",H20/0.35,H20/0.35*2)</f>
        <v>2.1662691428571431E-4</v>
      </c>
      <c r="O20" s="2">
        <f>IF('Modell einstellen'!$B$1="Voll",J20/0.35,J20/0.35*2)</f>
        <v>-5.846362000000001E-4</v>
      </c>
      <c r="P20" s="3">
        <f t="shared" si="1"/>
        <v>0.37053284467454167</v>
      </c>
    </row>
    <row r="21" spans="1:16" x14ac:dyDescent="0.25">
      <c r="A21" s="3">
        <v>1000</v>
      </c>
      <c r="B21" s="3">
        <v>3.5809999999999998E-5</v>
      </c>
      <c r="C21" s="3">
        <v>1.6330000000000001E-4</v>
      </c>
      <c r="D21" s="3">
        <v>-4.7820000000000002E-4</v>
      </c>
      <c r="E21" s="3">
        <v>0</v>
      </c>
      <c r="F21" s="3">
        <v>0</v>
      </c>
      <c r="G21" s="3">
        <v>0</v>
      </c>
      <c r="H21" s="3">
        <v>7.9053747999999996E-5</v>
      </c>
      <c r="I21" s="3">
        <v>1.6731359000000002E-5</v>
      </c>
      <c r="J21" s="3">
        <v>-2.1046916999999999E-4</v>
      </c>
      <c r="L21" s="3">
        <f t="shared" si="0"/>
        <v>7.4884985361773307E-2</v>
      </c>
      <c r="M21" s="3"/>
      <c r="N21" s="2">
        <f>IF('Modell einstellen'!$B$1="Voll",H21/0.35,H21/0.35*2)</f>
        <v>2.2586785142857143E-4</v>
      </c>
      <c r="O21" s="2">
        <f>IF('Modell einstellen'!$B$1="Voll",J21/0.35,J21/0.35*2)</f>
        <v>-6.0134048571428575E-4</v>
      </c>
      <c r="P21" s="3">
        <f t="shared" si="1"/>
        <v>0.37560725877333956</v>
      </c>
    </row>
    <row r="22" spans="1:16" x14ac:dyDescent="0.25">
      <c r="A22" s="3">
        <v>10000</v>
      </c>
      <c r="B22" s="3">
        <v>4.8189999999999998E-5</v>
      </c>
      <c r="C22" s="3">
        <v>1.816E-4</v>
      </c>
      <c r="D22" s="3">
        <v>-5.0719999999999997E-4</v>
      </c>
      <c r="E22" s="3">
        <v>0</v>
      </c>
      <c r="F22" s="3">
        <v>0</v>
      </c>
      <c r="G22" s="3">
        <v>0</v>
      </c>
      <c r="H22" s="3">
        <v>8.4400398E-5</v>
      </c>
      <c r="I22" s="3">
        <v>1.8779892000000001E-5</v>
      </c>
      <c r="J22" s="3">
        <v>-2.2272618000000001E-4</v>
      </c>
      <c r="L22" s="3">
        <f t="shared" si="0"/>
        <v>9.5011829652996843E-2</v>
      </c>
      <c r="M22" s="3"/>
      <c r="N22" s="2">
        <f>IF('Modell einstellen'!$B$1="Voll",H22/0.35,H22/0.35*2)</f>
        <v>2.4114399428571431E-4</v>
      </c>
      <c r="O22" s="2">
        <f>IF('Modell einstellen'!$B$1="Voll",J22/0.35,J22/0.35*2)</f>
        <v>-6.3636051428571437E-4</v>
      </c>
      <c r="P22" s="3">
        <f t="shared" si="1"/>
        <v>0.378942421586901</v>
      </c>
    </row>
    <row r="23" spans="1:16" x14ac:dyDescent="0.25">
      <c r="A23" s="3">
        <v>100000</v>
      </c>
      <c r="B23" s="3">
        <v>7.9670000000000001E-5</v>
      </c>
      <c r="C23" s="3">
        <v>2.1560000000000001E-4</v>
      </c>
      <c r="D23" s="3">
        <v>-5.666E-4</v>
      </c>
      <c r="E23" s="3">
        <v>0</v>
      </c>
      <c r="F23" s="3">
        <v>0</v>
      </c>
      <c r="G23" s="3">
        <v>0</v>
      </c>
      <c r="H23" s="3">
        <v>9.2072274999999994E-5</v>
      </c>
      <c r="I23" s="3">
        <v>2.2693725000000001E-5</v>
      </c>
      <c r="J23" s="3">
        <v>-2.4303783E-4</v>
      </c>
      <c r="L23" s="3">
        <f t="shared" si="0"/>
        <v>0.14061066007765619</v>
      </c>
      <c r="M23" s="3"/>
      <c r="N23" s="2">
        <f>IF('Modell einstellen'!$B$1="Voll",H23/0.35,H23/0.35*2)</f>
        <v>2.6306364285714286E-4</v>
      </c>
      <c r="O23" s="2">
        <f>IF('Modell einstellen'!$B$1="Voll",J23/0.35,J23/0.35*2)</f>
        <v>-6.9439380000000002E-4</v>
      </c>
      <c r="P23" s="3">
        <f t="shared" si="1"/>
        <v>0.37883927370483844</v>
      </c>
    </row>
    <row r="24" spans="1:16" x14ac:dyDescent="0.25">
      <c r="A24" s="3">
        <v>1000000</v>
      </c>
      <c r="B24" s="3">
        <v>1.16E-4</v>
      </c>
      <c r="C24" s="3">
        <v>2.5599999999999999E-4</v>
      </c>
      <c r="D24" s="3">
        <v>-6.3670000000000003E-4</v>
      </c>
      <c r="E24" s="3">
        <v>0</v>
      </c>
      <c r="F24" s="3">
        <v>0</v>
      </c>
      <c r="G24" s="3">
        <v>0</v>
      </c>
      <c r="H24" s="3">
        <v>1.0125284E-4</v>
      </c>
      <c r="I24" s="3">
        <v>2.7471817999999999E-5</v>
      </c>
      <c r="J24" s="3">
        <v>-2.678499E-4</v>
      </c>
      <c r="L24" s="3">
        <f t="shared" si="0"/>
        <v>0.18218941416679754</v>
      </c>
      <c r="M24" s="3"/>
      <c r="N24" s="2">
        <f>IF('Modell einstellen'!$B$1="Voll",H24/0.35,H24/0.35*2)</f>
        <v>2.8929382857142857E-4</v>
      </c>
      <c r="O24" s="2">
        <f>IF('Modell einstellen'!$B$1="Voll",J24/0.35,J24/0.35*2)</f>
        <v>-7.6528542857142866E-4</v>
      </c>
      <c r="P24" s="3">
        <f t="shared" si="1"/>
        <v>0.37802082434975703</v>
      </c>
    </row>
    <row r="25" spans="1:16" x14ac:dyDescent="0.25">
      <c r="A25" s="3">
        <v>10000000</v>
      </c>
      <c r="B25" s="3">
        <v>1.482E-4</v>
      </c>
      <c r="C25" s="3">
        <v>2.9609999999999999E-4</v>
      </c>
      <c r="D25" s="3">
        <v>-7.0450000000000005E-4</v>
      </c>
      <c r="E25" s="3">
        <v>0</v>
      </c>
      <c r="F25" s="3">
        <v>0</v>
      </c>
      <c r="G25" s="3">
        <v>0</v>
      </c>
      <c r="H25" s="3">
        <v>1.1137828E-4</v>
      </c>
      <c r="I25" s="3">
        <v>3.2387022E-5</v>
      </c>
      <c r="J25" s="3">
        <v>-2.9454394999999997E-4</v>
      </c>
      <c r="L25" s="3">
        <f t="shared" si="0"/>
        <v>0.21036195883605391</v>
      </c>
      <c r="M25" s="3"/>
      <c r="N25" s="2">
        <f>IF('Modell einstellen'!$B$1="Voll",H25/0.35,H25/0.35*2)</f>
        <v>3.1822365714285713E-4</v>
      </c>
      <c r="O25" s="2">
        <f>IF('Modell einstellen'!$B$1="Voll",J25/0.35,J25/0.35*2)</f>
        <v>-8.4155414285714278E-4</v>
      </c>
      <c r="P25" s="3">
        <f t="shared" si="1"/>
        <v>0.37813806734105387</v>
      </c>
    </row>
    <row r="26" spans="1:16" x14ac:dyDescent="0.25">
      <c r="A26" s="3">
        <v>100000000</v>
      </c>
      <c r="B26" s="3">
        <v>1.739E-4</v>
      </c>
      <c r="C26" s="3">
        <v>3.3340000000000003E-4</v>
      </c>
      <c r="D26" s="3">
        <v>-7.649E-4</v>
      </c>
      <c r="E26" s="3">
        <v>0</v>
      </c>
      <c r="F26" s="3">
        <v>0</v>
      </c>
      <c r="G26" s="3">
        <v>0</v>
      </c>
      <c r="H26" s="3">
        <v>1.2162253000000001E-4</v>
      </c>
      <c r="I26" s="3">
        <v>3.7121218000000002E-5</v>
      </c>
      <c r="J26" s="3">
        <v>-3.2116217999999998E-4</v>
      </c>
      <c r="L26" s="3">
        <f t="shared" si="0"/>
        <v>0.22734998038959342</v>
      </c>
      <c r="M26" s="3"/>
      <c r="N26" s="2">
        <f>IF('Modell einstellen'!$B$1="Voll",H26/0.35,H26/0.35*2)</f>
        <v>3.4749294285714292E-4</v>
      </c>
      <c r="O26" s="2">
        <f>IF('Modell einstellen'!$B$1="Voll",J26/0.35,J26/0.35*2)</f>
        <v>-9.1760622857142856E-4</v>
      </c>
      <c r="P26" s="3">
        <f t="shared" si="1"/>
        <v>0.37869505680899296</v>
      </c>
    </row>
    <row r="27" spans="1:16" x14ac:dyDescent="0.25">
      <c r="A27" s="3">
        <v>1000000000</v>
      </c>
      <c r="B27" s="3">
        <v>1.9239999999999999E-4</v>
      </c>
      <c r="C27" s="3">
        <v>3.6900000000000002E-4</v>
      </c>
      <c r="D27" s="3">
        <v>-8.1820000000000005E-4</v>
      </c>
      <c r="E27" s="3">
        <v>0</v>
      </c>
      <c r="F27" s="3">
        <v>0</v>
      </c>
      <c r="G27" s="3">
        <v>0</v>
      </c>
      <c r="H27" s="3">
        <v>1.3237888999999999E-4</v>
      </c>
      <c r="I27" s="3">
        <v>4.1795149999999999E-5</v>
      </c>
      <c r="J27" s="3">
        <v>-3.4849375E-4</v>
      </c>
      <c r="L27" s="3">
        <f t="shared" si="0"/>
        <v>0.2351503299926668</v>
      </c>
      <c r="M27" s="3"/>
      <c r="N27" s="2">
        <f>IF('Modell einstellen'!$B$1="Voll",H27/0.35,H27/0.35*2)</f>
        <v>3.7822540000000002E-4</v>
      </c>
      <c r="O27" s="2">
        <f>IF('Modell einstellen'!$B$1="Voll",J27/0.35,J27/0.35*2)</f>
        <v>-9.9569642857142869E-4</v>
      </c>
      <c r="P27" s="3">
        <f t="shared" si="1"/>
        <v>0.37986015531125017</v>
      </c>
    </row>
    <row r="28" spans="1:16" x14ac:dyDescent="0.25">
      <c r="A28" s="3">
        <v>10000000000</v>
      </c>
      <c r="B28" s="3">
        <v>2.0340000000000001E-4</v>
      </c>
      <c r="C28" s="3">
        <v>4.059E-4</v>
      </c>
      <c r="D28" s="3">
        <v>-8.6700000000000004E-4</v>
      </c>
      <c r="E28" s="3">
        <v>0</v>
      </c>
      <c r="F28" s="3">
        <v>0</v>
      </c>
      <c r="G28" s="3">
        <v>0</v>
      </c>
      <c r="H28" s="3">
        <v>1.4451937999999999E-4</v>
      </c>
      <c r="I28" s="3">
        <v>4.6781912E-5</v>
      </c>
      <c r="J28" s="3">
        <v>-3.7869610999999997E-4</v>
      </c>
      <c r="L28" s="3">
        <f t="shared" si="0"/>
        <v>0.23460207612456749</v>
      </c>
      <c r="M28" s="3"/>
      <c r="N28" s="2">
        <f>IF('Modell einstellen'!$B$1="Voll",H28/0.35,H28/0.35*2)</f>
        <v>4.1291251428571425E-4</v>
      </c>
      <c r="O28" s="2">
        <f>IF('Modell einstellen'!$B$1="Voll",J28/0.35,J28/0.35*2)</f>
        <v>-1.0819888857142856E-3</v>
      </c>
      <c r="P28" s="3">
        <f t="shared" si="1"/>
        <v>0.38162361900152603</v>
      </c>
    </row>
    <row r="29" spans="1:16" x14ac:dyDescent="0.25">
      <c r="A29" s="3">
        <v>100000000000</v>
      </c>
      <c r="B29" s="3">
        <v>2.0489999999999999E-4</v>
      </c>
      <c r="C29" s="3">
        <v>4.4959999999999998E-4</v>
      </c>
      <c r="D29" s="3">
        <v>-9.1469999999999995E-4</v>
      </c>
      <c r="E29" s="3">
        <v>0</v>
      </c>
      <c r="F29" s="3">
        <v>0</v>
      </c>
      <c r="G29" s="3">
        <v>0</v>
      </c>
      <c r="H29" s="3">
        <v>1.6011431999999999E-4</v>
      </c>
      <c r="I29" s="3">
        <v>5.2865356999999999E-5</v>
      </c>
      <c r="J29" s="3">
        <v>-4.1667959000000001E-4</v>
      </c>
      <c r="L29" s="3">
        <f t="shared" si="0"/>
        <v>0.22400787143325682</v>
      </c>
      <c r="M29" s="3"/>
      <c r="N29" s="2">
        <f>IF('Modell einstellen'!$B$1="Voll",H29/0.35,H29/0.35*2)</f>
        <v>4.5746948571428569E-4</v>
      </c>
      <c r="O29" s="2">
        <f>IF('Modell einstellen'!$B$1="Voll",J29/0.35,J29/0.35*2)</f>
        <v>-1.1905131142857144E-3</v>
      </c>
      <c r="P29" s="3">
        <f t="shared" si="1"/>
        <v>0.38426244971585954</v>
      </c>
    </row>
    <row r="30" spans="1:16" x14ac:dyDescent="0.25">
      <c r="A30" s="3">
        <v>1000000000000</v>
      </c>
      <c r="B30" s="3">
        <v>1.874E-4</v>
      </c>
      <c r="C30" s="3">
        <v>5.1309999999999995E-4</v>
      </c>
      <c r="D30" s="3">
        <v>-9.655E-4</v>
      </c>
      <c r="E30" s="3">
        <v>0</v>
      </c>
      <c r="F30" s="3">
        <v>0</v>
      </c>
      <c r="G30" s="3">
        <v>0</v>
      </c>
      <c r="H30" s="3">
        <v>1.8452810999999999E-4</v>
      </c>
      <c r="I30" s="3">
        <v>6.1983619999999995E-5</v>
      </c>
      <c r="J30" s="3">
        <v>-4.7496307E-4</v>
      </c>
      <c r="L30" s="3">
        <f t="shared" si="0"/>
        <v>0.19409632314862765</v>
      </c>
      <c r="M30" s="3"/>
      <c r="N30" s="2">
        <f>IF('Modell einstellen'!$B$1="Voll",H30/0.35,H30/0.35*2)</f>
        <v>5.2722317142857137E-4</v>
      </c>
      <c r="O30" s="2">
        <f>IF('Modell einstellen'!$B$1="Voll",J30/0.35,J30/0.35*2)</f>
        <v>-1.357037342857143E-3</v>
      </c>
      <c r="P30" s="3">
        <f t="shared" si="1"/>
        <v>0.38851043724304701</v>
      </c>
    </row>
    <row r="31" spans="1:16" x14ac:dyDescent="0.25">
      <c r="A31" s="3">
        <v>10000000000000</v>
      </c>
      <c r="B31" s="3">
        <v>1.2980000000000001E-4</v>
      </c>
      <c r="C31" s="3">
        <v>6.1039999999999998E-4</v>
      </c>
      <c r="D31" s="3">
        <v>-1.0120000000000001E-3</v>
      </c>
      <c r="E31" s="3">
        <v>0</v>
      </c>
      <c r="F31" s="3">
        <v>0</v>
      </c>
      <c r="G31" s="3">
        <v>0</v>
      </c>
      <c r="H31" s="3">
        <v>2.2475705999999999E-4</v>
      </c>
      <c r="I31" s="3">
        <v>7.6597258999999994E-5</v>
      </c>
      <c r="J31" s="3">
        <v>-5.6949243999999998E-4</v>
      </c>
      <c r="L31" s="3">
        <f t="shared" si="0"/>
        <v>0.1282608695652174</v>
      </c>
      <c r="M31" s="3"/>
      <c r="N31" s="2">
        <f>IF('Modell einstellen'!$B$1="Voll",H31/0.35,H31/0.35*2)</f>
        <v>6.421630285714286E-4</v>
      </c>
      <c r="O31" s="2">
        <f>IF('Modell einstellen'!$B$1="Voll",J31/0.35,J31/0.35*2)</f>
        <v>-1.6271212571428572E-3</v>
      </c>
      <c r="P31" s="3">
        <f t="shared" si="1"/>
        <v>0.39466206083438088</v>
      </c>
    </row>
    <row r="32" spans="1:16" x14ac:dyDescent="0.25">
      <c r="A32" s="3">
        <v>100000000000000</v>
      </c>
      <c r="B32" s="3">
        <v>-3.1359999999999998E-5</v>
      </c>
      <c r="C32" s="3">
        <v>7.7430000000000001E-4</v>
      </c>
      <c r="D32" s="3">
        <v>-1.0250000000000001E-3</v>
      </c>
      <c r="E32" s="3">
        <v>0</v>
      </c>
      <c r="F32" s="3">
        <v>0</v>
      </c>
      <c r="G32" s="3">
        <v>0</v>
      </c>
      <c r="H32" s="3">
        <v>2.9923858999999998E-4</v>
      </c>
      <c r="I32" s="3">
        <v>1.0260775E-4</v>
      </c>
      <c r="J32" s="3">
        <v>-7.4028763000000004E-4</v>
      </c>
      <c r="L32" s="3">
        <f t="shared" si="0"/>
        <v>-3.0595121951219509E-2</v>
      </c>
      <c r="M32" s="3"/>
      <c r="N32" s="2">
        <f>IF('Modell einstellen'!$B$1="Voll",H32/0.35,H32/0.35*2)</f>
        <v>8.5496740000000002E-4</v>
      </c>
      <c r="O32" s="2">
        <f>IF('Modell einstellen'!$B$1="Voll",J32/0.35,J32/0.35*2)</f>
        <v>-2.1151075142857145E-3</v>
      </c>
      <c r="P32" s="3">
        <f t="shared" si="1"/>
        <v>0.4042193572787377</v>
      </c>
    </row>
    <row r="33" spans="1:16" x14ac:dyDescent="0.25">
      <c r="A33" s="3">
        <v>1000000000000000</v>
      </c>
      <c r="B33" s="3">
        <v>-5.0319999999999998E-4</v>
      </c>
      <c r="C33" s="3">
        <v>1.093E-3</v>
      </c>
      <c r="D33" s="3">
        <v>-8.8500000000000004E-4</v>
      </c>
      <c r="E33" s="3">
        <v>0</v>
      </c>
      <c r="F33" s="3">
        <v>0</v>
      </c>
      <c r="G33" s="3">
        <v>0</v>
      </c>
      <c r="H33" s="3">
        <v>4.6265922000000002E-4</v>
      </c>
      <c r="I33" s="3">
        <v>1.5662211999999999E-4</v>
      </c>
      <c r="J33" s="3">
        <v>-1.1024379E-3</v>
      </c>
      <c r="L33" s="3">
        <f t="shared" si="0"/>
        <v>-0.56858757062146892</v>
      </c>
      <c r="M33" s="3"/>
      <c r="N33" s="2">
        <f>IF('Modell einstellen'!$B$1="Voll",H33/0.35,H33/0.35*2)</f>
        <v>1.3218834857142859E-3</v>
      </c>
      <c r="O33" s="2">
        <f>IF('Modell einstellen'!$B$1="Voll",J33/0.35,J33/0.35*2)</f>
        <v>-3.1498225714285716E-3</v>
      </c>
      <c r="P33" s="3">
        <f t="shared" si="1"/>
        <v>0.41966918952985927</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4.2360000000000001E-5</v>
      </c>
      <c r="C3" s="3">
        <v>1.5300000000000001E-4</v>
      </c>
      <c r="D3" s="3">
        <v>-4.6860000000000001E-4</v>
      </c>
      <c r="E3" s="3">
        <v>0</v>
      </c>
      <c r="F3" s="3">
        <v>0</v>
      </c>
      <c r="G3" s="3">
        <v>0</v>
      </c>
      <c r="H3" s="3">
        <v>7.1015355999999997E-5</v>
      </c>
      <c r="I3" s="3">
        <v>1.5578399E-5</v>
      </c>
      <c r="J3" s="3">
        <v>-1.9722127000000001E-4</v>
      </c>
      <c r="K3" s="3"/>
      <c r="L3" s="3">
        <f>-B3/D3</f>
        <v>9.0396927016645326E-2</v>
      </c>
      <c r="M3" s="3"/>
      <c r="N3" s="2">
        <f>IF('Modell einstellen'!$B$1="Voll",H3/0.35,H3/0.35*2)</f>
        <v>2.0290101714285714E-4</v>
      </c>
      <c r="O3" s="2">
        <f>IF('Modell einstellen'!$B$1="Voll",J3/0.35,J3/0.35*2)</f>
        <v>-5.6348934285714288E-4</v>
      </c>
      <c r="P3" s="3">
        <f>-N3/O3</f>
        <v>0.36007959993361766</v>
      </c>
      <c r="Q3" s="3"/>
      <c r="R3" s="3"/>
      <c r="S3" s="3"/>
      <c r="T3" s="3"/>
      <c r="U3" s="3"/>
    </row>
    <row r="4" spans="1:21" x14ac:dyDescent="0.25">
      <c r="A4" s="3">
        <v>1E-14</v>
      </c>
      <c r="B4" s="3">
        <v>4.2349999999999999E-5</v>
      </c>
      <c r="C4" s="3">
        <v>1.5300000000000001E-4</v>
      </c>
      <c r="D4" s="3">
        <v>-4.6860000000000001E-4</v>
      </c>
      <c r="E4" s="3">
        <v>0</v>
      </c>
      <c r="F4" s="3">
        <v>0</v>
      </c>
      <c r="G4" s="3">
        <v>0</v>
      </c>
      <c r="H4" s="3">
        <v>7.1016938000000005E-5</v>
      </c>
      <c r="I4" s="3">
        <v>1.5579525000000001E-5</v>
      </c>
      <c r="J4" s="3">
        <v>-1.9721747000000001E-4</v>
      </c>
      <c r="K4" s="3"/>
      <c r="L4" s="3">
        <f t="shared" ref="L4:L33" si="0">-B4/D4</f>
        <v>9.0375586854460094E-2</v>
      </c>
      <c r="M4" s="3"/>
      <c r="N4" s="2">
        <f>IF('Modell einstellen'!$B$1="Voll",H4/0.35,H4/0.35*2)</f>
        <v>2.0290553714285718E-4</v>
      </c>
      <c r="O4" s="2">
        <f>IF('Modell einstellen'!$B$1="Voll",J4/0.35,J4/0.35*2)</f>
        <v>-5.6347848571428581E-4</v>
      </c>
      <c r="P4" s="3">
        <f t="shared" ref="P4:P33" si="1">-N4/O4</f>
        <v>0.36009455957426084</v>
      </c>
      <c r="Q4" s="3"/>
      <c r="R4" s="3"/>
      <c r="S4" s="3"/>
      <c r="T4" s="3"/>
      <c r="U4" s="3"/>
    </row>
    <row r="5" spans="1:21" x14ac:dyDescent="0.25">
      <c r="A5" s="3">
        <v>1E-13</v>
      </c>
      <c r="B5" s="3">
        <v>4.2360000000000001E-5</v>
      </c>
      <c r="C5" s="3">
        <v>1.5300000000000001E-4</v>
      </c>
      <c r="D5" s="3">
        <v>-4.6860000000000001E-4</v>
      </c>
      <c r="E5" s="3">
        <v>0</v>
      </c>
      <c r="F5" s="3">
        <v>0</v>
      </c>
      <c r="G5" s="3">
        <v>0</v>
      </c>
      <c r="H5" s="3">
        <v>7.1017313999999993E-5</v>
      </c>
      <c r="I5" s="3">
        <v>1.5579694E-5</v>
      </c>
      <c r="J5" s="3">
        <v>-1.9721846000000001E-4</v>
      </c>
      <c r="K5" s="3"/>
      <c r="L5" s="3">
        <f t="shared" si="0"/>
        <v>9.0396927016645326E-2</v>
      </c>
      <c r="M5" s="3"/>
      <c r="N5" s="2">
        <f>IF('Modell einstellen'!$B$1="Voll",H5/0.35,H5/0.35*2)</f>
        <v>2.0290661142857141E-4</v>
      </c>
      <c r="O5" s="2">
        <f>IF('Modell einstellen'!$B$1="Voll",J5/0.35,J5/0.35*2)</f>
        <v>-5.6348131428571432E-4</v>
      </c>
      <c r="P5" s="3">
        <f t="shared" si="1"/>
        <v>0.36009465848176681</v>
      </c>
      <c r="Q5" s="3"/>
      <c r="R5" s="3"/>
      <c r="S5" s="3"/>
      <c r="T5" s="3"/>
      <c r="U5" s="3"/>
    </row>
    <row r="6" spans="1:21" x14ac:dyDescent="0.25">
      <c r="A6" s="3">
        <v>9.9999999999999998E-13</v>
      </c>
      <c r="B6" s="3">
        <v>4.2360000000000001E-5</v>
      </c>
      <c r="C6" s="3">
        <v>1.5300000000000001E-4</v>
      </c>
      <c r="D6" s="3">
        <v>-4.6860000000000001E-4</v>
      </c>
      <c r="E6" s="3">
        <v>0</v>
      </c>
      <c r="F6" s="3">
        <v>0</v>
      </c>
      <c r="G6" s="3">
        <v>0</v>
      </c>
      <c r="H6" s="3">
        <v>7.1017430000000004E-5</v>
      </c>
      <c r="I6" s="3">
        <v>1.5579741000000001E-5</v>
      </c>
      <c r="J6" s="3">
        <v>-1.9721874999999999E-4</v>
      </c>
      <c r="K6" s="3"/>
      <c r="L6" s="3">
        <f t="shared" si="0"/>
        <v>9.0396927016645326E-2</v>
      </c>
      <c r="M6" s="3"/>
      <c r="N6" s="2">
        <f>IF('Modell einstellen'!$B$1="Voll",H6/0.35,H6/0.35*2)</f>
        <v>2.0290694285714288E-4</v>
      </c>
      <c r="O6" s="2">
        <f>IF('Modell einstellen'!$B$1="Voll",J6/0.35,J6/0.35*2)</f>
        <v>-5.6348214285714291E-4</v>
      </c>
      <c r="P6" s="3">
        <f t="shared" si="1"/>
        <v>0.36009471716051339</v>
      </c>
      <c r="Q6" s="3"/>
      <c r="R6" s="3"/>
      <c r="S6" s="3"/>
      <c r="T6" s="3"/>
      <c r="U6" s="3"/>
    </row>
    <row r="7" spans="1:21" x14ac:dyDescent="0.25">
      <c r="A7" s="3">
        <v>9.9999999999999994E-12</v>
      </c>
      <c r="B7" s="3">
        <v>4.2360000000000001E-5</v>
      </c>
      <c r="C7" s="3">
        <v>1.5300000000000001E-4</v>
      </c>
      <c r="D7" s="3">
        <v>-4.6860000000000001E-4</v>
      </c>
      <c r="E7" s="3">
        <v>0</v>
      </c>
      <c r="F7" s="3">
        <v>0</v>
      </c>
      <c r="G7" s="3">
        <v>0</v>
      </c>
      <c r="H7" s="3">
        <v>7.1017468000000001E-5</v>
      </c>
      <c r="I7" s="3">
        <v>1.5579755E-5</v>
      </c>
      <c r="J7" s="3">
        <v>-1.9721884000000001E-4</v>
      </c>
      <c r="K7" s="3"/>
      <c r="L7" s="3">
        <f t="shared" si="0"/>
        <v>9.0396927016645326E-2</v>
      </c>
      <c r="M7" s="3"/>
      <c r="N7" s="2">
        <f>IF('Modell einstellen'!$B$1="Voll",H7/0.35,H7/0.35*2)</f>
        <v>2.0290705142857144E-4</v>
      </c>
      <c r="O7" s="2">
        <f>IF('Modell einstellen'!$B$1="Voll",J7/0.35,J7/0.35*2)</f>
        <v>-5.6348240000000005E-4</v>
      </c>
      <c r="P7" s="3">
        <f t="shared" si="1"/>
        <v>0.36009474551214277</v>
      </c>
      <c r="Q7" s="3"/>
      <c r="R7" s="3"/>
      <c r="S7" s="3"/>
      <c r="T7" s="3"/>
      <c r="U7" s="3"/>
    </row>
    <row r="8" spans="1:21" x14ac:dyDescent="0.25">
      <c r="A8" s="3">
        <v>1E-10</v>
      </c>
      <c r="B8" s="3">
        <v>4.2360000000000001E-5</v>
      </c>
      <c r="C8" s="3">
        <v>1.5300000000000001E-4</v>
      </c>
      <c r="D8" s="3">
        <v>-4.6860000000000001E-4</v>
      </c>
      <c r="E8" s="3">
        <v>0</v>
      </c>
      <c r="F8" s="3">
        <v>0</v>
      </c>
      <c r="G8" s="3">
        <v>0</v>
      </c>
      <c r="H8" s="3">
        <v>7.1017481000000004E-5</v>
      </c>
      <c r="I8" s="3">
        <v>1.5579759000000001E-5</v>
      </c>
      <c r="J8" s="3">
        <v>-1.9721887E-4</v>
      </c>
      <c r="K8" s="3"/>
      <c r="L8" s="3">
        <f t="shared" si="0"/>
        <v>9.0396927016645326E-2</v>
      </c>
      <c r="M8" s="3"/>
      <c r="N8" s="2">
        <f>IF('Modell einstellen'!$B$1="Voll",H8/0.35,H8/0.35*2)</f>
        <v>2.0290708857142859E-4</v>
      </c>
      <c r="O8" s="2">
        <f>IF('Modell einstellen'!$B$1="Voll",J8/0.35,J8/0.35*2)</f>
        <v>-5.6348248571428576E-4</v>
      </c>
      <c r="P8" s="3">
        <f t="shared" si="1"/>
        <v>0.36009475665284973</v>
      </c>
      <c r="Q8" s="3"/>
      <c r="R8" s="3"/>
      <c r="S8" s="3"/>
      <c r="T8" s="3"/>
      <c r="U8" s="3"/>
    </row>
    <row r="9" spans="1:21" x14ac:dyDescent="0.25">
      <c r="A9" s="3">
        <v>1.0000000000000001E-9</v>
      </c>
      <c r="B9" s="3">
        <v>4.2360000000000001E-5</v>
      </c>
      <c r="C9" s="3">
        <v>1.5300000000000001E-4</v>
      </c>
      <c r="D9" s="3">
        <v>-4.6860000000000001E-4</v>
      </c>
      <c r="E9" s="3">
        <v>0</v>
      </c>
      <c r="F9" s="3">
        <v>0</v>
      </c>
      <c r="G9" s="3">
        <v>0</v>
      </c>
      <c r="H9" s="3">
        <v>7.1017485000000001E-5</v>
      </c>
      <c r="I9" s="3">
        <v>1.5579760999999999E-5</v>
      </c>
      <c r="J9" s="3">
        <v>-1.9721887999999999E-4</v>
      </c>
      <c r="K9" s="3"/>
      <c r="L9" s="3">
        <f t="shared" si="0"/>
        <v>9.0396927016645326E-2</v>
      </c>
      <c r="M9" s="3"/>
      <c r="N9" s="2">
        <f>IF('Modell einstellen'!$B$1="Voll",H9/0.35,H9/0.35*2)</f>
        <v>2.0290710000000001E-4</v>
      </c>
      <c r="O9" s="2">
        <f>IF('Modell einstellen'!$B$1="Voll",J9/0.35,J9/0.35*2)</f>
        <v>-5.634825142857143E-4</v>
      </c>
      <c r="P9" s="3">
        <f t="shared" si="1"/>
        <v>0.36009475867624846</v>
      </c>
      <c r="Q9" s="3"/>
      <c r="R9" s="3"/>
      <c r="S9" s="3"/>
      <c r="T9" s="3"/>
      <c r="U9" s="3"/>
    </row>
    <row r="10" spans="1:21" x14ac:dyDescent="0.25">
      <c r="A10" s="3">
        <v>1E-8</v>
      </c>
      <c r="B10" s="3">
        <v>4.2360000000000001E-5</v>
      </c>
      <c r="C10" s="3">
        <v>1.5300000000000001E-4</v>
      </c>
      <c r="D10" s="3">
        <v>-4.6860000000000001E-4</v>
      </c>
      <c r="E10" s="3">
        <v>0</v>
      </c>
      <c r="F10" s="3">
        <v>0</v>
      </c>
      <c r="G10" s="3">
        <v>0</v>
      </c>
      <c r="H10" s="3">
        <v>7.1017486999999993E-5</v>
      </c>
      <c r="I10" s="3">
        <v>1.5579760999999999E-5</v>
      </c>
      <c r="J10" s="3">
        <v>-1.9721887999999999E-4</v>
      </c>
      <c r="K10" s="3"/>
      <c r="L10" s="3">
        <f t="shared" si="0"/>
        <v>9.0396927016645326E-2</v>
      </c>
      <c r="M10" s="3"/>
      <c r="N10" s="2">
        <f>IF('Modell einstellen'!$B$1="Voll",H10/0.35,H10/0.35*2)</f>
        <v>2.0290710571428571E-4</v>
      </c>
      <c r="O10" s="2">
        <f>IF('Modell einstellen'!$B$1="Voll",J10/0.35,J10/0.35*2)</f>
        <v>-5.634825142857143E-4</v>
      </c>
      <c r="P10" s="3">
        <f t="shared" si="1"/>
        <v>0.36009476881726538</v>
      </c>
      <c r="Q10" s="3"/>
      <c r="R10" s="3"/>
      <c r="S10" s="3"/>
      <c r="T10" s="3"/>
      <c r="U10" s="3"/>
    </row>
    <row r="11" spans="1:21" x14ac:dyDescent="0.25">
      <c r="A11" s="3">
        <v>9.9999999999999995E-8</v>
      </c>
      <c r="B11" s="3">
        <v>4.2360000000000001E-5</v>
      </c>
      <c r="C11" s="3">
        <v>1.5300000000000001E-4</v>
      </c>
      <c r="D11" s="3">
        <v>-4.6860000000000001E-4</v>
      </c>
      <c r="E11" s="3">
        <v>0</v>
      </c>
      <c r="F11" s="3">
        <v>0</v>
      </c>
      <c r="G11" s="3">
        <v>0</v>
      </c>
      <c r="H11" s="3">
        <v>7.1017491000000004E-5</v>
      </c>
      <c r="I11" s="3">
        <v>1.5579761999999999E-5</v>
      </c>
      <c r="J11" s="3">
        <v>-1.9721889E-4</v>
      </c>
      <c r="K11" s="3"/>
      <c r="L11" s="3">
        <f t="shared" si="0"/>
        <v>9.0396927016645326E-2</v>
      </c>
      <c r="M11" s="3"/>
      <c r="N11" s="2">
        <f>IF('Modell einstellen'!$B$1="Voll",H11/0.35,H11/0.35*2)</f>
        <v>2.0290711714285716E-4</v>
      </c>
      <c r="O11" s="2">
        <f>IF('Modell einstellen'!$B$1="Voll",J11/0.35,J11/0.35*2)</f>
        <v>-5.6348254285714294E-4</v>
      </c>
      <c r="P11" s="3">
        <f t="shared" si="1"/>
        <v>0.36009477084066338</v>
      </c>
      <c r="Q11" s="3"/>
      <c r="R11" s="3"/>
      <c r="S11" s="3"/>
      <c r="T11" s="3"/>
      <c r="U11" s="3"/>
    </row>
    <row r="12" spans="1:21" x14ac:dyDescent="0.25">
      <c r="A12" s="3">
        <v>9.9999999999999995E-7</v>
      </c>
      <c r="B12" s="3">
        <v>4.2360000000000001E-5</v>
      </c>
      <c r="C12" s="3">
        <v>1.5300000000000001E-4</v>
      </c>
      <c r="D12" s="3">
        <v>-4.6860000000000001E-4</v>
      </c>
      <c r="E12" s="3">
        <v>0</v>
      </c>
      <c r="F12" s="3">
        <v>0</v>
      </c>
      <c r="G12" s="3">
        <v>0</v>
      </c>
      <c r="H12" s="3">
        <v>7.1017530999999994E-5</v>
      </c>
      <c r="I12" s="3">
        <v>1.5579766E-5</v>
      </c>
      <c r="J12" s="3">
        <v>-1.9721895000000001E-4</v>
      </c>
      <c r="K12" s="3"/>
      <c r="L12" s="3">
        <f t="shared" si="0"/>
        <v>9.0396927016645326E-2</v>
      </c>
      <c r="M12" s="3"/>
      <c r="N12" s="2">
        <f>IF('Modell einstellen'!$B$1="Voll",H12/0.35,H12/0.35*2)</f>
        <v>2.0290723142857143E-4</v>
      </c>
      <c r="O12" s="2">
        <f>IF('Modell einstellen'!$B$1="Voll",J12/0.35,J12/0.35*2)</f>
        <v>-5.6348271428571437E-4</v>
      </c>
      <c r="P12" s="3">
        <f t="shared" si="1"/>
        <v>0.36009486410915376</v>
      </c>
      <c r="Q12" s="3"/>
      <c r="R12" s="3"/>
      <c r="S12" s="3"/>
      <c r="T12" s="3"/>
      <c r="U12" s="3"/>
    </row>
    <row r="13" spans="1:21" x14ac:dyDescent="0.25">
      <c r="A13" s="3">
        <v>1.0000000000000001E-5</v>
      </c>
      <c r="B13" s="3">
        <v>4.2360000000000001E-5</v>
      </c>
      <c r="C13" s="3">
        <v>1.5300000000000001E-4</v>
      </c>
      <c r="D13" s="3">
        <v>-4.6860000000000001E-4</v>
      </c>
      <c r="E13" s="3">
        <v>0</v>
      </c>
      <c r="F13" s="3">
        <v>0</v>
      </c>
      <c r="G13" s="3">
        <v>0</v>
      </c>
      <c r="H13" s="3">
        <v>7.1017919999999998E-5</v>
      </c>
      <c r="I13" s="3">
        <v>1.5579811E-5</v>
      </c>
      <c r="J13" s="3">
        <v>-1.9721957E-4</v>
      </c>
      <c r="K13" s="3"/>
      <c r="L13" s="3">
        <f t="shared" si="0"/>
        <v>9.0396927016645326E-2</v>
      </c>
      <c r="M13" s="3"/>
      <c r="N13" s="2">
        <f>IF('Modell einstellen'!$B$1="Voll",H13/0.35,H13/0.35*2)</f>
        <v>2.0290834285714287E-4</v>
      </c>
      <c r="O13" s="2">
        <f>IF('Modell einstellen'!$B$1="Voll",J13/0.35,J13/0.35*2)</f>
        <v>-5.6348448571428569E-4</v>
      </c>
      <c r="P13" s="3">
        <f t="shared" si="1"/>
        <v>0.36009570449829092</v>
      </c>
      <c r="Q13" s="3"/>
      <c r="R13" s="3"/>
      <c r="S13" s="3"/>
      <c r="T13" s="3"/>
      <c r="U13" s="3"/>
    </row>
    <row r="14" spans="1:21" x14ac:dyDescent="0.25">
      <c r="A14" s="3">
        <v>1E-4</v>
      </c>
      <c r="B14" s="3">
        <v>4.2349999999999999E-5</v>
      </c>
      <c r="C14" s="3">
        <v>1.5300000000000001E-4</v>
      </c>
      <c r="D14" s="3">
        <v>-4.6860000000000001E-4</v>
      </c>
      <c r="E14" s="3">
        <v>0</v>
      </c>
      <c r="F14" s="3">
        <v>0</v>
      </c>
      <c r="G14" s="3">
        <v>0</v>
      </c>
      <c r="H14" s="3">
        <v>7.1021809999999999E-5</v>
      </c>
      <c r="I14" s="3">
        <v>1.5580261000000001E-5</v>
      </c>
      <c r="J14" s="3">
        <v>-1.9722576000000001E-4</v>
      </c>
      <c r="K14" s="3"/>
      <c r="L14" s="3">
        <f t="shared" si="0"/>
        <v>9.0375586854460094E-2</v>
      </c>
      <c r="M14" s="3"/>
      <c r="N14" s="2">
        <f>IF('Modell einstellen'!$B$1="Voll",H14/0.35,H14/0.35*2)</f>
        <v>2.0291945714285715E-4</v>
      </c>
      <c r="O14" s="2">
        <f>IF('Modell einstellen'!$B$1="Voll",J14/0.35,J14/0.35*2)</f>
        <v>-5.6350217142857144E-4</v>
      </c>
      <c r="P14" s="3">
        <f t="shared" si="1"/>
        <v>0.36010412635753059</v>
      </c>
      <c r="Q14" s="3"/>
      <c r="R14" s="3"/>
      <c r="S14" s="3"/>
      <c r="T14" s="3"/>
      <c r="U14" s="3"/>
    </row>
    <row r="15" spans="1:21" x14ac:dyDescent="0.25">
      <c r="A15" s="3">
        <v>1E-3</v>
      </c>
      <c r="B15" s="3">
        <v>4.231E-5</v>
      </c>
      <c r="C15" s="3">
        <v>1.5300000000000001E-4</v>
      </c>
      <c r="D15" s="3">
        <v>-4.6860000000000001E-4</v>
      </c>
      <c r="E15" s="3">
        <v>0</v>
      </c>
      <c r="F15" s="3">
        <v>0</v>
      </c>
      <c r="G15" s="3">
        <v>0</v>
      </c>
      <c r="H15" s="3">
        <v>7.1060424000000001E-5</v>
      </c>
      <c r="I15" s="3">
        <v>1.5584727000000001E-5</v>
      </c>
      <c r="J15" s="3">
        <v>-1.9728717000000001E-4</v>
      </c>
      <c r="K15" s="3"/>
      <c r="L15" s="3">
        <f t="shared" si="0"/>
        <v>9.0290226205719165E-2</v>
      </c>
      <c r="M15" s="3"/>
      <c r="N15" s="2">
        <f>IF('Modell einstellen'!$B$1="Voll",H15/0.35,H15/0.35*2)</f>
        <v>2.0302978285714288E-4</v>
      </c>
      <c r="O15" s="2">
        <f>IF('Modell einstellen'!$B$1="Voll",J15/0.35,J15/0.35*2)</f>
        <v>-5.6367762857142858E-4</v>
      </c>
      <c r="P15" s="3">
        <f t="shared" si="1"/>
        <v>0.36018776081587062</v>
      </c>
      <c r="Q15" s="3"/>
      <c r="R15" s="3"/>
      <c r="S15" s="3"/>
      <c r="T15" s="3"/>
      <c r="U15" s="3"/>
    </row>
    <row r="16" spans="1:21" x14ac:dyDescent="0.25">
      <c r="A16" s="3">
        <v>0.01</v>
      </c>
      <c r="B16" s="3">
        <v>4.1900000000000002E-5</v>
      </c>
      <c r="C16" s="3">
        <v>1.5339999999999999E-4</v>
      </c>
      <c r="D16" s="3">
        <v>-4.6890000000000001E-4</v>
      </c>
      <c r="E16" s="3">
        <v>0</v>
      </c>
      <c r="F16" s="3">
        <v>0</v>
      </c>
      <c r="G16" s="3">
        <v>0</v>
      </c>
      <c r="H16" s="3">
        <v>7.1419427999999999E-5</v>
      </c>
      <c r="I16" s="3">
        <v>1.5626209000000001E-5</v>
      </c>
      <c r="J16" s="3">
        <v>-1.9785787999999999E-4</v>
      </c>
      <c r="K16" s="3"/>
      <c r="L16" s="3">
        <f t="shared" si="0"/>
        <v>8.9358072083599915E-2</v>
      </c>
      <c r="M16" s="3"/>
      <c r="N16" s="2">
        <f>IF('Modell einstellen'!$B$1="Voll",H16/0.35,H16/0.35*2)</f>
        <v>2.0405550857142859E-4</v>
      </c>
      <c r="O16" s="2">
        <f>IF('Modell einstellen'!$B$1="Voll",J16/0.35,J16/0.35*2)</f>
        <v>-5.6530822857142854E-4</v>
      </c>
      <c r="P16" s="3">
        <f t="shared" si="1"/>
        <v>0.36096327323430338</v>
      </c>
      <c r="Q16" s="3"/>
      <c r="R16" s="3"/>
      <c r="S16" s="3"/>
      <c r="T16" s="3"/>
      <c r="U16" s="3"/>
    </row>
    <row r="17" spans="1:25" x14ac:dyDescent="0.25">
      <c r="A17" s="3">
        <v>0.1</v>
      </c>
      <c r="B17" s="3">
        <v>4.0059999999999999E-5</v>
      </c>
      <c r="C17" s="3">
        <v>1.5559999999999999E-4</v>
      </c>
      <c r="D17" s="3">
        <v>-4.7090000000000001E-4</v>
      </c>
      <c r="E17" s="3">
        <v>0</v>
      </c>
      <c r="F17" s="3">
        <v>0</v>
      </c>
      <c r="G17" s="3">
        <v>0</v>
      </c>
      <c r="H17" s="3">
        <v>7.3390922000000003E-5</v>
      </c>
      <c r="I17" s="3">
        <v>1.5873325000000001E-5</v>
      </c>
      <c r="J17" s="3">
        <v>-2.0104523000000001E-4</v>
      </c>
      <c r="K17" s="3"/>
      <c r="L17" s="3">
        <f t="shared" si="0"/>
        <v>8.5071140369505194E-2</v>
      </c>
      <c r="M17" s="3"/>
      <c r="N17" s="2">
        <f>IF('Modell einstellen'!$B$1="Voll",H17/0.35,H17/0.35*2)</f>
        <v>2.0968834857142859E-4</v>
      </c>
      <c r="O17" s="2">
        <f>IF('Modell einstellen'!$B$1="Voll",J17/0.35,J17/0.35*2)</f>
        <v>-5.7441494285714293E-4</v>
      </c>
      <c r="P17" s="3">
        <f t="shared" si="1"/>
        <v>0.36504682055873694</v>
      </c>
      <c r="Q17" s="3"/>
      <c r="R17" s="3"/>
      <c r="S17" s="3"/>
      <c r="T17" s="3"/>
      <c r="U17" s="3"/>
      <c r="V17" s="3"/>
      <c r="W17" s="3"/>
      <c r="X17" s="3"/>
      <c r="Y17" s="3"/>
    </row>
    <row r="18" spans="1:25" x14ac:dyDescent="0.25">
      <c r="A18" s="3">
        <v>1</v>
      </c>
      <c r="B18" s="3">
        <v>3.7450000000000002E-5</v>
      </c>
      <c r="C18" s="3">
        <v>1.583E-4</v>
      </c>
      <c r="D18" s="3">
        <v>-4.73E-4</v>
      </c>
      <c r="E18" s="3">
        <v>0</v>
      </c>
      <c r="F18" s="3">
        <v>0</v>
      </c>
      <c r="G18" s="3">
        <v>0</v>
      </c>
      <c r="H18" s="3">
        <v>7.5874908000000003E-5</v>
      </c>
      <c r="I18" s="3">
        <v>1.6173991999999999E-5</v>
      </c>
      <c r="J18" s="3">
        <v>-2.0500756000000001E-4</v>
      </c>
      <c r="K18" s="3"/>
      <c r="L18" s="3">
        <f t="shared" si="0"/>
        <v>7.9175475687103591E-2</v>
      </c>
      <c r="M18" s="3"/>
      <c r="N18" s="2">
        <f>IF('Modell einstellen'!$B$1="Voll",H18/0.35,H18/0.35*2)</f>
        <v>2.1678545142857146E-4</v>
      </c>
      <c r="O18" s="2">
        <f>IF('Modell einstellen'!$B$1="Voll",J18/0.35,J18/0.35*2)</f>
        <v>-5.8573588571428576E-4</v>
      </c>
      <c r="P18" s="3">
        <f t="shared" si="1"/>
        <v>0.37010785358354592</v>
      </c>
      <c r="Q18" s="3"/>
      <c r="R18" s="3"/>
      <c r="S18" s="3"/>
      <c r="T18" s="3"/>
      <c r="U18" s="3"/>
      <c r="V18" s="3"/>
      <c r="W18" s="3"/>
      <c r="X18" s="3"/>
      <c r="Y18" s="3"/>
    </row>
    <row r="19" spans="1:25" x14ac:dyDescent="0.25">
      <c r="A19" s="3">
        <v>10</v>
      </c>
      <c r="B19" s="3">
        <v>3.4379999999999999E-5</v>
      </c>
      <c r="C19" s="3">
        <v>1.615E-4</v>
      </c>
      <c r="D19" s="3">
        <v>-4.7540000000000001E-4</v>
      </c>
      <c r="E19" s="3">
        <v>0</v>
      </c>
      <c r="F19" s="3">
        <v>0</v>
      </c>
      <c r="G19" s="3">
        <v>0</v>
      </c>
      <c r="H19" s="3">
        <v>7.8801469999999999E-5</v>
      </c>
      <c r="I19" s="3">
        <v>1.6538379E-5</v>
      </c>
      <c r="J19" s="3">
        <v>-2.0967678E-4</v>
      </c>
      <c r="K19" s="3"/>
      <c r="L19" s="3">
        <f t="shared" si="0"/>
        <v>7.2318047959612955E-2</v>
      </c>
      <c r="M19" s="3"/>
      <c r="N19" s="2">
        <f>IF('Modell einstellen'!$B$1="Voll",H19/0.35,H19/0.35*2)</f>
        <v>2.2514705714285716E-4</v>
      </c>
      <c r="O19" s="2">
        <f>IF('Modell einstellen'!$B$1="Voll",J19/0.35,J19/0.35*2)</f>
        <v>-5.9907651428571431E-4</v>
      </c>
      <c r="P19" s="3">
        <f t="shared" si="1"/>
        <v>0.37582354135732149</v>
      </c>
      <c r="Q19" s="3"/>
      <c r="R19" s="3"/>
      <c r="S19" s="3"/>
      <c r="T19" s="3"/>
      <c r="U19" s="3"/>
      <c r="V19" s="3"/>
      <c r="W19" s="3"/>
      <c r="X19" s="3"/>
      <c r="Y19" s="3"/>
    </row>
    <row r="20" spans="1:25" x14ac:dyDescent="0.25">
      <c r="A20" s="3">
        <v>100</v>
      </c>
      <c r="B20" s="3">
        <v>3.235E-5</v>
      </c>
      <c r="C20" s="3">
        <v>1.6750000000000001E-4</v>
      </c>
      <c r="D20" s="3">
        <v>-4.8139999999999999E-4</v>
      </c>
      <c r="E20" s="3">
        <v>0</v>
      </c>
      <c r="F20" s="3">
        <v>0</v>
      </c>
      <c r="G20" s="3">
        <v>0</v>
      </c>
      <c r="H20" s="3">
        <v>8.2716410999999996E-5</v>
      </c>
      <c r="I20" s="3">
        <v>1.7208137999999999E-5</v>
      </c>
      <c r="J20" s="3">
        <v>-2.1638798E-4</v>
      </c>
      <c r="K20" s="3"/>
      <c r="L20" s="3">
        <f t="shared" si="0"/>
        <v>6.7199833818030741E-2</v>
      </c>
      <c r="M20" s="3"/>
      <c r="N20" s="2">
        <f>IF('Modell einstellen'!$B$1="Voll",H20/0.35,H20/0.35*2)</f>
        <v>2.3633260285714285E-4</v>
      </c>
      <c r="O20" s="2">
        <f>IF('Modell einstellen'!$B$1="Voll",J20/0.35,J20/0.35*2)</f>
        <v>-6.1825137142857149E-4</v>
      </c>
      <c r="P20" s="3">
        <f t="shared" si="1"/>
        <v>0.3822597308778426</v>
      </c>
      <c r="Q20" s="3"/>
      <c r="R20" s="3"/>
      <c r="S20" s="3"/>
      <c r="T20" s="3"/>
      <c r="U20" s="3"/>
      <c r="V20" s="3"/>
      <c r="W20" s="3"/>
      <c r="X20" s="3"/>
      <c r="Y20" s="3"/>
    </row>
    <row r="21" spans="1:25" x14ac:dyDescent="0.25">
      <c r="A21" s="3">
        <v>1000</v>
      </c>
      <c r="B21" s="3">
        <v>4.1669999999999999E-5</v>
      </c>
      <c r="C21" s="3">
        <v>1.8450000000000001E-4</v>
      </c>
      <c r="D21" s="3">
        <v>-5.0690000000000002E-4</v>
      </c>
      <c r="E21" s="3">
        <v>0</v>
      </c>
      <c r="F21" s="3">
        <v>0</v>
      </c>
      <c r="G21" s="3">
        <v>0</v>
      </c>
      <c r="H21" s="3">
        <v>8.8251495000000007E-5</v>
      </c>
      <c r="I21" s="3">
        <v>1.9129532000000001E-5</v>
      </c>
      <c r="J21" s="3">
        <v>-2.2853998999999999E-4</v>
      </c>
      <c r="K21" s="3"/>
      <c r="L21" s="3">
        <f t="shared" si="0"/>
        <v>8.2205563227461032E-2</v>
      </c>
      <c r="M21" s="3"/>
      <c r="N21" s="2">
        <f>IF('Modell einstellen'!$B$1="Voll",H21/0.35,H21/0.35*2)</f>
        <v>2.5214712857142861E-4</v>
      </c>
      <c r="O21" s="2">
        <f>IF('Modell einstellen'!$B$1="Voll",J21/0.35,J21/0.35*2)</f>
        <v>-6.5297140000000005E-4</v>
      </c>
      <c r="P21" s="3">
        <f t="shared" si="1"/>
        <v>0.38615340361220812</v>
      </c>
      <c r="Q21" s="3"/>
      <c r="R21" s="3"/>
      <c r="S21" s="3"/>
      <c r="T21" s="3"/>
      <c r="U21" s="3"/>
      <c r="V21" s="3"/>
      <c r="W21" s="3"/>
      <c r="X21" s="3"/>
      <c r="Y21" s="3"/>
    </row>
    <row r="22" spans="1:25" x14ac:dyDescent="0.25">
      <c r="A22" s="3">
        <v>10000</v>
      </c>
      <c r="B22" s="3">
        <v>7.0560000000000002E-5</v>
      </c>
      <c r="C22" s="3">
        <v>2.197E-4</v>
      </c>
      <c r="D22" s="3">
        <v>-5.6579999999999998E-4</v>
      </c>
      <c r="E22" s="3">
        <v>0</v>
      </c>
      <c r="F22" s="3">
        <v>0</v>
      </c>
      <c r="G22" s="3">
        <v>0</v>
      </c>
      <c r="H22" s="3">
        <v>9.6856348000000001E-5</v>
      </c>
      <c r="I22" s="3">
        <v>2.3198132000000002E-5</v>
      </c>
      <c r="J22" s="3">
        <v>-2.5051377999999998E-4</v>
      </c>
      <c r="K22" s="3"/>
      <c r="L22" s="3">
        <f t="shared" si="0"/>
        <v>0.1247083775185578</v>
      </c>
      <c r="M22" s="3"/>
      <c r="N22" s="2">
        <f>IF('Modell einstellen'!$B$1="Voll",H22/0.35,H22/0.35*2)</f>
        <v>2.7673242285714288E-4</v>
      </c>
      <c r="O22" s="2">
        <f>IF('Modell einstellen'!$B$1="Voll",J22/0.35,J22/0.35*2)</f>
        <v>-7.1575365714285713E-4</v>
      </c>
      <c r="P22" s="3">
        <f t="shared" si="1"/>
        <v>0.38663081927070042</v>
      </c>
      <c r="Q22" s="3"/>
      <c r="R22" s="3"/>
      <c r="S22" s="3"/>
      <c r="T22" s="3"/>
      <c r="U22" s="3"/>
      <c r="V22" s="3"/>
      <c r="W22" s="3"/>
      <c r="X22" s="3"/>
      <c r="Y22" s="3"/>
    </row>
    <row r="23" spans="1:25" x14ac:dyDescent="0.25">
      <c r="A23" s="3">
        <v>100000</v>
      </c>
      <c r="B23" s="3">
        <v>1.063E-4</v>
      </c>
      <c r="C23" s="3">
        <v>2.6420000000000003E-4</v>
      </c>
      <c r="D23" s="3">
        <v>-6.399E-4</v>
      </c>
      <c r="E23" s="3">
        <v>0</v>
      </c>
      <c r="F23" s="3">
        <v>0</v>
      </c>
      <c r="G23" s="3">
        <v>0</v>
      </c>
      <c r="H23" s="3">
        <v>1.0747357000000001E-4</v>
      </c>
      <c r="I23" s="3">
        <v>2.8507005E-5</v>
      </c>
      <c r="J23" s="3">
        <v>-2.7874197000000002E-4</v>
      </c>
      <c r="K23" s="3"/>
      <c r="L23" s="3">
        <f t="shared" si="0"/>
        <v>0.16611970620409439</v>
      </c>
      <c r="M23" s="3"/>
      <c r="N23" s="2">
        <f>IF('Modell einstellen'!$B$1="Voll",H23/0.35,H23/0.35*2)</f>
        <v>3.0706734285714291E-4</v>
      </c>
      <c r="O23" s="2">
        <f>IF('Modell einstellen'!$B$1="Voll",J23/0.35,J23/0.35*2)</f>
        <v>-7.9640562857142866E-4</v>
      </c>
      <c r="P23" s="3">
        <f t="shared" si="1"/>
        <v>0.38556651515378187</v>
      </c>
      <c r="Q23" s="3"/>
      <c r="R23" s="3"/>
      <c r="S23" s="3"/>
      <c r="T23" s="3"/>
      <c r="U23" s="3"/>
      <c r="V23" s="3"/>
      <c r="W23" s="3"/>
      <c r="X23" s="3"/>
      <c r="Y23" s="3"/>
    </row>
    <row r="24" spans="1:25" x14ac:dyDescent="0.25">
      <c r="A24" s="3">
        <v>1000000</v>
      </c>
      <c r="B24" s="3">
        <v>1.3889999999999999E-4</v>
      </c>
      <c r="C24" s="3">
        <v>3.0850000000000002E-4</v>
      </c>
      <c r="D24" s="3">
        <v>-7.1199999999999996E-4</v>
      </c>
      <c r="E24" s="3">
        <v>0</v>
      </c>
      <c r="F24" s="3">
        <v>0</v>
      </c>
      <c r="G24" s="3">
        <v>0</v>
      </c>
      <c r="H24" s="3">
        <v>1.1850418E-4</v>
      </c>
      <c r="I24" s="3">
        <v>3.3981201000000002E-5</v>
      </c>
      <c r="J24" s="3">
        <v>-3.0829308999999998E-4</v>
      </c>
      <c r="K24" s="3"/>
      <c r="L24" s="3">
        <f t="shared" si="0"/>
        <v>0.19508426966292133</v>
      </c>
      <c r="M24" s="3"/>
      <c r="N24" s="2">
        <f>IF('Modell einstellen'!$B$1="Voll",H24/0.35,H24/0.35*2)</f>
        <v>3.3858337142857143E-4</v>
      </c>
      <c r="O24" s="2">
        <f>IF('Modell einstellen'!$B$1="Voll",J24/0.35,J24/0.35*2)</f>
        <v>-8.8083740000000001E-4</v>
      </c>
      <c r="P24" s="3">
        <f t="shared" si="1"/>
        <v>0.38438805099394219</v>
      </c>
      <c r="Q24" s="3"/>
      <c r="R24" s="3"/>
      <c r="S24" s="3"/>
      <c r="T24" s="3"/>
      <c r="U24" s="3"/>
      <c r="V24" s="3"/>
      <c r="W24" s="3"/>
      <c r="X24" s="3"/>
      <c r="Y24" s="3"/>
    </row>
    <row r="25" spans="1:25" x14ac:dyDescent="0.25">
      <c r="A25" s="3">
        <v>10000000</v>
      </c>
      <c r="B25" s="3">
        <v>1.6440000000000001E-4</v>
      </c>
      <c r="C25" s="3">
        <v>3.503E-4</v>
      </c>
      <c r="D25" s="3">
        <v>-7.7649999999999996E-4</v>
      </c>
      <c r="E25" s="3">
        <v>0</v>
      </c>
      <c r="F25" s="3">
        <v>0</v>
      </c>
      <c r="G25" s="3">
        <v>0</v>
      </c>
      <c r="H25" s="3">
        <v>1.2995853E-4</v>
      </c>
      <c r="I25" s="3">
        <v>3.9342389000000001E-5</v>
      </c>
      <c r="J25" s="3">
        <v>-3.3834384000000001E-4</v>
      </c>
      <c r="K25" s="3"/>
      <c r="L25" s="3">
        <f t="shared" si="0"/>
        <v>0.21171925305859629</v>
      </c>
      <c r="M25" s="3"/>
      <c r="N25" s="2">
        <f>IF('Modell einstellen'!$B$1="Voll",H25/0.35,H25/0.35*2)</f>
        <v>3.7131008571428573E-4</v>
      </c>
      <c r="O25" s="2">
        <f>IF('Modell einstellen'!$B$1="Voll",J25/0.35,J25/0.35*2)</f>
        <v>-9.6669668571428577E-4</v>
      </c>
      <c r="P25" s="3">
        <f t="shared" si="1"/>
        <v>0.38410195379942486</v>
      </c>
      <c r="Q25" s="3"/>
      <c r="R25" s="3"/>
      <c r="S25" s="3"/>
      <c r="T25" s="3"/>
      <c r="U25" s="3"/>
      <c r="V25" s="3"/>
      <c r="W25" s="3"/>
      <c r="X25" s="3"/>
      <c r="Y25" s="3"/>
    </row>
    <row r="26" spans="1:25" x14ac:dyDescent="0.25">
      <c r="A26" s="3">
        <v>100000000</v>
      </c>
      <c r="B26" s="3">
        <v>1.8129999999999999E-4</v>
      </c>
      <c r="C26" s="3">
        <v>3.9159999999999998E-4</v>
      </c>
      <c r="D26" s="3">
        <v>-8.3410000000000005E-4</v>
      </c>
      <c r="E26" s="3">
        <v>0</v>
      </c>
      <c r="F26" s="3">
        <v>0</v>
      </c>
      <c r="G26" s="3">
        <v>0</v>
      </c>
      <c r="H26" s="3">
        <v>1.4269632000000001E-4</v>
      </c>
      <c r="I26" s="3">
        <v>4.4847800000000001E-5</v>
      </c>
      <c r="J26" s="3">
        <v>-3.7068078E-4</v>
      </c>
      <c r="K26" s="3"/>
      <c r="L26" s="3">
        <f t="shared" si="0"/>
        <v>0.21736002877352834</v>
      </c>
      <c r="M26" s="3"/>
      <c r="N26" s="2">
        <f>IF('Modell einstellen'!$B$1="Voll",H26/0.35,H26/0.35*2)</f>
        <v>4.077037714285715E-4</v>
      </c>
      <c r="O26" s="2">
        <f>IF('Modell einstellen'!$B$1="Voll",J26/0.35,J26/0.35*2)</f>
        <v>-1.0590879428571428E-3</v>
      </c>
      <c r="P26" s="3">
        <f t="shared" si="1"/>
        <v>0.38495742886912027</v>
      </c>
      <c r="Q26" s="3"/>
      <c r="R26" s="3"/>
      <c r="S26" s="3"/>
      <c r="T26" s="3"/>
      <c r="U26" s="3"/>
      <c r="V26" s="3"/>
      <c r="W26" s="3"/>
      <c r="X26" s="3"/>
      <c r="Y26" s="3"/>
    </row>
    <row r="27" spans="1:25" x14ac:dyDescent="0.25">
      <c r="A27" s="3">
        <v>1000000000</v>
      </c>
      <c r="B27" s="3">
        <v>1.875E-4</v>
      </c>
      <c r="C27" s="3">
        <v>4.3770000000000001E-4</v>
      </c>
      <c r="D27" s="3">
        <v>-8.8800000000000001E-4</v>
      </c>
      <c r="E27" s="3">
        <v>0</v>
      </c>
      <c r="F27" s="3">
        <v>0</v>
      </c>
      <c r="G27" s="3">
        <v>0</v>
      </c>
      <c r="H27" s="3">
        <v>1.5867605E-4</v>
      </c>
      <c r="I27" s="3">
        <v>5.1213568E-5</v>
      </c>
      <c r="J27" s="3">
        <v>-4.0983232000000002E-4</v>
      </c>
      <c r="K27" s="3"/>
      <c r="L27" s="3">
        <f t="shared" si="0"/>
        <v>0.21114864864864866</v>
      </c>
      <c r="M27" s="3"/>
      <c r="N27" s="2">
        <f>IF('Modell einstellen'!$B$1="Voll",H27/0.35,H27/0.35*2)</f>
        <v>4.5336014285714287E-4</v>
      </c>
      <c r="O27" s="2">
        <f>IF('Modell einstellen'!$B$1="Voll",J27/0.35,J27/0.35*2)</f>
        <v>-1.1709494857142858E-3</v>
      </c>
      <c r="P27" s="3">
        <f t="shared" si="1"/>
        <v>0.38717310045239967</v>
      </c>
      <c r="Q27" s="3"/>
      <c r="R27" s="3"/>
      <c r="S27" s="3"/>
      <c r="T27" s="3"/>
      <c r="U27" s="3"/>
      <c r="V27" s="3"/>
      <c r="W27" s="3"/>
      <c r="X27" s="3"/>
      <c r="Y27" s="3"/>
    </row>
    <row r="28" spans="1:25" x14ac:dyDescent="0.25">
      <c r="A28" s="3">
        <v>10000000000</v>
      </c>
      <c r="B28" s="3">
        <v>1.738E-4</v>
      </c>
      <c r="C28" s="3">
        <v>5.0180000000000005E-4</v>
      </c>
      <c r="D28" s="3">
        <v>-9.4260000000000004E-4</v>
      </c>
      <c r="E28" s="3">
        <v>0</v>
      </c>
      <c r="F28" s="3">
        <v>0</v>
      </c>
      <c r="G28" s="3">
        <v>0</v>
      </c>
      <c r="H28" s="3">
        <v>1.8332404000000001E-4</v>
      </c>
      <c r="I28" s="3">
        <v>6.0387133E-5</v>
      </c>
      <c r="J28" s="3">
        <v>-4.6838439999999999E-4</v>
      </c>
      <c r="K28" s="3"/>
      <c r="L28" s="3">
        <f t="shared" si="0"/>
        <v>0.18438361977509016</v>
      </c>
      <c r="M28" s="3"/>
      <c r="N28" s="2">
        <f>IF('Modell einstellen'!$B$1="Voll",H28/0.35,H28/0.35*2)</f>
        <v>5.2378297142857146E-4</v>
      </c>
      <c r="O28" s="2">
        <f>IF('Modell einstellen'!$B$1="Voll",J28/0.35,J28/0.35*2)</f>
        <v>-1.338241142857143E-3</v>
      </c>
      <c r="P28" s="3">
        <f t="shared" si="1"/>
        <v>0.39139655377079169</v>
      </c>
      <c r="Q28" s="3"/>
      <c r="R28" s="3"/>
      <c r="S28" s="3"/>
      <c r="T28" s="3"/>
      <c r="U28" s="3"/>
      <c r="V28" s="3"/>
      <c r="W28" s="3"/>
      <c r="X28" s="3"/>
      <c r="Y28" s="3"/>
    </row>
    <row r="29" spans="1:25" x14ac:dyDescent="0.25">
      <c r="A29" s="3">
        <v>100000000000</v>
      </c>
      <c r="B29" s="3">
        <v>1.1900000000000001E-4</v>
      </c>
      <c r="C29" s="3">
        <v>5.9860000000000002E-4</v>
      </c>
      <c r="D29" s="3">
        <v>-9.9130000000000008E-4</v>
      </c>
      <c r="E29" s="3">
        <v>0</v>
      </c>
      <c r="F29" s="3">
        <v>0</v>
      </c>
      <c r="G29" s="3">
        <v>0</v>
      </c>
      <c r="H29" s="3">
        <v>2.2337402000000001E-4</v>
      </c>
      <c r="I29" s="3">
        <v>7.4849756999999999E-5</v>
      </c>
      <c r="J29" s="3">
        <v>-5.6205003000000002E-4</v>
      </c>
      <c r="K29" s="3"/>
      <c r="L29" s="3">
        <f t="shared" si="0"/>
        <v>0.12004438615958841</v>
      </c>
      <c r="M29" s="3"/>
      <c r="N29" s="2">
        <f>IF('Modell einstellen'!$B$1="Voll",H29/0.35,H29/0.35*2)</f>
        <v>6.3821148571428581E-4</v>
      </c>
      <c r="O29" s="2">
        <f>IF('Modell einstellen'!$B$1="Voll",J29/0.35,J29/0.35*2)</f>
        <v>-1.6058572285714287E-3</v>
      </c>
      <c r="P29" s="3">
        <f t="shared" si="1"/>
        <v>0.39742728952438633</v>
      </c>
      <c r="Q29" s="3"/>
      <c r="R29" s="3"/>
      <c r="S29" s="3"/>
      <c r="T29" s="3"/>
      <c r="U29" s="3"/>
      <c r="V29" s="3"/>
      <c r="W29" s="3"/>
      <c r="X29" s="3"/>
      <c r="Y29" s="3"/>
    </row>
    <row r="30" spans="1:25" x14ac:dyDescent="0.25">
      <c r="A30" s="3">
        <v>1000000000000</v>
      </c>
      <c r="B30" s="3">
        <v>-3.8389999999999997E-5</v>
      </c>
      <c r="C30" s="3">
        <v>7.5960000000000003E-4</v>
      </c>
      <c r="D30" s="3">
        <v>-1.005E-3</v>
      </c>
      <c r="E30" s="3">
        <v>0</v>
      </c>
      <c r="F30" s="3">
        <v>0</v>
      </c>
      <c r="G30" s="3">
        <v>0</v>
      </c>
      <c r="H30" s="3">
        <v>2.9678852000000001E-4</v>
      </c>
      <c r="I30" s="3">
        <v>1.0030274E-4</v>
      </c>
      <c r="J30" s="3">
        <v>-7.2962943999999995E-4</v>
      </c>
      <c r="K30" s="3"/>
      <c r="L30" s="3">
        <f t="shared" si="0"/>
        <v>-3.8199004975124372E-2</v>
      </c>
      <c r="M30" s="3"/>
      <c r="N30" s="2">
        <f>IF('Modell einstellen'!$B$1="Voll",H30/0.35,H30/0.35*2)</f>
        <v>8.479672000000001E-4</v>
      </c>
      <c r="O30" s="2">
        <f>IF('Modell einstellen'!$B$1="Voll",J30/0.35,J30/0.35*2)</f>
        <v>-2.0846555428571428E-3</v>
      </c>
      <c r="P30" s="3">
        <f t="shared" si="1"/>
        <v>0.40676609759606197</v>
      </c>
      <c r="Q30" s="3"/>
      <c r="R30" s="3"/>
      <c r="S30" s="3"/>
      <c r="T30" s="3"/>
      <c r="U30" s="3"/>
      <c r="V30" s="3"/>
      <c r="W30" s="3"/>
      <c r="X30" s="3"/>
      <c r="Y30" s="3"/>
    </row>
    <row r="31" spans="1:25" x14ac:dyDescent="0.25">
      <c r="A31" s="3">
        <v>10000000000000</v>
      </c>
      <c r="B31" s="3">
        <v>-4.9989999999999995E-4</v>
      </c>
      <c r="C31" s="3">
        <v>1.072E-3</v>
      </c>
      <c r="D31" s="3">
        <v>-8.6729999999999999E-4</v>
      </c>
      <c r="E31" s="3">
        <v>0</v>
      </c>
      <c r="F31" s="3">
        <v>0</v>
      </c>
      <c r="G31" s="3">
        <v>0</v>
      </c>
      <c r="H31" s="3">
        <v>4.5733916999999999E-4</v>
      </c>
      <c r="I31" s="3">
        <v>1.5295201E-4</v>
      </c>
      <c r="J31" s="3">
        <v>-1.0838454999999999E-3</v>
      </c>
      <c r="K31" s="3"/>
      <c r="L31" s="3">
        <f t="shared" si="0"/>
        <v>-0.576386486798109</v>
      </c>
      <c r="M31" s="3"/>
      <c r="N31" s="2">
        <f>IF('Modell einstellen'!$B$1="Voll",H31/0.35,H31/0.35*2)</f>
        <v>1.306683342857143E-3</v>
      </c>
      <c r="O31" s="2">
        <f>IF('Modell einstellen'!$B$1="Voll",J31/0.35,J31/0.35*2)</f>
        <v>-3.0967014285714287E-3</v>
      </c>
      <c r="P31" s="3">
        <f t="shared" si="1"/>
        <v>0.42195974426244331</v>
      </c>
      <c r="Q31" s="3"/>
      <c r="R31" s="3"/>
      <c r="S31" s="3"/>
      <c r="T31" s="3"/>
      <c r="U31" s="3"/>
      <c r="V31" s="3"/>
      <c r="W31" s="3"/>
      <c r="X31" s="3"/>
      <c r="Y31" s="3"/>
    </row>
    <row r="32" spans="1:25" x14ac:dyDescent="0.25">
      <c r="A32" s="3">
        <v>100000000000000</v>
      </c>
      <c r="B32" s="3">
        <v>-1.6310000000000001E-3</v>
      </c>
      <c r="C32" s="3">
        <v>1.6479999999999999E-3</v>
      </c>
      <c r="D32" s="3">
        <v>-3.233E-4</v>
      </c>
      <c r="E32" s="3">
        <v>0</v>
      </c>
      <c r="F32" s="3">
        <v>0</v>
      </c>
      <c r="G32" s="3">
        <v>0</v>
      </c>
      <c r="H32" s="3">
        <v>7.8587009E-4</v>
      </c>
      <c r="I32" s="3">
        <v>2.5526029000000003E-4</v>
      </c>
      <c r="J32" s="3">
        <v>-1.785729E-3</v>
      </c>
      <c r="K32" s="3"/>
      <c r="L32" s="3">
        <f t="shared" si="0"/>
        <v>-5.0448499845344887</v>
      </c>
      <c r="M32" s="3"/>
      <c r="N32" s="2">
        <f>IF('Modell einstellen'!$B$1="Voll",H32/0.35,H32/0.35*2)</f>
        <v>2.2453431142857145E-3</v>
      </c>
      <c r="O32" s="2">
        <f>IF('Modell einstellen'!$B$1="Voll",J32/0.35,J32/0.35*2)</f>
        <v>-5.1020828571428575E-3</v>
      </c>
      <c r="P32" s="3">
        <f t="shared" si="1"/>
        <v>0.44008362411093732</v>
      </c>
      <c r="Q32" s="3"/>
      <c r="R32" s="3"/>
      <c r="S32" s="3"/>
      <c r="T32" s="3"/>
      <c r="U32" s="3"/>
      <c r="V32" s="3"/>
      <c r="W32" s="3"/>
      <c r="X32" s="3"/>
      <c r="Y32" s="3"/>
    </row>
    <row r="33" spans="1:25" x14ac:dyDescent="0.25">
      <c r="A33" s="2">
        <v>1000000000000000</v>
      </c>
      <c r="B33" s="3">
        <v>-3.9459999999999999E-3</v>
      </c>
      <c r="C33" s="3">
        <v>2.6770000000000001E-3</v>
      </c>
      <c r="D33" s="3">
        <v>9.5529999999999996E-4</v>
      </c>
      <c r="E33" s="3">
        <v>0</v>
      </c>
      <c r="F33" s="3">
        <v>0</v>
      </c>
      <c r="G33" s="3">
        <v>0</v>
      </c>
      <c r="H33" s="3">
        <v>1.4097812E-3</v>
      </c>
      <c r="I33" s="3">
        <v>4.4221259000000001E-4</v>
      </c>
      <c r="J33" s="3">
        <v>-3.0850089000000001E-3</v>
      </c>
      <c r="K33" s="3"/>
      <c r="L33" s="3">
        <f t="shared" si="0"/>
        <v>4.1306395896576991</v>
      </c>
      <c r="M33" s="3"/>
      <c r="N33" s="2">
        <f>IF('Modell einstellen'!$B$1="Voll",H33/0.35,H33/0.35*2)</f>
        <v>4.0279462857142857E-3</v>
      </c>
      <c r="O33" s="2">
        <f>IF('Modell einstellen'!$B$1="Voll",J33/0.35,J33/0.35*2)</f>
        <v>-8.8143111428571428E-3</v>
      </c>
      <c r="P33" s="3">
        <f t="shared" si="1"/>
        <v>0.45697800093866831</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4.4129999999999999E-5</v>
      </c>
      <c r="C3" s="3">
        <v>1.5420000000000001E-4</v>
      </c>
      <c r="D3" s="3">
        <v>-4.7120000000000002E-4</v>
      </c>
      <c r="E3" s="3">
        <v>0</v>
      </c>
      <c r="F3" s="3">
        <v>0</v>
      </c>
      <c r="G3" s="3">
        <v>0</v>
      </c>
      <c r="H3" s="3">
        <v>7.1196389000000005E-5</v>
      </c>
      <c r="I3" s="3">
        <v>1.5717216999999999E-5</v>
      </c>
      <c r="J3" s="3">
        <v>-1.9787082999999999E-4</v>
      </c>
      <c r="K3" s="3"/>
      <c r="L3" s="3">
        <f>-B3/D3</f>
        <v>9.3654499151103562E-2</v>
      </c>
      <c r="M3" s="3"/>
      <c r="N3" s="2">
        <f>IF('Modell einstellen'!$B$1="Voll",H3/0.35,H3/0.35*2)</f>
        <v>2.0341825428571431E-4</v>
      </c>
      <c r="O3" s="2">
        <f>IF('Modell einstellen'!$B$1="Voll",J3/0.35,J3/0.35*2)</f>
        <v>-5.6534522857142858E-4</v>
      </c>
      <c r="P3" s="3">
        <f>-N3/O3</f>
        <v>0.35981245441786447</v>
      </c>
      <c r="Q3" s="3"/>
      <c r="R3" s="3"/>
      <c r="S3" s="3"/>
      <c r="T3" s="3"/>
      <c r="U3" s="3"/>
    </row>
    <row r="4" spans="1:21" x14ac:dyDescent="0.25">
      <c r="A4" s="3">
        <v>1E-14</v>
      </c>
      <c r="B4" s="3">
        <v>4.4129999999999999E-5</v>
      </c>
      <c r="C4" s="3">
        <v>1.5420000000000001E-4</v>
      </c>
      <c r="D4" s="3">
        <v>-4.7120000000000002E-4</v>
      </c>
      <c r="E4" s="3">
        <v>0</v>
      </c>
      <c r="F4" s="3">
        <v>0</v>
      </c>
      <c r="G4" s="3">
        <v>0</v>
      </c>
      <c r="H4" s="3">
        <v>7.1198031999999999E-5</v>
      </c>
      <c r="I4" s="3">
        <v>1.5718310999999998E-5</v>
      </c>
      <c r="J4" s="3">
        <v>-1.9786698000000001E-4</v>
      </c>
      <c r="K4" s="3"/>
      <c r="L4" s="3">
        <f t="shared" ref="L4:L33" si="0">-B4/D4</f>
        <v>9.3654499151103562E-2</v>
      </c>
      <c r="M4" s="3"/>
      <c r="N4" s="2">
        <f>IF('Modell einstellen'!$B$1="Voll",H4/0.35,H4/0.35*2)</f>
        <v>2.0342294857142858E-4</v>
      </c>
      <c r="O4" s="2">
        <f>IF('Modell einstellen'!$B$1="Voll",J4/0.35,J4/0.35*2)</f>
        <v>-5.6533422857142862E-4</v>
      </c>
      <c r="P4" s="3">
        <f t="shared" ref="P4:P33" si="1">-N4/O4</f>
        <v>0.35982775903286135</v>
      </c>
      <c r="Q4" s="3"/>
      <c r="R4" s="3"/>
      <c r="S4" s="3"/>
      <c r="T4" s="3"/>
      <c r="U4" s="3"/>
    </row>
    <row r="5" spans="1:21" x14ac:dyDescent="0.25">
      <c r="A5" s="3">
        <v>1E-13</v>
      </c>
      <c r="B5" s="3">
        <v>4.4129999999999999E-5</v>
      </c>
      <c r="C5" s="3">
        <v>1.5420000000000001E-4</v>
      </c>
      <c r="D5" s="3">
        <v>-4.7120000000000002E-4</v>
      </c>
      <c r="E5" s="3">
        <v>0</v>
      </c>
      <c r="F5" s="3">
        <v>0</v>
      </c>
      <c r="G5" s="3">
        <v>0</v>
      </c>
      <c r="H5" s="3">
        <v>7.1198407000000005E-5</v>
      </c>
      <c r="I5" s="3">
        <v>1.5718477999999998E-5</v>
      </c>
      <c r="J5" s="3">
        <v>-1.9786797000000001E-4</v>
      </c>
      <c r="K5" s="3"/>
      <c r="L5" s="3">
        <f t="shared" si="0"/>
        <v>9.3654499151103562E-2</v>
      </c>
      <c r="M5" s="3"/>
      <c r="N5" s="2">
        <f>IF('Modell einstellen'!$B$1="Voll",H5/0.35,H5/0.35*2)</f>
        <v>2.0342402000000004E-4</v>
      </c>
      <c r="O5" s="2">
        <f>IF('Modell einstellen'!$B$1="Voll",J5/0.35,J5/0.35*2)</f>
        <v>-5.6533705714285724E-4</v>
      </c>
      <c r="P5" s="3">
        <f t="shared" si="1"/>
        <v>0.35982785389671706</v>
      </c>
      <c r="Q5" s="3"/>
      <c r="R5" s="3"/>
      <c r="S5" s="3"/>
      <c r="T5" s="3"/>
      <c r="U5" s="3"/>
    </row>
    <row r="6" spans="1:21" x14ac:dyDescent="0.25">
      <c r="A6" s="3">
        <v>9.9999999999999998E-13</v>
      </c>
      <c r="B6" s="3">
        <v>4.4129999999999999E-5</v>
      </c>
      <c r="C6" s="3">
        <v>1.5420000000000001E-4</v>
      </c>
      <c r="D6" s="3">
        <v>-4.7120000000000002E-4</v>
      </c>
      <c r="E6" s="3">
        <v>0</v>
      </c>
      <c r="F6" s="3">
        <v>0</v>
      </c>
      <c r="G6" s="3">
        <v>0</v>
      </c>
      <c r="H6" s="3">
        <v>7.1198523000000002E-5</v>
      </c>
      <c r="I6" s="3">
        <v>1.5718524000000001E-5</v>
      </c>
      <c r="J6" s="3">
        <v>-1.9786825999999999E-4</v>
      </c>
      <c r="K6" s="3"/>
      <c r="L6" s="3">
        <f t="shared" si="0"/>
        <v>9.3654499151103562E-2</v>
      </c>
      <c r="M6" s="3"/>
      <c r="N6" s="2">
        <f>IF('Modell einstellen'!$B$1="Voll",H6/0.35,H6/0.35*2)</f>
        <v>2.0342435142857145E-4</v>
      </c>
      <c r="O6" s="2">
        <f>IF('Modell einstellen'!$B$1="Voll",J6/0.35,J6/0.35*2)</f>
        <v>-5.6533788571428573E-4</v>
      </c>
      <c r="P6" s="3">
        <f t="shared" si="1"/>
        <v>0.35982791277388299</v>
      </c>
      <c r="Q6" s="3"/>
      <c r="R6" s="3"/>
      <c r="S6" s="3"/>
      <c r="T6" s="3"/>
      <c r="U6" s="3"/>
    </row>
    <row r="7" spans="1:21" x14ac:dyDescent="0.25">
      <c r="A7" s="3">
        <v>9.9999999999999994E-12</v>
      </c>
      <c r="B7" s="3">
        <v>4.4129999999999999E-5</v>
      </c>
      <c r="C7" s="3">
        <v>1.5420000000000001E-4</v>
      </c>
      <c r="D7" s="3">
        <v>-4.7120000000000002E-4</v>
      </c>
      <c r="E7" s="3">
        <v>0</v>
      </c>
      <c r="F7" s="3">
        <v>0</v>
      </c>
      <c r="G7" s="3">
        <v>0</v>
      </c>
      <c r="H7" s="3">
        <v>7.1198561E-5</v>
      </c>
      <c r="I7" s="3">
        <v>1.5718537E-5</v>
      </c>
      <c r="J7" s="3">
        <v>-1.9786835000000001E-4</v>
      </c>
      <c r="K7" s="3"/>
      <c r="L7" s="3">
        <f t="shared" si="0"/>
        <v>9.3654499151103562E-2</v>
      </c>
      <c r="M7" s="3"/>
      <c r="N7" s="2">
        <f>IF('Modell einstellen'!$B$1="Voll",H7/0.35,H7/0.35*2)</f>
        <v>2.0342446000000001E-4</v>
      </c>
      <c r="O7" s="2">
        <f>IF('Modell einstellen'!$B$1="Voll",J7/0.35,J7/0.35*2)</f>
        <v>-5.6533814285714286E-4</v>
      </c>
      <c r="P7" s="3">
        <f t="shared" si="1"/>
        <v>0.35982794115380251</v>
      </c>
      <c r="Q7" s="3"/>
      <c r="R7" s="3"/>
      <c r="S7" s="3"/>
      <c r="T7" s="3"/>
      <c r="U7" s="3"/>
    </row>
    <row r="8" spans="1:21" x14ac:dyDescent="0.25">
      <c r="A8" s="3">
        <v>1E-10</v>
      </c>
      <c r="B8" s="3">
        <v>4.4129999999999999E-5</v>
      </c>
      <c r="C8" s="3">
        <v>1.5420000000000001E-4</v>
      </c>
      <c r="D8" s="3">
        <v>-4.7120000000000002E-4</v>
      </c>
      <c r="E8" s="3">
        <v>0</v>
      </c>
      <c r="F8" s="3">
        <v>0</v>
      </c>
      <c r="G8" s="3">
        <v>0</v>
      </c>
      <c r="H8" s="3">
        <v>7.1198577000000003E-5</v>
      </c>
      <c r="I8" s="3">
        <v>1.5718542E-5</v>
      </c>
      <c r="J8" s="3">
        <v>-1.9786838E-4</v>
      </c>
      <c r="K8" s="3"/>
      <c r="L8" s="3">
        <f t="shared" si="0"/>
        <v>9.3654499151103562E-2</v>
      </c>
      <c r="M8" s="3"/>
      <c r="N8" s="2">
        <f>IF('Modell einstellen'!$B$1="Voll",H8/0.35,H8/0.35*2)</f>
        <v>2.0342450571428572E-4</v>
      </c>
      <c r="O8" s="2">
        <f>IF('Modell einstellen'!$B$1="Voll",J8/0.35,J8/0.35*2)</f>
        <v>-5.6533822857142858E-4</v>
      </c>
      <c r="P8" s="3">
        <f t="shared" si="1"/>
        <v>0.3598279674599853</v>
      </c>
      <c r="Q8" s="3"/>
      <c r="R8" s="3"/>
      <c r="S8" s="3"/>
      <c r="T8" s="3"/>
      <c r="U8" s="3"/>
    </row>
    <row r="9" spans="1:21" x14ac:dyDescent="0.25">
      <c r="A9" s="3">
        <v>1.0000000000000001E-9</v>
      </c>
      <c r="B9" s="3">
        <v>4.4129999999999999E-5</v>
      </c>
      <c r="C9" s="3">
        <v>1.5420000000000001E-4</v>
      </c>
      <c r="D9" s="3">
        <v>-4.7120000000000002E-4</v>
      </c>
      <c r="E9" s="3">
        <v>0</v>
      </c>
      <c r="F9" s="3">
        <v>0</v>
      </c>
      <c r="G9" s="3">
        <v>0</v>
      </c>
      <c r="H9" s="3">
        <v>7.1198617000000006E-5</v>
      </c>
      <c r="I9" s="3">
        <v>1.5718548E-5</v>
      </c>
      <c r="J9" s="3">
        <v>-1.9786844999999999E-4</v>
      </c>
      <c r="K9" s="3"/>
      <c r="L9" s="3">
        <f t="shared" si="0"/>
        <v>9.3654499151103562E-2</v>
      </c>
      <c r="M9" s="3"/>
      <c r="N9" s="2">
        <f>IF('Modell einstellen'!$B$1="Voll",H9/0.35,H9/0.35*2)</f>
        <v>2.0342462000000003E-4</v>
      </c>
      <c r="O9" s="2">
        <f>IF('Modell einstellen'!$B$1="Voll",J9/0.35,J9/0.35*2)</f>
        <v>-5.6533842857142854E-4</v>
      </c>
      <c r="P9" s="3">
        <f t="shared" si="1"/>
        <v>0.35982804231801491</v>
      </c>
      <c r="Q9" s="3"/>
      <c r="R9" s="3"/>
      <c r="S9" s="3"/>
      <c r="T9" s="3"/>
      <c r="U9" s="3"/>
    </row>
    <row r="10" spans="1:21" x14ac:dyDescent="0.25">
      <c r="A10" s="3">
        <v>1E-8</v>
      </c>
      <c r="B10" s="3">
        <v>4.4129999999999999E-5</v>
      </c>
      <c r="C10" s="3">
        <v>1.5420000000000001E-4</v>
      </c>
      <c r="D10" s="3">
        <v>-4.7120000000000002E-4</v>
      </c>
      <c r="E10" s="3">
        <v>0</v>
      </c>
      <c r="F10" s="3">
        <v>0</v>
      </c>
      <c r="G10" s="3">
        <v>0</v>
      </c>
      <c r="H10" s="3">
        <v>7.1198967000000004E-5</v>
      </c>
      <c r="I10" s="3">
        <v>1.5718588999999999E-5</v>
      </c>
      <c r="J10" s="3">
        <v>-1.9786901E-4</v>
      </c>
      <c r="K10" s="3"/>
      <c r="L10" s="3">
        <f t="shared" si="0"/>
        <v>9.3654499151103562E-2</v>
      </c>
      <c r="M10" s="3"/>
      <c r="N10" s="2">
        <f>IF('Modell einstellen'!$B$1="Voll",H10/0.35,H10/0.35*2)</f>
        <v>2.0342562000000001E-4</v>
      </c>
      <c r="O10" s="2">
        <f>IF('Modell einstellen'!$B$1="Voll",J10/0.35,J10/0.35*2)</f>
        <v>-5.6534002857142865E-4</v>
      </c>
      <c r="P10" s="3">
        <f t="shared" si="1"/>
        <v>0.3598287927957996</v>
      </c>
      <c r="Q10" s="3"/>
      <c r="R10" s="3"/>
      <c r="S10" s="3"/>
      <c r="T10" s="3"/>
      <c r="U10" s="3"/>
    </row>
    <row r="11" spans="1:21" x14ac:dyDescent="0.25">
      <c r="A11" s="3">
        <v>9.9999999999999995E-8</v>
      </c>
      <c r="B11" s="3">
        <v>4.4129999999999999E-5</v>
      </c>
      <c r="C11" s="3">
        <v>1.5420000000000001E-4</v>
      </c>
      <c r="D11" s="3">
        <v>-4.7120000000000002E-4</v>
      </c>
      <c r="E11" s="3">
        <v>0</v>
      </c>
      <c r="F11" s="3">
        <v>0</v>
      </c>
      <c r="G11" s="3">
        <v>0</v>
      </c>
      <c r="H11" s="3">
        <v>7.1202458999999996E-5</v>
      </c>
      <c r="I11" s="3">
        <v>1.5719E-5</v>
      </c>
      <c r="J11" s="3">
        <v>-1.9787459000000001E-4</v>
      </c>
      <c r="K11" s="3"/>
      <c r="L11" s="3">
        <f t="shared" si="0"/>
        <v>9.3654499151103562E-2</v>
      </c>
      <c r="M11" s="3"/>
      <c r="N11" s="2">
        <f>IF('Modell einstellen'!$B$1="Voll",H11/0.35,H11/0.35*2)</f>
        <v>2.0343559714285715E-4</v>
      </c>
      <c r="O11" s="2">
        <f>IF('Modell einstellen'!$B$1="Voll",J11/0.35,J11/0.35*2)</f>
        <v>-5.6535597142857151E-4</v>
      </c>
      <c r="P11" s="3">
        <f t="shared" si="1"/>
        <v>0.35983629328050659</v>
      </c>
      <c r="Q11" s="3"/>
      <c r="R11" s="3"/>
      <c r="S11" s="3"/>
      <c r="T11" s="3"/>
      <c r="U11" s="3"/>
    </row>
    <row r="12" spans="1:21" x14ac:dyDescent="0.25">
      <c r="A12" s="3">
        <v>9.9999999999999995E-7</v>
      </c>
      <c r="B12" s="3">
        <v>4.409E-5</v>
      </c>
      <c r="C12" s="3">
        <v>1.5420000000000001E-4</v>
      </c>
      <c r="D12" s="3">
        <v>-4.7130000000000002E-4</v>
      </c>
      <c r="E12" s="3">
        <v>0</v>
      </c>
      <c r="F12" s="3">
        <v>0</v>
      </c>
      <c r="G12" s="3">
        <v>0</v>
      </c>
      <c r="H12" s="3">
        <v>7.1237144000000003E-5</v>
      </c>
      <c r="I12" s="3">
        <v>1.5723084000000002E-5</v>
      </c>
      <c r="J12" s="3">
        <v>-1.9792995999999999E-4</v>
      </c>
      <c r="K12" s="3"/>
      <c r="L12" s="3">
        <f t="shared" si="0"/>
        <v>9.3549755994058986E-2</v>
      </c>
      <c r="M12" s="3"/>
      <c r="N12" s="2">
        <f>IF('Modell einstellen'!$B$1="Voll",H12/0.35,H12/0.35*2)</f>
        <v>2.0353469714285717E-4</v>
      </c>
      <c r="O12" s="2">
        <f>IF('Modell einstellen'!$B$1="Voll",J12/0.35,J12/0.35*2)</f>
        <v>-5.6551417142857146E-4</v>
      </c>
      <c r="P12" s="3">
        <f t="shared" si="1"/>
        <v>0.35991086948130546</v>
      </c>
      <c r="Q12" s="3"/>
      <c r="R12" s="3"/>
      <c r="S12" s="3"/>
      <c r="T12" s="3"/>
      <c r="U12" s="3"/>
    </row>
    <row r="13" spans="1:21" x14ac:dyDescent="0.25">
      <c r="A13" s="3">
        <v>1.0000000000000001E-5</v>
      </c>
      <c r="B13" s="3">
        <v>4.3720000000000002E-5</v>
      </c>
      <c r="C13" s="3">
        <v>1.5459999999999999E-4</v>
      </c>
      <c r="D13" s="3">
        <v>-4.7150000000000002E-4</v>
      </c>
      <c r="E13" s="3">
        <v>0</v>
      </c>
      <c r="F13" s="3">
        <v>0</v>
      </c>
      <c r="G13" s="3">
        <v>0</v>
      </c>
      <c r="H13" s="3">
        <v>7.1561984999999996E-5</v>
      </c>
      <c r="I13" s="3">
        <v>1.5761291999999999E-5</v>
      </c>
      <c r="J13" s="3">
        <v>-1.9844835999999999E-4</v>
      </c>
      <c r="K13" s="3"/>
      <c r="L13" s="3">
        <f t="shared" si="0"/>
        <v>9.2725344644750796E-2</v>
      </c>
      <c r="M13" s="3"/>
      <c r="N13" s="2">
        <f>IF('Modell einstellen'!$B$1="Voll",H13/0.35,H13/0.35*2)</f>
        <v>2.0446281428571428E-4</v>
      </c>
      <c r="O13" s="2">
        <f>IF('Modell einstellen'!$B$1="Voll",J13/0.35,J13/0.35*2)</f>
        <v>-5.6699531428571425E-4</v>
      </c>
      <c r="P13" s="3">
        <f t="shared" si="1"/>
        <v>0.36060759081103017</v>
      </c>
      <c r="Q13" s="3"/>
      <c r="R13" s="3"/>
      <c r="S13" s="3"/>
      <c r="T13" s="3"/>
      <c r="U13" s="3"/>
    </row>
    <row r="14" spans="1:21" x14ac:dyDescent="0.25">
      <c r="A14" s="3">
        <v>1E-4</v>
      </c>
      <c r="B14" s="3">
        <v>4.1980000000000001E-5</v>
      </c>
      <c r="C14" s="3">
        <v>1.5669999999999999E-4</v>
      </c>
      <c r="D14" s="3">
        <v>-4.7350000000000002E-4</v>
      </c>
      <c r="E14" s="3">
        <v>0</v>
      </c>
      <c r="F14" s="3">
        <v>0</v>
      </c>
      <c r="G14" s="3">
        <v>0</v>
      </c>
      <c r="H14" s="3">
        <v>7.3446963000000002E-5</v>
      </c>
      <c r="I14" s="3">
        <v>1.6001136E-5</v>
      </c>
      <c r="J14" s="3">
        <v>-2.0150705000000001E-4</v>
      </c>
      <c r="K14" s="3"/>
      <c r="L14" s="3">
        <f t="shared" si="0"/>
        <v>8.865892291446674E-2</v>
      </c>
      <c r="M14" s="3"/>
      <c r="N14" s="2">
        <f>IF('Modell einstellen'!$B$1="Voll",H14/0.35,H14/0.35*2)</f>
        <v>2.0984846571428574E-4</v>
      </c>
      <c r="O14" s="2">
        <f>IF('Modell einstellen'!$B$1="Voll",J14/0.35,J14/0.35*2)</f>
        <v>-5.7573442857142862E-4</v>
      </c>
      <c r="P14" s="3">
        <f t="shared" si="1"/>
        <v>0.36448830450349007</v>
      </c>
      <c r="Q14" s="3"/>
      <c r="R14" s="3"/>
      <c r="S14" s="3"/>
      <c r="T14" s="3"/>
      <c r="U14" s="3"/>
    </row>
    <row r="15" spans="1:21" x14ac:dyDescent="0.25">
      <c r="A15" s="3">
        <v>1E-3</v>
      </c>
      <c r="B15" s="3">
        <v>3.9409999999999997E-5</v>
      </c>
      <c r="C15" s="3">
        <v>1.594E-4</v>
      </c>
      <c r="D15" s="3">
        <v>-4.7560000000000001E-4</v>
      </c>
      <c r="E15" s="3">
        <v>0</v>
      </c>
      <c r="F15" s="3">
        <v>0</v>
      </c>
      <c r="G15" s="3">
        <v>0</v>
      </c>
      <c r="H15" s="3">
        <v>7.5915032999999998E-5</v>
      </c>
      <c r="I15" s="3">
        <v>1.6303140999999999E-5</v>
      </c>
      <c r="J15" s="3">
        <v>-2.0545565000000001E-4</v>
      </c>
      <c r="K15" s="3"/>
      <c r="L15" s="3">
        <f t="shared" si="0"/>
        <v>8.2863751051303614E-2</v>
      </c>
      <c r="M15" s="3"/>
      <c r="N15" s="2">
        <f>IF('Modell einstellen'!$B$1="Voll",H15/0.35,H15/0.35*2)</f>
        <v>2.1690009428571429E-4</v>
      </c>
      <c r="O15" s="2">
        <f>IF('Modell einstellen'!$B$1="Voll",J15/0.35,J15/0.35*2)</f>
        <v>-5.8701614285714288E-4</v>
      </c>
      <c r="P15" s="3">
        <f t="shared" si="1"/>
        <v>0.36949596178055943</v>
      </c>
      <c r="Q15" s="3"/>
      <c r="R15" s="3"/>
      <c r="S15" s="3"/>
      <c r="T15" s="3"/>
      <c r="U15" s="3"/>
    </row>
    <row r="16" spans="1:21" x14ac:dyDescent="0.25">
      <c r="A16" s="3">
        <v>0.01</v>
      </c>
      <c r="B16" s="3">
        <v>3.6159999999999999E-5</v>
      </c>
      <c r="C16" s="3">
        <v>1.6239999999999999E-4</v>
      </c>
      <c r="D16" s="3">
        <v>-4.7770000000000001E-4</v>
      </c>
      <c r="E16" s="3">
        <v>0</v>
      </c>
      <c r="F16" s="3">
        <v>0</v>
      </c>
      <c r="G16" s="3">
        <v>0</v>
      </c>
      <c r="H16" s="3">
        <v>7.8785680000000006E-5</v>
      </c>
      <c r="I16" s="3">
        <v>1.6644215E-5</v>
      </c>
      <c r="J16" s="3">
        <v>-2.0999422000000001E-4</v>
      </c>
      <c r="K16" s="3"/>
      <c r="L16" s="3">
        <f t="shared" si="0"/>
        <v>7.5696043541971944E-2</v>
      </c>
      <c r="M16" s="3"/>
      <c r="N16" s="2">
        <f>IF('Modell einstellen'!$B$1="Voll",H16/0.35,H16/0.35*2)</f>
        <v>2.2510194285714288E-4</v>
      </c>
      <c r="O16" s="2">
        <f>IF('Modell einstellen'!$B$1="Voll",J16/0.35,J16/0.35*2)</f>
        <v>-5.9998348571428575E-4</v>
      </c>
      <c r="P16" s="3">
        <f t="shared" si="1"/>
        <v>0.37518023115112409</v>
      </c>
      <c r="Q16" s="3"/>
      <c r="R16" s="3"/>
      <c r="S16" s="3"/>
      <c r="T16" s="3"/>
      <c r="U16" s="3"/>
    </row>
    <row r="17" spans="1:21" x14ac:dyDescent="0.25">
      <c r="A17" s="3">
        <v>0.1</v>
      </c>
      <c r="B17" s="3">
        <v>3.171E-5</v>
      </c>
      <c r="C17" s="3">
        <v>1.661E-4</v>
      </c>
      <c r="D17" s="3">
        <v>-4.796E-4</v>
      </c>
      <c r="E17" s="3">
        <v>0</v>
      </c>
      <c r="F17" s="3">
        <v>0</v>
      </c>
      <c r="G17" s="3">
        <v>0</v>
      </c>
      <c r="H17" s="3">
        <v>8.2424144000000003E-5</v>
      </c>
      <c r="I17" s="3">
        <v>1.7062135E-5</v>
      </c>
      <c r="J17" s="3">
        <v>-2.1566983999999999E-4</v>
      </c>
      <c r="K17" s="3"/>
      <c r="L17" s="3">
        <f t="shared" si="0"/>
        <v>6.6117597998331945E-2</v>
      </c>
      <c r="M17" s="3"/>
      <c r="N17" s="2">
        <f>IF('Modell einstellen'!$B$1="Voll",H17/0.35,H17/0.35*2)</f>
        <v>2.3549755428571432E-4</v>
      </c>
      <c r="O17" s="2">
        <f>IF('Modell einstellen'!$B$1="Voll",J17/0.35,J17/0.35*2)</f>
        <v>-6.1619954285714292E-4</v>
      </c>
      <c r="P17" s="3">
        <f t="shared" si="1"/>
        <v>0.38217742453001313</v>
      </c>
      <c r="Q17" s="3"/>
      <c r="R17" s="3"/>
      <c r="S17" s="3"/>
      <c r="T17" s="3"/>
      <c r="U17" s="3"/>
    </row>
    <row r="18" spans="1:21" x14ac:dyDescent="0.25">
      <c r="A18" s="3">
        <v>1</v>
      </c>
      <c r="B18" s="3">
        <v>2.6299999999999999E-5</v>
      </c>
      <c r="C18" s="3">
        <v>1.7019999999999999E-4</v>
      </c>
      <c r="D18" s="3">
        <v>-4.8119999999999999E-4</v>
      </c>
      <c r="E18" s="3">
        <v>0</v>
      </c>
      <c r="F18" s="3">
        <v>0</v>
      </c>
      <c r="G18" s="3">
        <v>0</v>
      </c>
      <c r="H18" s="3">
        <v>8.6592362000000004E-5</v>
      </c>
      <c r="I18" s="3">
        <v>1.7532123000000001E-5</v>
      </c>
      <c r="J18" s="3">
        <v>-2.2209684E-4</v>
      </c>
      <c r="K18" s="3"/>
      <c r="L18" s="3">
        <f t="shared" si="0"/>
        <v>5.4655029093931835E-2</v>
      </c>
      <c r="M18" s="3"/>
      <c r="N18" s="2">
        <f>IF('Modell einstellen'!$B$1="Voll",H18/0.35,H18/0.35*2)</f>
        <v>2.4740674857142862E-4</v>
      </c>
      <c r="O18" s="2">
        <f>IF('Modell einstellen'!$B$1="Voll",J18/0.35,J18/0.35*2)</f>
        <v>-6.345624E-4</v>
      </c>
      <c r="P18" s="3">
        <f t="shared" si="1"/>
        <v>0.38988561025902041</v>
      </c>
      <c r="Q18" s="3"/>
      <c r="R18" s="3"/>
      <c r="S18" s="3"/>
      <c r="T18" s="3"/>
      <c r="U18" s="3"/>
    </row>
    <row r="19" spans="1:21" x14ac:dyDescent="0.25">
      <c r="A19" s="3">
        <v>10</v>
      </c>
      <c r="B19" s="3">
        <v>2.0299999999999999E-5</v>
      </c>
      <c r="C19" s="3">
        <v>1.7650000000000001E-4</v>
      </c>
      <c r="D19" s="3">
        <v>-4.8460000000000002E-4</v>
      </c>
      <c r="E19" s="3">
        <v>0</v>
      </c>
      <c r="F19" s="3">
        <v>0</v>
      </c>
      <c r="G19" s="3">
        <v>0</v>
      </c>
      <c r="H19" s="3">
        <v>9.1992653000000002E-5</v>
      </c>
      <c r="I19" s="3">
        <v>1.8252865E-5</v>
      </c>
      <c r="J19" s="3">
        <v>-2.3068123E-4</v>
      </c>
      <c r="K19" s="3"/>
      <c r="L19" s="3">
        <f t="shared" si="0"/>
        <v>4.1890218737102761E-2</v>
      </c>
      <c r="M19" s="3"/>
      <c r="N19" s="2">
        <f>IF('Modell einstellen'!$B$1="Voll",H19/0.35,H19/0.35*2)</f>
        <v>2.6283615142857147E-4</v>
      </c>
      <c r="O19" s="2">
        <f>IF('Modell einstellen'!$B$1="Voll",J19/0.35,J19/0.35*2)</f>
        <v>-6.5908922857142857E-4</v>
      </c>
      <c r="P19" s="3">
        <f t="shared" si="1"/>
        <v>0.3987869017344845</v>
      </c>
      <c r="Q19" s="3"/>
      <c r="R19" s="3"/>
      <c r="S19" s="3"/>
      <c r="T19" s="3"/>
      <c r="U19" s="3"/>
    </row>
    <row r="20" spans="1:21" x14ac:dyDescent="0.25">
      <c r="A20" s="3">
        <v>100</v>
      </c>
      <c r="B20" s="3">
        <v>2.1350000000000001E-5</v>
      </c>
      <c r="C20" s="3">
        <v>1.9320000000000001E-4</v>
      </c>
      <c r="D20" s="3">
        <v>-5.0379999999999999E-4</v>
      </c>
      <c r="E20" s="3">
        <v>0</v>
      </c>
      <c r="F20" s="3">
        <v>0</v>
      </c>
      <c r="G20" s="3">
        <v>0</v>
      </c>
      <c r="H20" s="3">
        <v>9.9872318999999994E-5</v>
      </c>
      <c r="I20" s="3">
        <v>2.0176715000000001E-5</v>
      </c>
      <c r="J20" s="3">
        <v>-2.4564283000000001E-4</v>
      </c>
      <c r="K20" s="3"/>
      <c r="L20" s="3">
        <f t="shared" si="0"/>
        <v>4.2377927749106793E-2</v>
      </c>
      <c r="M20" s="3"/>
      <c r="N20" s="2">
        <f>IF('Modell einstellen'!$B$1="Voll",H20/0.35,H20/0.35*2)</f>
        <v>2.8534948285714284E-4</v>
      </c>
      <c r="O20" s="2">
        <f>IF('Modell einstellen'!$B$1="Voll",J20/0.35,J20/0.35*2)</f>
        <v>-7.0183665714285723E-4</v>
      </c>
      <c r="P20" s="3">
        <f t="shared" si="1"/>
        <v>0.40657534762972719</v>
      </c>
      <c r="Q20" s="3"/>
      <c r="R20" s="3"/>
      <c r="S20" s="3"/>
      <c r="T20" s="3"/>
      <c r="U20" s="3"/>
    </row>
    <row r="21" spans="1:21" x14ac:dyDescent="0.25">
      <c r="A21" s="3">
        <v>1000</v>
      </c>
      <c r="B21" s="3">
        <v>4.3770000000000003E-5</v>
      </c>
      <c r="C21" s="3">
        <v>2.3110000000000001E-4</v>
      </c>
      <c r="D21" s="3">
        <v>-5.6030000000000001E-4</v>
      </c>
      <c r="E21" s="3">
        <v>0</v>
      </c>
      <c r="F21" s="3">
        <v>0</v>
      </c>
      <c r="G21" s="3">
        <v>0</v>
      </c>
      <c r="H21" s="3">
        <v>1.1064323999999999E-4</v>
      </c>
      <c r="I21" s="3">
        <v>2.4620198E-5</v>
      </c>
      <c r="J21" s="3">
        <v>-2.7143738999999998E-4</v>
      </c>
      <c r="K21" s="3"/>
      <c r="L21" s="3">
        <f t="shared" si="0"/>
        <v>7.8118864893806886E-2</v>
      </c>
      <c r="M21" s="3"/>
      <c r="N21" s="2">
        <f>IF('Modell einstellen'!$B$1="Voll",H21/0.35,H21/0.35*2)</f>
        <v>3.1612354285714289E-4</v>
      </c>
      <c r="O21" s="2">
        <f>IF('Modell einstellen'!$B$1="Voll",J21/0.35,J21/0.35*2)</f>
        <v>-7.7553539999999997E-4</v>
      </c>
      <c r="P21" s="3">
        <f t="shared" si="1"/>
        <v>0.40761974612266944</v>
      </c>
      <c r="Q21" s="3"/>
      <c r="R21" s="3"/>
      <c r="S21" s="3"/>
      <c r="T21" s="3"/>
      <c r="U21" s="3"/>
    </row>
    <row r="22" spans="1:21" x14ac:dyDescent="0.25">
      <c r="A22" s="3">
        <v>10000</v>
      </c>
      <c r="B22" s="3">
        <v>7.7529999999999998E-5</v>
      </c>
      <c r="C22" s="3">
        <v>2.8269999999999999E-4</v>
      </c>
      <c r="D22" s="3">
        <v>-6.3969999999999999E-4</v>
      </c>
      <c r="E22" s="3">
        <v>0</v>
      </c>
      <c r="F22" s="3">
        <v>0</v>
      </c>
      <c r="G22" s="3">
        <v>0</v>
      </c>
      <c r="H22" s="3">
        <v>1.2323548E-4</v>
      </c>
      <c r="I22" s="3">
        <v>3.0881842999999997E-5</v>
      </c>
      <c r="J22" s="3">
        <v>-3.0507026E-4</v>
      </c>
      <c r="K22" s="3"/>
      <c r="L22" s="3">
        <f t="shared" si="0"/>
        <v>0.12119743629826481</v>
      </c>
      <c r="M22" s="3"/>
      <c r="N22" s="2">
        <f>IF('Modell einstellen'!$B$1="Voll",H22/0.35,H22/0.35*2)</f>
        <v>3.5210137142857145E-4</v>
      </c>
      <c r="O22" s="2">
        <f>IF('Modell einstellen'!$B$1="Voll",J22/0.35,J22/0.35*2)</f>
        <v>-8.7162931428571438E-4</v>
      </c>
      <c r="P22" s="3">
        <f t="shared" si="1"/>
        <v>0.40395769813812726</v>
      </c>
      <c r="Q22" s="3"/>
      <c r="R22" s="3"/>
      <c r="S22" s="3"/>
      <c r="T22" s="3"/>
      <c r="U22" s="3"/>
    </row>
    <row r="23" spans="1:21" x14ac:dyDescent="0.25">
      <c r="A23" s="3">
        <v>100000</v>
      </c>
      <c r="B23" s="3">
        <v>1.081E-4</v>
      </c>
      <c r="C23" s="3">
        <v>3.3780000000000003E-4</v>
      </c>
      <c r="D23" s="3">
        <v>-7.205E-4</v>
      </c>
      <c r="E23" s="3">
        <v>0</v>
      </c>
      <c r="F23" s="3">
        <v>0</v>
      </c>
      <c r="G23" s="3">
        <v>0</v>
      </c>
      <c r="H23" s="3">
        <v>1.3742002E-4</v>
      </c>
      <c r="I23" s="3">
        <v>3.7848795999999998E-5</v>
      </c>
      <c r="J23" s="3">
        <v>-3.4312448000000002E-4</v>
      </c>
      <c r="K23" s="3"/>
      <c r="L23" s="3">
        <f t="shared" si="0"/>
        <v>0.15003469812630119</v>
      </c>
      <c r="M23" s="3"/>
      <c r="N23" s="2">
        <f>IF('Modell einstellen'!$B$1="Voll",H23/0.35,H23/0.35*2)</f>
        <v>3.9262862857142859E-4</v>
      </c>
      <c r="O23" s="2">
        <f>IF('Modell einstellen'!$B$1="Voll",J23/0.35,J23/0.35*2)</f>
        <v>-9.803556571428573E-4</v>
      </c>
      <c r="P23" s="3">
        <f t="shared" si="1"/>
        <v>0.40049611149866071</v>
      </c>
      <c r="Q23" s="3"/>
      <c r="R23" s="3"/>
      <c r="S23" s="3"/>
      <c r="T23" s="3"/>
      <c r="U23" s="3"/>
    </row>
    <row r="24" spans="1:21" x14ac:dyDescent="0.25">
      <c r="A24" s="3">
        <v>1000000</v>
      </c>
      <c r="B24" s="3">
        <v>1.2769999999999999E-4</v>
      </c>
      <c r="C24" s="3">
        <v>3.948E-4</v>
      </c>
      <c r="D24" s="3">
        <v>-7.9500000000000003E-4</v>
      </c>
      <c r="E24" s="3">
        <v>0</v>
      </c>
      <c r="F24" s="3">
        <v>0</v>
      </c>
      <c r="G24" s="3">
        <v>0</v>
      </c>
      <c r="H24" s="3">
        <v>1.5458875999999999E-4</v>
      </c>
      <c r="I24" s="3">
        <v>4.5409998999999998E-5</v>
      </c>
      <c r="J24" s="3">
        <v>-3.8692875000000002E-4</v>
      </c>
      <c r="K24" s="3"/>
      <c r="L24" s="3">
        <f t="shared" si="0"/>
        <v>0.16062893081761004</v>
      </c>
      <c r="M24" s="3"/>
      <c r="N24" s="2">
        <f>IF('Modell einstellen'!$B$1="Voll",H24/0.35,H24/0.35*2)</f>
        <v>4.4168217142857142E-4</v>
      </c>
      <c r="O24" s="2">
        <f>IF('Modell einstellen'!$B$1="Voll",J24/0.35,J24/0.35*2)</f>
        <v>-1.1055107142857144E-3</v>
      </c>
      <c r="P24" s="3">
        <f t="shared" si="1"/>
        <v>0.39952771666618203</v>
      </c>
      <c r="Q24" s="3"/>
      <c r="R24" s="3"/>
      <c r="S24" s="3"/>
      <c r="T24" s="3"/>
      <c r="U24" s="3"/>
    </row>
    <row r="25" spans="1:21" x14ac:dyDescent="0.25">
      <c r="A25" s="3">
        <v>10000000</v>
      </c>
      <c r="B25" s="3">
        <v>1.247E-4</v>
      </c>
      <c r="C25" s="3">
        <v>4.6440000000000001E-4</v>
      </c>
      <c r="D25" s="3">
        <v>-8.633E-4</v>
      </c>
      <c r="E25" s="3">
        <v>0</v>
      </c>
      <c r="F25" s="3">
        <v>0</v>
      </c>
      <c r="G25" s="3">
        <v>0</v>
      </c>
      <c r="H25" s="3">
        <v>1.8028515E-4</v>
      </c>
      <c r="I25" s="3">
        <v>5.5134611999999998E-5</v>
      </c>
      <c r="J25" s="3">
        <v>-4.4791862000000002E-4</v>
      </c>
      <c r="K25" s="3"/>
      <c r="L25" s="3">
        <f t="shared" si="0"/>
        <v>0.14444573149542453</v>
      </c>
      <c r="M25" s="3"/>
      <c r="N25" s="2">
        <f>IF('Modell einstellen'!$B$1="Voll",H25/0.35,H25/0.35*2)</f>
        <v>5.1510042857142856E-4</v>
      </c>
      <c r="O25" s="2">
        <f>IF('Modell einstellen'!$B$1="Voll",J25/0.35,J25/0.35*2)</f>
        <v>-1.2797674857142859E-3</v>
      </c>
      <c r="P25" s="3">
        <f t="shared" si="1"/>
        <v>0.40249532381574127</v>
      </c>
      <c r="Q25" s="3"/>
      <c r="R25" s="3"/>
      <c r="S25" s="3"/>
      <c r="T25" s="3"/>
      <c r="U25" s="3"/>
    </row>
    <row r="26" spans="1:21" x14ac:dyDescent="0.25">
      <c r="A26" s="3">
        <v>100000000</v>
      </c>
      <c r="B26" s="3">
        <v>7.9010000000000004E-5</v>
      </c>
      <c r="C26" s="3">
        <v>5.6150000000000004E-4</v>
      </c>
      <c r="D26" s="3">
        <v>-9.1980000000000002E-4</v>
      </c>
      <c r="E26" s="3">
        <v>0</v>
      </c>
      <c r="F26" s="3">
        <v>0</v>
      </c>
      <c r="G26" s="3">
        <v>0</v>
      </c>
      <c r="H26" s="3">
        <v>2.2108277000000001E-4</v>
      </c>
      <c r="I26" s="3">
        <v>6.9456720000000003E-5</v>
      </c>
      <c r="J26" s="3">
        <v>-5.4139352999999998E-4</v>
      </c>
      <c r="K26" s="3"/>
      <c r="L26" s="3">
        <f t="shared" si="0"/>
        <v>8.5899108501848231E-2</v>
      </c>
      <c r="M26" s="3"/>
      <c r="N26" s="2">
        <f>IF('Modell einstellen'!$B$1="Voll",H26/0.35,H26/0.35*2)</f>
        <v>6.3166505714285718E-4</v>
      </c>
      <c r="O26" s="2">
        <f>IF('Modell einstellen'!$B$1="Voll",J26/0.35,J26/0.35*2)</f>
        <v>-1.5468386571428571E-3</v>
      </c>
      <c r="P26" s="3">
        <f t="shared" si="1"/>
        <v>0.40835872198177181</v>
      </c>
      <c r="Q26" s="3"/>
      <c r="R26" s="3"/>
      <c r="S26" s="3"/>
      <c r="T26" s="3"/>
      <c r="U26" s="3"/>
    </row>
    <row r="27" spans="1:21" x14ac:dyDescent="0.25">
      <c r="A27" s="3">
        <v>1000000000</v>
      </c>
      <c r="B27" s="3">
        <v>-7.1299999999999998E-5</v>
      </c>
      <c r="C27" s="3">
        <v>7.1659999999999996E-4</v>
      </c>
      <c r="D27" s="3">
        <v>-9.3300000000000002E-4</v>
      </c>
      <c r="E27" s="3">
        <v>0</v>
      </c>
      <c r="F27" s="3">
        <v>0</v>
      </c>
      <c r="G27" s="3">
        <v>0</v>
      </c>
      <c r="H27" s="3">
        <v>2.9380897999999999E-4</v>
      </c>
      <c r="I27" s="3">
        <v>9.3722209E-5</v>
      </c>
      <c r="J27" s="3">
        <v>-7.0361765000000003E-4</v>
      </c>
      <c r="K27" s="3"/>
      <c r="L27" s="3">
        <f t="shared" si="0"/>
        <v>-7.6420150053590569E-2</v>
      </c>
      <c r="M27" s="3"/>
      <c r="N27" s="2">
        <f>IF('Modell einstellen'!$B$1="Voll",H27/0.35,H27/0.35*2)</f>
        <v>8.3945422857142861E-4</v>
      </c>
      <c r="O27" s="2">
        <f>IF('Modell einstellen'!$B$1="Voll",J27/0.35,J27/0.35*2)</f>
        <v>-2.0103361428571429E-3</v>
      </c>
      <c r="P27" s="3">
        <f t="shared" si="1"/>
        <v>0.41756908741558713</v>
      </c>
      <c r="Q27" s="3"/>
      <c r="R27" s="3"/>
      <c r="S27" s="3"/>
      <c r="T27" s="3"/>
      <c r="U27" s="3"/>
    </row>
    <row r="28" spans="1:21" x14ac:dyDescent="0.25">
      <c r="A28" s="3">
        <v>10000000000</v>
      </c>
      <c r="B28" s="3">
        <v>-5.2079999999999997E-4</v>
      </c>
      <c r="C28" s="3">
        <v>1.013E-3</v>
      </c>
      <c r="D28" s="3">
        <v>-7.9069999999999997E-4</v>
      </c>
      <c r="E28" s="3">
        <v>0</v>
      </c>
      <c r="F28" s="3">
        <v>0</v>
      </c>
      <c r="G28" s="3">
        <v>0</v>
      </c>
      <c r="H28" s="3">
        <v>4.5070971999999998E-4</v>
      </c>
      <c r="I28" s="3">
        <v>1.4327417000000001E-4</v>
      </c>
      <c r="J28" s="3">
        <v>-1.0426226E-3</v>
      </c>
      <c r="K28" s="3"/>
      <c r="L28" s="3">
        <f t="shared" si="0"/>
        <v>-0.65865688630327557</v>
      </c>
      <c r="M28" s="3"/>
      <c r="N28" s="2">
        <f>IF('Modell einstellen'!$B$1="Voll",H28/0.35,H28/0.35*2)</f>
        <v>1.2877420571428572E-3</v>
      </c>
      <c r="O28" s="2">
        <f>IF('Modell einstellen'!$B$1="Voll",J28/0.35,J28/0.35*2)</f>
        <v>-2.9789217142857146E-3</v>
      </c>
      <c r="P28" s="3">
        <f t="shared" si="1"/>
        <v>0.43228462532847456</v>
      </c>
      <c r="Q28" s="3"/>
      <c r="R28" s="3"/>
      <c r="S28" s="3"/>
      <c r="T28" s="3"/>
      <c r="U28" s="3"/>
    </row>
    <row r="29" spans="1:21" x14ac:dyDescent="0.25">
      <c r="A29" s="3">
        <v>100000000000</v>
      </c>
      <c r="B29" s="3">
        <v>-1.6260000000000001E-3</v>
      </c>
      <c r="C29" s="3">
        <v>1.5590000000000001E-3</v>
      </c>
      <c r="D29" s="3">
        <v>-2.4130000000000001E-4</v>
      </c>
      <c r="E29" s="3">
        <v>0</v>
      </c>
      <c r="F29" s="3">
        <v>0</v>
      </c>
      <c r="G29" s="3">
        <v>0</v>
      </c>
      <c r="H29" s="3">
        <v>7.7029338999999998E-4</v>
      </c>
      <c r="I29" s="3">
        <v>2.3965552999999999E-4</v>
      </c>
      <c r="J29" s="3">
        <v>-1.7138715E-3</v>
      </c>
      <c r="K29" s="3"/>
      <c r="L29" s="3">
        <f t="shared" si="0"/>
        <v>-6.7384997927890593</v>
      </c>
      <c r="M29" s="3"/>
      <c r="N29" s="2">
        <f>IF('Modell einstellen'!$B$1="Voll",H29/0.35,H29/0.35*2)</f>
        <v>2.200838257142857E-3</v>
      </c>
      <c r="O29" s="2">
        <f>IF('Modell einstellen'!$B$1="Voll",J29/0.35,J29/0.35*2)</f>
        <v>-4.8967757142857147E-3</v>
      </c>
      <c r="P29" s="3">
        <f t="shared" si="1"/>
        <v>0.44944640832174404</v>
      </c>
      <c r="Q29" s="3"/>
      <c r="R29" s="3"/>
      <c r="S29" s="3"/>
      <c r="T29" s="3"/>
      <c r="U29" s="3"/>
    </row>
    <row r="30" spans="1:21" x14ac:dyDescent="0.25">
      <c r="A30" s="3">
        <v>1000000000000</v>
      </c>
      <c r="B30" s="3">
        <v>-3.8960000000000002E-3</v>
      </c>
      <c r="C30" s="3">
        <v>2.539E-3</v>
      </c>
      <c r="D30" s="3">
        <v>1.041E-3</v>
      </c>
      <c r="E30" s="3">
        <v>0</v>
      </c>
      <c r="F30" s="3">
        <v>0</v>
      </c>
      <c r="G30" s="3">
        <v>0</v>
      </c>
      <c r="H30" s="3">
        <v>1.3771527E-3</v>
      </c>
      <c r="I30" s="3">
        <v>4.1724421999999998E-4</v>
      </c>
      <c r="J30" s="3">
        <v>-2.9625049999999998E-3</v>
      </c>
      <c r="K30" s="3"/>
      <c r="L30" s="3">
        <f t="shared" si="0"/>
        <v>3.7425552353506246</v>
      </c>
      <c r="M30" s="3"/>
      <c r="N30" s="2">
        <f>IF('Modell einstellen'!$B$1="Voll",H30/0.35,H30/0.35*2)</f>
        <v>3.9347219999999999E-3</v>
      </c>
      <c r="O30" s="2">
        <f>IF('Modell einstellen'!$B$1="Voll",J30/0.35,J30/0.35*2)</f>
        <v>-8.4642999999999993E-3</v>
      </c>
      <c r="P30" s="3">
        <f t="shared" si="1"/>
        <v>0.46486088631074041</v>
      </c>
      <c r="Q30" s="3"/>
      <c r="R30" s="3"/>
      <c r="S30" s="3"/>
      <c r="T30" s="3"/>
      <c r="U30" s="3"/>
    </row>
    <row r="31" spans="1:21" x14ac:dyDescent="0.25">
      <c r="A31" s="3">
        <v>10000000000000</v>
      </c>
      <c r="B31" s="3">
        <v>-8.1429999999999992E-3</v>
      </c>
      <c r="C31" s="3">
        <v>4.267E-3</v>
      </c>
      <c r="D31" s="3">
        <v>3.5539999999999999E-3</v>
      </c>
      <c r="E31" s="3">
        <v>0</v>
      </c>
      <c r="F31" s="3">
        <v>0</v>
      </c>
      <c r="G31" s="3">
        <v>0</v>
      </c>
      <c r="H31" s="3">
        <v>2.4894317000000001E-3</v>
      </c>
      <c r="I31" s="3">
        <v>7.3721020000000004E-4</v>
      </c>
      <c r="J31" s="3">
        <v>-5.2133461000000002E-3</v>
      </c>
      <c r="K31" s="3"/>
      <c r="L31" s="3">
        <f t="shared" si="0"/>
        <v>2.2912211592571747</v>
      </c>
      <c r="M31" s="3"/>
      <c r="N31" s="2">
        <f>IF('Modell einstellen'!$B$1="Voll",H31/0.35,H31/0.35*2)</f>
        <v>7.1126620000000005E-3</v>
      </c>
      <c r="O31" s="2">
        <f>IF('Modell einstellen'!$B$1="Voll",J31/0.35,J31/0.35*2)</f>
        <v>-1.4895274571428573E-2</v>
      </c>
      <c r="P31" s="3">
        <f t="shared" si="1"/>
        <v>0.47751130507142042</v>
      </c>
      <c r="Q31" s="3"/>
      <c r="R31" s="3"/>
      <c r="S31" s="3"/>
      <c r="T31" s="3"/>
      <c r="U31" s="3"/>
    </row>
    <row r="32" spans="1:21" x14ac:dyDescent="0.25">
      <c r="A32" s="3">
        <v>100000000000000</v>
      </c>
      <c r="B32" s="3">
        <v>-1.244E-2</v>
      </c>
      <c r="C32" s="3">
        <v>5.9930000000000001E-3</v>
      </c>
      <c r="D32" s="3">
        <v>6.1180000000000002E-3</v>
      </c>
      <c r="E32" s="3">
        <v>0</v>
      </c>
      <c r="F32" s="3">
        <v>0</v>
      </c>
      <c r="G32" s="3">
        <v>0</v>
      </c>
      <c r="H32" s="3">
        <v>3.6301923000000001E-3</v>
      </c>
      <c r="I32" s="3">
        <v>1.0699716000000001E-3</v>
      </c>
      <c r="J32" s="3">
        <v>-7.5153310999999997E-3</v>
      </c>
      <c r="K32" s="3"/>
      <c r="L32" s="3">
        <f t="shared" si="0"/>
        <v>2.0333442301405689</v>
      </c>
      <c r="M32" s="3"/>
      <c r="N32" s="2">
        <f>IF('Modell einstellen'!$B$1="Voll",H32/0.35,H32/0.35*2)</f>
        <v>1.0371978E-2</v>
      </c>
      <c r="O32" s="2">
        <f>IF('Modell einstellen'!$B$1="Voll",J32/0.35,J32/0.35*2)</f>
        <v>-2.1472374571428574E-2</v>
      </c>
      <c r="P32" s="3">
        <f t="shared" si="1"/>
        <v>0.48303823899388809</v>
      </c>
      <c r="Q32" s="3"/>
      <c r="R32" s="3"/>
      <c r="S32" s="3"/>
      <c r="T32" s="3"/>
      <c r="U32" s="3"/>
    </row>
    <row r="33" spans="1:21" x14ac:dyDescent="0.25">
      <c r="A33" s="2">
        <v>1000000000000000</v>
      </c>
      <c r="B33" s="3">
        <v>-1.436E-2</v>
      </c>
      <c r="C33" s="3">
        <v>6.8149999999999999E-3</v>
      </c>
      <c r="D33" s="3">
        <v>7.2150000000000001E-3</v>
      </c>
      <c r="E33" s="3">
        <v>0</v>
      </c>
      <c r="F33" s="3">
        <v>0</v>
      </c>
      <c r="G33" s="3">
        <v>0</v>
      </c>
      <c r="H33" s="3">
        <v>4.1610880999999999E-3</v>
      </c>
      <c r="I33" s="3">
        <v>1.2351806E-3</v>
      </c>
      <c r="J33" s="3">
        <v>-8.6153549000000003E-3</v>
      </c>
      <c r="K33" s="3"/>
      <c r="L33" s="3">
        <f t="shared" si="0"/>
        <v>1.9902979902979903</v>
      </c>
      <c r="M33" s="3"/>
      <c r="N33" s="2">
        <f>IF('Modell einstellen'!$B$1="Voll",H33/0.35,H33/0.35*2)</f>
        <v>1.1888823142857143E-2</v>
      </c>
      <c r="O33" s="2">
        <f>IF('Modell einstellen'!$B$1="Voll",J33/0.35,J33/0.35*2)</f>
        <v>-2.4615299714285718E-2</v>
      </c>
      <c r="P33" s="3">
        <f t="shared" si="1"/>
        <v>0.48298510604595052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4.634E-5</v>
      </c>
      <c r="C3" s="3">
        <v>1.5569999999999999E-4</v>
      </c>
      <c r="D3" s="3">
        <v>-4.7449999999999999E-4</v>
      </c>
      <c r="E3" s="3">
        <v>0</v>
      </c>
      <c r="F3" s="3">
        <v>0</v>
      </c>
      <c r="G3" s="3">
        <v>0</v>
      </c>
      <c r="H3" s="3">
        <v>7.1422107999999997E-5</v>
      </c>
      <c r="I3" s="3">
        <v>1.5889279999999999E-5</v>
      </c>
      <c r="J3" s="3">
        <v>-1.9867771999999999E-4</v>
      </c>
      <c r="K3" s="2"/>
      <c r="L3" s="3"/>
      <c r="M3" s="3"/>
      <c r="N3" s="2">
        <f>IF('Modell einstellen'!$B$1="Voll",H3/0.35,H3/0.35*2)</f>
        <v>2.0406316571428571E-4</v>
      </c>
      <c r="O3" s="2">
        <f>IF('Modell einstellen'!$B$1="Voll",J3/0.35,J3/0.35*2)</f>
        <v>-5.6765062857142858E-4</v>
      </c>
      <c r="P3" s="3">
        <f>-N3/O3</f>
        <v>0.35948725403130255</v>
      </c>
      <c r="Q3" s="3"/>
      <c r="R3" s="3"/>
      <c r="S3" s="3"/>
      <c r="T3" s="3"/>
      <c r="U3" s="3"/>
    </row>
    <row r="4" spans="1:21" x14ac:dyDescent="0.25">
      <c r="A4" s="3">
        <v>1E-14</v>
      </c>
      <c r="B4" s="3">
        <v>4.634E-5</v>
      </c>
      <c r="C4" s="3">
        <v>1.5569999999999999E-4</v>
      </c>
      <c r="D4" s="3">
        <v>-4.7449999999999999E-4</v>
      </c>
      <c r="E4" s="3">
        <v>0</v>
      </c>
      <c r="F4" s="3">
        <v>0</v>
      </c>
      <c r="G4" s="3">
        <v>0</v>
      </c>
      <c r="H4" s="3">
        <v>7.1423918000000002E-5</v>
      </c>
      <c r="I4" s="3">
        <v>1.5890344999999999E-5</v>
      </c>
      <c r="J4" s="3">
        <v>-1.9867396999999999E-4</v>
      </c>
      <c r="K4" s="2"/>
      <c r="L4" s="3"/>
      <c r="M4" s="3"/>
      <c r="N4" s="2">
        <f>IF('Modell einstellen'!$B$1="Voll",H4/0.35,H4/0.35*2)</f>
        <v>2.0406833714285716E-4</v>
      </c>
      <c r="O4" s="2">
        <f>IF('Modell einstellen'!$B$1="Voll",J4/0.35,J4/0.35*2)</f>
        <v>-5.6763991428571429E-4</v>
      </c>
      <c r="P4" s="3">
        <f t="shared" ref="P4:P33" si="0">-N4/O4</f>
        <v>0.35950314980870418</v>
      </c>
      <c r="Q4" s="3"/>
      <c r="R4" s="3"/>
      <c r="S4" s="3"/>
      <c r="T4" s="3"/>
      <c r="U4" s="3"/>
    </row>
    <row r="5" spans="1:21" x14ac:dyDescent="0.25">
      <c r="A5" s="3">
        <v>1E-13</v>
      </c>
      <c r="B5" s="3">
        <v>4.634E-5</v>
      </c>
      <c r="C5" s="3">
        <v>1.5569999999999999E-4</v>
      </c>
      <c r="D5" s="3">
        <v>-4.7449999999999999E-4</v>
      </c>
      <c r="E5" s="3">
        <v>0</v>
      </c>
      <c r="F5" s="3">
        <v>0</v>
      </c>
      <c r="G5" s="3">
        <v>0</v>
      </c>
      <c r="H5" s="3">
        <v>7.1425220999999999E-5</v>
      </c>
      <c r="I5" s="3">
        <v>1.5890621000000001E-5</v>
      </c>
      <c r="J5" s="3">
        <v>-1.9867644000000001E-4</v>
      </c>
      <c r="K5" s="2"/>
      <c r="L5" s="3"/>
      <c r="M5" s="3"/>
      <c r="N5" s="2">
        <f>IF('Modell einstellen'!$B$1="Voll",H5/0.35,H5/0.35*2)</f>
        <v>2.0407206E-4</v>
      </c>
      <c r="O5" s="2">
        <f>IF('Modell einstellen'!$B$1="Voll",J5/0.35,J5/0.35*2)</f>
        <v>-5.6764697142857147E-4</v>
      </c>
      <c r="P5" s="3">
        <f t="shared" si="0"/>
        <v>0.35950523876912627</v>
      </c>
      <c r="Q5" s="3"/>
      <c r="R5" s="3"/>
      <c r="S5" s="3"/>
      <c r="T5" s="3"/>
      <c r="U5" s="3"/>
    </row>
    <row r="6" spans="1:21" x14ac:dyDescent="0.25">
      <c r="A6" s="3">
        <v>9.9999999999999998E-13</v>
      </c>
      <c r="B6" s="3">
        <v>4.6329999999999999E-5</v>
      </c>
      <c r="C6" s="3">
        <v>1.5569999999999999E-4</v>
      </c>
      <c r="D6" s="3">
        <v>-4.7449999999999999E-4</v>
      </c>
      <c r="E6" s="3">
        <v>0</v>
      </c>
      <c r="F6" s="3">
        <v>0</v>
      </c>
      <c r="G6" s="3">
        <v>0</v>
      </c>
      <c r="H6" s="3">
        <v>7.1434596999999994E-5</v>
      </c>
      <c r="I6" s="3">
        <v>1.5891780000000001E-5</v>
      </c>
      <c r="J6" s="3">
        <v>-1.9869158000000001E-4</v>
      </c>
      <c r="K6" s="2"/>
      <c r="L6" s="3"/>
      <c r="M6" s="3"/>
      <c r="N6" s="2">
        <f>IF('Modell einstellen'!$B$1="Voll",H6/0.35,H6/0.35*2)</f>
        <v>2.0409884857142856E-4</v>
      </c>
      <c r="O6" s="2">
        <f>IF('Modell einstellen'!$B$1="Voll",J6/0.35,J6/0.35*2)</f>
        <v>-5.6769022857142864E-4</v>
      </c>
      <c r="P6" s="3">
        <f t="shared" si="0"/>
        <v>0.35952503372311995</v>
      </c>
      <c r="Q6" s="3"/>
      <c r="R6" s="3"/>
      <c r="S6" s="3"/>
      <c r="T6" s="3"/>
      <c r="U6" s="3"/>
    </row>
    <row r="7" spans="1:21" x14ac:dyDescent="0.25">
      <c r="A7" s="3">
        <v>9.9999999999999994E-12</v>
      </c>
      <c r="B7" s="3">
        <v>4.6230000000000003E-5</v>
      </c>
      <c r="C7" s="3">
        <v>1.5579999999999999E-4</v>
      </c>
      <c r="D7" s="3">
        <v>-4.7459999999999999E-4</v>
      </c>
      <c r="E7" s="3">
        <v>0</v>
      </c>
      <c r="F7" s="3">
        <v>0</v>
      </c>
      <c r="G7" s="3">
        <v>0</v>
      </c>
      <c r="H7" s="3">
        <v>7.1525632999999995E-5</v>
      </c>
      <c r="I7" s="3">
        <v>1.5902747000000001E-5</v>
      </c>
      <c r="J7" s="3">
        <v>-1.9883764000000001E-4</v>
      </c>
      <c r="K7" s="2"/>
      <c r="L7" s="3"/>
      <c r="M7" s="3"/>
      <c r="N7" s="2">
        <f>IF('Modell einstellen'!$B$1="Voll",H7/0.35,H7/0.35*2)</f>
        <v>2.0435895142857142E-4</v>
      </c>
      <c r="O7" s="2">
        <f>IF('Modell einstellen'!$B$1="Voll",J7/0.35,J7/0.35*2)</f>
        <v>-5.6810754285714291E-4</v>
      </c>
      <c r="P7" s="3">
        <f t="shared" si="0"/>
        <v>0.35971877859745266</v>
      </c>
      <c r="Q7" s="3"/>
      <c r="R7" s="3"/>
      <c r="S7" s="3"/>
      <c r="T7" s="3"/>
      <c r="U7" s="3"/>
    </row>
    <row r="8" spans="1:21" x14ac:dyDescent="0.25">
      <c r="A8" s="3">
        <v>1E-10</v>
      </c>
      <c r="B8" s="3">
        <v>4.5370000000000001E-5</v>
      </c>
      <c r="C8" s="3">
        <v>1.5660000000000001E-4</v>
      </c>
      <c r="D8" s="3">
        <v>-4.752E-4</v>
      </c>
      <c r="E8" s="3">
        <v>0</v>
      </c>
      <c r="F8" s="3">
        <v>0</v>
      </c>
      <c r="G8" s="3">
        <v>0</v>
      </c>
      <c r="H8" s="3">
        <v>7.2292843999999994E-5</v>
      </c>
      <c r="I8" s="3">
        <v>1.5994869E-5</v>
      </c>
      <c r="J8" s="3">
        <v>-2.0006703E-4</v>
      </c>
      <c r="K8" s="2"/>
      <c r="L8" s="3"/>
      <c r="M8" s="3"/>
      <c r="N8" s="2">
        <f>IF('Modell einstellen'!$B$1="Voll",H8/0.35,H8/0.35*2)</f>
        <v>2.0655098285714285E-4</v>
      </c>
      <c r="O8" s="2">
        <f>IF('Modell einstellen'!$B$1="Voll",J8/0.35,J8/0.35*2)</f>
        <v>-5.7162008571428572E-4</v>
      </c>
      <c r="P8" s="3">
        <f t="shared" si="0"/>
        <v>0.36134311585472129</v>
      </c>
      <c r="Q8" s="3"/>
      <c r="R8" s="3"/>
      <c r="S8" s="3"/>
      <c r="T8" s="3"/>
      <c r="U8" s="3"/>
    </row>
    <row r="9" spans="1:21" x14ac:dyDescent="0.25">
      <c r="A9" s="3">
        <v>1.0000000000000001E-9</v>
      </c>
      <c r="B9" s="3">
        <v>4.32E-5</v>
      </c>
      <c r="C9" s="3">
        <v>1.594E-4</v>
      </c>
      <c r="D9" s="3">
        <v>-4.7780000000000001E-4</v>
      </c>
      <c r="E9" s="3">
        <v>0</v>
      </c>
      <c r="F9" s="3">
        <v>0</v>
      </c>
      <c r="G9" s="3">
        <v>0</v>
      </c>
      <c r="H9" s="3">
        <v>7.4688289999999994E-5</v>
      </c>
      <c r="I9" s="3">
        <v>1.6306532000000001E-5</v>
      </c>
      <c r="J9" s="3">
        <v>-2.0396804000000001E-4</v>
      </c>
      <c r="K9" s="2"/>
      <c r="L9" s="3"/>
      <c r="M9" s="3"/>
      <c r="N9" s="2">
        <f>IF('Modell einstellen'!$B$1="Voll",H9/0.35,H9/0.35*2)</f>
        <v>2.1339511428571429E-4</v>
      </c>
      <c r="O9" s="2">
        <f>IF('Modell einstellen'!$B$1="Voll",J9/0.35,J9/0.35*2)</f>
        <v>-5.8276582857142865E-4</v>
      </c>
      <c r="P9" s="3">
        <f t="shared" si="0"/>
        <v>0.3661764362691331</v>
      </c>
      <c r="Q9" s="3"/>
      <c r="R9" s="3"/>
      <c r="S9" s="3"/>
      <c r="T9" s="3"/>
      <c r="U9" s="3"/>
    </row>
    <row r="10" spans="1:21" x14ac:dyDescent="0.25">
      <c r="A10" s="3">
        <v>1E-8</v>
      </c>
      <c r="B10" s="3">
        <v>4.0410000000000001E-5</v>
      </c>
      <c r="C10" s="3">
        <v>1.6229999999999999E-4</v>
      </c>
      <c r="D10" s="3">
        <v>-4.7990000000000001E-4</v>
      </c>
      <c r="E10" s="3">
        <v>0</v>
      </c>
      <c r="F10" s="3">
        <v>0</v>
      </c>
      <c r="G10" s="3">
        <v>0</v>
      </c>
      <c r="H10" s="3">
        <v>7.7300443E-5</v>
      </c>
      <c r="I10" s="3">
        <v>1.6628824000000001E-5</v>
      </c>
      <c r="J10" s="3">
        <v>-2.0814609999999999E-4</v>
      </c>
      <c r="K10" s="2"/>
      <c r="L10" s="3"/>
      <c r="M10" s="3"/>
      <c r="N10" s="2">
        <f>IF('Modell einstellen'!$B$1="Voll",H10/0.35,H10/0.35*2)</f>
        <v>2.2085840857142858E-4</v>
      </c>
      <c r="O10" s="2">
        <f>IF('Modell einstellen'!$B$1="Voll",J10/0.35,J10/0.35*2)</f>
        <v>-5.9470314285714281E-4</v>
      </c>
      <c r="P10" s="3">
        <f t="shared" si="0"/>
        <v>0.37137588933926702</v>
      </c>
      <c r="Q10" s="3"/>
      <c r="R10" s="3"/>
      <c r="S10" s="3"/>
      <c r="T10" s="3"/>
      <c r="U10" s="3"/>
    </row>
    <row r="11" spans="1:21" x14ac:dyDescent="0.25">
      <c r="A11" s="3">
        <v>9.9999999999999995E-8</v>
      </c>
      <c r="B11" s="3">
        <v>3.6730000000000002E-5</v>
      </c>
      <c r="C11" s="3">
        <v>1.6559999999999999E-4</v>
      </c>
      <c r="D11" s="3">
        <v>-4.8210000000000001E-4</v>
      </c>
      <c r="E11" s="3">
        <v>0</v>
      </c>
      <c r="F11" s="3">
        <v>0</v>
      </c>
      <c r="G11" s="3">
        <v>0</v>
      </c>
      <c r="H11" s="3">
        <v>8.0480961999999993E-5</v>
      </c>
      <c r="I11" s="3">
        <v>1.7008900999999998E-5</v>
      </c>
      <c r="J11" s="3">
        <v>-2.1316980999999999E-4</v>
      </c>
      <c r="K11" s="2"/>
      <c r="L11" s="3"/>
      <c r="M11" s="3"/>
      <c r="N11" s="2">
        <f>IF('Modell einstellen'!$B$1="Voll",H11/0.35,H11/0.35*2)</f>
        <v>2.299456057142857E-4</v>
      </c>
      <c r="O11" s="2">
        <f>IF('Modell einstellen'!$B$1="Voll",J11/0.35,J11/0.35*2)</f>
        <v>-6.0905660000000006E-4</v>
      </c>
      <c r="P11" s="3">
        <f t="shared" si="0"/>
        <v>0.37754390267552423</v>
      </c>
      <c r="Q11" s="3"/>
      <c r="R11" s="3"/>
      <c r="S11" s="3"/>
      <c r="T11" s="3"/>
      <c r="U11" s="3"/>
    </row>
    <row r="12" spans="1:21" x14ac:dyDescent="0.25">
      <c r="A12" s="3">
        <v>9.9999999999999995E-7</v>
      </c>
      <c r="B12" s="3">
        <v>3.167E-5</v>
      </c>
      <c r="C12" s="3">
        <v>1.696E-4</v>
      </c>
      <c r="D12" s="3">
        <v>-4.84E-4</v>
      </c>
      <c r="E12" s="3">
        <v>0</v>
      </c>
      <c r="F12" s="3">
        <v>0</v>
      </c>
      <c r="G12" s="3">
        <v>0</v>
      </c>
      <c r="H12" s="3">
        <v>8.4489036000000002E-5</v>
      </c>
      <c r="I12" s="3">
        <v>1.7468550000000001E-5</v>
      </c>
      <c r="J12" s="3">
        <v>-2.1940258000000001E-4</v>
      </c>
      <c r="K12" s="2"/>
      <c r="L12" s="3"/>
      <c r="M12" s="3"/>
      <c r="N12" s="2">
        <f>IF('Modell einstellen'!$B$1="Voll",H12/0.35,H12/0.35*2)</f>
        <v>2.4139724571428574E-4</v>
      </c>
      <c r="O12" s="2">
        <f>IF('Modell einstellen'!$B$1="Voll",J12/0.35,J12/0.35*2)</f>
        <v>-6.2686451428571436E-4</v>
      </c>
      <c r="P12" s="3">
        <f t="shared" si="0"/>
        <v>0.38508679341874646</v>
      </c>
      <c r="Q12" s="3"/>
      <c r="R12" s="3"/>
      <c r="S12" s="3"/>
      <c r="T12" s="3"/>
      <c r="U12" s="3"/>
    </row>
    <row r="13" spans="1:21" x14ac:dyDescent="0.25">
      <c r="A13" s="3">
        <v>1.0000000000000001E-5</v>
      </c>
      <c r="B13" s="3">
        <v>2.5539999999999999E-5</v>
      </c>
      <c r="C13" s="3">
        <v>1.738E-4</v>
      </c>
      <c r="D13" s="3">
        <v>-4.8509999999999997E-4</v>
      </c>
      <c r="E13" s="3">
        <v>0</v>
      </c>
      <c r="F13" s="3">
        <v>0</v>
      </c>
      <c r="G13" s="3">
        <v>0</v>
      </c>
      <c r="H13" s="3">
        <v>8.8926304E-5</v>
      </c>
      <c r="I13" s="3">
        <v>1.7952660999999998E-5</v>
      </c>
      <c r="J13" s="3">
        <v>-2.2617833000000001E-4</v>
      </c>
      <c r="K13" s="2"/>
      <c r="L13" s="3"/>
      <c r="M13" s="3"/>
      <c r="N13" s="2">
        <f>IF('Modell einstellen'!$B$1="Voll",H13/0.35,H13/0.35*2)</f>
        <v>2.5407515428571429E-4</v>
      </c>
      <c r="O13" s="2">
        <f>IF('Modell einstellen'!$B$1="Voll",J13/0.35,J13/0.35*2)</f>
        <v>-6.4622380000000008E-4</v>
      </c>
      <c r="P13" s="3">
        <f t="shared" si="0"/>
        <v>0.39316898307631853</v>
      </c>
      <c r="Q13" s="3"/>
      <c r="R13" s="3"/>
      <c r="S13" s="3"/>
      <c r="T13" s="3"/>
      <c r="U13" s="3"/>
    </row>
    <row r="14" spans="1:21" x14ac:dyDescent="0.25">
      <c r="A14" s="3">
        <v>1E-4</v>
      </c>
      <c r="B14" s="3">
        <v>1.6310000000000001E-5</v>
      </c>
      <c r="C14" s="3">
        <v>1.7919999999999999E-4</v>
      </c>
      <c r="D14" s="3">
        <v>-4.8529999999999998E-4</v>
      </c>
      <c r="E14" s="3">
        <v>0</v>
      </c>
      <c r="F14" s="3">
        <v>0</v>
      </c>
      <c r="G14" s="3">
        <v>0</v>
      </c>
      <c r="H14" s="3">
        <v>9.5062217000000006E-5</v>
      </c>
      <c r="I14" s="3">
        <v>1.8584547E-5</v>
      </c>
      <c r="J14" s="3">
        <v>-2.3536237000000001E-4</v>
      </c>
      <c r="K14" s="2"/>
      <c r="L14" s="3"/>
      <c r="M14" s="3"/>
      <c r="N14" s="2">
        <f>IF('Modell einstellen'!$B$1="Voll",H14/0.35,H14/0.35*2)</f>
        <v>2.7160633428571432E-4</v>
      </c>
      <c r="O14" s="2">
        <f>IF('Modell einstellen'!$B$1="Voll",J14/0.35,J14/0.35*2)</f>
        <v>-6.724639142857144E-4</v>
      </c>
      <c r="P14" s="3">
        <f t="shared" si="0"/>
        <v>0.40389726276124766</v>
      </c>
      <c r="Q14" s="3"/>
      <c r="R14" s="3"/>
      <c r="S14" s="3"/>
      <c r="T14" s="3"/>
      <c r="U14" s="3"/>
    </row>
    <row r="15" spans="1:21" x14ac:dyDescent="0.25">
      <c r="A15" s="3">
        <v>1E-3</v>
      </c>
      <c r="B15" s="3">
        <v>3.7290000000000002E-6</v>
      </c>
      <c r="C15" s="3">
        <v>1.853E-4</v>
      </c>
      <c r="D15" s="3">
        <v>-4.8319999999999998E-4</v>
      </c>
      <c r="E15" s="3">
        <v>0</v>
      </c>
      <c r="F15" s="3">
        <v>0</v>
      </c>
      <c r="G15" s="3">
        <v>0</v>
      </c>
      <c r="H15" s="3">
        <v>1.0261869999999999E-4</v>
      </c>
      <c r="I15" s="3">
        <v>1.9303414000000001E-5</v>
      </c>
      <c r="J15" s="3">
        <v>-2.4637964000000001E-4</v>
      </c>
      <c r="K15" s="2"/>
      <c r="L15" s="3"/>
      <c r="M15" s="3"/>
      <c r="N15" s="2">
        <f>IF('Modell einstellen'!$B$1="Voll",H15/0.35,H15/0.35*2)</f>
        <v>2.9319628571428569E-4</v>
      </c>
      <c r="O15" s="2">
        <f>IF('Modell einstellen'!$B$1="Voll",J15/0.35,J15/0.35*2)</f>
        <v>-7.0394182857142862E-4</v>
      </c>
      <c r="P15" s="3">
        <f t="shared" si="0"/>
        <v>0.4165064126240301</v>
      </c>
      <c r="Q15" s="3"/>
      <c r="R15" s="3"/>
      <c r="S15" s="3"/>
      <c r="T15" s="3"/>
      <c r="U15" s="3"/>
    </row>
    <row r="16" spans="1:21" x14ac:dyDescent="0.25">
      <c r="A16" s="3">
        <v>0.01</v>
      </c>
      <c r="B16" s="3">
        <v>-1.169E-5</v>
      </c>
      <c r="C16" s="3">
        <v>1.9139999999999999E-4</v>
      </c>
      <c r="D16" s="3">
        <v>-4.7839999999999997E-4</v>
      </c>
      <c r="E16" s="3">
        <v>0</v>
      </c>
      <c r="F16" s="3">
        <v>0</v>
      </c>
      <c r="G16" s="3">
        <v>0</v>
      </c>
      <c r="H16" s="3">
        <v>1.1104581999999999E-4</v>
      </c>
      <c r="I16" s="3">
        <v>2.0037308000000001E-5</v>
      </c>
      <c r="J16" s="3">
        <v>-2.5833106999999998E-4</v>
      </c>
      <c r="K16" s="2"/>
      <c r="L16" s="3"/>
      <c r="M16" s="3"/>
      <c r="N16" s="2">
        <f>IF('Modell einstellen'!$B$1="Voll",H16/0.35,H16/0.35*2)</f>
        <v>3.1727377142857144E-4</v>
      </c>
      <c r="O16" s="2">
        <f>IF('Modell einstellen'!$B$1="Voll",J16/0.35,J16/0.35*2)</f>
        <v>-7.3808877142857144E-4</v>
      </c>
      <c r="P16" s="3">
        <f t="shared" si="0"/>
        <v>0.42985855321235655</v>
      </c>
      <c r="Q16" s="3"/>
      <c r="R16" s="3"/>
      <c r="S16" s="3"/>
      <c r="T16" s="3"/>
      <c r="U16" s="3"/>
    </row>
    <row r="17" spans="1:21" x14ac:dyDescent="0.25">
      <c r="A17" s="3">
        <v>0.1</v>
      </c>
      <c r="B17" s="3">
        <v>-3.2299999999999999E-5</v>
      </c>
      <c r="C17" s="3">
        <v>1.9819999999999999E-4</v>
      </c>
      <c r="D17" s="3">
        <v>-4.6969999999999998E-4</v>
      </c>
      <c r="E17" s="3">
        <v>0</v>
      </c>
      <c r="F17" s="3">
        <v>0</v>
      </c>
      <c r="G17" s="3">
        <v>0</v>
      </c>
      <c r="H17" s="3">
        <v>1.2148573E-4</v>
      </c>
      <c r="I17" s="3">
        <v>2.0879131E-5</v>
      </c>
      <c r="J17" s="3">
        <v>-2.727804E-4</v>
      </c>
      <c r="K17" s="2"/>
      <c r="L17" s="3"/>
      <c r="M17" s="3"/>
      <c r="N17" s="2">
        <f>IF('Modell einstellen'!$B$1="Voll",H17/0.35,H17/0.35*2)</f>
        <v>3.4710208571428572E-4</v>
      </c>
      <c r="O17" s="2">
        <f>IF('Modell einstellen'!$B$1="Voll",J17/0.35,J17/0.35*2)</f>
        <v>-7.7937257142857153E-4</v>
      </c>
      <c r="P17" s="3">
        <f t="shared" si="0"/>
        <v>0.44536092035938063</v>
      </c>
      <c r="Q17" s="3"/>
      <c r="R17" s="3"/>
      <c r="S17" s="3"/>
      <c r="T17" s="3"/>
      <c r="U17" s="3"/>
    </row>
    <row r="18" spans="1:21" x14ac:dyDescent="0.25">
      <c r="A18" s="3">
        <v>1</v>
      </c>
      <c r="B18" s="3">
        <v>-5.8440000000000003E-5</v>
      </c>
      <c r="C18" s="3">
        <v>2.0719999999999999E-4</v>
      </c>
      <c r="D18" s="3">
        <v>-4.5770000000000001E-4</v>
      </c>
      <c r="E18" s="3">
        <v>0</v>
      </c>
      <c r="F18" s="3">
        <v>0</v>
      </c>
      <c r="G18" s="3">
        <v>0</v>
      </c>
      <c r="H18" s="3">
        <v>1.3446599000000001E-4</v>
      </c>
      <c r="I18" s="3">
        <v>2.1996543999999999E-5</v>
      </c>
      <c r="J18" s="3">
        <v>-2.9076988999999999E-4</v>
      </c>
      <c r="K18" s="2"/>
      <c r="L18" s="3"/>
      <c r="M18" s="3"/>
      <c r="N18" s="2">
        <f>IF('Modell einstellen'!$B$1="Voll",H18/0.35,H18/0.35*2)</f>
        <v>3.8418854285714291E-4</v>
      </c>
      <c r="O18" s="2">
        <f>IF('Modell einstellen'!$B$1="Voll",J18/0.35,J18/0.35*2)</f>
        <v>-8.3077111428571425E-4</v>
      </c>
      <c r="P18" s="3">
        <f t="shared" si="0"/>
        <v>0.4624481234972439</v>
      </c>
      <c r="Q18" s="3"/>
      <c r="R18" s="3"/>
      <c r="S18" s="3"/>
      <c r="T18" s="3"/>
      <c r="U18" s="3"/>
    </row>
    <row r="19" spans="1:21" x14ac:dyDescent="0.25">
      <c r="A19" s="3">
        <v>10</v>
      </c>
      <c r="B19" s="3">
        <v>-9.0669999999999998E-5</v>
      </c>
      <c r="C19" s="3">
        <v>2.3120000000000001E-4</v>
      </c>
      <c r="D19" s="3">
        <v>-4.5399999999999998E-4</v>
      </c>
      <c r="E19" s="3">
        <v>0</v>
      </c>
      <c r="F19" s="3">
        <v>0</v>
      </c>
      <c r="G19" s="3">
        <v>0</v>
      </c>
      <c r="H19" s="3">
        <v>1.5504871999999999E-4</v>
      </c>
      <c r="I19" s="3">
        <v>2.4951475000000002E-5</v>
      </c>
      <c r="J19" s="3">
        <v>-3.2275541999999998E-4</v>
      </c>
      <c r="K19" s="2"/>
      <c r="L19" s="3"/>
      <c r="M19" s="3"/>
      <c r="N19" s="2">
        <f>IF('Modell einstellen'!$B$1="Voll",H19/0.35,H19/0.35*2)</f>
        <v>4.4299634285714288E-4</v>
      </c>
      <c r="O19" s="2">
        <f>IF('Modell einstellen'!$B$1="Voll",J19/0.35,J19/0.35*2)</f>
        <v>-9.2215834285714292E-4</v>
      </c>
      <c r="P19" s="3">
        <f t="shared" si="0"/>
        <v>0.48039075532798176</v>
      </c>
      <c r="Q19" s="3"/>
      <c r="R19" s="3"/>
      <c r="S19" s="3"/>
      <c r="T19" s="3"/>
      <c r="U19" s="3"/>
    </row>
    <row r="20" spans="1:21" x14ac:dyDescent="0.25">
      <c r="A20" s="3">
        <v>100</v>
      </c>
      <c r="B20" s="3">
        <v>-1.261E-4</v>
      </c>
      <c r="C20" s="3">
        <v>2.943E-4</v>
      </c>
      <c r="D20" s="3">
        <v>-4.8289999999999997E-4</v>
      </c>
      <c r="E20" s="3">
        <v>0</v>
      </c>
      <c r="F20" s="3">
        <v>0</v>
      </c>
      <c r="G20" s="3">
        <v>0</v>
      </c>
      <c r="H20" s="3">
        <v>1.8963494999999999E-4</v>
      </c>
      <c r="I20" s="3">
        <v>3.2943091999999998E-5</v>
      </c>
      <c r="J20" s="3">
        <v>-3.8606619000000001E-4</v>
      </c>
      <c r="K20" s="2"/>
      <c r="L20" s="3"/>
      <c r="M20" s="3"/>
      <c r="N20" s="2">
        <f>IF('Modell einstellen'!$B$1="Voll",H20/0.35,H20/0.35*2)</f>
        <v>5.4181414285714284E-4</v>
      </c>
      <c r="O20" s="2">
        <f>IF('Modell einstellen'!$B$1="Voll",J20/0.35,J20/0.35*2)</f>
        <v>-1.1030462571428572E-3</v>
      </c>
      <c r="P20" s="3">
        <f t="shared" si="0"/>
        <v>0.49119802487754749</v>
      </c>
      <c r="Q20" s="3"/>
      <c r="R20" s="3"/>
      <c r="S20" s="3"/>
      <c r="T20" s="3"/>
      <c r="U20" s="3"/>
    </row>
    <row r="21" spans="1:21" x14ac:dyDescent="0.25">
      <c r="A21" s="3">
        <v>1000</v>
      </c>
      <c r="B21" s="3">
        <v>-2.0770000000000001E-4</v>
      </c>
      <c r="C21" s="3">
        <v>4.0269999999999998E-4</v>
      </c>
      <c r="D21" s="3">
        <v>-5.1029999999999999E-4</v>
      </c>
      <c r="E21" s="3">
        <v>0</v>
      </c>
      <c r="F21" s="3">
        <v>0</v>
      </c>
      <c r="G21" s="3">
        <v>0</v>
      </c>
      <c r="H21" s="3">
        <v>2.4670156999999999E-4</v>
      </c>
      <c r="I21" s="3">
        <v>4.7645570000000001E-5</v>
      </c>
      <c r="J21" s="3">
        <v>-4.9591957000000005E-4</v>
      </c>
      <c r="K21" s="2"/>
      <c r="L21" s="3"/>
      <c r="M21" s="3"/>
      <c r="N21" s="2">
        <f>IF('Modell einstellen'!$B$1="Voll",H21/0.35,H21/0.35*2)</f>
        <v>7.0486162857142862E-4</v>
      </c>
      <c r="O21" s="2">
        <f>IF('Modell einstellen'!$B$1="Voll",J21/0.35,J21/0.35*2)</f>
        <v>-1.4169130571428574E-3</v>
      </c>
      <c r="P21" s="3">
        <f t="shared" si="0"/>
        <v>0.49746286479478913</v>
      </c>
      <c r="Q21" s="3"/>
      <c r="R21" s="3"/>
      <c r="S21" s="3"/>
      <c r="T21" s="3"/>
      <c r="U21" s="3"/>
    </row>
    <row r="22" spans="1:21" x14ac:dyDescent="0.25">
      <c r="A22" s="3">
        <v>10000</v>
      </c>
      <c r="B22" s="3">
        <v>-4.595E-4</v>
      </c>
      <c r="C22" s="3">
        <v>5.71E-4</v>
      </c>
      <c r="D22" s="3">
        <v>-4.3110000000000002E-4</v>
      </c>
      <c r="E22" s="3">
        <v>0</v>
      </c>
      <c r="F22" s="3">
        <v>0</v>
      </c>
      <c r="G22" s="3">
        <v>0</v>
      </c>
      <c r="H22" s="3">
        <v>3.5507052000000001E-4</v>
      </c>
      <c r="I22" s="3">
        <v>7.2934597999999999E-5</v>
      </c>
      <c r="J22" s="3">
        <v>-6.9622724000000002E-4</v>
      </c>
      <c r="K22" s="2"/>
      <c r="L22" s="3"/>
      <c r="M22" s="3"/>
      <c r="N22" s="2">
        <f>IF('Modell einstellen'!$B$1="Voll",H22/0.35,H22/0.35*2)</f>
        <v>1.0144872000000002E-3</v>
      </c>
      <c r="O22" s="2">
        <f>IF('Modell einstellen'!$B$1="Voll",J22/0.35,J22/0.35*2)</f>
        <v>-1.989220685714286E-3</v>
      </c>
      <c r="P22" s="3">
        <f t="shared" si="0"/>
        <v>0.50999228355385806</v>
      </c>
      <c r="Q22" s="3"/>
      <c r="R22" s="3"/>
      <c r="S22" s="3"/>
      <c r="T22" s="3"/>
      <c r="U22" s="3"/>
    </row>
    <row r="23" spans="1:21" x14ac:dyDescent="0.25">
      <c r="A23" s="3">
        <v>100000</v>
      </c>
      <c r="B23" s="3">
        <v>-1.1670000000000001E-3</v>
      </c>
      <c r="C23" s="3">
        <v>8.5959999999999997E-4</v>
      </c>
      <c r="D23" s="3">
        <v>-1.906E-5</v>
      </c>
      <c r="E23" s="3">
        <v>0</v>
      </c>
      <c r="F23" s="3">
        <v>0</v>
      </c>
      <c r="G23" s="3">
        <v>0</v>
      </c>
      <c r="H23" s="3">
        <v>5.8302310000000004E-4</v>
      </c>
      <c r="I23" s="3">
        <v>1.2111107E-4</v>
      </c>
      <c r="J23" s="3">
        <v>-1.0997963E-3</v>
      </c>
      <c r="K23" s="2"/>
      <c r="L23" s="3"/>
      <c r="M23" s="3"/>
      <c r="N23" s="2">
        <f>IF('Modell einstellen'!$B$1="Voll",H23/0.35,H23/0.35*2)</f>
        <v>1.6657802857142859E-3</v>
      </c>
      <c r="O23" s="2">
        <f>IF('Modell einstellen'!$B$1="Voll",J23/0.35,J23/0.35*2)</f>
        <v>-3.1422751428571431E-3</v>
      </c>
      <c r="P23" s="3">
        <f t="shared" si="0"/>
        <v>0.53011916843146323</v>
      </c>
      <c r="Q23" s="3"/>
      <c r="R23" s="3"/>
      <c r="S23" s="3"/>
      <c r="T23" s="3"/>
      <c r="U23" s="3"/>
    </row>
    <row r="24" spans="1:21" x14ac:dyDescent="0.25">
      <c r="A24" s="3">
        <v>1000000</v>
      </c>
      <c r="B24" s="3">
        <v>-2.7959999999999999E-3</v>
      </c>
      <c r="C24" s="3">
        <v>1.41E-3</v>
      </c>
      <c r="D24" s="3">
        <v>1.0549999999999999E-3</v>
      </c>
      <c r="E24" s="3">
        <v>0</v>
      </c>
      <c r="F24" s="3">
        <v>0</v>
      </c>
      <c r="G24" s="3">
        <v>0</v>
      </c>
      <c r="H24" s="3">
        <v>1.0345126E-3</v>
      </c>
      <c r="I24" s="3">
        <v>2.1798738E-4</v>
      </c>
      <c r="J24" s="3">
        <v>-1.9022453E-3</v>
      </c>
      <c r="K24" s="2"/>
      <c r="L24" s="3"/>
      <c r="M24" s="3"/>
      <c r="N24" s="2">
        <f>IF('Modell einstellen'!$B$1="Voll",H24/0.35,H24/0.35*2)</f>
        <v>2.955750285714286E-3</v>
      </c>
      <c r="O24" s="2">
        <f>IF('Modell einstellen'!$B$1="Voll",J24/0.35,J24/0.35*2)</f>
        <v>-5.4349865714285722E-3</v>
      </c>
      <c r="P24" s="3">
        <f t="shared" si="0"/>
        <v>0.54383764281084046</v>
      </c>
      <c r="Q24" s="3"/>
      <c r="R24" s="3"/>
      <c r="S24" s="3"/>
      <c r="T24" s="3"/>
      <c r="U24" s="3"/>
    </row>
    <row r="25" spans="1:21" x14ac:dyDescent="0.25">
      <c r="A25" s="3">
        <v>10000000</v>
      </c>
      <c r="B25" s="3">
        <v>-6.0039999999999998E-3</v>
      </c>
      <c r="C25" s="3">
        <v>2.4729999999999999E-3</v>
      </c>
      <c r="D25" s="3">
        <v>3.1979999999999999E-3</v>
      </c>
      <c r="E25" s="3">
        <v>0</v>
      </c>
      <c r="F25" s="3">
        <v>0</v>
      </c>
      <c r="G25" s="3">
        <v>0</v>
      </c>
      <c r="H25" s="3">
        <v>1.8615423E-3</v>
      </c>
      <c r="I25" s="3">
        <v>4.0890441999999998E-4</v>
      </c>
      <c r="J25" s="3">
        <v>-3.4140388000000002E-3</v>
      </c>
      <c r="K25" s="2"/>
      <c r="L25" s="3"/>
      <c r="M25" s="3"/>
      <c r="N25" s="2">
        <f>IF('Modell einstellen'!$B$1="Voll",H25/0.35,H25/0.35*2)</f>
        <v>5.3186922857142863E-3</v>
      </c>
      <c r="O25" s="2">
        <f>IF('Modell einstellen'!$B$1="Voll",J25/0.35,J25/0.35*2)</f>
        <v>-9.7543965714285731E-3</v>
      </c>
      <c r="P25" s="3">
        <f t="shared" si="0"/>
        <v>0.54526102632459827</v>
      </c>
      <c r="Q25" s="3"/>
      <c r="R25" s="3"/>
      <c r="S25" s="3"/>
      <c r="T25" s="3"/>
      <c r="U25" s="3"/>
    </row>
    <row r="26" spans="1:21" x14ac:dyDescent="0.25">
      <c r="A26" s="3">
        <v>100000000</v>
      </c>
      <c r="B26" s="3">
        <v>-1.1209999999999999E-2</v>
      </c>
      <c r="C26" s="3">
        <v>4.2770000000000004E-3</v>
      </c>
      <c r="D26" s="3">
        <v>6.5970000000000004E-3</v>
      </c>
      <c r="E26" s="3">
        <v>0</v>
      </c>
      <c r="F26" s="3">
        <v>0</v>
      </c>
      <c r="G26" s="3">
        <v>0</v>
      </c>
      <c r="H26" s="3">
        <v>3.1772236000000001E-3</v>
      </c>
      <c r="I26" s="3">
        <v>7.4146759999999998E-4</v>
      </c>
      <c r="J26" s="3">
        <v>-5.9029757000000002E-3</v>
      </c>
      <c r="K26" s="2"/>
      <c r="L26" s="3"/>
      <c r="M26" s="3"/>
      <c r="N26" s="2">
        <f>IF('Modell einstellen'!$B$1="Voll",H26/0.35,H26/0.35*2)</f>
        <v>9.0777817142857157E-3</v>
      </c>
      <c r="O26" s="2">
        <f>IF('Modell einstellen'!$B$1="Voll",J26/0.35,J26/0.35*2)</f>
        <v>-1.6865644857142859E-2</v>
      </c>
      <c r="P26" s="3">
        <f t="shared" si="0"/>
        <v>0.53824100953015952</v>
      </c>
      <c r="Q26" s="3"/>
      <c r="R26" s="3"/>
      <c r="S26" s="3"/>
      <c r="T26" s="3"/>
      <c r="U26" s="3"/>
    </row>
    <row r="27" spans="1:21" x14ac:dyDescent="0.25">
      <c r="A27" s="3">
        <v>1000000000</v>
      </c>
      <c r="B27" s="3">
        <v>-1.4489999999999999E-2</v>
      </c>
      <c r="C27" s="3">
        <v>5.7590000000000002E-3</v>
      </c>
      <c r="D27" s="3">
        <v>8.4010000000000005E-3</v>
      </c>
      <c r="E27" s="3">
        <v>0</v>
      </c>
      <c r="F27" s="3">
        <v>0</v>
      </c>
      <c r="G27" s="3">
        <v>0</v>
      </c>
      <c r="H27" s="3">
        <v>4.0207708000000002E-3</v>
      </c>
      <c r="I27" s="3">
        <v>1.0243871999999999E-3</v>
      </c>
      <c r="J27" s="3">
        <v>-7.7326360999999998E-3</v>
      </c>
      <c r="K27" s="2"/>
      <c r="L27" s="3"/>
      <c r="M27" s="3"/>
      <c r="N27" s="2">
        <f>IF('Modell einstellen'!$B$1="Voll",H27/0.35,H27/0.35*2)</f>
        <v>1.1487916571428572E-2</v>
      </c>
      <c r="O27" s="2">
        <f>IF('Modell einstellen'!$B$1="Voll",J27/0.35,J27/0.35*2)</f>
        <v>-2.2093246E-2</v>
      </c>
      <c r="P27" s="3">
        <f t="shared" si="0"/>
        <v>0.51997413922012958</v>
      </c>
      <c r="Q27" s="3"/>
      <c r="R27" s="3"/>
      <c r="S27" s="3"/>
      <c r="T27" s="3"/>
      <c r="U27" s="3"/>
    </row>
    <row r="28" spans="1:21" x14ac:dyDescent="0.25">
      <c r="A28" s="3">
        <v>10000000000</v>
      </c>
      <c r="B28" s="3">
        <v>-1.5800000000000002E-2</v>
      </c>
      <c r="C28" s="3">
        <v>6.6140000000000001E-3</v>
      </c>
      <c r="D28" s="3">
        <v>8.8529999999999998E-3</v>
      </c>
      <c r="E28" s="3">
        <v>0</v>
      </c>
      <c r="F28" s="3">
        <v>0</v>
      </c>
      <c r="G28" s="3">
        <v>0</v>
      </c>
      <c r="H28" s="3">
        <v>4.3751425999999996E-3</v>
      </c>
      <c r="I28" s="3">
        <v>1.1929093999999999E-3</v>
      </c>
      <c r="J28" s="3">
        <v>-8.6727476000000008E-3</v>
      </c>
      <c r="K28" s="2"/>
      <c r="L28" s="3"/>
      <c r="M28" s="3"/>
      <c r="N28" s="2">
        <f>IF('Modell einstellen'!$B$1="Voll",H28/0.35,H28/0.35*2)</f>
        <v>1.2500407428571428E-2</v>
      </c>
      <c r="O28" s="2">
        <f>IF('Modell einstellen'!$B$1="Voll",J28/0.35,J28/0.35*2)</f>
        <v>-2.4779278857142862E-2</v>
      </c>
      <c r="P28" s="3">
        <f t="shared" si="0"/>
        <v>0.50447018658769671</v>
      </c>
      <c r="Q28" s="3"/>
      <c r="R28" s="3"/>
      <c r="S28" s="3"/>
      <c r="T28" s="3"/>
      <c r="U28" s="3"/>
    </row>
    <row r="29" spans="1:21" x14ac:dyDescent="0.25">
      <c r="A29" s="3">
        <v>100000000000</v>
      </c>
      <c r="B29" s="3">
        <v>-1.6709999999999999E-2</v>
      </c>
      <c r="C29" s="3">
        <v>7.2259999999999998E-3</v>
      </c>
      <c r="D29" s="3">
        <v>9.1529999999999997E-3</v>
      </c>
      <c r="E29" s="3">
        <v>0</v>
      </c>
      <c r="F29" s="3">
        <v>0</v>
      </c>
      <c r="G29" s="3">
        <v>0</v>
      </c>
      <c r="H29" s="3">
        <v>4.6427061000000004E-3</v>
      </c>
      <c r="I29" s="3">
        <v>1.3168068000000001E-3</v>
      </c>
      <c r="J29" s="3">
        <v>-9.3682716999999999E-3</v>
      </c>
      <c r="K29" s="2"/>
      <c r="L29" s="3"/>
      <c r="M29" s="3"/>
      <c r="N29" s="2">
        <f>IF('Modell einstellen'!$B$1="Voll",H29/0.35,H29/0.35*2)</f>
        <v>1.3264874571428574E-2</v>
      </c>
      <c r="O29" s="2">
        <f>IF('Modell einstellen'!$B$1="Voll",J29/0.35,J29/0.35*2)</f>
        <v>-2.6766490571428572E-2</v>
      </c>
      <c r="P29" s="3">
        <f t="shared" si="0"/>
        <v>0.49557765281295169</v>
      </c>
      <c r="Q29" s="3"/>
      <c r="R29" s="3"/>
      <c r="S29" s="3"/>
      <c r="T29" s="3"/>
      <c r="U29" s="3"/>
    </row>
    <row r="30" spans="1:21" x14ac:dyDescent="0.25">
      <c r="A30" s="3">
        <v>1000000000000</v>
      </c>
      <c r="B30" s="3">
        <v>-1.6670000000000001E-2</v>
      </c>
      <c r="C30" s="3">
        <v>7.2830000000000004E-3</v>
      </c>
      <c r="D30" s="3">
        <v>9.0600000000000003E-3</v>
      </c>
      <c r="E30" s="3">
        <v>0</v>
      </c>
      <c r="F30" s="3">
        <v>0</v>
      </c>
      <c r="G30" s="3">
        <v>0</v>
      </c>
      <c r="H30" s="3">
        <v>4.6364841000000002E-3</v>
      </c>
      <c r="I30" s="3">
        <v>1.328638E-3</v>
      </c>
      <c r="J30" s="3">
        <v>-9.4039443999999993E-3</v>
      </c>
      <c r="K30" s="2"/>
      <c r="L30" s="3"/>
      <c r="M30" s="3"/>
      <c r="N30" s="2">
        <f>IF('Modell einstellen'!$B$1="Voll",H30/0.35,H30/0.35*2)</f>
        <v>1.3247097428571429E-2</v>
      </c>
      <c r="O30" s="2">
        <f>IF('Modell einstellen'!$B$1="Voll",J30/0.35,J30/0.35*2)</f>
        <v>-2.6868412571428572E-2</v>
      </c>
      <c r="P30" s="3">
        <f t="shared" si="0"/>
        <v>0.49303610302077072</v>
      </c>
      <c r="Q30" s="3"/>
      <c r="R30" s="3"/>
      <c r="S30" s="3"/>
      <c r="T30" s="3"/>
      <c r="U30" s="3"/>
    </row>
    <row r="31" spans="1:21" x14ac:dyDescent="0.25">
      <c r="A31" s="3">
        <v>10000000000000</v>
      </c>
      <c r="B31" s="3">
        <v>-1.634E-2</v>
      </c>
      <c r="C31" s="3">
        <v>7.4749999999999999E-3</v>
      </c>
      <c r="D31" s="3">
        <v>8.5400000000000007E-3</v>
      </c>
      <c r="E31" s="3">
        <v>0</v>
      </c>
      <c r="F31" s="3">
        <v>0</v>
      </c>
      <c r="G31" s="3">
        <v>0</v>
      </c>
      <c r="H31" s="3">
        <v>4.6079310999999996E-3</v>
      </c>
      <c r="I31" s="3">
        <v>1.3685167E-3</v>
      </c>
      <c r="J31" s="3">
        <v>-9.5169318999999992E-3</v>
      </c>
      <c r="K31" s="2"/>
      <c r="L31" s="3"/>
      <c r="M31" s="3"/>
      <c r="N31" s="2">
        <f>IF('Modell einstellen'!$B$1="Voll",H31/0.35,H31/0.35*2)</f>
        <v>1.3165517428571428E-2</v>
      </c>
      <c r="O31" s="2">
        <f>IF('Modell einstellen'!$B$1="Voll",J31/0.35,J31/0.35*2)</f>
        <v>-2.7191233999999998E-2</v>
      </c>
      <c r="P31" s="3">
        <f t="shared" si="0"/>
        <v>0.48418241807530432</v>
      </c>
      <c r="Q31" s="3"/>
      <c r="R31" s="3"/>
      <c r="S31" s="3"/>
      <c r="T31" s="3"/>
      <c r="U31" s="3"/>
    </row>
    <row r="32" spans="1:21" x14ac:dyDescent="0.25">
      <c r="A32" s="3">
        <v>100000000000000</v>
      </c>
      <c r="B32" s="3">
        <v>-1.634E-2</v>
      </c>
      <c r="C32" s="3">
        <v>7.4780000000000003E-3</v>
      </c>
      <c r="D32" s="3">
        <v>8.5319999999999997E-3</v>
      </c>
      <c r="E32" s="3">
        <v>0</v>
      </c>
      <c r="F32" s="3">
        <v>0</v>
      </c>
      <c r="G32" s="3">
        <v>0</v>
      </c>
      <c r="H32" s="3">
        <v>4.6076093E-3</v>
      </c>
      <c r="I32" s="3">
        <v>1.3690834E-3</v>
      </c>
      <c r="J32" s="3">
        <v>-9.5185996999999998E-3</v>
      </c>
      <c r="K32" s="2"/>
      <c r="L32" s="3"/>
      <c r="M32" s="3"/>
      <c r="N32" s="2">
        <f>IF('Modell einstellen'!$B$1="Voll",H32/0.35,H32/0.35*2)</f>
        <v>1.3164598000000001E-2</v>
      </c>
      <c r="O32" s="2">
        <f>IF('Modell einstellen'!$B$1="Voll",J32/0.35,J32/0.35*2)</f>
        <v>-2.7195999142857145E-2</v>
      </c>
      <c r="P32" s="3">
        <f t="shared" si="0"/>
        <v>0.48406377463273303</v>
      </c>
      <c r="Q32" s="3"/>
      <c r="R32" s="3"/>
      <c r="S32" s="3"/>
      <c r="T32" s="3"/>
      <c r="U32" s="3"/>
    </row>
    <row r="33" spans="1:21" x14ac:dyDescent="0.25">
      <c r="A33" s="2">
        <v>1000000000000000</v>
      </c>
      <c r="B33" s="3">
        <v>-1.6129999999999999E-2</v>
      </c>
      <c r="C33" s="3">
        <v>7.5440000000000004E-3</v>
      </c>
      <c r="D33" s="3">
        <v>8.2559999999999995E-3</v>
      </c>
      <c r="E33" s="3">
        <v>0</v>
      </c>
      <c r="F33" s="3">
        <v>0</v>
      </c>
      <c r="G33" s="3">
        <v>0</v>
      </c>
      <c r="H33" s="3">
        <v>4.6053161000000004E-3</v>
      </c>
      <c r="I33" s="3">
        <v>1.3836384000000001E-3</v>
      </c>
      <c r="J33" s="3">
        <v>-9.5676252000000007E-3</v>
      </c>
      <c r="K33" s="2"/>
      <c r="L33" s="3"/>
      <c r="M33" s="3"/>
      <c r="N33" s="2">
        <f>IF('Modell einstellen'!$B$1="Voll",H33/0.35,H33/0.35*2)</f>
        <v>1.3158046000000001E-2</v>
      </c>
      <c r="O33" s="2">
        <f>IF('Modell einstellen'!$B$1="Voll",J33/0.35,J33/0.35*2)</f>
        <v>-2.7336072000000003E-2</v>
      </c>
      <c r="P33" s="3">
        <f t="shared" si="0"/>
        <v>0.48134369853869274</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3.8630000000000001E-5</v>
      </c>
      <c r="C3" s="3">
        <v>1.696E-4</v>
      </c>
      <c r="D3" s="3">
        <v>-4.8799999999999999E-4</v>
      </c>
      <c r="E3" s="3">
        <v>0</v>
      </c>
      <c r="F3" s="3">
        <v>0</v>
      </c>
      <c r="G3" s="3">
        <v>0</v>
      </c>
      <c r="H3" s="3">
        <v>8.2006550999999994E-5</v>
      </c>
      <c r="I3" s="3">
        <v>1.7469031999999999E-5</v>
      </c>
      <c r="J3" s="3">
        <v>-2.1644068999999999E-4</v>
      </c>
      <c r="L3" s="3">
        <f>-B3/D3</f>
        <v>7.915983606557378E-2</v>
      </c>
      <c r="M3" s="3"/>
      <c r="N3" s="2">
        <f>IF('Modell einstellen'!$B$1="Voll",H3/0.35,H3/0.35*2)</f>
        <v>2.3430443142857143E-4</v>
      </c>
      <c r="O3" s="2">
        <f>IF('Modell einstellen'!$B$1="Voll",J3/0.35,J3/0.35*2)</f>
        <v>-6.1840197142857146E-4</v>
      </c>
      <c r="P3" s="3">
        <f>-N3/O3</f>
        <v>0.37888694126783645</v>
      </c>
    </row>
    <row r="4" spans="1:16" x14ac:dyDescent="0.25">
      <c r="A4" s="3">
        <v>1E-14</v>
      </c>
      <c r="B4" s="3">
        <v>3.1919999999999999E-5</v>
      </c>
      <c r="C4" s="3">
        <v>1.749E-4</v>
      </c>
      <c r="D4" s="3">
        <v>-4.9050000000000005E-4</v>
      </c>
      <c r="E4" s="3">
        <v>0</v>
      </c>
      <c r="F4" s="3">
        <v>0</v>
      </c>
      <c r="G4" s="3">
        <v>0</v>
      </c>
      <c r="H4" s="3">
        <v>8.7314182000000002E-5</v>
      </c>
      <c r="I4" s="3">
        <v>1.8080686999999999E-5</v>
      </c>
      <c r="J4" s="3">
        <v>-2.2467367E-4</v>
      </c>
      <c r="L4" s="3">
        <f t="shared" ref="L4:L33" si="0">-B4/D4</f>
        <v>6.5076452599388365E-2</v>
      </c>
      <c r="M4" s="3"/>
      <c r="N4" s="2">
        <f>IF('Modell einstellen'!$B$1="Voll",H4/0.35,H4/0.35*2)</f>
        <v>2.4946909142857147E-4</v>
      </c>
      <c r="O4" s="2">
        <f>IF('Modell einstellen'!$B$1="Voll",J4/0.35,J4/0.35*2)</f>
        <v>-6.4192477142857151E-4</v>
      </c>
      <c r="P4" s="3">
        <f t="shared" ref="P4:P33" si="1">-N4/O4</f>
        <v>0.38862667797254569</v>
      </c>
    </row>
    <row r="5" spans="1:16" x14ac:dyDescent="0.25">
      <c r="A5" s="3">
        <v>1E-13</v>
      </c>
      <c r="B5" s="3">
        <v>2.4090000000000001E-5</v>
      </c>
      <c r="C5" s="3">
        <v>1.8009999999999999E-4</v>
      </c>
      <c r="D5" s="3">
        <v>-4.9140000000000002E-4</v>
      </c>
      <c r="E5" s="3">
        <v>0</v>
      </c>
      <c r="F5" s="3">
        <v>0</v>
      </c>
      <c r="G5" s="3">
        <v>0</v>
      </c>
      <c r="H5" s="3">
        <v>9.2814993999999995E-5</v>
      </c>
      <c r="I5" s="3">
        <v>1.8677027000000001E-5</v>
      </c>
      <c r="J5" s="3">
        <v>-2.3302498000000001E-4</v>
      </c>
      <c r="L5" s="3">
        <f t="shared" si="0"/>
        <v>4.9023199023199023E-2</v>
      </c>
      <c r="M5" s="3"/>
      <c r="N5" s="2">
        <f>IF('Modell einstellen'!$B$1="Voll",H5/0.35,H5/0.35*2)</f>
        <v>2.6518569714285714E-4</v>
      </c>
      <c r="O5" s="2">
        <f>IF('Modell einstellen'!$B$1="Voll",J5/0.35,J5/0.35*2)</f>
        <v>-6.6578565714285718E-4</v>
      </c>
      <c r="P5" s="3">
        <f t="shared" si="1"/>
        <v>0.39830491134469787</v>
      </c>
    </row>
    <row r="6" spans="1:16" x14ac:dyDescent="0.25">
      <c r="A6" s="3">
        <v>9.9999999999999998E-13</v>
      </c>
      <c r="B6" s="3">
        <v>1.3010000000000001E-5</v>
      </c>
      <c r="C6" s="3">
        <v>1.861E-4</v>
      </c>
      <c r="D6" s="3">
        <v>-4.9069999999999995E-4</v>
      </c>
      <c r="E6" s="3">
        <v>0</v>
      </c>
      <c r="F6" s="3">
        <v>0</v>
      </c>
      <c r="G6" s="3">
        <v>0</v>
      </c>
      <c r="H6" s="3">
        <v>9.9837783000000002E-5</v>
      </c>
      <c r="I6" s="3">
        <v>1.9387842999999999E-5</v>
      </c>
      <c r="J6" s="3">
        <v>-2.4343722000000001E-4</v>
      </c>
      <c r="L6" s="3">
        <f t="shared" si="0"/>
        <v>2.6513144487466889E-2</v>
      </c>
      <c r="M6" s="3"/>
      <c r="N6" s="2">
        <f>IF('Modell einstellen'!$B$1="Voll",H6/0.35,H6/0.35*2)</f>
        <v>2.8525080857142858E-4</v>
      </c>
      <c r="O6" s="2">
        <f>IF('Modell einstellen'!$B$1="Voll",J6/0.35,J6/0.35*2)</f>
        <v>-6.9553491428571434E-4</v>
      </c>
      <c r="P6" s="3">
        <f t="shared" si="1"/>
        <v>0.41011716696403283</v>
      </c>
    </row>
    <row r="7" spans="1:16" x14ac:dyDescent="0.25">
      <c r="A7" s="3">
        <v>9.9999999999999994E-12</v>
      </c>
      <c r="B7" s="3">
        <v>-1.11E-6</v>
      </c>
      <c r="C7" s="3">
        <v>1.9230000000000001E-4</v>
      </c>
      <c r="D7" s="3">
        <v>-4.8730000000000003E-4</v>
      </c>
      <c r="E7" s="3">
        <v>0</v>
      </c>
      <c r="F7" s="3">
        <v>0</v>
      </c>
      <c r="G7" s="3">
        <v>0</v>
      </c>
      <c r="H7" s="3">
        <v>1.0790886E-4</v>
      </c>
      <c r="I7" s="3">
        <v>2.0139274000000001E-5</v>
      </c>
      <c r="J7" s="3">
        <v>-2.5508288000000002E-4</v>
      </c>
      <c r="L7" s="3">
        <f t="shared" si="0"/>
        <v>-2.2778575825979888E-3</v>
      </c>
      <c r="M7" s="3"/>
      <c r="N7" s="2">
        <f>IF('Modell einstellen'!$B$1="Voll",H7/0.35,H7/0.35*2)</f>
        <v>3.0831102857142861E-4</v>
      </c>
      <c r="O7" s="2">
        <f>IF('Modell einstellen'!$B$1="Voll",J7/0.35,J7/0.35*2)</f>
        <v>-7.2880822857142866E-4</v>
      </c>
      <c r="P7" s="3">
        <f t="shared" si="1"/>
        <v>0.42303450549092125</v>
      </c>
    </row>
    <row r="8" spans="1:16" x14ac:dyDescent="0.25">
      <c r="A8" s="3">
        <v>1E-10</v>
      </c>
      <c r="B8" s="3">
        <v>-1.931E-5</v>
      </c>
      <c r="C8" s="3">
        <v>1.9900000000000001E-4</v>
      </c>
      <c r="D8" s="3">
        <v>-4.8060000000000003E-4</v>
      </c>
      <c r="E8" s="3">
        <v>0</v>
      </c>
      <c r="F8" s="3">
        <v>0</v>
      </c>
      <c r="G8" s="3">
        <v>0</v>
      </c>
      <c r="H8" s="3">
        <v>1.1742024E-4</v>
      </c>
      <c r="I8" s="3">
        <v>2.0948769E-5</v>
      </c>
      <c r="J8" s="3">
        <v>-2.6843792999999998E-4</v>
      </c>
      <c r="L8" s="3">
        <f t="shared" si="0"/>
        <v>-4.0178942987931753E-2</v>
      </c>
      <c r="M8" s="3"/>
      <c r="N8" s="2">
        <f>IF('Modell einstellen'!$B$1="Voll",H8/0.35,H8/0.35*2)</f>
        <v>3.3548640000000005E-4</v>
      </c>
      <c r="O8" s="2">
        <f>IF('Modell einstellen'!$B$1="Voll",J8/0.35,J8/0.35*2)</f>
        <v>-7.6696551428571426E-4</v>
      </c>
      <c r="P8" s="3">
        <f t="shared" si="1"/>
        <v>0.4374204494871497</v>
      </c>
    </row>
    <row r="9" spans="1:16" x14ac:dyDescent="0.25">
      <c r="A9" s="3">
        <v>1.0000000000000001E-9</v>
      </c>
      <c r="B9" s="3">
        <v>-4.409E-5</v>
      </c>
      <c r="C9" s="3">
        <v>2.062E-4</v>
      </c>
      <c r="D9" s="3">
        <v>-4.684E-4</v>
      </c>
      <c r="E9" s="3">
        <v>0</v>
      </c>
      <c r="F9" s="3">
        <v>0</v>
      </c>
      <c r="G9" s="3">
        <v>0</v>
      </c>
      <c r="H9" s="3">
        <v>1.2927351999999999E-4</v>
      </c>
      <c r="I9" s="3">
        <v>2.1854801999999998E-5</v>
      </c>
      <c r="J9" s="3">
        <v>-2.8458550999999998E-4</v>
      </c>
      <c r="L9" s="3">
        <f t="shared" si="0"/>
        <v>-9.4128949615713067E-2</v>
      </c>
      <c r="M9" s="3"/>
      <c r="N9" s="2">
        <f>IF('Modell einstellen'!$B$1="Voll",H9/0.35,H9/0.35*2)</f>
        <v>3.6935291428571429E-4</v>
      </c>
      <c r="O9" s="2">
        <f>IF('Modell einstellen'!$B$1="Voll",J9/0.35,J9/0.35*2)</f>
        <v>-8.1310145714285709E-4</v>
      </c>
      <c r="P9" s="3">
        <f t="shared" si="1"/>
        <v>0.45425193995295127</v>
      </c>
    </row>
    <row r="10" spans="1:16" x14ac:dyDescent="0.25">
      <c r="A10" s="3">
        <v>1E-8</v>
      </c>
      <c r="B10" s="3">
        <v>-8.1630000000000003E-5</v>
      </c>
      <c r="C10" s="3">
        <v>2.1479999999999999E-4</v>
      </c>
      <c r="D10" s="3">
        <v>-4.46E-4</v>
      </c>
      <c r="E10" s="3">
        <v>0</v>
      </c>
      <c r="F10" s="3">
        <v>0</v>
      </c>
      <c r="G10" s="3">
        <v>0</v>
      </c>
      <c r="H10" s="3">
        <v>1.4575826E-4</v>
      </c>
      <c r="I10" s="3">
        <v>2.2964623E-5</v>
      </c>
      <c r="J10" s="3">
        <v>-3.0632062999999998E-4</v>
      </c>
      <c r="L10" s="3">
        <f t="shared" si="0"/>
        <v>-0.18302690582959641</v>
      </c>
      <c r="M10" s="3"/>
      <c r="N10" s="2">
        <f>IF('Modell einstellen'!$B$1="Voll",H10/0.35,H10/0.35*2)</f>
        <v>4.1645217142857147E-4</v>
      </c>
      <c r="O10" s="2">
        <f>IF('Modell einstellen'!$B$1="Voll",J10/0.35,J10/0.35*2)</f>
        <v>-8.7520179999999999E-4</v>
      </c>
      <c r="P10" s="3">
        <f t="shared" si="1"/>
        <v>0.47583559749142595</v>
      </c>
    </row>
    <row r="11" spans="1:16" x14ac:dyDescent="0.25">
      <c r="A11" s="3">
        <v>9.9999999999999995E-8</v>
      </c>
      <c r="B11" s="3">
        <v>-1.5090000000000001E-4</v>
      </c>
      <c r="C11" s="3">
        <v>2.264E-4</v>
      </c>
      <c r="D11" s="3">
        <v>-3.9720000000000001E-4</v>
      </c>
      <c r="E11" s="3">
        <v>0</v>
      </c>
      <c r="F11" s="3">
        <v>0</v>
      </c>
      <c r="G11" s="3">
        <v>0</v>
      </c>
      <c r="H11" s="3">
        <v>1.7330551999999999E-4</v>
      </c>
      <c r="I11" s="3">
        <v>2.4504752000000002E-5</v>
      </c>
      <c r="J11" s="3">
        <v>-3.4113465E-4</v>
      </c>
      <c r="L11" s="3">
        <f t="shared" si="0"/>
        <v>-0.37990936555891242</v>
      </c>
      <c r="M11" s="3"/>
      <c r="N11" s="2">
        <f>IF('Modell einstellen'!$B$1="Voll",H11/0.35,H11/0.35*2)</f>
        <v>4.9515862857142862E-4</v>
      </c>
      <c r="O11" s="2">
        <f>IF('Modell einstellen'!$B$1="Voll",J11/0.35,J11/0.35*2)</f>
        <v>-9.7467042857142863E-4</v>
      </c>
      <c r="P11" s="3">
        <f t="shared" si="1"/>
        <v>0.50802672786244374</v>
      </c>
    </row>
    <row r="12" spans="1:16" x14ac:dyDescent="0.25">
      <c r="A12" s="3">
        <v>9.9999999999999995E-7</v>
      </c>
      <c r="B12" s="3">
        <v>-2.8459999999999998E-4</v>
      </c>
      <c r="C12" s="3">
        <v>2.4039999999999999E-4</v>
      </c>
      <c r="D12" s="3">
        <v>-2.8889999999999997E-4</v>
      </c>
      <c r="E12" s="3">
        <v>0</v>
      </c>
      <c r="F12" s="3">
        <v>0</v>
      </c>
      <c r="G12" s="3">
        <v>0</v>
      </c>
      <c r="H12" s="3">
        <v>2.2088927E-4</v>
      </c>
      <c r="I12" s="3">
        <v>2.6508899E-5</v>
      </c>
      <c r="J12" s="3">
        <v>-3.9812992000000001E-4</v>
      </c>
      <c r="L12" s="3">
        <f t="shared" si="0"/>
        <v>-0.98511595707857391</v>
      </c>
      <c r="M12" s="3"/>
      <c r="N12" s="2">
        <f>IF('Modell einstellen'!$B$1="Voll",H12/0.35,H12/0.35*2)</f>
        <v>6.3111220000000004E-4</v>
      </c>
      <c r="O12" s="2">
        <f>IF('Modell einstellen'!$B$1="Voll",J12/0.35,J12/0.35*2)</f>
        <v>-1.1375140571428571E-3</v>
      </c>
      <c r="P12" s="3">
        <f t="shared" si="1"/>
        <v>0.55481705569880313</v>
      </c>
    </row>
    <row r="13" spans="1:16" x14ac:dyDescent="0.25">
      <c r="A13" s="3">
        <v>1.0000000000000001E-5</v>
      </c>
      <c r="B13" s="3">
        <v>-5.7090000000000005E-4</v>
      </c>
      <c r="C13" s="3">
        <v>2.5619999999999999E-4</v>
      </c>
      <c r="D13" s="3">
        <v>-3.2110000000000003E-5</v>
      </c>
      <c r="E13" s="3">
        <v>0</v>
      </c>
      <c r="F13" s="3">
        <v>0</v>
      </c>
      <c r="G13" s="3">
        <v>0</v>
      </c>
      <c r="H13" s="3">
        <v>3.1236333E-4</v>
      </c>
      <c r="I13" s="3">
        <v>2.9021910000000001E-5</v>
      </c>
      <c r="J13" s="3">
        <v>-5.0128924000000005E-4</v>
      </c>
      <c r="L13" s="3">
        <f t="shared" si="0"/>
        <v>-17.779507941451261</v>
      </c>
      <c r="M13" s="3"/>
      <c r="N13" s="2">
        <f>IF('Modell einstellen'!$B$1="Voll",H13/0.35,H13/0.35*2)</f>
        <v>8.9246665714285724E-4</v>
      </c>
      <c r="O13" s="2">
        <f>IF('Modell einstellen'!$B$1="Voll",J13/0.35,J13/0.35*2)</f>
        <v>-1.4322549714285717E-3</v>
      </c>
      <c r="P13" s="3">
        <f t="shared" si="1"/>
        <v>0.62311995765159445</v>
      </c>
    </row>
    <row r="14" spans="1:16" x14ac:dyDescent="0.25">
      <c r="A14" s="3">
        <v>1E-4</v>
      </c>
      <c r="B14" s="3">
        <v>-1.2830000000000001E-3</v>
      </c>
      <c r="C14" s="3">
        <v>2.7119999999999998E-4</v>
      </c>
      <c r="D14" s="3">
        <v>6.5039999999999998E-4</v>
      </c>
      <c r="E14" s="3">
        <v>0</v>
      </c>
      <c r="F14" s="3">
        <v>0</v>
      </c>
      <c r="G14" s="3">
        <v>0</v>
      </c>
      <c r="H14" s="3">
        <v>5.1945691E-4</v>
      </c>
      <c r="I14" s="3">
        <v>3.1877664999999999E-5</v>
      </c>
      <c r="J14" s="3">
        <v>-7.2122037E-4</v>
      </c>
      <c r="L14" s="3">
        <f t="shared" si="0"/>
        <v>1.9726322263222633</v>
      </c>
      <c r="M14" s="3"/>
      <c r="N14" s="2">
        <f>IF('Modell einstellen'!$B$1="Voll",H14/0.35,H14/0.35*2)</f>
        <v>1.4841626E-3</v>
      </c>
      <c r="O14" s="2">
        <f>IF('Modell einstellen'!$B$1="Voll",J14/0.35,J14/0.35*2)</f>
        <v>-2.0606296285714289E-3</v>
      </c>
      <c r="P14" s="3">
        <f t="shared" si="1"/>
        <v>0.72024714166073811</v>
      </c>
    </row>
    <row r="15" spans="1:16" x14ac:dyDescent="0.25">
      <c r="A15" s="3">
        <v>1E-3</v>
      </c>
      <c r="B15" s="3">
        <v>-2.862E-3</v>
      </c>
      <c r="C15" s="3">
        <v>2.8069999999999999E-4</v>
      </c>
      <c r="D15" s="3">
        <v>2.209E-3</v>
      </c>
      <c r="E15" s="3">
        <v>0</v>
      </c>
      <c r="F15" s="3">
        <v>0</v>
      </c>
      <c r="G15" s="3">
        <v>0</v>
      </c>
      <c r="H15" s="3">
        <v>9.5341641999999996E-4</v>
      </c>
      <c r="I15" s="3">
        <v>3.4106410999999999E-5</v>
      </c>
      <c r="J15" s="3">
        <v>-1.1634855999999999E-3</v>
      </c>
      <c r="L15" s="3">
        <f t="shared" si="0"/>
        <v>1.295608872793119</v>
      </c>
      <c r="M15" s="3"/>
      <c r="N15" s="2">
        <f>IF('Modell einstellen'!$B$1="Voll",H15/0.35,H15/0.35*2)</f>
        <v>2.7240469142857143E-3</v>
      </c>
      <c r="O15" s="2">
        <f>IF('Modell einstellen'!$B$1="Voll",J15/0.35,J15/0.35*2)</f>
        <v>-3.3242445714285712E-3</v>
      </c>
      <c r="P15" s="3">
        <f t="shared" si="1"/>
        <v>0.81944840572156641</v>
      </c>
    </row>
    <row r="16" spans="1:16" x14ac:dyDescent="0.25">
      <c r="A16" s="3">
        <v>0.01</v>
      </c>
      <c r="B16" s="3">
        <v>-5.9490000000000003E-3</v>
      </c>
      <c r="C16" s="3">
        <v>2.9050000000000001E-4</v>
      </c>
      <c r="D16" s="3">
        <v>5.2820000000000002E-3</v>
      </c>
      <c r="E16" s="3">
        <v>0</v>
      </c>
      <c r="F16" s="3">
        <v>0</v>
      </c>
      <c r="G16" s="3">
        <v>0</v>
      </c>
      <c r="H16" s="3">
        <v>1.7844221E-3</v>
      </c>
      <c r="I16" s="3">
        <v>3.5670718E-5</v>
      </c>
      <c r="J16" s="3">
        <v>-1.9943846999999999E-3</v>
      </c>
      <c r="L16" s="3">
        <f t="shared" si="0"/>
        <v>1.1262779250283983</v>
      </c>
      <c r="M16" s="3"/>
      <c r="N16" s="2">
        <f>IF('Modell einstellen'!$B$1="Voll",H16/0.35,H16/0.35*2)</f>
        <v>5.0983488571428575E-3</v>
      </c>
      <c r="O16" s="2">
        <f>IF('Modell einstellen'!$B$1="Voll",J16/0.35,J16/0.35*2)</f>
        <v>-5.6982420000000001E-3</v>
      </c>
      <c r="P16" s="3">
        <f t="shared" si="1"/>
        <v>0.89472311936608828</v>
      </c>
    </row>
    <row r="17" spans="1:16" x14ac:dyDescent="0.25">
      <c r="A17" s="3">
        <v>0.1</v>
      </c>
      <c r="B17" s="3">
        <v>-1.1599999999999999E-2</v>
      </c>
      <c r="C17" s="3">
        <v>3.2519999999999999E-4</v>
      </c>
      <c r="D17" s="3">
        <v>1.09E-2</v>
      </c>
      <c r="E17" s="3">
        <v>0</v>
      </c>
      <c r="F17" s="3">
        <v>0</v>
      </c>
      <c r="G17" s="3">
        <v>0</v>
      </c>
      <c r="H17" s="3">
        <v>3.3019172999999998E-3</v>
      </c>
      <c r="I17" s="3">
        <v>3.8662180999999999E-5</v>
      </c>
      <c r="J17" s="3">
        <v>-3.5001774999999999E-3</v>
      </c>
      <c r="L17" s="3">
        <f t="shared" si="0"/>
        <v>1.0642201834862384</v>
      </c>
      <c r="M17" s="3"/>
      <c r="N17" s="2">
        <f>IF('Modell einstellen'!$B$1="Voll",H17/0.35,H17/0.35*2)</f>
        <v>9.4340494285714283E-3</v>
      </c>
      <c r="O17" s="2">
        <f>IF('Modell einstellen'!$B$1="Voll",J17/0.35,J17/0.35*2)</f>
        <v>-1.0000507142857143E-2</v>
      </c>
      <c r="P17" s="3">
        <f t="shared" si="1"/>
        <v>0.94335710117558313</v>
      </c>
    </row>
    <row r="18" spans="1:16" x14ac:dyDescent="0.25">
      <c r="A18" s="3">
        <v>1</v>
      </c>
      <c r="B18" s="3">
        <v>-1.6979999999999999E-2</v>
      </c>
      <c r="C18" s="3">
        <v>4.2860000000000001E-4</v>
      </c>
      <c r="D18" s="3">
        <v>1.618E-2</v>
      </c>
      <c r="E18" s="3">
        <v>0</v>
      </c>
      <c r="F18" s="3">
        <v>0</v>
      </c>
      <c r="G18" s="3">
        <v>0</v>
      </c>
      <c r="H18" s="3">
        <v>4.7583382E-3</v>
      </c>
      <c r="I18" s="3">
        <v>5.0548772000000003E-5</v>
      </c>
      <c r="J18" s="3">
        <v>-4.9649228000000004E-3</v>
      </c>
      <c r="L18" s="3">
        <f t="shared" si="0"/>
        <v>1.0494437577255871</v>
      </c>
      <c r="M18" s="3"/>
      <c r="N18" s="2">
        <f>IF('Modell einstellen'!$B$1="Voll",H18/0.35,H18/0.35*2)</f>
        <v>1.3595252E-2</v>
      </c>
      <c r="O18" s="2">
        <f>IF('Modell einstellen'!$B$1="Voll",J18/0.35,J18/0.35*2)</f>
        <v>-1.4185493714285716E-2</v>
      </c>
      <c r="P18" s="3">
        <f t="shared" si="1"/>
        <v>0.9583911757902861</v>
      </c>
    </row>
    <row r="19" spans="1:16" x14ac:dyDescent="0.25">
      <c r="A19" s="3">
        <v>10</v>
      </c>
      <c r="B19" s="3">
        <v>-1.9310000000000001E-2</v>
      </c>
      <c r="C19" s="3">
        <v>6.4199999999999999E-4</v>
      </c>
      <c r="D19" s="3">
        <v>1.8290000000000001E-2</v>
      </c>
      <c r="E19" s="3">
        <v>0</v>
      </c>
      <c r="F19" s="3">
        <v>0</v>
      </c>
      <c r="G19" s="3">
        <v>0</v>
      </c>
      <c r="H19" s="3">
        <v>5.4005772999999998E-3</v>
      </c>
      <c r="I19" s="3">
        <v>8.3572263999999994E-5</v>
      </c>
      <c r="J19" s="3">
        <v>-5.7064085999999998E-3</v>
      </c>
      <c r="L19" s="3">
        <f t="shared" si="0"/>
        <v>1.0557681793329687</v>
      </c>
      <c r="M19" s="3"/>
      <c r="N19" s="2">
        <f>IF('Modell einstellen'!$B$1="Voll",H19/0.35,H19/0.35*2)</f>
        <v>1.5430220857142858E-2</v>
      </c>
      <c r="O19" s="2">
        <f>IF('Modell einstellen'!$B$1="Voll",J19/0.35,J19/0.35*2)</f>
        <v>-1.6304024571428571E-2</v>
      </c>
      <c r="P19" s="3">
        <f t="shared" si="1"/>
        <v>0.94640564294677398</v>
      </c>
    </row>
    <row r="20" spans="1:16" x14ac:dyDescent="0.25">
      <c r="A20" s="3">
        <v>100</v>
      </c>
      <c r="B20" s="3">
        <v>-2.0930000000000001E-2</v>
      </c>
      <c r="C20" s="3">
        <v>1.0690000000000001E-3</v>
      </c>
      <c r="D20" s="3">
        <v>1.949E-2</v>
      </c>
      <c r="E20" s="3">
        <v>0</v>
      </c>
      <c r="F20" s="3">
        <v>0</v>
      </c>
      <c r="G20" s="3">
        <v>0</v>
      </c>
      <c r="H20" s="3">
        <v>5.8350820999999997E-3</v>
      </c>
      <c r="I20" s="3">
        <v>1.5745679000000001E-4</v>
      </c>
      <c r="J20" s="3">
        <v>-6.3915326999999999E-3</v>
      </c>
      <c r="L20" s="3">
        <f t="shared" si="0"/>
        <v>1.0738840430990251</v>
      </c>
      <c r="M20" s="3"/>
      <c r="N20" s="2">
        <f>IF('Modell einstellen'!$B$1="Voll",H20/0.35,H20/0.35*2)</f>
        <v>1.6671663142857143E-2</v>
      </c>
      <c r="O20" s="2">
        <f>IF('Modell einstellen'!$B$1="Voll",J20/0.35,J20/0.35*2)</f>
        <v>-1.8261522000000002E-2</v>
      </c>
      <c r="P20" s="3">
        <f t="shared" si="1"/>
        <v>0.91293941123073641</v>
      </c>
    </row>
    <row r="21" spans="1:16" x14ac:dyDescent="0.25">
      <c r="A21" s="3">
        <v>1000</v>
      </c>
      <c r="B21" s="3">
        <v>-2.0709999999999999E-2</v>
      </c>
      <c r="C21" s="3">
        <v>1.952E-3</v>
      </c>
      <c r="D21" s="3">
        <v>1.839E-2</v>
      </c>
      <c r="E21" s="3">
        <v>0</v>
      </c>
      <c r="F21" s="3">
        <v>0</v>
      </c>
      <c r="G21" s="3">
        <v>0</v>
      </c>
      <c r="H21" s="3">
        <v>5.7256420000000004E-3</v>
      </c>
      <c r="I21" s="3">
        <v>3.177856E-4</v>
      </c>
      <c r="J21" s="3">
        <v>-6.8607281000000004E-3</v>
      </c>
      <c r="L21" s="3">
        <f t="shared" si="0"/>
        <v>1.1261555193039694</v>
      </c>
      <c r="M21" s="3"/>
      <c r="N21" s="2">
        <f>IF('Modell einstellen'!$B$1="Voll",H21/0.35,H21/0.35*2)</f>
        <v>1.6358977142857146E-2</v>
      </c>
      <c r="O21" s="2">
        <f>IF('Modell einstellen'!$B$1="Voll",J21/0.35,J21/0.35*2)</f>
        <v>-1.960208028571429E-2</v>
      </c>
      <c r="P21" s="3">
        <f t="shared" si="1"/>
        <v>0.83455311397634313</v>
      </c>
    </row>
    <row r="22" spans="1:16" x14ac:dyDescent="0.25">
      <c r="A22" s="3">
        <v>10000</v>
      </c>
      <c r="B22" s="3">
        <v>-1.9970000000000002E-2</v>
      </c>
      <c r="C22" s="3">
        <v>3.297E-3</v>
      </c>
      <c r="D22" s="3">
        <v>1.6320000000000001E-2</v>
      </c>
      <c r="E22" s="3">
        <v>0</v>
      </c>
      <c r="F22" s="3">
        <v>0</v>
      </c>
      <c r="G22" s="3">
        <v>0</v>
      </c>
      <c r="H22" s="3">
        <v>5.4393910999999996E-3</v>
      </c>
      <c r="I22" s="3">
        <v>5.6414085000000005E-4</v>
      </c>
      <c r="J22" s="3">
        <v>-7.4656122999999996E-3</v>
      </c>
      <c r="L22" s="3">
        <f t="shared" si="0"/>
        <v>1.2236519607843137</v>
      </c>
      <c r="M22" s="3"/>
      <c r="N22" s="2">
        <f>IF('Modell einstellen'!$B$1="Voll",H22/0.35,H22/0.35*2)</f>
        <v>1.5541117428571428E-2</v>
      </c>
      <c r="O22" s="2">
        <f>IF('Modell einstellen'!$B$1="Voll",J22/0.35,J22/0.35*2)</f>
        <v>-2.1330320857142857E-2</v>
      </c>
      <c r="P22" s="3">
        <f t="shared" si="1"/>
        <v>0.7285927639183728</v>
      </c>
    </row>
    <row r="23" spans="1:16" x14ac:dyDescent="0.25">
      <c r="A23" s="3">
        <v>100000</v>
      </c>
      <c r="B23" s="3">
        <v>-1.917E-2</v>
      </c>
      <c r="C23" s="3">
        <v>4.6189999999999998E-3</v>
      </c>
      <c r="D23" s="3">
        <v>1.4200000000000001E-2</v>
      </c>
      <c r="E23" s="3">
        <v>0</v>
      </c>
      <c r="F23" s="3">
        <v>0</v>
      </c>
      <c r="G23" s="3">
        <v>0</v>
      </c>
      <c r="H23" s="3">
        <v>5.1606600999999997E-3</v>
      </c>
      <c r="I23" s="3">
        <v>8.1033110999999996E-4</v>
      </c>
      <c r="J23" s="3">
        <v>-8.0739181000000007E-3</v>
      </c>
      <c r="L23" s="3">
        <f t="shared" si="0"/>
        <v>1.3499999999999999</v>
      </c>
      <c r="M23" s="3"/>
      <c r="N23" s="2">
        <f>IF('Modell einstellen'!$B$1="Voll",H23/0.35,H23/0.35*2)</f>
        <v>1.4744743142857142E-2</v>
      </c>
      <c r="O23" s="2">
        <f>IF('Modell einstellen'!$B$1="Voll",J23/0.35,J23/0.35*2)</f>
        <v>-2.3068337428571433E-2</v>
      </c>
      <c r="P23" s="3">
        <f t="shared" si="1"/>
        <v>0.63917667185650529</v>
      </c>
    </row>
    <row r="24" spans="1:16" x14ac:dyDescent="0.25">
      <c r="A24" s="3">
        <v>1000000</v>
      </c>
      <c r="B24" s="3">
        <v>-1.8460000000000001E-2</v>
      </c>
      <c r="C24" s="3">
        <v>5.6449999999999998E-3</v>
      </c>
      <c r="D24" s="3">
        <v>1.248E-2</v>
      </c>
      <c r="E24" s="3">
        <v>0</v>
      </c>
      <c r="F24" s="3">
        <v>0</v>
      </c>
      <c r="G24" s="3">
        <v>0</v>
      </c>
      <c r="H24" s="3">
        <v>4.9459591000000002E-3</v>
      </c>
      <c r="I24" s="3">
        <v>1.0051057999999999E-3</v>
      </c>
      <c r="J24" s="3">
        <v>-8.558398E-3</v>
      </c>
      <c r="L24" s="3">
        <f t="shared" si="0"/>
        <v>1.4791666666666667</v>
      </c>
      <c r="M24" s="3"/>
      <c r="N24" s="2">
        <f>IF('Modell einstellen'!$B$1="Voll",H24/0.35,H24/0.35*2)</f>
        <v>1.4131311714285716E-2</v>
      </c>
      <c r="O24" s="2">
        <f>IF('Modell einstellen'!$B$1="Voll",J24/0.35,J24/0.35*2)</f>
        <v>-2.4452565714285716E-2</v>
      </c>
      <c r="P24" s="3">
        <f t="shared" si="1"/>
        <v>0.57790711532695727</v>
      </c>
    </row>
    <row r="25" spans="1:16" x14ac:dyDescent="0.25">
      <c r="A25" s="3">
        <v>10000000</v>
      </c>
      <c r="B25" s="3">
        <v>-1.7899999999999999E-2</v>
      </c>
      <c r="C25" s="3">
        <v>6.3619999999999996E-3</v>
      </c>
      <c r="D25" s="3">
        <v>1.12E-2</v>
      </c>
      <c r="E25" s="3">
        <v>0</v>
      </c>
      <c r="F25" s="3">
        <v>0</v>
      </c>
      <c r="G25" s="3">
        <v>0</v>
      </c>
      <c r="H25" s="3">
        <v>4.7967645E-3</v>
      </c>
      <c r="I25" s="3">
        <v>1.1438411999999999E-3</v>
      </c>
      <c r="J25" s="3">
        <v>-8.9057734000000006E-3</v>
      </c>
      <c r="L25" s="3">
        <f t="shared" si="0"/>
        <v>1.5982142857142856</v>
      </c>
      <c r="M25" s="3"/>
      <c r="N25" s="2">
        <f>IF('Modell einstellen'!$B$1="Voll",H25/0.35,H25/0.35*2)</f>
        <v>1.3705041428571429E-2</v>
      </c>
      <c r="O25" s="2">
        <f>IF('Modell einstellen'!$B$1="Voll",J25/0.35,J25/0.35*2)</f>
        <v>-2.5445066857142859E-2</v>
      </c>
      <c r="P25" s="3">
        <f t="shared" si="1"/>
        <v>0.5386129069935689</v>
      </c>
    </row>
    <row r="26" spans="1:16" x14ac:dyDescent="0.25">
      <c r="A26" s="3">
        <v>100000000</v>
      </c>
      <c r="B26" s="3">
        <v>-1.7479999999999999E-2</v>
      </c>
      <c r="C26" s="3">
        <v>6.8380000000000003E-3</v>
      </c>
      <c r="D26" s="3">
        <v>1.031E-2</v>
      </c>
      <c r="E26" s="3">
        <v>0</v>
      </c>
      <c r="F26" s="3">
        <v>0</v>
      </c>
      <c r="G26" s="3">
        <v>0</v>
      </c>
      <c r="H26" s="3">
        <v>4.6988378999999999E-3</v>
      </c>
      <c r="I26" s="3">
        <v>1.2374249999999999E-3</v>
      </c>
      <c r="J26" s="3">
        <v>-9.1420766999999997E-3</v>
      </c>
      <c r="L26" s="3">
        <f t="shared" si="0"/>
        <v>1.6954413191076625</v>
      </c>
      <c r="M26" s="3"/>
      <c r="N26" s="2">
        <f>IF('Modell einstellen'!$B$1="Voll",H26/0.35,H26/0.35*2)</f>
        <v>1.3425251142857144E-2</v>
      </c>
      <c r="O26" s="2">
        <f>IF('Modell einstellen'!$B$1="Voll",J26/0.35,J26/0.35*2)</f>
        <v>-2.6120219142857143E-2</v>
      </c>
      <c r="P26" s="3">
        <f t="shared" si="1"/>
        <v>0.51397926906476299</v>
      </c>
    </row>
    <row r="27" spans="1:16" x14ac:dyDescent="0.25">
      <c r="A27" s="3">
        <v>1000000000</v>
      </c>
      <c r="B27" s="3">
        <v>-1.7149999999999999E-2</v>
      </c>
      <c r="C27" s="3">
        <v>7.1510000000000002E-3</v>
      </c>
      <c r="D27" s="3">
        <v>9.6699999999999998E-3</v>
      </c>
      <c r="E27" s="3">
        <v>0</v>
      </c>
      <c r="F27" s="3">
        <v>0</v>
      </c>
      <c r="G27" s="3">
        <v>0</v>
      </c>
      <c r="H27" s="3">
        <v>4.6372510999999998E-3</v>
      </c>
      <c r="I27" s="3">
        <v>1.3000408E-3</v>
      </c>
      <c r="J27" s="3">
        <v>-9.3036834999999998E-3</v>
      </c>
      <c r="L27" s="3">
        <f t="shared" si="0"/>
        <v>1.7735263702171664</v>
      </c>
      <c r="M27" s="3"/>
      <c r="N27" s="2">
        <f>IF('Modell einstellen'!$B$1="Voll",H27/0.35,H27/0.35*2)</f>
        <v>1.3249288857142858E-2</v>
      </c>
      <c r="O27" s="2">
        <f>IF('Modell einstellen'!$B$1="Voll",J27/0.35,J27/0.35*2)</f>
        <v>-2.6581952857142859E-2</v>
      </c>
      <c r="P27" s="3">
        <f t="shared" si="1"/>
        <v>0.49843173405458169</v>
      </c>
    </row>
    <row r="28" spans="1:16" x14ac:dyDescent="0.25">
      <c r="A28" s="3">
        <v>10000000000</v>
      </c>
      <c r="B28" s="3">
        <v>-1.686E-2</v>
      </c>
      <c r="C28" s="3">
        <v>7.3460000000000001E-3</v>
      </c>
      <c r="D28" s="3">
        <v>9.188E-3</v>
      </c>
      <c r="E28" s="3">
        <v>0</v>
      </c>
      <c r="F28" s="3">
        <v>0</v>
      </c>
      <c r="G28" s="3">
        <v>0</v>
      </c>
      <c r="H28" s="3">
        <v>4.6044768999999996E-3</v>
      </c>
      <c r="I28" s="3">
        <v>1.3401654000000001E-3</v>
      </c>
      <c r="J28" s="3">
        <v>-9.4135470999999991E-3</v>
      </c>
      <c r="L28" s="3">
        <f t="shared" si="0"/>
        <v>1.8350021767522855</v>
      </c>
      <c r="M28" s="3"/>
      <c r="N28" s="2">
        <f>IF('Modell einstellen'!$B$1="Voll",H28/0.35,H28/0.35*2)</f>
        <v>1.3155648285714285E-2</v>
      </c>
      <c r="O28" s="2">
        <f>IF('Modell einstellen'!$B$1="Voll",J28/0.35,J28/0.35*2)</f>
        <v>-2.6895848857142857E-2</v>
      </c>
      <c r="P28" s="3">
        <f t="shared" si="1"/>
        <v>0.48913303891579824</v>
      </c>
    </row>
    <row r="29" spans="1:16" x14ac:dyDescent="0.25">
      <c r="A29" s="3">
        <v>100000000000</v>
      </c>
      <c r="B29" s="3">
        <v>-1.6799999999999999E-2</v>
      </c>
      <c r="C29" s="3">
        <v>7.3810000000000004E-3</v>
      </c>
      <c r="D29" s="3">
        <v>9.0950000000000007E-3</v>
      </c>
      <c r="E29" s="3">
        <v>0</v>
      </c>
      <c r="F29" s="3">
        <v>0</v>
      </c>
      <c r="G29" s="3">
        <v>0</v>
      </c>
      <c r="H29" s="3">
        <v>4.5991373999999998E-3</v>
      </c>
      <c r="I29" s="3">
        <v>1.3474572999999999E-3</v>
      </c>
      <c r="J29" s="3">
        <v>-9.4340731000000008E-3</v>
      </c>
      <c r="L29" s="3">
        <f t="shared" si="0"/>
        <v>1.8471687740516765</v>
      </c>
      <c r="M29" s="3"/>
      <c r="N29" s="2">
        <f>IF('Modell einstellen'!$B$1="Voll",H29/0.35,H29/0.35*2)</f>
        <v>1.3140392571428572E-2</v>
      </c>
      <c r="O29" s="2">
        <f>IF('Modell einstellen'!$B$1="Voll",J29/0.35,J29/0.35*2)</f>
        <v>-2.6954494571428574E-2</v>
      </c>
      <c r="P29" s="3">
        <f t="shared" si="1"/>
        <v>0.48750283692417007</v>
      </c>
    </row>
    <row r="30" spans="1:16" x14ac:dyDescent="0.25">
      <c r="A30" s="3">
        <v>1000000000000</v>
      </c>
      <c r="B30" s="3">
        <v>-1.6410000000000001E-2</v>
      </c>
      <c r="C30" s="3">
        <v>7.5059999999999997E-3</v>
      </c>
      <c r="D30" s="3">
        <v>8.5730000000000008E-3</v>
      </c>
      <c r="E30" s="3">
        <v>0</v>
      </c>
      <c r="F30" s="3">
        <v>0</v>
      </c>
      <c r="G30" s="3">
        <v>0</v>
      </c>
      <c r="H30" s="3">
        <v>4.5951357999999996E-3</v>
      </c>
      <c r="I30" s="3">
        <v>1.3747103E-3</v>
      </c>
      <c r="J30" s="3">
        <v>-9.5261902999999992E-3</v>
      </c>
      <c r="L30" s="3">
        <f t="shared" si="0"/>
        <v>1.9141490726700103</v>
      </c>
      <c r="M30" s="3"/>
      <c r="N30" s="2">
        <f>IF('Modell einstellen'!$B$1="Voll",H30/0.35,H30/0.35*2)</f>
        <v>1.3128959428571427E-2</v>
      </c>
      <c r="O30" s="2">
        <f>IF('Modell einstellen'!$B$1="Voll",J30/0.35,J30/0.35*2)</f>
        <v>-2.7217686571428569E-2</v>
      </c>
      <c r="P30" s="3">
        <f t="shared" si="1"/>
        <v>0.48236867575488179</v>
      </c>
    </row>
    <row r="31" spans="1:16" x14ac:dyDescent="0.25">
      <c r="A31" s="3">
        <v>10000000000000</v>
      </c>
      <c r="B31" s="3">
        <v>-1.6400000000000001E-2</v>
      </c>
      <c r="C31" s="3">
        <v>7.5079999999999999E-3</v>
      </c>
      <c r="D31" s="3">
        <v>8.5649999999999997E-3</v>
      </c>
      <c r="E31" s="3">
        <v>0</v>
      </c>
      <c r="F31" s="3">
        <v>0</v>
      </c>
      <c r="G31" s="3">
        <v>0</v>
      </c>
      <c r="H31" s="3">
        <v>4.595142E-3</v>
      </c>
      <c r="I31" s="3">
        <v>1.3751137000000001E-3</v>
      </c>
      <c r="J31" s="3">
        <v>-9.5276032999999996E-3</v>
      </c>
      <c r="L31" s="3">
        <f t="shared" si="0"/>
        <v>1.9147694103911268</v>
      </c>
      <c r="M31" s="3"/>
      <c r="N31" s="2">
        <f>IF('Modell einstellen'!$B$1="Voll",H31/0.35,H31/0.35*2)</f>
        <v>1.3128977142857143E-2</v>
      </c>
      <c r="O31" s="2">
        <f>IF('Modell einstellen'!$B$1="Voll",J31/0.35,J31/0.35*2)</f>
        <v>-2.7221723714285714E-2</v>
      </c>
      <c r="P31" s="3">
        <f t="shared" si="1"/>
        <v>0.48229778836404746</v>
      </c>
    </row>
    <row r="32" spans="1:16" x14ac:dyDescent="0.25">
      <c r="A32" s="3">
        <v>100000000000000</v>
      </c>
      <c r="B32" s="3">
        <v>-1.626E-2</v>
      </c>
      <c r="C32" s="3">
        <v>7.5440000000000004E-3</v>
      </c>
      <c r="D32" s="3">
        <v>8.3899999999999999E-3</v>
      </c>
      <c r="E32" s="3">
        <v>0</v>
      </c>
      <c r="F32" s="3">
        <v>0</v>
      </c>
      <c r="G32" s="3">
        <v>0</v>
      </c>
      <c r="H32" s="3">
        <v>4.5952611999999999E-3</v>
      </c>
      <c r="I32" s="3">
        <v>1.38345E-3</v>
      </c>
      <c r="J32" s="3">
        <v>-9.5570550999999997E-3</v>
      </c>
      <c r="L32" s="3">
        <f t="shared" si="0"/>
        <v>1.9380214541120382</v>
      </c>
      <c r="M32" s="3"/>
      <c r="N32" s="2">
        <f>IF('Modell einstellen'!$B$1="Voll",H32/0.35,H32/0.35*2)</f>
        <v>1.3129317714285715E-2</v>
      </c>
      <c r="O32" s="2">
        <f>IF('Modell einstellen'!$B$1="Voll",J32/0.35,J32/0.35*2)</f>
        <v>-2.7305871714285716E-2</v>
      </c>
      <c r="P32" s="3">
        <f t="shared" si="1"/>
        <v>0.48082397264822718</v>
      </c>
    </row>
    <row r="33" spans="1:16" x14ac:dyDescent="0.25">
      <c r="A33" s="3">
        <v>1000000000000000</v>
      </c>
      <c r="B33" s="3">
        <v>-1.6250000000000001E-2</v>
      </c>
      <c r="C33" s="3">
        <v>7.5459999999999998E-3</v>
      </c>
      <c r="D33" s="3">
        <v>8.3820000000000006E-3</v>
      </c>
      <c r="E33" s="3">
        <v>0</v>
      </c>
      <c r="F33" s="3">
        <v>0</v>
      </c>
      <c r="G33" s="3">
        <v>0</v>
      </c>
      <c r="H33" s="3">
        <v>4.5955003999999999E-3</v>
      </c>
      <c r="I33" s="3">
        <v>1.3837652E-3</v>
      </c>
      <c r="J33" s="3">
        <v>-9.5583870999999994E-3</v>
      </c>
      <c r="L33" s="3">
        <f t="shared" si="0"/>
        <v>1.9386781197804819</v>
      </c>
      <c r="M33" s="3"/>
      <c r="N33" s="2">
        <f>IF('Modell einstellen'!$B$1="Voll",H33/0.35,H33/0.35*2)</f>
        <v>1.3130001142857143E-2</v>
      </c>
      <c r="O33" s="2">
        <f>IF('Modell einstellen'!$B$1="Voll",J33/0.35,J33/0.35*2)</f>
        <v>-2.7309677428571429E-2</v>
      </c>
      <c r="P33" s="3">
        <f t="shared" si="1"/>
        <v>0.48078199302055891</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3.1189999999999998E-5</v>
      </c>
      <c r="C3" s="3">
        <v>1.7980000000000001E-4</v>
      </c>
      <c r="D3" s="3">
        <v>-4.9560000000000001E-4</v>
      </c>
      <c r="E3" s="3">
        <v>0</v>
      </c>
      <c r="F3" s="3">
        <v>0</v>
      </c>
      <c r="G3" s="3">
        <v>0</v>
      </c>
      <c r="H3" s="3">
        <v>9.0164786999999999E-5</v>
      </c>
      <c r="I3" s="3">
        <v>1.8647970999999999E-5</v>
      </c>
      <c r="J3" s="3">
        <v>-2.2981839E-4</v>
      </c>
      <c r="L3" s="3">
        <f>-B3/D3</f>
        <v>6.2933817594834532E-2</v>
      </c>
      <c r="M3" s="3"/>
      <c r="N3" s="2">
        <f>IF('Modell einstellen'!$B$1="Voll",H3/0.35,H3/0.35*2)</f>
        <v>2.5761367714285716E-4</v>
      </c>
      <c r="O3" s="2">
        <f>IF('Modell einstellen'!$B$1="Voll",J3/0.35,J3/0.35*2)</f>
        <v>-6.5662397142857143E-4</v>
      </c>
      <c r="P3" s="3">
        <f>-N3/O3</f>
        <v>0.39233060069735937</v>
      </c>
    </row>
    <row r="4" spans="1:16" x14ac:dyDescent="0.25">
      <c r="A4" s="3">
        <v>1E-14</v>
      </c>
      <c r="B4" s="3">
        <v>1.925E-5</v>
      </c>
      <c r="C4" s="3">
        <v>1.872E-4</v>
      </c>
      <c r="D4" s="3">
        <v>-4.9620000000000003E-4</v>
      </c>
      <c r="E4" s="3">
        <v>0</v>
      </c>
      <c r="F4" s="3">
        <v>0</v>
      </c>
      <c r="G4" s="3">
        <v>0</v>
      </c>
      <c r="H4" s="3">
        <v>9.8224922999999998E-5</v>
      </c>
      <c r="I4" s="3">
        <v>1.9508681E-5</v>
      </c>
      <c r="J4" s="3">
        <v>-2.4194911999999999E-4</v>
      </c>
      <c r="L4" s="3">
        <f t="shared" ref="L4:L33" si="0">-B4/D4</f>
        <v>3.8794840790004032E-2</v>
      </c>
      <c r="M4" s="3"/>
      <c r="N4" s="2">
        <f>IF('Modell einstellen'!$B$1="Voll",H4/0.35,H4/0.35*2)</f>
        <v>2.8064263714285714E-4</v>
      </c>
      <c r="O4" s="2">
        <f>IF('Modell einstellen'!$B$1="Voll",J4/0.35,J4/0.35*2)</f>
        <v>-6.9128320000000007E-4</v>
      </c>
      <c r="P4" s="3">
        <f t="shared" ref="P4:P33" si="1">-N4/O4</f>
        <v>0.40597346665282347</v>
      </c>
    </row>
    <row r="5" spans="1:16" x14ac:dyDescent="0.25">
      <c r="A5" s="3">
        <v>1E-13</v>
      </c>
      <c r="B5" s="3">
        <v>5.541E-6</v>
      </c>
      <c r="C5" s="3">
        <v>1.9379999999999999E-4</v>
      </c>
      <c r="D5" s="3">
        <v>-4.9370000000000002E-4</v>
      </c>
      <c r="E5" s="3">
        <v>0</v>
      </c>
      <c r="F5" s="3">
        <v>0</v>
      </c>
      <c r="G5" s="3">
        <v>0</v>
      </c>
      <c r="H5" s="3">
        <v>1.0633346E-4</v>
      </c>
      <c r="I5" s="3">
        <v>2.0298851999999998E-5</v>
      </c>
      <c r="J5" s="3">
        <v>-2.5378739999999998E-4</v>
      </c>
      <c r="L5" s="3">
        <f t="shared" si="0"/>
        <v>1.1223415029370062E-2</v>
      </c>
      <c r="M5" s="3"/>
      <c r="N5" s="2">
        <f>IF('Modell einstellen'!$B$1="Voll",H5/0.35,H5/0.35*2)</f>
        <v>3.0380988571428576E-4</v>
      </c>
      <c r="O5" s="2">
        <f>IF('Modell einstellen'!$B$1="Voll",J5/0.35,J5/0.35*2)</f>
        <v>-7.2510685714285712E-4</v>
      </c>
      <c r="P5" s="3">
        <f t="shared" si="1"/>
        <v>0.41898636417726026</v>
      </c>
    </row>
    <row r="6" spans="1:16" x14ac:dyDescent="0.25">
      <c r="A6" s="3">
        <v>9.9999999999999998E-13</v>
      </c>
      <c r="B6" s="3">
        <v>-1.1430000000000001E-5</v>
      </c>
      <c r="C6" s="3">
        <v>2.0039999999999999E-4</v>
      </c>
      <c r="D6" s="3">
        <v>-4.8819999999999999E-4</v>
      </c>
      <c r="E6" s="3">
        <v>0</v>
      </c>
      <c r="F6" s="3">
        <v>0</v>
      </c>
      <c r="G6" s="3">
        <v>0</v>
      </c>
      <c r="H6" s="3">
        <v>1.1544322E-4</v>
      </c>
      <c r="I6" s="3">
        <v>2.1112590000000001E-5</v>
      </c>
      <c r="J6" s="3">
        <v>-2.6672901000000001E-4</v>
      </c>
      <c r="L6" s="3">
        <f t="shared" si="0"/>
        <v>-2.3412535845964769E-2</v>
      </c>
      <c r="M6" s="3"/>
      <c r="N6" s="2">
        <f>IF('Modell einstellen'!$B$1="Voll",H6/0.35,H6/0.35*2)</f>
        <v>3.2983777142857145E-4</v>
      </c>
      <c r="O6" s="2">
        <f>IF('Modell einstellen'!$B$1="Voll",J6/0.35,J6/0.35*2)</f>
        <v>-7.6208288571428585E-4</v>
      </c>
      <c r="P6" s="3">
        <f t="shared" si="1"/>
        <v>0.43281088922423544</v>
      </c>
    </row>
    <row r="7" spans="1:16" x14ac:dyDescent="0.25">
      <c r="A7" s="3">
        <v>9.9999999999999994E-12</v>
      </c>
      <c r="B7" s="3">
        <v>-3.4770000000000001E-5</v>
      </c>
      <c r="C7" s="3">
        <v>2.0790000000000001E-4</v>
      </c>
      <c r="D7" s="3">
        <v>-4.7760000000000001E-4</v>
      </c>
      <c r="E7" s="3">
        <v>0</v>
      </c>
      <c r="F7" s="3">
        <v>0</v>
      </c>
      <c r="G7" s="3">
        <v>0</v>
      </c>
      <c r="H7" s="3">
        <v>1.2688257000000001E-4</v>
      </c>
      <c r="I7" s="3">
        <v>2.2036383000000001E-5</v>
      </c>
      <c r="J7" s="3">
        <v>-2.8250971E-4</v>
      </c>
      <c r="L7" s="3">
        <f t="shared" si="0"/>
        <v>-7.2801507537688437E-2</v>
      </c>
      <c r="M7" s="3"/>
      <c r="N7" s="2">
        <f>IF('Modell einstellen'!$B$1="Voll",H7/0.35,H7/0.35*2)</f>
        <v>3.6252162857142861E-4</v>
      </c>
      <c r="O7" s="2">
        <f>IF('Modell einstellen'!$B$1="Voll",J7/0.35,J7/0.35*2)</f>
        <v>-8.0717060000000005E-4</v>
      </c>
      <c r="P7" s="3">
        <f t="shared" si="1"/>
        <v>0.44912640347830879</v>
      </c>
    </row>
    <row r="8" spans="1:16" x14ac:dyDescent="0.25">
      <c r="A8" s="3">
        <v>1E-10</v>
      </c>
      <c r="B8" s="3">
        <v>-6.8150000000000003E-5</v>
      </c>
      <c r="C8" s="3">
        <v>2.163E-4</v>
      </c>
      <c r="D8" s="3">
        <v>-4.5869999999999998E-4</v>
      </c>
      <c r="E8" s="3">
        <v>0</v>
      </c>
      <c r="F8" s="3">
        <v>0</v>
      </c>
      <c r="G8" s="3">
        <v>0</v>
      </c>
      <c r="H8" s="3">
        <v>1.4185841000000001E-4</v>
      </c>
      <c r="I8" s="3">
        <v>2.310815E-5</v>
      </c>
      <c r="J8" s="3">
        <v>-3.0251200000000001E-4</v>
      </c>
      <c r="L8" s="3">
        <f t="shared" si="0"/>
        <v>-0.1485720514497493</v>
      </c>
      <c r="M8" s="3"/>
      <c r="N8" s="2">
        <f>IF('Modell einstellen'!$B$1="Voll",H8/0.35,H8/0.35*2)</f>
        <v>4.053097428571429E-4</v>
      </c>
      <c r="O8" s="2">
        <f>IF('Modell einstellen'!$B$1="Voll",J8/0.35,J8/0.35*2)</f>
        <v>-8.6432000000000013E-4</v>
      </c>
      <c r="P8" s="3">
        <f t="shared" si="1"/>
        <v>0.4689348191146136</v>
      </c>
    </row>
    <row r="9" spans="1:16" x14ac:dyDescent="0.25">
      <c r="A9" s="3">
        <v>1.0000000000000001E-9</v>
      </c>
      <c r="B9" s="3">
        <v>-1.292E-4</v>
      </c>
      <c r="C9" s="3">
        <v>2.2770000000000001E-4</v>
      </c>
      <c r="D9" s="3">
        <v>-4.1750000000000001E-4</v>
      </c>
      <c r="E9" s="3">
        <v>0</v>
      </c>
      <c r="F9" s="3">
        <v>0</v>
      </c>
      <c r="G9" s="3">
        <v>0</v>
      </c>
      <c r="H9" s="3">
        <v>1.6674733E-4</v>
      </c>
      <c r="I9" s="3">
        <v>2.4616183E-5</v>
      </c>
      <c r="J9" s="3">
        <v>-3.3445662999999999E-4</v>
      </c>
      <c r="L9" s="3">
        <f t="shared" si="0"/>
        <v>-0.30946107784431137</v>
      </c>
      <c r="M9" s="3"/>
      <c r="N9" s="2">
        <f>IF('Modell einstellen'!$B$1="Voll",H9/0.35,H9/0.35*2)</f>
        <v>4.7642094285714291E-4</v>
      </c>
      <c r="O9" s="2">
        <f>IF('Modell einstellen'!$B$1="Voll",J9/0.35,J9/0.35*2)</f>
        <v>-9.5559037142857147E-4</v>
      </c>
      <c r="P9" s="3">
        <f t="shared" si="1"/>
        <v>0.49856189126823414</v>
      </c>
    </row>
    <row r="10" spans="1:16" x14ac:dyDescent="0.25">
      <c r="A10" s="3">
        <v>1E-8</v>
      </c>
      <c r="B10" s="3">
        <v>-2.455E-4</v>
      </c>
      <c r="C10" s="3">
        <v>2.418E-4</v>
      </c>
      <c r="D10" s="3">
        <v>-3.2630000000000002E-4</v>
      </c>
      <c r="E10" s="3">
        <v>0</v>
      </c>
      <c r="F10" s="3">
        <v>0</v>
      </c>
      <c r="G10" s="3">
        <v>0</v>
      </c>
      <c r="H10" s="3">
        <v>2.0918240999999999E-4</v>
      </c>
      <c r="I10" s="3">
        <v>2.6602640000000001E-5</v>
      </c>
      <c r="J10" s="3">
        <v>-3.8614733999999998E-4</v>
      </c>
      <c r="L10" s="3">
        <f t="shared" si="0"/>
        <v>-0.75237511492491571</v>
      </c>
      <c r="M10" s="3"/>
      <c r="N10" s="2">
        <f>IF('Modell einstellen'!$B$1="Voll",H10/0.35,H10/0.35*2)</f>
        <v>5.9766402857142856E-4</v>
      </c>
      <c r="O10" s="2">
        <f>IF('Modell einstellen'!$B$1="Voll",J10/0.35,J10/0.35*2)</f>
        <v>-1.1032781142857142E-3</v>
      </c>
      <c r="P10" s="3">
        <f t="shared" si="1"/>
        <v>0.54171656342369212</v>
      </c>
    </row>
    <row r="11" spans="1:16" x14ac:dyDescent="0.25">
      <c r="A11" s="3">
        <v>9.9999999999999995E-8</v>
      </c>
      <c r="B11" s="3">
        <v>-4.86E-4</v>
      </c>
      <c r="C11" s="3">
        <v>2.5799999999999998E-4</v>
      </c>
      <c r="D11" s="3">
        <v>-1.153E-4</v>
      </c>
      <c r="E11" s="3">
        <v>0</v>
      </c>
      <c r="F11" s="3">
        <v>0</v>
      </c>
      <c r="G11" s="3">
        <v>0</v>
      </c>
      <c r="H11" s="3">
        <v>2.8778586999999998E-4</v>
      </c>
      <c r="I11" s="3">
        <v>2.910098E-5</v>
      </c>
      <c r="J11" s="3">
        <v>-4.7629915000000001E-4</v>
      </c>
      <c r="L11" s="3">
        <f t="shared" si="0"/>
        <v>-4.2150910667823069</v>
      </c>
      <c r="M11" s="3"/>
      <c r="N11" s="2">
        <f>IF('Modell einstellen'!$B$1="Voll",H11/0.35,H11/0.35*2)</f>
        <v>8.2224534285714284E-4</v>
      </c>
      <c r="O11" s="2">
        <f>IF('Modell einstellen'!$B$1="Voll",J11/0.35,J11/0.35*2)</f>
        <v>-1.3608547142857144E-3</v>
      </c>
      <c r="P11" s="3">
        <f t="shared" si="1"/>
        <v>0.60421243665876778</v>
      </c>
    </row>
    <row r="12" spans="1:16" x14ac:dyDescent="0.25">
      <c r="A12" s="3">
        <v>9.9999999999999995E-7</v>
      </c>
      <c r="B12" s="3">
        <v>-1.0709999999999999E-3</v>
      </c>
      <c r="C12" s="3">
        <v>2.744E-4</v>
      </c>
      <c r="D12" s="3">
        <v>4.3790000000000002E-4</v>
      </c>
      <c r="E12" s="3">
        <v>0</v>
      </c>
      <c r="F12" s="3">
        <v>0</v>
      </c>
      <c r="G12" s="3">
        <v>0</v>
      </c>
      <c r="H12" s="3">
        <v>4.6102841999999999E-4</v>
      </c>
      <c r="I12" s="3">
        <v>3.2086821000000003E-5</v>
      </c>
      <c r="J12" s="3">
        <v>-6.6302007E-4</v>
      </c>
      <c r="L12" s="3">
        <f t="shared" si="0"/>
        <v>2.4457638730303719</v>
      </c>
      <c r="M12" s="3"/>
      <c r="N12" s="2">
        <f>IF('Modell einstellen'!$B$1="Voll",H12/0.35,H12/0.35*2)</f>
        <v>1.3172240571428572E-3</v>
      </c>
      <c r="O12" s="2">
        <f>IF('Modell einstellen'!$B$1="Voll",J12/0.35,J12/0.35*2)</f>
        <v>-1.8943430571428572E-3</v>
      </c>
      <c r="P12" s="3">
        <f t="shared" si="1"/>
        <v>0.69534610015651555</v>
      </c>
    </row>
    <row r="13" spans="1:16" x14ac:dyDescent="0.25">
      <c r="A13" s="3">
        <v>1.0000000000000001E-5</v>
      </c>
      <c r="B13" s="3">
        <v>-2.385E-3</v>
      </c>
      <c r="C13" s="3">
        <v>2.853E-4</v>
      </c>
      <c r="D13" s="3">
        <v>1.73E-3</v>
      </c>
      <c r="E13" s="3">
        <v>0</v>
      </c>
      <c r="F13" s="3">
        <v>0</v>
      </c>
      <c r="G13" s="3">
        <v>0</v>
      </c>
      <c r="H13" s="3">
        <v>8.2528720000000003E-4</v>
      </c>
      <c r="I13" s="3">
        <v>3.4553237000000001E-5</v>
      </c>
      <c r="J13" s="3">
        <v>-1.0371720000000001E-3</v>
      </c>
      <c r="L13" s="3">
        <f t="shared" si="0"/>
        <v>1.3786127167630058</v>
      </c>
      <c r="M13" s="3"/>
      <c r="N13" s="2">
        <f>IF('Modell einstellen'!$B$1="Voll",H13/0.35,H13/0.35*2)</f>
        <v>2.3579634285714286E-3</v>
      </c>
      <c r="O13" s="2">
        <f>IF('Modell einstellen'!$B$1="Voll",J13/0.35,J13/0.35*2)</f>
        <v>-2.9633485714285718E-3</v>
      </c>
      <c r="P13" s="3">
        <f t="shared" si="1"/>
        <v>0.79570910128696104</v>
      </c>
    </row>
    <row r="14" spans="1:16" x14ac:dyDescent="0.25">
      <c r="A14" s="3">
        <v>1E-4</v>
      </c>
      <c r="B14" s="3">
        <v>-5.0229999999999997E-3</v>
      </c>
      <c r="C14" s="3">
        <v>2.9300000000000002E-4</v>
      </c>
      <c r="D14" s="3">
        <v>4.3550000000000004E-3</v>
      </c>
      <c r="E14" s="3">
        <v>0</v>
      </c>
      <c r="F14" s="3">
        <v>0</v>
      </c>
      <c r="G14" s="3">
        <v>0</v>
      </c>
      <c r="H14" s="3">
        <v>1.5371814E-3</v>
      </c>
      <c r="I14" s="3">
        <v>3.6106402000000003E-5</v>
      </c>
      <c r="J14" s="3">
        <v>-1.7509035E-3</v>
      </c>
      <c r="L14" s="3">
        <f t="shared" si="0"/>
        <v>1.1533869115958666</v>
      </c>
      <c r="M14" s="3"/>
      <c r="N14" s="2">
        <f>IF('Modell einstellen'!$B$1="Voll",H14/0.35,H14/0.35*2)</f>
        <v>4.3919468571428574E-3</v>
      </c>
      <c r="O14" s="2">
        <f>IF('Modell einstellen'!$B$1="Voll",J14/0.35,J14/0.35*2)</f>
        <v>-5.0025814285714291E-3</v>
      </c>
      <c r="P14" s="3">
        <f t="shared" si="1"/>
        <v>0.87793610555921553</v>
      </c>
    </row>
    <row r="15" spans="1:16" x14ac:dyDescent="0.25">
      <c r="A15" s="3">
        <v>1E-3</v>
      </c>
      <c r="B15" s="3">
        <v>-9.9970000000000007E-3</v>
      </c>
      <c r="C15" s="3">
        <v>3.0880000000000002E-4</v>
      </c>
      <c r="D15" s="3">
        <v>9.3120000000000008E-3</v>
      </c>
      <c r="E15" s="3">
        <v>0</v>
      </c>
      <c r="F15" s="3">
        <v>0</v>
      </c>
      <c r="G15" s="3">
        <v>0</v>
      </c>
      <c r="H15" s="3">
        <v>2.8698437999999998E-3</v>
      </c>
      <c r="I15" s="3">
        <v>3.70689E-5</v>
      </c>
      <c r="J15" s="3">
        <v>-3.0701286999999999E-3</v>
      </c>
      <c r="L15" s="3">
        <f t="shared" si="0"/>
        <v>1.073560996563574</v>
      </c>
      <c r="M15" s="3"/>
      <c r="N15" s="2">
        <f>IF('Modell einstellen'!$B$1="Voll",H15/0.35,H15/0.35*2)</f>
        <v>8.199553714285714E-3</v>
      </c>
      <c r="O15" s="2">
        <f>IF('Modell einstellen'!$B$1="Voll",J15/0.35,J15/0.35*2)</f>
        <v>-8.7717962857142857E-3</v>
      </c>
      <c r="P15" s="3">
        <f t="shared" si="1"/>
        <v>0.93476335373171815</v>
      </c>
    </row>
    <row r="16" spans="1:16" x14ac:dyDescent="0.25">
      <c r="A16" s="3">
        <v>0.01</v>
      </c>
      <c r="B16" s="3">
        <v>-1.5980000000000001E-2</v>
      </c>
      <c r="C16" s="3">
        <v>3.4489999999999998E-4</v>
      </c>
      <c r="D16" s="3">
        <v>1.5259999999999999E-2</v>
      </c>
      <c r="E16" s="3">
        <v>0</v>
      </c>
      <c r="F16" s="3">
        <v>0</v>
      </c>
      <c r="G16" s="3">
        <v>0</v>
      </c>
      <c r="H16" s="3">
        <v>4.4754796999999999E-3</v>
      </c>
      <c r="I16" s="3">
        <v>3.832602E-5</v>
      </c>
      <c r="J16" s="3">
        <v>-4.6459316000000001E-3</v>
      </c>
      <c r="L16" s="3">
        <f t="shared" si="0"/>
        <v>1.0471821756225428</v>
      </c>
      <c r="M16" s="3"/>
      <c r="N16" s="2">
        <f>IF('Modell einstellen'!$B$1="Voll",H16/0.35,H16/0.35*2)</f>
        <v>1.2787084857142857E-2</v>
      </c>
      <c r="O16" s="2">
        <f>IF('Modell einstellen'!$B$1="Voll",J16/0.35,J16/0.35*2)</f>
        <v>-1.3274090285714286E-2</v>
      </c>
      <c r="P16" s="3">
        <f t="shared" si="1"/>
        <v>0.96331157781143395</v>
      </c>
    </row>
    <row r="17" spans="1:16" x14ac:dyDescent="0.25">
      <c r="A17" s="3">
        <v>0.1</v>
      </c>
      <c r="B17" s="3">
        <v>-1.9029999999999998E-2</v>
      </c>
      <c r="C17" s="3">
        <v>4.0549999999999999E-4</v>
      </c>
      <c r="D17" s="3">
        <v>1.8249999999999999E-2</v>
      </c>
      <c r="E17" s="3">
        <v>0</v>
      </c>
      <c r="F17" s="3">
        <v>0</v>
      </c>
      <c r="G17" s="3">
        <v>0</v>
      </c>
      <c r="H17" s="3">
        <v>5.3071715999999996E-3</v>
      </c>
      <c r="I17" s="3">
        <v>4.4678122999999998E-5</v>
      </c>
      <c r="J17" s="3">
        <v>-5.4767625999999998E-3</v>
      </c>
      <c r="L17" s="3">
        <f t="shared" si="0"/>
        <v>1.0427397260273972</v>
      </c>
      <c r="M17" s="3"/>
      <c r="N17" s="2">
        <f>IF('Modell einstellen'!$B$1="Voll",H17/0.35,H17/0.35*2)</f>
        <v>1.5163347428571429E-2</v>
      </c>
      <c r="O17" s="2">
        <f>IF('Modell einstellen'!$B$1="Voll",J17/0.35,J17/0.35*2)</f>
        <v>-1.5647893142857142E-2</v>
      </c>
      <c r="P17" s="3">
        <f t="shared" si="1"/>
        <v>0.96903444381540293</v>
      </c>
    </row>
    <row r="18" spans="1:16" x14ac:dyDescent="0.25">
      <c r="A18" s="3">
        <v>1</v>
      </c>
      <c r="B18" s="3">
        <v>-2.0889999999999999E-2</v>
      </c>
      <c r="C18" s="3">
        <v>5.5690000000000004E-4</v>
      </c>
      <c r="D18" s="3">
        <v>1.9959999999999999E-2</v>
      </c>
      <c r="E18" s="3">
        <v>0</v>
      </c>
      <c r="F18" s="3">
        <v>0</v>
      </c>
      <c r="G18" s="3">
        <v>0</v>
      </c>
      <c r="H18" s="3">
        <v>5.8234456000000002E-3</v>
      </c>
      <c r="I18" s="3">
        <v>6.7048406000000003E-5</v>
      </c>
      <c r="J18" s="3">
        <v>-6.0562947000000001E-3</v>
      </c>
      <c r="L18" s="3">
        <f t="shared" si="0"/>
        <v>1.0465931863727456</v>
      </c>
      <c r="M18" s="3"/>
      <c r="N18" s="2">
        <f>IF('Modell einstellen'!$B$1="Voll",H18/0.35,H18/0.35*2)</f>
        <v>1.6638416000000003E-2</v>
      </c>
      <c r="O18" s="2">
        <f>IF('Modell einstellen'!$B$1="Voll",J18/0.35,J18/0.35*2)</f>
        <v>-1.7303699142857145E-2</v>
      </c>
      <c r="P18" s="3">
        <f t="shared" si="1"/>
        <v>0.96155254796303102</v>
      </c>
    </row>
    <row r="19" spans="1:16" x14ac:dyDescent="0.25">
      <c r="A19" s="3">
        <v>10</v>
      </c>
      <c r="B19" s="3">
        <v>-2.1329999999999998E-2</v>
      </c>
      <c r="C19" s="3">
        <v>8.6729999999999999E-4</v>
      </c>
      <c r="D19" s="3">
        <v>2.01E-2</v>
      </c>
      <c r="E19" s="3">
        <v>0</v>
      </c>
      <c r="F19" s="3">
        <v>0</v>
      </c>
      <c r="G19" s="3">
        <v>0</v>
      </c>
      <c r="H19" s="3">
        <v>5.9491891000000002E-3</v>
      </c>
      <c r="I19" s="3">
        <v>1.2050900999999999E-4</v>
      </c>
      <c r="J19" s="3">
        <v>-6.3690363000000003E-3</v>
      </c>
      <c r="L19" s="3">
        <f t="shared" si="0"/>
        <v>1.0611940298507463</v>
      </c>
      <c r="M19" s="3"/>
      <c r="N19" s="2">
        <f>IF('Modell einstellen'!$B$1="Voll",H19/0.35,H19/0.35*2)</f>
        <v>1.6997683142857146E-2</v>
      </c>
      <c r="O19" s="2">
        <f>IF('Modell einstellen'!$B$1="Voll",J19/0.35,J19/0.35*2)</f>
        <v>-1.8197246571428575E-2</v>
      </c>
      <c r="P19" s="3">
        <f t="shared" si="1"/>
        <v>0.93407994864152366</v>
      </c>
    </row>
    <row r="20" spans="1:16" x14ac:dyDescent="0.25">
      <c r="A20" s="3">
        <v>100</v>
      </c>
      <c r="B20" s="3">
        <v>-2.0959999999999999E-2</v>
      </c>
      <c r="C20" s="3">
        <v>1.5E-3</v>
      </c>
      <c r="D20" s="3">
        <v>1.9089999999999999E-2</v>
      </c>
      <c r="E20" s="3">
        <v>0</v>
      </c>
      <c r="F20" s="3">
        <v>0</v>
      </c>
      <c r="G20" s="3">
        <v>0</v>
      </c>
      <c r="H20" s="3">
        <v>5.8213177000000001E-3</v>
      </c>
      <c r="I20" s="3">
        <v>2.3534715000000001E-4</v>
      </c>
      <c r="J20" s="3">
        <v>-6.6572506000000002E-3</v>
      </c>
      <c r="L20" s="3">
        <f t="shared" si="0"/>
        <v>1.0979570455735987</v>
      </c>
      <c r="M20" s="3"/>
      <c r="N20" s="2">
        <f>IF('Modell einstellen'!$B$1="Voll",H20/0.35,H20/0.35*2)</f>
        <v>1.6632336285714287E-2</v>
      </c>
      <c r="O20" s="2">
        <f>IF('Modell einstellen'!$B$1="Voll",J20/0.35,J20/0.35*2)</f>
        <v>-1.9020716E-2</v>
      </c>
      <c r="P20" s="3">
        <f t="shared" si="1"/>
        <v>0.87443271250747268</v>
      </c>
    </row>
    <row r="21" spans="1:16" x14ac:dyDescent="0.25">
      <c r="A21" s="3">
        <v>1000</v>
      </c>
      <c r="B21" s="3">
        <v>-2.0310000000000002E-2</v>
      </c>
      <c r="C21" s="3">
        <v>2.7000000000000001E-3</v>
      </c>
      <c r="D21" s="3">
        <v>1.7250000000000001E-2</v>
      </c>
      <c r="E21" s="3">
        <v>0</v>
      </c>
      <c r="F21" s="3">
        <v>0</v>
      </c>
      <c r="G21" s="3">
        <v>0</v>
      </c>
      <c r="H21" s="3">
        <v>5.5660385999999999E-3</v>
      </c>
      <c r="I21" s="3">
        <v>4.5440855999999999E-4</v>
      </c>
      <c r="J21" s="3">
        <v>-7.1954176000000002E-3</v>
      </c>
      <c r="L21" s="3">
        <f t="shared" si="0"/>
        <v>1.1773913043478261</v>
      </c>
      <c r="M21" s="3"/>
      <c r="N21" s="2">
        <f>IF('Modell einstellen'!$B$1="Voll",H21/0.35,H21/0.35*2)</f>
        <v>1.5902967428571429E-2</v>
      </c>
      <c r="O21" s="2">
        <f>IF('Modell einstellen'!$B$1="Voll",J21/0.35,J21/0.35*2)</f>
        <v>-2.0558336000000003E-2</v>
      </c>
      <c r="P21" s="3">
        <f t="shared" si="1"/>
        <v>0.77355324032895589</v>
      </c>
    </row>
    <row r="22" spans="1:16" x14ac:dyDescent="0.25">
      <c r="A22" s="3">
        <v>10000</v>
      </c>
      <c r="B22" s="3">
        <v>-1.95E-2</v>
      </c>
      <c r="C22" s="3">
        <v>4.0889999999999998E-3</v>
      </c>
      <c r="D22" s="3">
        <v>1.507E-2</v>
      </c>
      <c r="E22" s="3">
        <v>0</v>
      </c>
      <c r="F22" s="3">
        <v>0</v>
      </c>
      <c r="G22" s="3">
        <v>0</v>
      </c>
      <c r="H22" s="3">
        <v>5.2721634E-3</v>
      </c>
      <c r="I22" s="3">
        <v>7.1094514999999999E-4</v>
      </c>
      <c r="J22" s="3">
        <v>-7.8274767000000006E-3</v>
      </c>
      <c r="L22" s="3">
        <f t="shared" si="0"/>
        <v>1.2939615129396151</v>
      </c>
      <c r="M22" s="3"/>
      <c r="N22" s="2">
        <f>IF('Modell einstellen'!$B$1="Voll",H22/0.35,H22/0.35*2)</f>
        <v>1.5063324000000001E-2</v>
      </c>
      <c r="O22" s="2">
        <f>IF('Modell einstellen'!$B$1="Voll",J22/0.35,J22/0.35*2)</f>
        <v>-2.2364219142857147E-2</v>
      </c>
      <c r="P22" s="3">
        <f t="shared" si="1"/>
        <v>0.67354571620762527</v>
      </c>
    </row>
    <row r="23" spans="1:16" x14ac:dyDescent="0.25">
      <c r="A23" s="3">
        <v>100000</v>
      </c>
      <c r="B23" s="3">
        <v>-1.874E-2</v>
      </c>
      <c r="C23" s="3">
        <v>5.2519999999999997E-3</v>
      </c>
      <c r="D23" s="3">
        <v>1.315E-2</v>
      </c>
      <c r="E23" s="3">
        <v>0</v>
      </c>
      <c r="F23" s="3">
        <v>0</v>
      </c>
      <c r="G23" s="3">
        <v>0</v>
      </c>
      <c r="H23" s="3">
        <v>5.0280302999999998E-3</v>
      </c>
      <c r="I23" s="3">
        <v>9.3004781000000005E-4</v>
      </c>
      <c r="J23" s="3">
        <v>-8.3710507999999999E-3</v>
      </c>
      <c r="L23" s="3">
        <f t="shared" si="0"/>
        <v>1.4250950570342205</v>
      </c>
      <c r="M23" s="3"/>
      <c r="N23" s="2">
        <f>IF('Modell einstellen'!$B$1="Voll",H23/0.35,H23/0.35*2)</f>
        <v>1.4365800857142858E-2</v>
      </c>
      <c r="O23" s="2">
        <f>IF('Modell einstellen'!$B$1="Voll",J23/0.35,J23/0.35*2)</f>
        <v>-2.3917288000000002E-2</v>
      </c>
      <c r="P23" s="3">
        <f t="shared" si="1"/>
        <v>0.60064505880193675</v>
      </c>
    </row>
    <row r="24" spans="1:16" x14ac:dyDescent="0.25">
      <c r="A24" s="3">
        <v>1000000</v>
      </c>
      <c r="B24" s="3">
        <v>-1.8120000000000001E-2</v>
      </c>
      <c r="C24" s="3">
        <v>6.0930000000000003E-3</v>
      </c>
      <c r="D24" s="3">
        <v>1.1690000000000001E-2</v>
      </c>
      <c r="E24" s="3">
        <v>0</v>
      </c>
      <c r="F24" s="3">
        <v>0</v>
      </c>
      <c r="G24" s="3">
        <v>0</v>
      </c>
      <c r="H24" s="3">
        <v>4.8526423000000004E-3</v>
      </c>
      <c r="I24" s="3">
        <v>1.0914903E-3</v>
      </c>
      <c r="J24" s="3">
        <v>-8.7741812999999995E-3</v>
      </c>
      <c r="L24" s="3">
        <f t="shared" si="0"/>
        <v>1.5500427715996579</v>
      </c>
      <c r="M24" s="3"/>
      <c r="N24" s="2">
        <f>IF('Modell einstellen'!$B$1="Voll",H24/0.35,H24/0.35*2)</f>
        <v>1.3864692285714289E-2</v>
      </c>
      <c r="O24" s="2">
        <f>IF('Modell einstellen'!$B$1="Voll",J24/0.35,J24/0.35*2)</f>
        <v>-2.5069089428571428E-2</v>
      </c>
      <c r="P24" s="3">
        <f t="shared" si="1"/>
        <v>0.55305926947281125</v>
      </c>
    </row>
    <row r="25" spans="1:16" x14ac:dyDescent="0.25">
      <c r="A25" s="3">
        <v>10000000</v>
      </c>
      <c r="B25" s="3">
        <v>-1.7649999999999999E-2</v>
      </c>
      <c r="C25" s="3">
        <v>6.6600000000000001E-3</v>
      </c>
      <c r="D25" s="3">
        <v>1.0659999999999999E-2</v>
      </c>
      <c r="E25" s="3">
        <v>0</v>
      </c>
      <c r="F25" s="3">
        <v>0</v>
      </c>
      <c r="G25" s="3">
        <v>0</v>
      </c>
      <c r="H25" s="3">
        <v>4.7353159000000002E-3</v>
      </c>
      <c r="I25" s="3">
        <v>1.2021076E-3</v>
      </c>
      <c r="J25" s="3">
        <v>-9.0522763000000003E-3</v>
      </c>
      <c r="L25" s="3">
        <f t="shared" si="0"/>
        <v>1.6557223264540337</v>
      </c>
      <c r="M25" s="3"/>
      <c r="N25" s="2">
        <f>IF('Modell einstellen'!$B$1="Voll",H25/0.35,H25/0.35*2)</f>
        <v>1.3529474000000001E-2</v>
      </c>
      <c r="O25" s="2">
        <f>IF('Modell einstellen'!$B$1="Voll",J25/0.35,J25/0.35*2)</f>
        <v>-2.5863646571428575E-2</v>
      </c>
      <c r="P25" s="3">
        <f t="shared" si="1"/>
        <v>0.52310775136194199</v>
      </c>
    </row>
    <row r="26" spans="1:16" x14ac:dyDescent="0.25">
      <c r="A26" s="3">
        <v>100000000</v>
      </c>
      <c r="B26" s="3">
        <v>-1.728E-2</v>
      </c>
      <c r="C26" s="3">
        <v>7.0359999999999997E-3</v>
      </c>
      <c r="D26" s="3">
        <v>9.9170000000000005E-3</v>
      </c>
      <c r="E26" s="3">
        <v>0</v>
      </c>
      <c r="F26" s="3">
        <v>0</v>
      </c>
      <c r="G26" s="3">
        <v>0</v>
      </c>
      <c r="H26" s="3">
        <v>4.6592912000000004E-3</v>
      </c>
      <c r="I26" s="3">
        <v>1.2768641E-3</v>
      </c>
      <c r="J26" s="3">
        <v>-9.2429578999999994E-3</v>
      </c>
      <c r="L26" s="3">
        <f t="shared" si="0"/>
        <v>1.7424624382373701</v>
      </c>
      <c r="M26" s="3"/>
      <c r="N26" s="2">
        <f>IF('Modell einstellen'!$B$1="Voll",H26/0.35,H26/0.35*2)</f>
        <v>1.3312260571428574E-2</v>
      </c>
      <c r="O26" s="2">
        <f>IF('Modell einstellen'!$B$1="Voll",J26/0.35,J26/0.35*2)</f>
        <v>-2.6408451142857142E-2</v>
      </c>
      <c r="P26" s="3">
        <f t="shared" si="1"/>
        <v>0.50409092526538513</v>
      </c>
    </row>
    <row r="27" spans="1:16" x14ac:dyDescent="0.25">
      <c r="A27" s="3">
        <v>1000000000</v>
      </c>
      <c r="B27" s="3">
        <v>-1.6979999999999999E-2</v>
      </c>
      <c r="C27" s="3">
        <v>7.2769999999999996E-3</v>
      </c>
      <c r="D27" s="3">
        <v>9.3760000000000007E-3</v>
      </c>
      <c r="E27" s="3">
        <v>0</v>
      </c>
      <c r="F27" s="3">
        <v>0</v>
      </c>
      <c r="G27" s="3">
        <v>0</v>
      </c>
      <c r="H27" s="3">
        <v>4.6151022999999999E-3</v>
      </c>
      <c r="I27" s="3">
        <v>1.3256622999999999E-3</v>
      </c>
      <c r="J27" s="3">
        <v>-9.3724732999999998E-3</v>
      </c>
      <c r="L27" s="3">
        <f t="shared" si="0"/>
        <v>1.8110068259385663</v>
      </c>
      <c r="M27" s="3"/>
      <c r="N27" s="2">
        <f>IF('Modell einstellen'!$B$1="Voll",H27/0.35,H27/0.35*2)</f>
        <v>1.3186006571428571E-2</v>
      </c>
      <c r="O27" s="2">
        <f>IF('Modell einstellen'!$B$1="Voll",J27/0.35,J27/0.35*2)</f>
        <v>-2.6778495142857142E-2</v>
      </c>
      <c r="P27" s="3">
        <f t="shared" si="1"/>
        <v>0.49241029046196377</v>
      </c>
    </row>
    <row r="28" spans="1:16" x14ac:dyDescent="0.25">
      <c r="A28" s="3">
        <v>10000000000</v>
      </c>
      <c r="B28" s="3">
        <v>-1.6920000000000001E-2</v>
      </c>
      <c r="C28" s="3">
        <v>7.3169999999999997E-3</v>
      </c>
      <c r="D28" s="3">
        <v>9.2779999999999998E-3</v>
      </c>
      <c r="E28" s="3">
        <v>0</v>
      </c>
      <c r="F28" s="3">
        <v>0</v>
      </c>
      <c r="G28" s="3">
        <v>0</v>
      </c>
      <c r="H28" s="3">
        <v>4.6080938E-3</v>
      </c>
      <c r="I28" s="3">
        <v>1.3340609000000001E-3</v>
      </c>
      <c r="J28" s="3">
        <v>-9.3952832999999996E-3</v>
      </c>
      <c r="L28" s="3">
        <f t="shared" si="0"/>
        <v>1.823668894158224</v>
      </c>
      <c r="M28" s="3"/>
      <c r="N28" s="2">
        <f>IF('Modell einstellen'!$B$1="Voll",H28/0.35,H28/0.35*2)</f>
        <v>1.3165982285714287E-2</v>
      </c>
      <c r="O28" s="2">
        <f>IF('Modell einstellen'!$B$1="Voll",J28/0.35,J28/0.35*2)</f>
        <v>-2.6843666571428573E-2</v>
      </c>
      <c r="P28" s="3">
        <f t="shared" si="1"/>
        <v>0.49046885047095923</v>
      </c>
    </row>
    <row r="29" spans="1:16" x14ac:dyDescent="0.25">
      <c r="A29" s="3">
        <v>100000000000</v>
      </c>
      <c r="B29" s="3">
        <v>-1.6840000000000001E-2</v>
      </c>
      <c r="C29" s="3">
        <v>7.3699999999999998E-3</v>
      </c>
      <c r="D29" s="3">
        <v>9.1420000000000008E-3</v>
      </c>
      <c r="E29" s="3">
        <v>0</v>
      </c>
      <c r="F29" s="3">
        <v>0</v>
      </c>
      <c r="G29" s="3">
        <v>0</v>
      </c>
      <c r="H29" s="3">
        <v>4.5993932000000003E-3</v>
      </c>
      <c r="I29" s="3">
        <v>1.3452367999999999E-3</v>
      </c>
      <c r="J29" s="3">
        <v>-9.4262922000000002E-3</v>
      </c>
      <c r="L29" s="3">
        <f t="shared" si="0"/>
        <v>1.8420476919711222</v>
      </c>
      <c r="M29" s="3"/>
      <c r="N29" s="2">
        <f>IF('Modell einstellen'!$B$1="Voll",H29/0.35,H29/0.35*2)</f>
        <v>1.3141123428571429E-2</v>
      </c>
      <c r="O29" s="2">
        <f>IF('Modell einstellen'!$B$1="Voll",J29/0.35,J29/0.35*2)</f>
        <v>-2.693226342857143E-2</v>
      </c>
      <c r="P29" s="3">
        <f t="shared" si="1"/>
        <v>0.48793238130258682</v>
      </c>
    </row>
    <row r="30" spans="1:16" x14ac:dyDescent="0.25">
      <c r="A30" s="3">
        <v>1000000000000</v>
      </c>
      <c r="B30" s="3">
        <v>-1.643E-2</v>
      </c>
      <c r="C30" s="3">
        <v>7.5240000000000003E-3</v>
      </c>
      <c r="D30" s="3">
        <v>8.5780000000000006E-3</v>
      </c>
      <c r="E30" s="3">
        <v>0</v>
      </c>
      <c r="F30" s="3">
        <v>0</v>
      </c>
      <c r="G30" s="3">
        <v>0</v>
      </c>
      <c r="H30" s="3">
        <v>4.5875834999999998E-3</v>
      </c>
      <c r="I30" s="3">
        <v>1.3786477E-3</v>
      </c>
      <c r="J30" s="3">
        <v>-9.5325911999999992E-3</v>
      </c>
      <c r="L30" s="3">
        <f t="shared" si="0"/>
        <v>1.9153648869200279</v>
      </c>
      <c r="M30" s="3"/>
      <c r="N30" s="2">
        <f>IF('Modell einstellen'!$B$1="Voll",H30/0.35,H30/0.35*2)</f>
        <v>1.310738142857143E-2</v>
      </c>
      <c r="O30" s="2">
        <f>IF('Modell einstellen'!$B$1="Voll",J30/0.35,J30/0.35*2)</f>
        <v>-2.7235974857142856E-2</v>
      </c>
      <c r="P30" s="3">
        <f t="shared" si="1"/>
        <v>0.48125251610496006</v>
      </c>
    </row>
    <row r="31" spans="1:16" x14ac:dyDescent="0.25">
      <c r="A31" s="3">
        <v>10000000000000</v>
      </c>
      <c r="B31" s="3">
        <v>-1.6420000000000001E-2</v>
      </c>
      <c r="C31" s="3">
        <v>7.5259999999999997E-3</v>
      </c>
      <c r="D31" s="3">
        <v>8.5699999999999995E-3</v>
      </c>
      <c r="E31" s="3">
        <v>0</v>
      </c>
      <c r="F31" s="3">
        <v>0</v>
      </c>
      <c r="G31" s="3">
        <v>0</v>
      </c>
      <c r="H31" s="3">
        <v>4.5875763999999996E-3</v>
      </c>
      <c r="I31" s="3">
        <v>1.3790854999999999E-3</v>
      </c>
      <c r="J31" s="3">
        <v>-9.5341123999999992E-3</v>
      </c>
      <c r="L31" s="3">
        <f t="shared" si="0"/>
        <v>1.9159859976662779</v>
      </c>
      <c r="M31" s="3"/>
      <c r="N31" s="2">
        <f>IF('Modell einstellen'!$B$1="Voll",H31/0.35,H31/0.35*2)</f>
        <v>1.3107361142857142E-2</v>
      </c>
      <c r="O31" s="2">
        <f>IF('Modell einstellen'!$B$1="Voll",J31/0.35,J31/0.35*2)</f>
        <v>-2.7240321142857141E-2</v>
      </c>
      <c r="P31" s="3">
        <f t="shared" si="1"/>
        <v>0.48117498593786245</v>
      </c>
    </row>
    <row r="32" spans="1:16" x14ac:dyDescent="0.25">
      <c r="A32" s="3">
        <v>100000000000000</v>
      </c>
      <c r="B32" s="3">
        <v>-1.617E-2</v>
      </c>
      <c r="C32" s="3">
        <v>7.5659999999999998E-3</v>
      </c>
      <c r="D32" s="3">
        <v>8.2749999999999994E-3</v>
      </c>
      <c r="E32" s="3">
        <v>0</v>
      </c>
      <c r="F32" s="3">
        <v>0</v>
      </c>
      <c r="G32" s="3">
        <v>0</v>
      </c>
      <c r="H32" s="3">
        <v>4.5965140999999999E-3</v>
      </c>
      <c r="I32" s="3">
        <v>1.3884939000000001E-3</v>
      </c>
      <c r="J32" s="3">
        <v>-9.5758117000000007E-3</v>
      </c>
      <c r="L32" s="3">
        <f t="shared" si="0"/>
        <v>1.9540785498489428</v>
      </c>
      <c r="M32" s="3"/>
      <c r="N32" s="2">
        <f>IF('Modell einstellen'!$B$1="Voll",H32/0.35,H32/0.35*2)</f>
        <v>1.3132897428571429E-2</v>
      </c>
      <c r="O32" s="2">
        <f>IF('Modell einstellen'!$B$1="Voll",J32/0.35,J32/0.35*2)</f>
        <v>-2.7359462000000005E-2</v>
      </c>
      <c r="P32" s="3">
        <f t="shared" si="1"/>
        <v>0.48001299983791446</v>
      </c>
    </row>
    <row r="33" spans="1:16" x14ac:dyDescent="0.25">
      <c r="A33" s="3">
        <v>1000000000000000</v>
      </c>
      <c r="B33" s="3">
        <v>-1.6160000000000001E-2</v>
      </c>
      <c r="C33" s="3">
        <v>7.5659999999999998E-3</v>
      </c>
      <c r="D33" s="3">
        <v>8.2690000000000003E-3</v>
      </c>
      <c r="E33" s="3">
        <v>0</v>
      </c>
      <c r="F33" s="3">
        <v>0</v>
      </c>
      <c r="G33" s="3">
        <v>0</v>
      </c>
      <c r="H33" s="3">
        <v>4.5968639000000004E-3</v>
      </c>
      <c r="I33" s="3">
        <v>1.3886720000000001E-3</v>
      </c>
      <c r="J33" s="3">
        <v>-9.5767743000000002E-3</v>
      </c>
      <c r="L33" s="3">
        <f t="shared" si="0"/>
        <v>1.9542870963840853</v>
      </c>
      <c r="M33" s="3"/>
      <c r="N33" s="2">
        <f>IF('Modell einstellen'!$B$1="Voll",H33/0.35,H33/0.35*2)</f>
        <v>1.3133896857142859E-2</v>
      </c>
      <c r="O33" s="2">
        <f>IF('Modell einstellen'!$B$1="Voll",J33/0.35,J33/0.35*2)</f>
        <v>-2.7362212285714289E-2</v>
      </c>
      <c r="P33" s="3">
        <f t="shared" si="1"/>
        <v>0.4800012776744671</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2022-01-08T09:05:40Z</dcterms:modified>
</cp:coreProperties>
</file>