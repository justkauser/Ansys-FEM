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D403" i="43"/>
  <c r="H403" i="43"/>
  <c r="C403" i="43"/>
  <c r="B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15" i="43"/>
  <c r="B417" i="43"/>
  <c r="B409" i="43"/>
  <c r="B406" i="43"/>
  <c r="B429" i="43"/>
  <c r="B418" i="43"/>
  <c r="B411" i="43"/>
  <c r="B416" i="43"/>
  <c r="B432" i="43"/>
  <c r="B404" i="43"/>
  <c r="B428" i="43"/>
  <c r="B434" i="43"/>
  <c r="B423" i="43"/>
  <c r="B410" i="43"/>
  <c r="B407" i="43"/>
  <c r="B431" i="43"/>
  <c r="B427" i="43"/>
  <c r="B420" i="43"/>
  <c r="B419" i="43"/>
  <c r="B433" i="43"/>
  <c r="B426" i="43"/>
  <c r="B421" i="43"/>
  <c r="B422" i="43"/>
  <c r="B412" i="43"/>
  <c r="B430" i="43"/>
  <c r="C406" i="43"/>
  <c r="C423" i="43"/>
  <c r="C428" i="43"/>
  <c r="C404" i="43"/>
  <c r="C434" i="43"/>
  <c r="C424" i="43"/>
  <c r="C433" i="43"/>
  <c r="C409" i="43"/>
  <c r="C421" i="43"/>
  <c r="C407" i="43"/>
  <c r="C414" i="43"/>
  <c r="C418" i="43"/>
  <c r="C425" i="43"/>
  <c r="C427" i="43"/>
  <c r="C429" i="43"/>
  <c r="C432" i="43"/>
  <c r="C422" i="43"/>
  <c r="C431" i="43"/>
  <c r="C408" i="43"/>
  <c r="C410" i="43"/>
  <c r="C412" i="43"/>
  <c r="C420" i="43"/>
  <c r="C405" i="43"/>
  <c r="C415" i="43"/>
  <c r="C417" i="43"/>
  <c r="C419" i="43"/>
  <c r="C426" i="43"/>
  <c r="C430" i="43"/>
  <c r="C413" i="43"/>
  <c r="C411" i="43"/>
  <c r="C416" i="43"/>
  <c r="H434" i="43"/>
  <c r="H418" i="43"/>
  <c r="H415" i="43"/>
  <c r="H410" i="43"/>
  <c r="H424" i="43"/>
  <c r="H405" i="43"/>
  <c r="H404" i="43"/>
  <c r="H427" i="43"/>
  <c r="H409" i="43"/>
  <c r="H421" i="43"/>
  <c r="H433" i="43"/>
  <c r="H432" i="43"/>
  <c r="H417" i="43"/>
  <c r="H414" i="43"/>
  <c r="H430" i="43"/>
  <c r="H423" i="43"/>
  <c r="H428" i="43"/>
  <c r="H408" i="43"/>
  <c r="H420" i="43"/>
  <c r="H407" i="43"/>
  <c r="H416" i="43"/>
  <c r="H413" i="43"/>
  <c r="H422" i="43"/>
  <c r="H425" i="43"/>
  <c r="H426" i="43"/>
  <c r="H419" i="43"/>
  <c r="H431" i="43"/>
  <c r="H411" i="43"/>
  <c r="H429" i="43"/>
  <c r="H406" i="43"/>
  <c r="H412" i="43"/>
  <c r="D406" i="43"/>
  <c r="D417" i="43"/>
  <c r="D419" i="43"/>
  <c r="D426" i="43"/>
  <c r="D430" i="43"/>
  <c r="D410" i="43"/>
  <c r="D411" i="43"/>
  <c r="D416" i="43"/>
  <c r="D423" i="43"/>
  <c r="D428" i="43"/>
  <c r="D404" i="43"/>
  <c r="D420" i="43"/>
  <c r="D431" i="43"/>
  <c r="D409" i="43"/>
  <c r="D421" i="43"/>
  <c r="D434" i="43"/>
  <c r="D418" i="43"/>
  <c r="D425" i="43"/>
  <c r="D429" i="43"/>
  <c r="D432" i="43"/>
  <c r="D422" i="43"/>
  <c r="D407" i="43"/>
  <c r="D414" i="43"/>
  <c r="D427" i="43"/>
  <c r="D405" i="43"/>
  <c r="D408" i="43"/>
  <c r="D413" i="43"/>
  <c r="D415" i="43"/>
  <c r="D424" i="43"/>
  <c r="D433" i="43"/>
  <c r="D412" i="43"/>
  <c r="G410" i="43"/>
  <c r="G431" i="43"/>
  <c r="G413" i="43"/>
  <c r="G416" i="43"/>
  <c r="G434" i="43"/>
  <c r="G428" i="43"/>
  <c r="G429" i="43"/>
  <c r="G411" i="43"/>
  <c r="G427" i="43"/>
  <c r="G409" i="43"/>
  <c r="G423" i="43"/>
  <c r="G420" i="43"/>
  <c r="G422" i="43"/>
  <c r="G426" i="43"/>
  <c r="G408" i="43"/>
  <c r="G424" i="43"/>
  <c r="G421" i="43"/>
  <c r="G404" i="43"/>
  <c r="G433" i="43"/>
  <c r="G406" i="43"/>
  <c r="G419" i="43"/>
  <c r="G405" i="43"/>
  <c r="G418" i="43"/>
  <c r="G415" i="43"/>
  <c r="G407" i="43"/>
  <c r="G417" i="43"/>
  <c r="G425" i="43"/>
  <c r="G432" i="43"/>
  <c r="G414" i="43"/>
  <c r="G430" i="43"/>
  <c r="G412" i="43"/>
  <c r="E405" i="43"/>
  <c r="E408" i="43"/>
  <c r="E413" i="43"/>
  <c r="E415" i="43"/>
  <c r="E424" i="43"/>
  <c r="E433" i="43"/>
  <c r="E426" i="43"/>
  <c r="E430" i="43"/>
  <c r="E434" i="43"/>
  <c r="E418" i="43"/>
  <c r="E406" i="43"/>
  <c r="E417" i="43"/>
  <c r="E419" i="43"/>
  <c r="E411" i="43"/>
  <c r="E416" i="43"/>
  <c r="E423" i="43"/>
  <c r="E404" i="43"/>
  <c r="E427" i="43"/>
  <c r="E425" i="43"/>
  <c r="E410" i="43"/>
  <c r="E420" i="43"/>
  <c r="E422" i="43"/>
  <c r="E431" i="43"/>
  <c r="E429" i="43"/>
  <c r="E421" i="43"/>
  <c r="E409" i="43"/>
  <c r="E407" i="43"/>
  <c r="E432" i="43"/>
  <c r="E412" i="43"/>
  <c r="E428" i="43"/>
  <c r="E414" i="43"/>
  <c r="F415" i="43"/>
  <c r="F410" i="43"/>
  <c r="F420" i="43"/>
  <c r="F431" i="43"/>
  <c r="F424" i="43"/>
  <c r="F419" i="43"/>
  <c r="F430" i="43"/>
  <c r="F423" i="43"/>
  <c r="F404" i="43"/>
  <c r="F434" i="43"/>
  <c r="F416" i="43"/>
  <c r="F427" i="43"/>
  <c r="F421" i="43"/>
  <c r="F425" i="43"/>
  <c r="F426" i="43"/>
  <c r="F412" i="43"/>
  <c r="F409" i="43"/>
  <c r="F428" i="43"/>
  <c r="F408" i="43"/>
  <c r="F417" i="43"/>
  <c r="F414" i="43"/>
  <c r="F422" i="43"/>
  <c r="F411" i="43"/>
  <c r="F405" i="43"/>
  <c r="F429" i="43"/>
  <c r="F432" i="43"/>
  <c r="F418" i="43"/>
  <c r="F433" i="43"/>
  <c r="F413" i="43"/>
  <c r="F406"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<sst xmlns="http://schemas.openxmlformats.org/spreadsheetml/2006/main" count="311" uniqueCount="164">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</sst>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53764480"/>
        <c:axId val="4537629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764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2912"/>
        <c:crossesAt val="-8.0000000000000019E-3"/>
        <c:crossBetween val="midCat"/>
      </c:valAx>
      <c:valAx>
        <c:axId val="453762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4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3765264"/>
        <c:axId val="4537687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76526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8792"/>
        <c:crosses val="autoZero"/>
        <c:crossBetween val="midCat"/>
      </c:valAx>
      <c:valAx>
        <c:axId val="45376879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526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4396632"/>
        <c:axId val="5443970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43966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7024"/>
        <c:crosses val="autoZero"/>
        <c:crossBetween val="midCat"/>
        <c:majorUnit val="10000"/>
      </c:valAx>
      <c:valAx>
        <c:axId val="54439702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663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4393888"/>
        <c:axId val="5443946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3938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394672"/>
        <c:crosses val="autoZero"/>
        <c:crossBetween val="midCat"/>
        <c:majorUnit val="10000"/>
      </c:valAx>
      <c:valAx>
        <c:axId val="54439467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39388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4394280"/>
        <c:axId val="5443962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39428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6240"/>
        <c:crosses val="autoZero"/>
        <c:crossBetween val="midCat"/>
        <c:majorUnit val="10000"/>
      </c:valAx>
      <c:valAx>
        <c:axId val="54439624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428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1.1977225037387049E-2</c:v>
                </c:pt>
                <c:pt idx="1">
                  <c:v>1.6194677718976501E-2</c:v>
                </c:pt>
                <c:pt idx="2">
                  <c:v>4.4777804716127382E-3</c:v>
                </c:pt>
                <c:pt idx="3">
                  <c:v>7.702921701198015E-4</c:v>
                </c:pt>
                <c:pt idx="4">
                  <c:v>1.132195198834689E-4</c:v>
                </c:pt>
                <c:pt idx="5">
                  <c:v>1.456780708511483E-5</c:v>
                </c:pt>
                <c:pt idx="6">
                  <c:v>2.191521056646048E-6</c:v>
                </c:pt>
                <c:pt idx="7">
                  <c:v>2.2508134401939682E-6</c:v>
                </c:pt>
                <c:pt idx="8">
                  <c:v>4.1876512018660404E-6</c:v>
                </c:pt>
                <c:pt idx="9">
                  <c:v>7.510011638674617E-6</c:v>
                </c:pt>
                <c:pt idx="10">
                  <c:v>1.6706267394039659E-5</c:v>
                </c:pt>
                <c:pt idx="11">
                  <c:v>4.2157688774768492E-5</c:v>
                </c:pt>
                <c:pt idx="12">
                  <c:v>9.4885576157195518E-5</c:v>
                </c:pt>
                <c:pt idx="13">
                  <c:v>1.801968552959879E-4</c:v>
                </c:pt>
                <c:pt idx="14">
                  <c:v>2.9717985882018262E-4</c:v>
                </c:pt>
                <c:pt idx="15">
                  <c:v>3.101098198927838E-4</c:v>
                </c:pt>
                <c:pt idx="16">
                  <c:v>1.9143854429129546E-4</c:v>
                </c:pt>
                <c:pt idx="17">
                  <c:v>8.2647667181681941E-5</c:v>
                </c:pt>
                <c:pt idx="18">
                  <c:v>2.9831428949729163E-5</c:v>
                </c:pt>
                <c:pt idx="19">
                  <c:v>2.4651989729989074E-5</c:v>
                </c:pt>
                <c:pt idx="20">
                  <c:v>2.7922732874654577E-5</c:v>
                </c:pt>
                <c:pt idx="21">
                  <c:v>1.9270616971479501E-5</c:v>
                </c:pt>
                <c:pt idx="22">
                  <c:v>1.4508125755700333E-5</c:v>
                </c:pt>
                <c:pt idx="23">
                  <c:v>3.4653885638762707E-5</c:v>
                </c:pt>
                <c:pt idx="24">
                  <c:v>6.3984445265215055E-5</c:v>
                </c:pt>
                <c:pt idx="25">
                  <c:v>3.3384751874506347E-4</c:v>
                </c:pt>
                <c:pt idx="26">
                  <c:v>7.2292639749182183E-4</c:v>
                </c:pt>
                <c:pt idx="27">
                  <c:v>9.8007767169660089E-4</c:v>
                </c:pt>
                <c:pt idx="28">
                  <c:v>1.3068888592393327E-3</c:v>
                </c:pt>
                <c:pt idx="29">
                  <c:v>7.0536876528109603E-4</c:v>
                </c:pt>
                <c:pt idx="30">
                  <c:v>6.8399329516458248E-5</c:v>
                </c:pt>
              </c:numCache>
            </c:numRef>
          </c:yVal>
          <c:smooth val="1"/>
        </c:ser>
        <c:dLbls>
          <c:showLegendKey val="0"/>
          <c:showVal val="0"/>
          <c:showCatName val="0"/>
          <c:showSerName val="0"/>
          <c:showPercent val="0"/>
          <c:showBubbleSize val="0"/>
        </c:dLbls>
        <c:axId val="551024776"/>
        <c:axId val="551023992"/>
      </c:scatterChart>
      <c:valAx>
        <c:axId val="5510247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3992"/>
        <c:crossesAt val="-1.5000000000000005E-3"/>
        <c:crossBetween val="midCat"/>
      </c:valAx>
      <c:valAx>
        <c:axId val="55102399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47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5793.4523046389049</c:v>
                </c:pt>
                <c:pt idx="1">
                  <c:v>5700.0318269065447</c:v>
                </c:pt>
                <c:pt idx="2">
                  <c:v>5346.6855609762524</c:v>
                </c:pt>
                <c:pt idx="3">
                  <c:v>5101.8804049000601</c:v>
                </c:pt>
                <c:pt idx="4">
                  <c:v>4820.5005046125943</c:v>
                </c:pt>
                <c:pt idx="5">
                  <c:v>4535.41127213245</c:v>
                </c:pt>
                <c:pt idx="6">
                  <c:v>4228.4837057636532</c:v>
                </c:pt>
                <c:pt idx="7">
                  <c:v>3871.0145013042311</c:v>
                </c:pt>
                <c:pt idx="8">
                  <c:v>3401.741881102319</c:v>
                </c:pt>
                <c:pt idx="9">
                  <c:v>2827.0741372660314</c:v>
                </c:pt>
                <c:pt idx="10">
                  <c:v>2150.7592165929741</c:v>
                </c:pt>
                <c:pt idx="11">
                  <c:v>1410.5793699674709</c:v>
                </c:pt>
                <c:pt idx="12">
                  <c:v>826.60129458505821</c:v>
                </c:pt>
                <c:pt idx="13">
                  <c:v>463.1925994461447</c:v>
                </c:pt>
                <c:pt idx="14">
                  <c:v>257.1972291899055</c:v>
                </c:pt>
                <c:pt idx="15">
                  <c:v>180.03658363020517</c:v>
                </c:pt>
                <c:pt idx="16">
                  <c:v>157.52833381624174</c:v>
                </c:pt>
                <c:pt idx="17">
                  <c:v>143.14220755671209</c:v>
                </c:pt>
                <c:pt idx="18">
                  <c:v>139.03514524805985</c:v>
                </c:pt>
                <c:pt idx="19">
                  <c:v>135.60966136452373</c:v>
                </c:pt>
                <c:pt idx="20">
                  <c:v>132.22568250928234</c:v>
                </c:pt>
                <c:pt idx="21">
                  <c:v>129.59030264237458</c:v>
                </c:pt>
                <c:pt idx="22">
                  <c:v>127.71171468753445</c:v>
                </c:pt>
                <c:pt idx="23">
                  <c:v>126.44111280766575</c:v>
                </c:pt>
                <c:pt idx="24">
                  <c:v>125.52157207744062</c:v>
                </c:pt>
                <c:pt idx="25">
                  <c:v>124.88095562953836</c:v>
                </c:pt>
                <c:pt idx="26">
                  <c:v>124.61402747463876</c:v>
                </c:pt>
                <c:pt idx="27">
                  <c:v>124.04749550578464</c:v>
                </c:pt>
                <c:pt idx="28">
                  <c:v>123.75164370459413</c:v>
                </c:pt>
                <c:pt idx="29">
                  <c:v>123.74189201376467</c:v>
                </c:pt>
                <c:pt idx="30">
                  <c:v>123.64940012605396</c:v>
                </c:pt>
              </c:numCache>
            </c:numRef>
          </c:yVal>
          <c:smooth val="1"/>
        </c:ser>
        <c:dLbls>
          <c:showLegendKey val="0"/>
          <c:showVal val="0"/>
          <c:showCatName val="0"/>
          <c:showSerName val="0"/>
          <c:showPercent val="0"/>
          <c:showBubbleSize val="0"/>
        </c:dLbls>
        <c:axId val="551025168"/>
        <c:axId val="652048152"/>
      </c:scatterChart>
      <c:valAx>
        <c:axId val="551025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152"/>
        <c:crosses val="autoZero"/>
        <c:crossBetween val="midCat"/>
      </c:valAx>
      <c:valAx>
        <c:axId val="65204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516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7.6131623857345673E-3</c:v>
                </c:pt>
                <c:pt idx="1">
                  <c:v>7.6216213374145679E-3</c:v>
                </c:pt>
                <c:pt idx="2">
                  <c:v>7.616454256379088E-3</c:v>
                </c:pt>
                <c:pt idx="3">
                  <c:v>7.6149033870999798E-3</c:v>
                </c:pt>
                <c:pt idx="4">
                  <c:v>7.6144224749134272E-3</c:v>
                </c:pt>
                <c:pt idx="5">
                  <c:v>7.6142622348177947E-3</c:v>
                </c:pt>
                <c:pt idx="6">
                  <c:v>7.6142107038036054E-3</c:v>
                </c:pt>
                <c:pt idx="7">
                  <c:v>7.6142098649420696E-3</c:v>
                </c:pt>
                <c:pt idx="8">
                  <c:v>7.6142760373573426E-3</c:v>
                </c:pt>
                <c:pt idx="9">
                  <c:v>7.6149377593069389E-3</c:v>
                </c:pt>
                <c:pt idx="10">
                  <c:v>7.6215510305592182E-3</c:v>
                </c:pt>
                <c:pt idx="11">
                  <c:v>7.6876580011266274E-3</c:v>
                </c:pt>
                <c:pt idx="12">
                  <c:v>8.3468627880958438E-3</c:v>
                </c:pt>
                <c:pt idx="13">
                  <c:v>1.4723764225922744E-2</c:v>
                </c:pt>
                <c:pt idx="14">
                  <c:v>6.1131647331774404E-2</c:v>
                </c:pt>
                <c:pt idx="15">
                  <c:v>0.11673288783311336</c:v>
                </c:pt>
                <c:pt idx="16">
                  <c:v>0.11591148774439437</c:v>
                </c:pt>
                <c:pt idx="17">
                  <c:v>0.10817629391992005</c:v>
                </c:pt>
                <c:pt idx="18">
                  <c:v>8.7204066863234161E-2</c:v>
                </c:pt>
                <c:pt idx="19">
                  <c:v>6.4682157533690693E-2</c:v>
                </c:pt>
                <c:pt idx="20">
                  <c:v>3.9145465617649026E-2</c:v>
                </c:pt>
                <c:pt idx="21">
                  <c:v>2.7949612609140296E-2</c:v>
                </c:pt>
                <c:pt idx="22">
                  <c:v>1.5325781205855446E-2</c:v>
                </c:pt>
                <c:pt idx="23">
                  <c:v>6.3673866328991219E-2</c:v>
                </c:pt>
                <c:pt idx="24">
                  <c:v>0.10194983687051518</c:v>
                </c:pt>
                <c:pt idx="25">
                  <c:v>0.12205386039190975</c:v>
                </c:pt>
                <c:pt idx="26">
                  <c:v>0.12391618959674434</c:v>
                </c:pt>
                <c:pt idx="27">
                  <c:v>8.8875956864751249E-2</c:v>
                </c:pt>
                <c:pt idx="28">
                  <c:v>2.5842070696423882E-2</c:v>
                </c:pt>
                <c:pt idx="29">
                  <c:v>7.0357652412058908E-2</c:v>
                </c:pt>
                <c:pt idx="30">
                  <c:v>0.21991135128892411</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3.0967830745424296E-3</c:v>
                </c:pt>
                <c:pt idx="1">
                  <c:v>3.0885486800388889E-3</c:v>
                </c:pt>
                <c:pt idx="2">
                  <c:v>3.0935716506216853E-3</c:v>
                </c:pt>
                <c:pt idx="3">
                  <c:v>3.0944270273483053E-3</c:v>
                </c:pt>
                <c:pt idx="4">
                  <c:v>3.0883223044172116E-3</c:v>
                </c:pt>
                <c:pt idx="5">
                  <c:v>3.0226962005233875E-3</c:v>
                </c:pt>
                <c:pt idx="6">
                  <c:v>2.3672804697361183E-3</c:v>
                </c:pt>
                <c:pt idx="7">
                  <c:v>3.9772307939551785E-3</c:v>
                </c:pt>
                <c:pt idx="8">
                  <c:v>5.0367903907940596E-2</c:v>
                </c:pt>
                <c:pt idx="9">
                  <c:v>0.10696276854526779</c:v>
                </c:pt>
                <c:pt idx="10">
                  <c:v>0.10431463841389557</c:v>
                </c:pt>
                <c:pt idx="11">
                  <c:v>8.7926454575325899E-2</c:v>
                </c:pt>
                <c:pt idx="12">
                  <c:v>6.6754469585793133E-2</c:v>
                </c:pt>
                <c:pt idx="13">
                  <c:v>4.3333290870362869E-2</c:v>
                </c:pt>
                <c:pt idx="14">
                  <c:v>2.3481024123880527E-2</c:v>
                </c:pt>
                <c:pt idx="15">
                  <c:v>4.5681832749883494E-2</c:v>
                </c:pt>
                <c:pt idx="16">
                  <c:v>5.0761912139428711E-2</c:v>
                </c:pt>
                <c:pt idx="17">
                  <c:v>3.7057792759841446E-2</c:v>
                </c:pt>
                <c:pt idx="18">
                  <c:v>2.7881839016129263E-3</c:v>
                </c:pt>
                <c:pt idx="19">
                  <c:v>5.0628490603120309E-2</c:v>
                </c:pt>
                <c:pt idx="20">
                  <c:v>8.4244936867213058E-2</c:v>
                </c:pt>
                <c:pt idx="21">
                  <c:v>8.462112349792239E-2</c:v>
                </c:pt>
                <c:pt idx="22">
                  <c:v>5.8570171378493796E-2</c:v>
                </c:pt>
                <c:pt idx="23">
                  <c:v>1.9462643772728083E-3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6.9136900015083569E-3</c:v>
                </c:pt>
                <c:pt idx="1">
                  <c:v>6.6124620407234025E-3</c:v>
                </c:pt>
                <c:pt idx="2">
                  <c:v>3.7290409051737058E-3</c:v>
                </c:pt>
                <c:pt idx="3">
                  <c:v>2.1294769571567229E-2</c:v>
                </c:pt>
                <c:pt idx="4">
                  <c:v>9.7321625448179197E-2</c:v>
                </c:pt>
                <c:pt idx="5">
                  <c:v>9.6520043420052104E-2</c:v>
                </c:pt>
                <c:pt idx="6">
                  <c:v>7.5638264745723688E-2</c:v>
                </c:pt>
                <c:pt idx="7">
                  <c:v>5.3164950314885703E-2</c:v>
                </c:pt>
                <c:pt idx="8">
                  <c:v>2.6476643096107186E-2</c:v>
                </c:pt>
                <c:pt idx="9">
                  <c:v>2.2267791165191211E-3</c:v>
                </c:pt>
                <c:pt idx="10">
                  <c:v>3.0324992696364518E-4</c:v>
                </c:pt>
                <c:pt idx="11">
                  <c:v>1.1380208626410197E-2</c:v>
                </c:pt>
                <c:pt idx="12">
                  <c:v>5.6408735625316864E-3</c:v>
                </c:pt>
                <c:pt idx="13">
                  <c:v>8.4493127171675585E-3</c:v>
                </c:pt>
                <c:pt idx="14">
                  <c:v>7.6456037109161419E-3</c:v>
                </c:pt>
                <c:pt idx="15">
                  <c:v>9.2703802879999346E-3</c:v>
                </c:pt>
                <c:pt idx="16">
                  <c:v>3.3071522069782885E-3</c:v>
                </c:pt>
                <c:pt idx="17">
                  <c:v>3.5101953475472493E-2</c:v>
                </c:pt>
                <c:pt idx="18">
                  <c:v>6.8374427109283292E-2</c:v>
                </c:pt>
                <c:pt idx="19">
                  <c:v>7.5550755522254209E-2</c:v>
                </c:pt>
                <c:pt idx="20">
                  <c:v>2.5925245290611455E-2</c:v>
                </c:pt>
                <c:pt idx="21">
                  <c:v>3.3296087785510922E-2</c:v>
                </c:pt>
                <c:pt idx="22">
                  <c:v>1.7094298059015602E-4</c:v>
                </c:pt>
                <c:pt idx="23">
                  <c:v>5.9188371113363412E-2</c:v>
                </c:pt>
                <c:pt idx="24">
                  <c:v>0.12769240500652257</c:v>
                </c:pt>
                <c:pt idx="25">
                  <c:v>0.10604288247157427</c:v>
                </c:pt>
                <c:pt idx="26">
                  <c:v>0.12861721336041496</c:v>
                </c:pt>
                <c:pt idx="27">
                  <c:v>0.10215017782904892</c:v>
                </c:pt>
                <c:pt idx="28">
                  <c:v>8.1234684049205391E-2</c:v>
                </c:pt>
                <c:pt idx="29">
                  <c:v>5.6240972823688895E-2</c:v>
                </c:pt>
                <c:pt idx="30">
                  <c:v>4.4216995107607709E-2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1.0459976344091865E-2</c:v>
                </c:pt>
                <c:pt idx="1">
                  <c:v>9.3766307989997676E-4</c:v>
                </c:pt>
                <c:pt idx="2">
                  <c:v>3.9340744399723312E-3</c:v>
                </c:pt>
                <c:pt idx="3">
                  <c:v>3.3297179039089206E-3</c:v>
                </c:pt>
                <c:pt idx="4">
                  <c:v>4.5874067411711492E-3</c:v>
                </c:pt>
                <c:pt idx="5">
                  <c:v>3.077992959380656E-3</c:v>
                </c:pt>
                <c:pt idx="6">
                  <c:v>4.5519742626972575E-3</c:v>
                </c:pt>
                <c:pt idx="7">
                  <c:v>4.1093145812604792E-3</c:v>
                </c:pt>
                <c:pt idx="8">
                  <c:v>1.5252251201202484E-3</c:v>
                </c:pt>
                <c:pt idx="9">
                  <c:v>1.1654648032486494E-3</c:v>
                </c:pt>
                <c:pt idx="10">
                  <c:v>3.1597614633722501E-2</c:v>
                </c:pt>
                <c:pt idx="11">
                  <c:v>3.3147954578442149E-2</c:v>
                </c:pt>
                <c:pt idx="12">
                  <c:v>5.572341894472916E-2</c:v>
                </c:pt>
                <c:pt idx="13">
                  <c:v>3.6301639495768923E-2</c:v>
                </c:pt>
                <c:pt idx="14">
                  <c:v>9.0493614955878977E-3</c:v>
                </c:pt>
                <c:pt idx="15">
                  <c:v>2.1450335016639913E-2</c:v>
                </c:pt>
                <c:pt idx="16">
                  <c:v>1.7338075010682404E-2</c:v>
                </c:pt>
                <c:pt idx="17">
                  <c:v>2.908286325679511E-2</c:v>
                </c:pt>
                <c:pt idx="18">
                  <c:v>3.2028517191849737E-2</c:v>
                </c:pt>
                <c:pt idx="19">
                  <c:v>2.7611996681473228E-2</c:v>
                </c:pt>
                <c:pt idx="20">
                  <c:v>1.8547849106688268E-2</c:v>
                </c:pt>
                <c:pt idx="21">
                  <c:v>1.4879234854784059E-2</c:v>
                </c:pt>
                <c:pt idx="22">
                  <c:v>9.0965671369088313E-3</c:v>
                </c:pt>
                <c:pt idx="23">
                  <c:v>7.7949143838980236E-3</c:v>
                </c:pt>
                <c:pt idx="24">
                  <c:v>3.3214072276885687E-3</c:v>
                </c:pt>
                <c:pt idx="25">
                  <c:v>6.4046399307944148E-3</c:v>
                </c:pt>
                <c:pt idx="26">
                  <c:v>8.1586233792857246E-3</c:v>
                </c:pt>
                <c:pt idx="27">
                  <c:v>1.5374012961682792E-3</c:v>
                </c:pt>
                <c:pt idx="28">
                  <c:v>1.9285992084245745E-3</c:v>
                </c:pt>
                <c:pt idx="29">
                  <c:v>2.0173206138371664E-3</c:v>
                </c:pt>
                <c:pt idx="30">
                  <c:v>6.4780598640929608E-3</c:v>
                </c:pt>
              </c:numCache>
            </c:numRef>
          </c:yVal>
          <c:smooth val="1"/>
        </c:ser>
        <c:dLbls>
          <c:showLegendKey val="0"/>
          <c:showVal val="0"/>
          <c:showCatName val="0"/>
          <c:showSerName val="0"/>
          <c:showPercent val="0"/>
          <c:showBubbleSize val="0"/>
        </c:dLbls>
        <c:axId val="652048544"/>
        <c:axId val="652048936"/>
      </c:scatterChart>
      <c:valAx>
        <c:axId val="6520485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936"/>
        <c:crossesAt val="1.0000000000000005E-9"/>
        <c:crossBetween val="midCat"/>
      </c:valAx>
      <c:valAx>
        <c:axId val="652048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54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-44.146123426846039</c:v>
                </c:pt>
                <c:pt idx="1">
                  <c:v>-41.134350911465361</c:v>
                </c:pt>
                <c:pt idx="2">
                  <c:v>-36.84655767360919</c:v>
                </c:pt>
                <c:pt idx="3">
                  <c:v>-30.346664152642152</c:v>
                </c:pt>
                <c:pt idx="4">
                  <c:v>-19.641908227752239</c:v>
                </c:pt>
                <c:pt idx="5">
                  <c:v>0</c:v>
                </c:pt>
                <c:pt idx="6">
                  <c:v>4.182307348501765</c:v>
                </c:pt>
              </c:numCache>
            </c:numRef>
          </c:yVal>
          <c:smooth val="0"/>
        </c:ser>
        <c:dLbls>
          <c:showLegendKey val="0"/>
          <c:showVal val="0"/>
          <c:showCatName val="0"/>
          <c:showSerName val="0"/>
          <c:showPercent val="0"/>
          <c:showBubbleSize val="0"/>
        </c:dLbls>
        <c:axId val="652050112"/>
        <c:axId val="652050896"/>
      </c:scatterChart>
      <c:valAx>
        <c:axId val="652050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50896"/>
        <c:crossesAt val="-100"/>
        <c:crossBetween val="midCat"/>
      </c:valAx>
      <c:valAx>
        <c:axId val="65205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5011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546086056"/>
        <c:axId val="546084880"/>
      </c:scatterChart>
      <c:valAx>
        <c:axId val="54608605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4880"/>
        <c:crosses val="autoZero"/>
        <c:crossBetween val="midCat"/>
      </c:valAx>
      <c:valAx>
        <c:axId val="54608488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605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6.7232954793040819E-35</c:v>
                </c:pt>
                <c:pt idx="1">
                  <c:v>6.7232954793040821E-34</c:v>
                </c:pt>
                <c:pt idx="2">
                  <c:v>6.7232954793040823E-33</c:v>
                </c:pt>
                <c:pt idx="3">
                  <c:v>6.7232954793040815E-32</c:v>
                </c:pt>
                <c:pt idx="4">
                  <c:v>6.7232954793040817E-31</c:v>
                </c:pt>
                <c:pt idx="5">
                  <c:v>6.7232954793040822E-30</c:v>
                </c:pt>
                <c:pt idx="6">
                  <c:v>6.7232954793040819E-29</c:v>
                </c:pt>
                <c:pt idx="7">
                  <c:v>6.7232954793040815E-28</c:v>
                </c:pt>
                <c:pt idx="8">
                  <c:v>6.723295479304082E-27</c:v>
                </c:pt>
                <c:pt idx="9">
                  <c:v>6.7232954793040815E-26</c:v>
                </c:pt>
                <c:pt idx="10">
                  <c:v>6.7232954793040819E-25</c:v>
                </c:pt>
                <c:pt idx="11">
                  <c:v>6.7232954793040821E-24</c:v>
                </c:pt>
                <c:pt idx="12">
                  <c:v>6.7232954793040818E-23</c:v>
                </c:pt>
                <c:pt idx="13">
                  <c:v>6.7232954793040818E-22</c:v>
                </c:pt>
                <c:pt idx="14">
                  <c:v>6.7232954793040818E-21</c:v>
                </c:pt>
                <c:pt idx="15">
                  <c:v>6.7232954793040821E-20</c:v>
                </c:pt>
                <c:pt idx="16">
                  <c:v>6.7232954793040814E-19</c:v>
                </c:pt>
                <c:pt idx="17">
                  <c:v>6.7232954793040818E-18</c:v>
                </c:pt>
                <c:pt idx="18">
                  <c:v>6.7232954793040821E-17</c:v>
                </c:pt>
                <c:pt idx="19">
                  <c:v>6.7232954793040813E-16</c:v>
                </c:pt>
                <c:pt idx="20">
                  <c:v>6.7232954793040813E-15</c:v>
                </c:pt>
                <c:pt idx="21">
                  <c:v>6.7232954793040813E-14</c:v>
                </c:pt>
                <c:pt idx="22">
                  <c:v>6.7232954793040821E-13</c:v>
                </c:pt>
                <c:pt idx="23">
                  <c:v>6.7232954793040821E-12</c:v>
                </c:pt>
                <c:pt idx="24">
                  <c:v>6.7232954793040823E-11</c:v>
                </c:pt>
                <c:pt idx="25">
                  <c:v>6.7232954793040812E-10</c:v>
                </c:pt>
                <c:pt idx="26">
                  <c:v>6.7232954793040816E-9</c:v>
                </c:pt>
                <c:pt idx="27">
                  <c:v>6.7232954793040813E-8</c:v>
                </c:pt>
                <c:pt idx="28">
                  <c:v>6.7232954793040813E-7</c:v>
                </c:pt>
                <c:pt idx="29">
                  <c:v>6.7232954793040822E-6</c:v>
                </c:pt>
                <c:pt idx="30">
                  <c:v>6.7232954793040823E-5</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1.366401664789014E-33</c:v>
                </c:pt>
                <c:pt idx="1">
                  <c:v>1.3664016647890138E-32</c:v>
                </c:pt>
                <c:pt idx="2">
                  <c:v>1.3664016647890139E-31</c:v>
                </c:pt>
                <c:pt idx="3">
                  <c:v>1.3664016647890139E-30</c:v>
                </c:pt>
                <c:pt idx="4">
                  <c:v>1.3664016647890138E-29</c:v>
                </c:pt>
                <c:pt idx="5">
                  <c:v>1.3664016647890138E-28</c:v>
                </c:pt>
                <c:pt idx="6">
                  <c:v>1.3664016647890139E-27</c:v>
                </c:pt>
                <c:pt idx="7">
                  <c:v>1.3664016647890139E-26</c:v>
                </c:pt>
                <c:pt idx="8">
                  <c:v>1.3664016647890137E-25</c:v>
                </c:pt>
                <c:pt idx="9">
                  <c:v>1.3664016647890139E-24</c:v>
                </c:pt>
                <c:pt idx="10">
                  <c:v>1.3664016647890139E-23</c:v>
                </c:pt>
                <c:pt idx="11">
                  <c:v>1.3664016647890139E-22</c:v>
                </c:pt>
                <c:pt idx="12">
                  <c:v>1.3664016647890138E-21</c:v>
                </c:pt>
                <c:pt idx="13">
                  <c:v>1.3664016647890137E-20</c:v>
                </c:pt>
                <c:pt idx="14">
                  <c:v>1.3664016647890138E-19</c:v>
                </c:pt>
                <c:pt idx="15">
                  <c:v>1.3664016647890138E-18</c:v>
                </c:pt>
                <c:pt idx="16">
                  <c:v>1.3664016647890138E-17</c:v>
                </c:pt>
                <c:pt idx="17">
                  <c:v>1.3664016647890138E-16</c:v>
                </c:pt>
                <c:pt idx="18">
                  <c:v>1.3664016647890138E-15</c:v>
                </c:pt>
                <c:pt idx="19">
                  <c:v>1.3664016647890139E-14</c:v>
                </c:pt>
                <c:pt idx="20">
                  <c:v>1.3664016647890139E-13</c:v>
                </c:pt>
                <c:pt idx="21">
                  <c:v>1.3664016647890138E-12</c:v>
                </c:pt>
                <c:pt idx="22">
                  <c:v>1.3664016647890138E-11</c:v>
                </c:pt>
                <c:pt idx="23">
                  <c:v>1.366401664789014E-10</c:v>
                </c:pt>
                <c:pt idx="24">
                  <c:v>1.3664016647890138E-9</c:v>
                </c:pt>
                <c:pt idx="25">
                  <c:v>1.3664016647890139E-8</c:v>
                </c:pt>
                <c:pt idx="26">
                  <c:v>1.366401664789014E-7</c:v>
                </c:pt>
                <c:pt idx="27">
                  <c:v>1.3664016647890138E-6</c:v>
                </c:pt>
                <c:pt idx="28">
                  <c:v>1.3664016647890138E-5</c:v>
                </c:pt>
                <c:pt idx="29">
                  <c:v>1.3664016647890138E-4</c:v>
                </c:pt>
                <c:pt idx="30">
                  <c:v>1.3664016647890139E-3</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9.9481729111568724E-32</c:v>
                </c:pt>
                <c:pt idx="1">
                  <c:v>9.9481729111568719E-31</c:v>
                </c:pt>
                <c:pt idx="2">
                  <c:v>9.9481729111568723E-30</c:v>
                </c:pt>
                <c:pt idx="3">
                  <c:v>9.948172911156872E-29</c:v>
                </c:pt>
                <c:pt idx="4">
                  <c:v>9.9481729111568727E-28</c:v>
                </c:pt>
                <c:pt idx="5">
                  <c:v>9.948172911156873E-27</c:v>
                </c:pt>
                <c:pt idx="6">
                  <c:v>9.9481729111568725E-26</c:v>
                </c:pt>
                <c:pt idx="7">
                  <c:v>9.9481729111568734E-25</c:v>
                </c:pt>
                <c:pt idx="8">
                  <c:v>9.9481729111568727E-24</c:v>
                </c:pt>
                <c:pt idx="9">
                  <c:v>9.9481729111568718E-23</c:v>
                </c:pt>
                <c:pt idx="10">
                  <c:v>9.9481729111568732E-22</c:v>
                </c:pt>
                <c:pt idx="11">
                  <c:v>9.9481729111568728E-21</c:v>
                </c:pt>
                <c:pt idx="12">
                  <c:v>9.9481729111568725E-20</c:v>
                </c:pt>
                <c:pt idx="13">
                  <c:v>9.9481729111568725E-19</c:v>
                </c:pt>
                <c:pt idx="14">
                  <c:v>9.9481729111568733E-18</c:v>
                </c:pt>
                <c:pt idx="15">
                  <c:v>9.9481729111568727E-17</c:v>
                </c:pt>
                <c:pt idx="16">
                  <c:v>9.9481729111568732E-16</c:v>
                </c:pt>
                <c:pt idx="17">
                  <c:v>9.9481729111568728E-15</c:v>
                </c:pt>
                <c:pt idx="18">
                  <c:v>9.9481729111568718E-14</c:v>
                </c:pt>
                <c:pt idx="19">
                  <c:v>9.9481729111568728E-13</c:v>
                </c:pt>
                <c:pt idx="20">
                  <c:v>9.948172911156872E-12</c:v>
                </c:pt>
                <c:pt idx="21">
                  <c:v>9.9481729111568723E-11</c:v>
                </c:pt>
                <c:pt idx="22">
                  <c:v>9.9481729111568716E-10</c:v>
                </c:pt>
                <c:pt idx="23">
                  <c:v>9.9481729111568728E-9</c:v>
                </c:pt>
                <c:pt idx="24">
                  <c:v>9.9481729111568718E-8</c:v>
                </c:pt>
                <c:pt idx="25">
                  <c:v>9.9481729111568726E-7</c:v>
                </c:pt>
                <c:pt idx="26">
                  <c:v>9.9481729111568726E-6</c:v>
                </c:pt>
                <c:pt idx="27">
                  <c:v>9.9481729111568719E-5</c:v>
                </c:pt>
                <c:pt idx="28">
                  <c:v>9.9481729111568717E-4</c:v>
                </c:pt>
                <c:pt idx="29">
                  <c:v>9.9481729111568721E-3</c:v>
                </c:pt>
                <c:pt idx="30">
                  <c:v>9.9481729111568717E-2</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6.6162394476482584E-29</c:v>
                </c:pt>
                <c:pt idx="1">
                  <c:v>6.6162394476482575E-28</c:v>
                </c:pt>
                <c:pt idx="2">
                  <c:v>6.6162394476482577E-27</c:v>
                </c:pt>
                <c:pt idx="3">
                  <c:v>6.6162394476482577E-26</c:v>
                </c:pt>
                <c:pt idx="4">
                  <c:v>6.6162394476482574E-25</c:v>
                </c:pt>
                <c:pt idx="5">
                  <c:v>6.616239447648258E-24</c:v>
                </c:pt>
                <c:pt idx="6">
                  <c:v>6.6162394476482575E-23</c:v>
                </c:pt>
                <c:pt idx="7">
                  <c:v>6.6162394476482578E-22</c:v>
                </c:pt>
                <c:pt idx="8">
                  <c:v>6.6162394476482574E-21</c:v>
                </c:pt>
                <c:pt idx="9">
                  <c:v>6.6162394476482574E-20</c:v>
                </c:pt>
                <c:pt idx="10">
                  <c:v>6.6162394476482584E-19</c:v>
                </c:pt>
                <c:pt idx="11">
                  <c:v>6.6162394476482578E-18</c:v>
                </c:pt>
                <c:pt idx="12">
                  <c:v>6.6162394476482579E-17</c:v>
                </c:pt>
                <c:pt idx="13">
                  <c:v>6.6162394476482574E-16</c:v>
                </c:pt>
                <c:pt idx="14">
                  <c:v>6.6162394476482578E-15</c:v>
                </c:pt>
                <c:pt idx="15">
                  <c:v>6.616239447648258E-14</c:v>
                </c:pt>
                <c:pt idx="16">
                  <c:v>6.6162394476482572E-13</c:v>
                </c:pt>
                <c:pt idx="17">
                  <c:v>6.6162394476482578E-12</c:v>
                </c:pt>
                <c:pt idx="18">
                  <c:v>6.6162394476482574E-11</c:v>
                </c:pt>
                <c:pt idx="19">
                  <c:v>6.6162394476482576E-10</c:v>
                </c:pt>
                <c:pt idx="20">
                  <c:v>6.6162394476482574E-9</c:v>
                </c:pt>
                <c:pt idx="21">
                  <c:v>6.6162394476482576E-8</c:v>
                </c:pt>
                <c:pt idx="22">
                  <c:v>6.6162394476482573E-7</c:v>
                </c:pt>
                <c:pt idx="23">
                  <c:v>6.6162394476482579E-6</c:v>
                </c:pt>
                <c:pt idx="24">
                  <c:v>6.6162394476482574E-5</c:v>
                </c:pt>
                <c:pt idx="25">
                  <c:v>6.616239447648258E-4</c:v>
                </c:pt>
                <c:pt idx="26">
                  <c:v>6.6162394476482573E-3</c:v>
                </c:pt>
                <c:pt idx="27">
                  <c:v>6.6162394476482575E-2</c:v>
                </c:pt>
                <c:pt idx="28">
                  <c:v>0.66162394476482578</c:v>
                </c:pt>
                <c:pt idx="29">
                  <c:v>6.6162394476482573</c:v>
                </c:pt>
                <c:pt idx="30">
                  <c:v>66.162394476482575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2.9486799899998449E-24</c:v>
                </c:pt>
                <c:pt idx="1">
                  <c:v>2.9486799899998444E-23</c:v>
                </c:pt>
                <c:pt idx="2">
                  <c:v>2.9486799899998447E-22</c:v>
                </c:pt>
                <c:pt idx="3">
                  <c:v>2.9486799899998444E-21</c:v>
                </c:pt>
                <c:pt idx="4">
                  <c:v>2.9486799899998446E-20</c:v>
                </c:pt>
                <c:pt idx="5">
                  <c:v>2.9486799899998446E-19</c:v>
                </c:pt>
                <c:pt idx="6">
                  <c:v>2.9486799899998446E-18</c:v>
                </c:pt>
                <c:pt idx="7">
                  <c:v>2.9486799899998447E-17</c:v>
                </c:pt>
                <c:pt idx="8">
                  <c:v>2.9486799899998446E-16</c:v>
                </c:pt>
                <c:pt idx="9">
                  <c:v>2.9486799899998446E-15</c:v>
                </c:pt>
                <c:pt idx="10">
                  <c:v>2.9486799899998449E-14</c:v>
                </c:pt>
                <c:pt idx="11">
                  <c:v>2.9486799899998447E-13</c:v>
                </c:pt>
                <c:pt idx="12">
                  <c:v>2.9486799899998447E-12</c:v>
                </c:pt>
                <c:pt idx="13">
                  <c:v>2.9486799899998446E-11</c:v>
                </c:pt>
                <c:pt idx="14">
                  <c:v>2.9486799899998446E-10</c:v>
                </c:pt>
                <c:pt idx="15">
                  <c:v>2.9486799899998444E-9</c:v>
                </c:pt>
                <c:pt idx="16">
                  <c:v>2.9486799899998447E-8</c:v>
                </c:pt>
                <c:pt idx="17">
                  <c:v>2.9486799899998448E-7</c:v>
                </c:pt>
                <c:pt idx="18">
                  <c:v>2.9486799899998444E-6</c:v>
                </c:pt>
                <c:pt idx="19">
                  <c:v>2.9486799899998447E-5</c:v>
                </c:pt>
                <c:pt idx="20">
                  <c:v>2.9486799899998444E-4</c:v>
                </c:pt>
                <c:pt idx="21">
                  <c:v>2.9486799899998447E-3</c:v>
                </c:pt>
                <c:pt idx="22">
                  <c:v>2.9486799899998445E-2</c:v>
                </c:pt>
                <c:pt idx="23">
                  <c:v>0.29486799899998445</c:v>
                </c:pt>
                <c:pt idx="24">
                  <c:v>2.9486799899998446</c:v>
                </c:pt>
                <c:pt idx="25">
                  <c:v>29.486799899998445</c:v>
                </c:pt>
                <c:pt idx="26">
                  <c:v>294.86799899998448</c:v>
                </c:pt>
                <c:pt idx="27">
                  <c:v>2948.6799899998446</c:v>
                </c:pt>
                <c:pt idx="28">
                  <c:v>29486.799899998445</c:v>
                </c:pt>
                <c:pt idx="29">
                  <c:v>294867.99899998447</c:v>
                </c:pt>
                <c:pt idx="30">
                  <c:v>2948679.9899998447</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6.5516849150623852E-14</c:v>
                </c:pt>
                <c:pt idx="1">
                  <c:v>6.5516849150623852E-13</c:v>
                </c:pt>
                <c:pt idx="2">
                  <c:v>6.5516849150623856E-12</c:v>
                </c:pt>
                <c:pt idx="3">
                  <c:v>6.5516849150623845E-11</c:v>
                </c:pt>
                <c:pt idx="4">
                  <c:v>6.5516849150623842E-10</c:v>
                </c:pt>
                <c:pt idx="5">
                  <c:v>6.5516849150623851E-9</c:v>
                </c:pt>
                <c:pt idx="6">
                  <c:v>6.5516849150623857E-8</c:v>
                </c:pt>
                <c:pt idx="7">
                  <c:v>6.5516849150623849E-7</c:v>
                </c:pt>
                <c:pt idx="8">
                  <c:v>6.5516849150623847E-6</c:v>
                </c:pt>
                <c:pt idx="9">
                  <c:v>6.5516849150623854E-5</c:v>
                </c:pt>
                <c:pt idx="10">
                  <c:v>6.5516849150623851E-4</c:v>
                </c:pt>
                <c:pt idx="11">
                  <c:v>6.5516849150623856E-3</c:v>
                </c:pt>
                <c:pt idx="12">
                  <c:v>6.5516849150623849E-2</c:v>
                </c:pt>
                <c:pt idx="13">
                  <c:v>0.65516849150623857</c:v>
                </c:pt>
                <c:pt idx="14">
                  <c:v>6.5516849150623857</c:v>
                </c:pt>
                <c:pt idx="15">
                  <c:v>65.516849150623855</c:v>
                </c:pt>
                <c:pt idx="16">
                  <c:v>655.16849150623852</c:v>
                </c:pt>
                <c:pt idx="17">
                  <c:v>6551.6849150623848</c:v>
                </c:pt>
                <c:pt idx="18">
                  <c:v>65516.84915062385</c:v>
                </c:pt>
                <c:pt idx="19">
                  <c:v>655168.49150623847</c:v>
                </c:pt>
                <c:pt idx="20">
                  <c:v>6551684.9150623847</c:v>
                </c:pt>
                <c:pt idx="21">
                  <c:v>65516849.150623851</c:v>
                </c:pt>
                <c:pt idx="22">
                  <c:v>655168491.50623846</c:v>
                </c:pt>
                <c:pt idx="23">
                  <c:v>6551684915.0623856</c:v>
                </c:pt>
                <c:pt idx="24">
                  <c:v>65516849150.623848</c:v>
                </c:pt>
                <c:pt idx="25">
                  <c:v>655168491506.23853</c:v>
                </c:pt>
                <c:pt idx="26">
                  <c:v>6551684915062.3848</c:v>
                </c:pt>
                <c:pt idx="27">
                  <c:v>65516849150623.852</c:v>
                </c:pt>
                <c:pt idx="28">
                  <c:v>655168491506238.5</c:v>
                </c:pt>
                <c:pt idx="29">
                  <c:v>6551684915062385</c:v>
                </c:pt>
                <c:pt idx="30">
                  <c:v>6.5516849150623848E+16</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46086448"/>
        <c:axId val="544054072"/>
      </c:scatterChart>
      <c:valAx>
        <c:axId val="5460864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4072"/>
        <c:crosses val="autoZero"/>
        <c:crossBetween val="midCat"/>
      </c:valAx>
      <c:valAx>
        <c:axId val="544054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644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6.7232954793040819E-35</c:v>
                </c:pt>
                <c:pt idx="1">
                  <c:v>6.7232954793040821E-34</c:v>
                </c:pt>
                <c:pt idx="2">
                  <c:v>6.7232954793040823E-33</c:v>
                </c:pt>
                <c:pt idx="3">
                  <c:v>6.7232954793040815E-32</c:v>
                </c:pt>
                <c:pt idx="4">
                  <c:v>6.7232954793040817E-31</c:v>
                </c:pt>
                <c:pt idx="5">
                  <c:v>6.7232954793040822E-30</c:v>
                </c:pt>
                <c:pt idx="6">
                  <c:v>6.7232954793040819E-29</c:v>
                </c:pt>
                <c:pt idx="7">
                  <c:v>6.7232954793040815E-28</c:v>
                </c:pt>
                <c:pt idx="8">
                  <c:v>6.723295479304082E-27</c:v>
                </c:pt>
                <c:pt idx="9">
                  <c:v>6.7232954793040815E-26</c:v>
                </c:pt>
                <c:pt idx="10">
                  <c:v>6.7232954793040819E-25</c:v>
                </c:pt>
                <c:pt idx="11">
                  <c:v>6.7232954793040821E-24</c:v>
                </c:pt>
                <c:pt idx="12">
                  <c:v>6.7232954793040818E-23</c:v>
                </c:pt>
                <c:pt idx="13">
                  <c:v>6.7232954793040818E-22</c:v>
                </c:pt>
                <c:pt idx="14">
                  <c:v>6.7232954793040818E-21</c:v>
                </c:pt>
                <c:pt idx="15">
                  <c:v>6.7232954793040821E-20</c:v>
                </c:pt>
                <c:pt idx="16">
                  <c:v>6.7232954793040814E-19</c:v>
                </c:pt>
                <c:pt idx="17">
                  <c:v>6.7232954793040818E-18</c:v>
                </c:pt>
                <c:pt idx="18">
                  <c:v>6.7232954793040821E-17</c:v>
                </c:pt>
                <c:pt idx="19">
                  <c:v>6.7232954793040813E-16</c:v>
                </c:pt>
                <c:pt idx="20">
                  <c:v>6.7232954793040813E-15</c:v>
                </c:pt>
                <c:pt idx="21">
                  <c:v>6.7232954793040813E-14</c:v>
                </c:pt>
                <c:pt idx="22">
                  <c:v>6.7232954793040821E-13</c:v>
                </c:pt>
                <c:pt idx="23">
                  <c:v>6.7232954793040821E-12</c:v>
                </c:pt>
                <c:pt idx="24">
                  <c:v>6.7232954793040823E-11</c:v>
                </c:pt>
                <c:pt idx="25">
                  <c:v>6.7232954793040812E-10</c:v>
                </c:pt>
                <c:pt idx="26">
                  <c:v>6.7232954793040816E-9</c:v>
                </c:pt>
                <c:pt idx="27">
                  <c:v>6.7232954793040813E-8</c:v>
                </c:pt>
                <c:pt idx="28">
                  <c:v>6.7232954793040813E-7</c:v>
                </c:pt>
                <c:pt idx="29">
                  <c:v>6.7232954793040822E-6</c:v>
                </c:pt>
                <c:pt idx="30">
                  <c:v>6.7232954793040823E-5</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1.366401664789014E-33</c:v>
                </c:pt>
                <c:pt idx="1">
                  <c:v>1.3664016647890138E-32</c:v>
                </c:pt>
                <c:pt idx="2">
                  <c:v>1.3664016647890139E-31</c:v>
                </c:pt>
                <c:pt idx="3">
                  <c:v>1.3664016647890139E-30</c:v>
                </c:pt>
                <c:pt idx="4">
                  <c:v>1.3664016647890138E-29</c:v>
                </c:pt>
                <c:pt idx="5">
                  <c:v>1.3664016647890138E-28</c:v>
                </c:pt>
                <c:pt idx="6">
                  <c:v>1.3664016647890139E-27</c:v>
                </c:pt>
                <c:pt idx="7">
                  <c:v>1.3664016647890139E-26</c:v>
                </c:pt>
                <c:pt idx="8">
                  <c:v>1.3664016647890137E-25</c:v>
                </c:pt>
                <c:pt idx="9">
                  <c:v>1.3664016647890139E-24</c:v>
                </c:pt>
                <c:pt idx="10">
                  <c:v>1.3664016647890139E-23</c:v>
                </c:pt>
                <c:pt idx="11">
                  <c:v>1.3664016647890139E-22</c:v>
                </c:pt>
                <c:pt idx="12">
                  <c:v>1.3664016647890138E-21</c:v>
                </c:pt>
                <c:pt idx="13">
                  <c:v>1.3664016647890137E-20</c:v>
                </c:pt>
                <c:pt idx="14">
                  <c:v>1.3664016647890138E-19</c:v>
                </c:pt>
                <c:pt idx="15">
                  <c:v>1.3664016647890138E-18</c:v>
                </c:pt>
                <c:pt idx="16">
                  <c:v>1.3664016647890138E-17</c:v>
                </c:pt>
                <c:pt idx="17">
                  <c:v>1.3664016647890138E-16</c:v>
                </c:pt>
                <c:pt idx="18">
                  <c:v>1.3664016647890138E-15</c:v>
                </c:pt>
                <c:pt idx="19">
                  <c:v>1.3664016647890139E-14</c:v>
                </c:pt>
                <c:pt idx="20">
                  <c:v>1.3664016647890139E-13</c:v>
                </c:pt>
                <c:pt idx="21">
                  <c:v>1.3664016647890138E-12</c:v>
                </c:pt>
                <c:pt idx="22">
                  <c:v>1.3664016647890138E-11</c:v>
                </c:pt>
                <c:pt idx="23">
                  <c:v>1.366401664789014E-10</c:v>
                </c:pt>
                <c:pt idx="24">
                  <c:v>1.3664016647890138E-9</c:v>
                </c:pt>
                <c:pt idx="25">
                  <c:v>1.3664016647890139E-8</c:v>
                </c:pt>
                <c:pt idx="26">
                  <c:v>1.366401664789014E-7</c:v>
                </c:pt>
                <c:pt idx="27">
                  <c:v>1.3664016647890138E-6</c:v>
                </c:pt>
                <c:pt idx="28">
                  <c:v>1.3664016647890138E-5</c:v>
                </c:pt>
                <c:pt idx="29">
                  <c:v>1.3664016647890138E-4</c:v>
                </c:pt>
                <c:pt idx="30">
                  <c:v>1.3664016647890139E-3</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9.9481729111568724E-32</c:v>
                </c:pt>
                <c:pt idx="1">
                  <c:v>9.9481729111568719E-31</c:v>
                </c:pt>
                <c:pt idx="2">
                  <c:v>9.9481729111568723E-30</c:v>
                </c:pt>
                <c:pt idx="3">
                  <c:v>9.948172911156872E-29</c:v>
                </c:pt>
                <c:pt idx="4">
                  <c:v>9.9481729111568727E-28</c:v>
                </c:pt>
                <c:pt idx="5">
                  <c:v>9.948172911156873E-27</c:v>
                </c:pt>
                <c:pt idx="6">
                  <c:v>9.9481729111568725E-26</c:v>
                </c:pt>
                <c:pt idx="7">
                  <c:v>9.9481729111568734E-25</c:v>
                </c:pt>
                <c:pt idx="8">
                  <c:v>9.9481729111568727E-24</c:v>
                </c:pt>
                <c:pt idx="9">
                  <c:v>9.9481729111568718E-23</c:v>
                </c:pt>
                <c:pt idx="10">
                  <c:v>9.9481729111568732E-22</c:v>
                </c:pt>
                <c:pt idx="11">
                  <c:v>9.9481729111568728E-21</c:v>
                </c:pt>
                <c:pt idx="12">
                  <c:v>9.9481729111568725E-20</c:v>
                </c:pt>
                <c:pt idx="13">
                  <c:v>9.9481729111568725E-19</c:v>
                </c:pt>
                <c:pt idx="14">
                  <c:v>9.9481729111568733E-18</c:v>
                </c:pt>
                <c:pt idx="15">
                  <c:v>9.9481729111568727E-17</c:v>
                </c:pt>
                <c:pt idx="16">
                  <c:v>9.9481729111568732E-16</c:v>
                </c:pt>
                <c:pt idx="17">
                  <c:v>9.9481729111568728E-15</c:v>
                </c:pt>
                <c:pt idx="18">
                  <c:v>9.9481729111568718E-14</c:v>
                </c:pt>
                <c:pt idx="19">
                  <c:v>9.9481729111568728E-13</c:v>
                </c:pt>
                <c:pt idx="20">
                  <c:v>9.948172911156872E-12</c:v>
                </c:pt>
                <c:pt idx="21">
                  <c:v>9.9481729111568723E-11</c:v>
                </c:pt>
                <c:pt idx="22">
                  <c:v>9.9481729111568716E-10</c:v>
                </c:pt>
                <c:pt idx="23">
                  <c:v>9.9481729111568728E-9</c:v>
                </c:pt>
                <c:pt idx="24">
                  <c:v>9.9481729111568718E-8</c:v>
                </c:pt>
                <c:pt idx="25">
                  <c:v>9.9481729111568726E-7</c:v>
                </c:pt>
                <c:pt idx="26">
                  <c:v>9.9481729111568726E-6</c:v>
                </c:pt>
                <c:pt idx="27">
                  <c:v>9.9481729111568719E-5</c:v>
                </c:pt>
                <c:pt idx="28">
                  <c:v>9.9481729111568717E-4</c:v>
                </c:pt>
                <c:pt idx="29">
                  <c:v>9.9481729111568721E-3</c:v>
                </c:pt>
                <c:pt idx="30">
                  <c:v>9.9481729111568717E-2</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6.6162394476482584E-29</c:v>
                </c:pt>
                <c:pt idx="1">
                  <c:v>6.6162394476482575E-28</c:v>
                </c:pt>
                <c:pt idx="2">
                  <c:v>6.6162394476482577E-27</c:v>
                </c:pt>
                <c:pt idx="3">
                  <c:v>6.6162394476482577E-26</c:v>
                </c:pt>
                <c:pt idx="4">
                  <c:v>6.6162394476482574E-25</c:v>
                </c:pt>
                <c:pt idx="5">
                  <c:v>6.616239447648258E-24</c:v>
                </c:pt>
                <c:pt idx="6">
                  <c:v>6.6162394476482575E-23</c:v>
                </c:pt>
                <c:pt idx="7">
                  <c:v>6.6162394476482578E-22</c:v>
                </c:pt>
                <c:pt idx="8">
                  <c:v>6.6162394476482574E-21</c:v>
                </c:pt>
                <c:pt idx="9">
                  <c:v>6.6162394476482574E-20</c:v>
                </c:pt>
                <c:pt idx="10">
                  <c:v>6.6162394476482584E-19</c:v>
                </c:pt>
                <c:pt idx="11">
                  <c:v>6.6162394476482578E-18</c:v>
                </c:pt>
                <c:pt idx="12">
                  <c:v>6.6162394476482579E-17</c:v>
                </c:pt>
                <c:pt idx="13">
                  <c:v>6.6162394476482574E-16</c:v>
                </c:pt>
                <c:pt idx="14">
                  <c:v>6.6162394476482578E-15</c:v>
                </c:pt>
                <c:pt idx="15">
                  <c:v>6.616239447648258E-14</c:v>
                </c:pt>
                <c:pt idx="16">
                  <c:v>6.6162394476482572E-13</c:v>
                </c:pt>
                <c:pt idx="17">
                  <c:v>6.6162394476482578E-12</c:v>
                </c:pt>
                <c:pt idx="18">
                  <c:v>6.6162394476482574E-11</c:v>
                </c:pt>
                <c:pt idx="19">
                  <c:v>6.6162394476482576E-10</c:v>
                </c:pt>
                <c:pt idx="20">
                  <c:v>6.6162394476482574E-9</c:v>
                </c:pt>
                <c:pt idx="21">
                  <c:v>6.6162394476482576E-8</c:v>
                </c:pt>
                <c:pt idx="22">
                  <c:v>6.6162394476482573E-7</c:v>
                </c:pt>
                <c:pt idx="23">
                  <c:v>6.6162394476482579E-6</c:v>
                </c:pt>
                <c:pt idx="24">
                  <c:v>6.6162394476482574E-5</c:v>
                </c:pt>
                <c:pt idx="25">
                  <c:v>6.616239447648258E-4</c:v>
                </c:pt>
                <c:pt idx="26">
                  <c:v>6.6162394476482573E-3</c:v>
                </c:pt>
                <c:pt idx="27">
                  <c:v>6.6162394476482575E-2</c:v>
                </c:pt>
                <c:pt idx="28">
                  <c:v>0.66162394476482578</c:v>
                </c:pt>
                <c:pt idx="29">
                  <c:v>6.6162394476482573</c:v>
                </c:pt>
                <c:pt idx="30">
                  <c:v>66.162394476482575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2.9486799899998449E-24</c:v>
                </c:pt>
                <c:pt idx="1">
                  <c:v>2.9486799899998444E-23</c:v>
                </c:pt>
                <c:pt idx="2">
                  <c:v>2.9486799899998447E-22</c:v>
                </c:pt>
                <c:pt idx="3">
                  <c:v>2.9486799899998444E-21</c:v>
                </c:pt>
                <c:pt idx="4">
                  <c:v>2.9486799899998446E-20</c:v>
                </c:pt>
                <c:pt idx="5">
                  <c:v>2.9486799899998446E-19</c:v>
                </c:pt>
                <c:pt idx="6">
                  <c:v>2.9486799899998446E-18</c:v>
                </c:pt>
                <c:pt idx="7">
                  <c:v>2.9486799899998447E-17</c:v>
                </c:pt>
                <c:pt idx="8">
                  <c:v>2.9486799899998446E-16</c:v>
                </c:pt>
                <c:pt idx="9">
                  <c:v>2.9486799899998446E-15</c:v>
                </c:pt>
                <c:pt idx="10">
                  <c:v>2.9486799899998449E-14</c:v>
                </c:pt>
                <c:pt idx="11">
                  <c:v>2.9486799899998447E-13</c:v>
                </c:pt>
                <c:pt idx="12">
                  <c:v>2.9486799899998447E-12</c:v>
                </c:pt>
                <c:pt idx="13">
                  <c:v>2.9486799899998446E-11</c:v>
                </c:pt>
                <c:pt idx="14">
                  <c:v>2.9486799899998446E-10</c:v>
                </c:pt>
                <c:pt idx="15">
                  <c:v>2.9486799899998444E-9</c:v>
                </c:pt>
                <c:pt idx="16">
                  <c:v>2.9486799899998447E-8</c:v>
                </c:pt>
                <c:pt idx="17">
                  <c:v>2.9486799899998448E-7</c:v>
                </c:pt>
                <c:pt idx="18">
                  <c:v>2.9486799899998444E-6</c:v>
                </c:pt>
                <c:pt idx="19">
                  <c:v>2.9486799899998447E-5</c:v>
                </c:pt>
                <c:pt idx="20">
                  <c:v>2.9486799899998444E-4</c:v>
                </c:pt>
                <c:pt idx="21">
                  <c:v>2.9486799899998447E-3</c:v>
                </c:pt>
                <c:pt idx="22">
                  <c:v>2.9486799899998445E-2</c:v>
                </c:pt>
                <c:pt idx="23">
                  <c:v>0.29486799899998445</c:v>
                </c:pt>
                <c:pt idx="24">
                  <c:v>2.9486799899998446</c:v>
                </c:pt>
                <c:pt idx="25">
                  <c:v>29.486799899998445</c:v>
                </c:pt>
                <c:pt idx="26">
                  <c:v>294.86799899998448</c:v>
                </c:pt>
                <c:pt idx="27">
                  <c:v>2948.6799899998446</c:v>
                </c:pt>
                <c:pt idx="28">
                  <c:v>29486.799899998445</c:v>
                </c:pt>
                <c:pt idx="29">
                  <c:v>294867.99899998447</c:v>
                </c:pt>
                <c:pt idx="30">
                  <c:v>2948679.9899998447</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6.5516849150623852E-14</c:v>
                </c:pt>
                <c:pt idx="1">
                  <c:v>6.5516849150623852E-13</c:v>
                </c:pt>
                <c:pt idx="2">
                  <c:v>6.5516849150623856E-12</c:v>
                </c:pt>
                <c:pt idx="3">
                  <c:v>6.5516849150623845E-11</c:v>
                </c:pt>
                <c:pt idx="4">
                  <c:v>6.5516849150623842E-10</c:v>
                </c:pt>
                <c:pt idx="5">
                  <c:v>6.5516849150623851E-9</c:v>
                </c:pt>
                <c:pt idx="6">
                  <c:v>6.5516849150623857E-8</c:v>
                </c:pt>
                <c:pt idx="7">
                  <c:v>6.5516849150623849E-7</c:v>
                </c:pt>
                <c:pt idx="8">
                  <c:v>6.5516849150623847E-6</c:v>
                </c:pt>
                <c:pt idx="9">
                  <c:v>6.5516849150623854E-5</c:v>
                </c:pt>
                <c:pt idx="10">
                  <c:v>6.5516849150623851E-4</c:v>
                </c:pt>
                <c:pt idx="11">
                  <c:v>6.5516849150623856E-3</c:v>
                </c:pt>
                <c:pt idx="12">
                  <c:v>6.5516849150623849E-2</c:v>
                </c:pt>
                <c:pt idx="13">
                  <c:v>0.65516849150623857</c:v>
                </c:pt>
                <c:pt idx="14">
                  <c:v>6.5516849150623857</c:v>
                </c:pt>
                <c:pt idx="15">
                  <c:v>65.516849150623855</c:v>
                </c:pt>
                <c:pt idx="16">
                  <c:v>655.16849150623852</c:v>
                </c:pt>
                <c:pt idx="17">
                  <c:v>6551.6849150623848</c:v>
                </c:pt>
                <c:pt idx="18">
                  <c:v>65516.84915062385</c:v>
                </c:pt>
                <c:pt idx="19">
                  <c:v>655168.49150623847</c:v>
                </c:pt>
                <c:pt idx="20">
                  <c:v>6551684.9150623847</c:v>
                </c:pt>
                <c:pt idx="21">
                  <c:v>65516849.150623851</c:v>
                </c:pt>
                <c:pt idx="22">
                  <c:v>655168491.50623846</c:v>
                </c:pt>
                <c:pt idx="23">
                  <c:v>6551684915.0623856</c:v>
                </c:pt>
                <c:pt idx="24">
                  <c:v>65516849150.623848</c:v>
                </c:pt>
                <c:pt idx="25">
                  <c:v>655168491506.23853</c:v>
                </c:pt>
                <c:pt idx="26">
                  <c:v>6551684915062.3848</c:v>
                </c:pt>
                <c:pt idx="27">
                  <c:v>65516849150623.852</c:v>
                </c:pt>
                <c:pt idx="28">
                  <c:v>655168491506238.5</c:v>
                </c:pt>
                <c:pt idx="29">
                  <c:v>6551684915062385</c:v>
                </c:pt>
                <c:pt idx="30">
                  <c:v>6.5516849150623848E+16</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44052504"/>
        <c:axId val="544053680"/>
      </c:scatterChart>
      <c:valAx>
        <c:axId val="54405250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3680"/>
        <c:crosses val="autoZero"/>
        <c:crossBetween val="midCat"/>
      </c:valAx>
      <c:valAx>
        <c:axId val="544053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250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-44.146123426846046</c:v>
                </c:pt>
                <c:pt idx="1">
                  <c:v>-44.090693538134339</c:v>
                </c:pt>
                <c:pt idx="2">
                  <c:v>-44.035189111245629</c:v>
                </c:pt>
                <c:pt idx="3">
                  <c:v>-43.979535608002891</c:v>
                </c:pt>
                <c:pt idx="4">
                  <c:v>-43.923658490229137</c:v>
                </c:pt>
                <c:pt idx="5">
                  <c:v>-43.867483219747342</c:v>
                </c:pt>
                <c:pt idx="6">
                  <c:v>-43.810935258380511</c:v>
                </c:pt>
                <c:pt idx="7">
                  <c:v>-43.753940067951618</c:v>
                </c:pt>
                <c:pt idx="8">
                  <c:v>-43.696423110283682</c:v>
                </c:pt>
                <c:pt idx="9">
                  <c:v>-43.638309847199658</c:v>
                </c:pt>
                <c:pt idx="10">
                  <c:v>-43.579525740522563</c:v>
                </c:pt>
                <c:pt idx="11">
                  <c:v>-43.519996252075387</c:v>
                </c:pt>
                <c:pt idx="12">
                  <c:v>-43.459646843681099</c:v>
                </c:pt>
                <c:pt idx="13">
                  <c:v>-43.398402977162725</c:v>
                </c:pt>
                <c:pt idx="14">
                  <c:v>-43.336190114343232</c:v>
                </c:pt>
                <c:pt idx="15">
                  <c:v>-43.272933717045618</c:v>
                </c:pt>
                <c:pt idx="16">
                  <c:v>-43.208559247092865</c:v>
                </c:pt>
                <c:pt idx="17">
                  <c:v>-43.142992166307984</c:v>
                </c:pt>
                <c:pt idx="18">
                  <c:v>-43.076157936513951</c:v>
                </c:pt>
                <c:pt idx="19">
                  <c:v>-43.00798201953377</c:v>
                </c:pt>
                <c:pt idx="20">
                  <c:v>-42.938389877190417</c:v>
                </c:pt>
                <c:pt idx="21">
                  <c:v>-42.867306971306888</c:v>
                </c:pt>
                <c:pt idx="22">
                  <c:v>-42.794658763706181</c:v>
                </c:pt>
                <c:pt idx="23">
                  <c:v>-42.720370716211278</c:v>
                </c:pt>
                <c:pt idx="24">
                  <c:v>-42.644368290645176</c:v>
                </c:pt>
                <c:pt idx="25">
                  <c:v>-42.566576948830871</c:v>
                </c:pt>
                <c:pt idx="26">
                  <c:v>-42.486922152591347</c:v>
                </c:pt>
                <c:pt idx="27">
                  <c:v>-42.405329363749594</c:v>
                </c:pt>
                <c:pt idx="28">
                  <c:v>-42.321724044128608</c:v>
                </c:pt>
                <c:pt idx="29">
                  <c:v>-42.236031655551386</c:v>
                </c:pt>
                <c:pt idx="30">
                  <c:v>-42.148177659840911</c:v>
                </c:pt>
                <c:pt idx="31">
                  <c:v>-42.058087518820166</c:v>
                </c:pt>
                <c:pt idx="32">
                  <c:v>-41.965686694312154</c:v>
                </c:pt>
                <c:pt idx="33">
                  <c:v>-41.870900648139873</c:v>
                </c:pt>
                <c:pt idx="34">
                  <c:v>-41.773654842126298</c:v>
                </c:pt>
                <c:pt idx="35">
                  <c:v>-41.673874738094433</c:v>
                </c:pt>
                <c:pt idx="36">
                  <c:v>-41.571485797867261</c:v>
                </c:pt>
                <c:pt idx="37">
                  <c:v>-41.466413483267779</c:v>
                </c:pt>
                <c:pt idx="38">
                  <c:v>-41.358583256118976</c:v>
                </c:pt>
                <c:pt idx="39">
                  <c:v>-41.247920578243843</c:v>
                </c:pt>
                <c:pt idx="40">
                  <c:v>-41.134350911465368</c:v>
                </c:pt>
                <c:pt idx="41">
                  <c:v>-41.00257086403596</c:v>
                </c:pt>
                <c:pt idx="42">
                  <c:v>-40.867771276476986</c:v>
                </c:pt>
                <c:pt idx="43">
                  <c:v>-40.729914135739186</c:v>
                </c:pt>
                <c:pt idx="44">
                  <c:v>-40.588961428773331</c:v>
                </c:pt>
                <c:pt idx="45">
                  <c:v>-40.444875142530172</c:v>
                </c:pt>
                <c:pt idx="46">
                  <c:v>-40.297617263960483</c:v>
                </c:pt>
                <c:pt idx="47">
                  <c:v>-40.14714978001502</c:v>
                </c:pt>
                <c:pt idx="48">
                  <c:v>-39.993434677644544</c:v>
                </c:pt>
                <c:pt idx="49">
                  <c:v>-39.836433943799832</c:v>
                </c:pt>
                <c:pt idx="50">
                  <c:v>-39.676109565431631</c:v>
                </c:pt>
                <c:pt idx="51">
                  <c:v>-39.512423529490711</c:v>
                </c:pt>
                <c:pt idx="52">
                  <c:v>-39.345337822927831</c:v>
                </c:pt>
                <c:pt idx="53">
                  <c:v>-39.174814432693751</c:v>
                </c:pt>
                <c:pt idx="54">
                  <c:v>-39.000815345739255</c:v>
                </c:pt>
                <c:pt idx="55">
                  <c:v>-38.823302549015068</c:v>
                </c:pt>
                <c:pt idx="56">
                  <c:v>-38.642238029471983</c:v>
                </c:pt>
                <c:pt idx="57">
                  <c:v>-38.457583774060751</c:v>
                </c:pt>
                <c:pt idx="58">
                  <c:v>-38.269301769732138</c:v>
                </c:pt>
                <c:pt idx="59">
                  <c:v>-38.077354003436909</c:v>
                </c:pt>
                <c:pt idx="60">
                  <c:v>-37.881702462125816</c:v>
                </c:pt>
                <c:pt idx="61">
                  <c:v>-37.68230913274963</c:v>
                </c:pt>
                <c:pt idx="62">
                  <c:v>-37.479136002259111</c:v>
                </c:pt>
                <c:pt idx="63">
                  <c:v>-37.272145057605023</c:v>
                </c:pt>
                <c:pt idx="64">
                  <c:v>-37.061298285738125</c:v>
                </c:pt>
                <c:pt idx="65">
                  <c:v>-36.84655767360919</c:v>
                </c:pt>
                <c:pt idx="66">
                  <c:v>-36.627900907883301</c:v>
                </c:pt>
                <c:pt idx="67">
                  <c:v>-36.405368474082891</c:v>
                </c:pt>
                <c:pt idx="68">
                  <c:v>-36.179016557444704</c:v>
                </c:pt>
                <c:pt idx="69">
                  <c:v>-35.948901343205499</c:v>
                </c:pt>
                <c:pt idx="70">
                  <c:v>-35.715079016602047</c:v>
                </c:pt>
                <c:pt idx="71">
                  <c:v>-35.477605762871079</c:v>
                </c:pt>
                <c:pt idx="72">
                  <c:v>-35.236537767249374</c:v>
                </c:pt>
                <c:pt idx="73">
                  <c:v>-34.991931214973668</c:v>
                </c:pt>
                <c:pt idx="74">
                  <c:v>-34.743842291280728</c:v>
                </c:pt>
                <c:pt idx="75">
                  <c:v>-34.492327181407319</c:v>
                </c:pt>
                <c:pt idx="76">
                  <c:v>-34.23744207059017</c:v>
                </c:pt>
                <c:pt idx="77">
                  <c:v>-33.979243144066054</c:v>
                </c:pt>
                <c:pt idx="78">
                  <c:v>-33.717786587071728</c:v>
                </c:pt>
                <c:pt idx="79">
                  <c:v>-33.453128584843938</c:v>
                </c:pt>
                <c:pt idx="80">
                  <c:v>-33.185325322619448</c:v>
                </c:pt>
                <c:pt idx="81">
                  <c:v>-32.914432985635017</c:v>
                </c:pt>
                <c:pt idx="82">
                  <c:v>-32.640507759127388</c:v>
                </c:pt>
                <c:pt idx="83">
                  <c:v>-32.36360582833332</c:v>
                </c:pt>
                <c:pt idx="84">
                  <c:v>-32.083783378489585</c:v>
                </c:pt>
                <c:pt idx="85">
                  <c:v>-31.801096594832913</c:v>
                </c:pt>
                <c:pt idx="86">
                  <c:v>-31.515601662600076</c:v>
                </c:pt>
                <c:pt idx="87">
                  <c:v>-31.227354767027826</c:v>
                </c:pt>
                <c:pt idx="88">
                  <c:v>-30.936412093352917</c:v>
                </c:pt>
                <c:pt idx="89">
                  <c:v>-30.642829826812108</c:v>
                </c:pt>
                <c:pt idx="90">
                  <c:v>-30.346664152642152</c:v>
                </c:pt>
                <c:pt idx="91">
                  <c:v>-30.047938027193634</c:v>
                </c:pt>
                <c:pt idx="92">
                  <c:v>-29.746541491272474</c:v>
                </c:pt>
                <c:pt idx="93">
                  <c:v>-29.442331356798416</c:v>
                </c:pt>
                <c:pt idx="94">
                  <c:v>-29.135164435691198</c:v>
                </c:pt>
                <c:pt idx="95">
                  <c:v>-28.824897539870577</c:v>
                </c:pt>
                <c:pt idx="96">
                  <c:v>-28.511387481256286</c:v>
                </c:pt>
                <c:pt idx="97">
                  <c:v>-28.194491071768081</c:v>
                </c:pt>
                <c:pt idx="98">
                  <c:v>-27.874065123325703</c:v>
                </c:pt>
                <c:pt idx="99">
                  <c:v>-27.549966447848895</c:v>
                </c:pt>
                <c:pt idx="100">
                  <c:v>-27.222051857257405</c:v>
                </c:pt>
                <c:pt idx="101">
                  <c:v>-26.890178163470981</c:v>
                </c:pt>
                <c:pt idx="102">
                  <c:v>-26.554202178409362</c:v>
                </c:pt>
                <c:pt idx="103">
                  <c:v>-26.213980713992303</c:v>
                </c:pt>
                <c:pt idx="104">
                  <c:v>-25.869370582139538</c:v>
                </c:pt>
                <c:pt idx="105">
                  <c:v>-25.520228594770813</c:v>
                </c:pt>
                <c:pt idx="106">
                  <c:v>-25.166411563805887</c:v>
                </c:pt>
                <c:pt idx="107">
                  <c:v>-24.807776301164495</c:v>
                </c:pt>
                <c:pt idx="108">
                  <c:v>-24.444179618766377</c:v>
                </c:pt>
                <c:pt idx="109">
                  <c:v>-24.07547832853129</c:v>
                </c:pt>
                <c:pt idx="110">
                  <c:v>-23.701529242378975</c:v>
                </c:pt>
                <c:pt idx="111">
                  <c:v>-23.32218917222918</c:v>
                </c:pt>
                <c:pt idx="112">
                  <c:v>-22.937314930001641</c:v>
                </c:pt>
                <c:pt idx="113">
                  <c:v>-22.546763327616112</c:v>
                </c:pt>
                <c:pt idx="114">
                  <c:v>-22.150391176992336</c:v>
                </c:pt>
                <c:pt idx="115">
                  <c:v>-21.748055290050061</c:v>
                </c:pt>
                <c:pt idx="116">
                  <c:v>-21.339612478709029</c:v>
                </c:pt>
                <c:pt idx="117">
                  <c:v>-20.92491955488898</c:v>
                </c:pt>
                <c:pt idx="118">
                  <c:v>-20.503833330509675</c:v>
                </c:pt>
                <c:pt idx="119">
                  <c:v>-20.076210617490844</c:v>
                </c:pt>
                <c:pt idx="120">
                  <c:v>-19.641908227752239</c:v>
                </c:pt>
                <c:pt idx="121">
                  <c:v>-19.200883241629921</c:v>
                </c:pt>
                <c:pt idx="122">
                  <c:v>-18.753493813125214</c:v>
                </c:pt>
                <c:pt idx="123">
                  <c:v>-18.30019836465576</c:v>
                </c:pt>
                <c:pt idx="124">
                  <c:v>-17.841455318639195</c:v>
                </c:pt>
                <c:pt idx="125">
                  <c:v>-17.377723097493167</c:v>
                </c:pt>
                <c:pt idx="126">
                  <c:v>-16.909460123635306</c:v>
                </c:pt>
                <c:pt idx="127">
                  <c:v>-16.437124819483262</c:v>
                </c:pt>
                <c:pt idx="128">
                  <c:v>-15.96117560745467</c:v>
                </c:pt>
                <c:pt idx="129">
                  <c:v>-15.482070909967176</c:v>
                </c:pt>
                <c:pt idx="130">
                  <c:v>-15.000269149438408</c:v>
                </c:pt>
                <c:pt idx="131">
                  <c:v>-14.516228748286021</c:v>
                </c:pt>
                <c:pt idx="132">
                  <c:v>-14.030408128927647</c:v>
                </c:pt>
                <c:pt idx="133">
                  <c:v>-13.543265713780928</c:v>
                </c:pt>
                <c:pt idx="134">
                  <c:v>-13.055259925263503</c:v>
                </c:pt>
                <c:pt idx="135">
                  <c:v>-12.566849185793018</c:v>
                </c:pt>
                <c:pt idx="136">
                  <c:v>-12.078491917787108</c:v>
                </c:pt>
                <c:pt idx="137">
                  <c:v>-11.590646543663414</c:v>
                </c:pt>
                <c:pt idx="138">
                  <c:v>-11.103771485839578</c:v>
                </c:pt>
                <c:pt idx="139">
                  <c:v>-10.618325166733239</c:v>
                </c:pt>
                <c:pt idx="140">
                  <c:v>-10.134766008762039</c:v>
                </c:pt>
                <c:pt idx="141">
                  <c:v>-9.6535524343436165</c:v>
                </c:pt>
                <c:pt idx="142">
                  <c:v>-9.175142865895614</c:v>
                </c:pt>
                <c:pt idx="143">
                  <c:v>-8.6999957258356702</c:v>
                </c:pt>
                <c:pt idx="144">
                  <c:v>-8.2285694365814237</c:v>
                </c:pt>
                <c:pt idx="145">
                  <c:v>-7.7613224205505214</c:v>
                </c:pt>
                <c:pt idx="146">
                  <c:v>-7.2987131001605956</c:v>
                </c:pt>
                <c:pt idx="147">
                  <c:v>-6.8411998978292923</c:v>
                </c:pt>
                <c:pt idx="148">
                  <c:v>-6.3892412359742483</c:v>
                </c:pt>
                <c:pt idx="149">
                  <c:v>-5.9432955370131086</c:v>
                </c:pt>
                <c:pt idx="150">
                  <c:v>-5.5038212233635075</c:v>
                </c:pt>
                <c:pt idx="151">
                  <c:v>-5.0712767174430926</c:v>
                </c:pt>
                <c:pt idx="152">
                  <c:v>-4.6461204416694972</c:v>
                </c:pt>
                <c:pt idx="153">
                  <c:v>-4.2288108184603654</c:v>
                </c:pt>
                <c:pt idx="154">
                  <c:v>-3.8198062702333373</c:v>
                </c:pt>
                <c:pt idx="155">
                  <c:v>-3.4195652194060533</c:v>
                </c:pt>
                <c:pt idx="156">
                  <c:v>-3.0285460883961539</c:v>
                </c:pt>
                <c:pt idx="157">
                  <c:v>-2.647207299621277</c:v>
                </c:pt>
                <c:pt idx="158">
                  <c:v>-2.2760072754990661</c:v>
                </c:pt>
                <c:pt idx="159">
                  <c:v>-1.9154044384471609</c:v>
                </c:pt>
                <c:pt idx="160">
                  <c:v>-1.565857210883201</c:v>
                </c:pt>
                <c:pt idx="161">
                  <c:v>-1.2278240152248268</c:v>
                </c:pt>
                <c:pt idx="162">
                  <c:v>-0.9017632738896797</c:v>
                </c:pt>
                <c:pt idx="163">
                  <c:v>-0.58813340929539937</c:v>
                </c:pt>
                <c:pt idx="164">
                  <c:v>-0.28739284385962538</c:v>
                </c:pt>
                <c:pt idx="165">
                  <c:v>-8.8817841970012523E-16</c:v>
                </c:pt>
                <c:pt idx="166">
                  <c:v>0.27372884714493934</c:v>
                </c:pt>
                <c:pt idx="167">
                  <c:v>0.53404601155305553</c:v>
                </c:pt>
                <c:pt idx="168">
                  <c:v>0.7813459544813145</c:v>
                </c:pt>
                <c:pt idx="169">
                  <c:v>1.0160231371866817</c:v>
                </c:pt>
                <c:pt idx="170">
                  <c:v>1.2384720209261222</c:v>
                </c:pt>
                <c:pt idx="171">
                  <c:v>1.4490870669566021</c:v>
                </c:pt>
                <c:pt idx="172">
                  <c:v>1.6482627365350857</c:v>
                </c:pt>
                <c:pt idx="173">
                  <c:v>1.8363934909185389</c:v>
                </c:pt>
                <c:pt idx="174">
                  <c:v>2.0138737913639275</c:v>
                </c:pt>
                <c:pt idx="175">
                  <c:v>2.1810980991282163</c:v>
                </c:pt>
                <c:pt idx="176">
                  <c:v>2.3384608754683711</c:v>
                </c:pt>
                <c:pt idx="177">
                  <c:v>2.4863565816413566</c:v>
                </c:pt>
                <c:pt idx="178">
                  <c:v>2.6251796789041384</c:v>
                </c:pt>
                <c:pt idx="179">
                  <c:v>2.7553246285136828</c:v>
                </c:pt>
                <c:pt idx="180">
                  <c:v>2.8771858917269539</c:v>
                </c:pt>
                <c:pt idx="181">
                  <c:v>2.9911579298009174</c:v>
                </c:pt>
                <c:pt idx="182">
                  <c:v>3.0976352039925397</c:v>
                </c:pt>
                <c:pt idx="183">
                  <c:v>3.1970121755587848</c:v>
                </c:pt>
                <c:pt idx="184">
                  <c:v>3.2896833057566184</c:v>
                </c:pt>
                <c:pt idx="185">
                  <c:v>3.3760430558430063</c:v>
                </c:pt>
                <c:pt idx="186">
                  <c:v>3.4564858870749138</c:v>
                </c:pt>
                <c:pt idx="187">
                  <c:v>3.5314062607093057</c:v>
                </c:pt>
                <c:pt idx="188">
                  <c:v>3.6011986380031482</c:v>
                </c:pt>
                <c:pt idx="189">
                  <c:v>3.6662574802134058</c:v>
                </c:pt>
                <c:pt idx="190">
                  <c:v>3.7269772485970445</c:v>
                </c:pt>
                <c:pt idx="191">
                  <c:v>3.7837524044110298</c:v>
                </c:pt>
                <c:pt idx="192">
                  <c:v>3.8369774089123267</c:v>
                </c:pt>
                <c:pt idx="193">
                  <c:v>3.8870467233579005</c:v>
                </c:pt>
                <c:pt idx="194">
                  <c:v>3.9343548090047169</c:v>
                </c:pt>
                <c:pt idx="195">
                  <c:v>3.9792961271097407</c:v>
                </c:pt>
                <c:pt idx="196">
                  <c:v>4.0222651389299378</c:v>
                </c:pt>
                <c:pt idx="197">
                  <c:v>4.0636563057222732</c:v>
                </c:pt>
                <c:pt idx="198">
                  <c:v>4.1038640887437126</c:v>
                </c:pt>
                <c:pt idx="199">
                  <c:v>4.1432829492512218</c:v>
                </c:pt>
                <c:pt idx="200">
                  <c:v>4.182307348501765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-44.146123426846039</c:v>
                </c:pt>
                <c:pt idx="1">
                  <c:v>-41.134350911465361</c:v>
                </c:pt>
                <c:pt idx="2">
                  <c:v>-36.84655767360919</c:v>
                </c:pt>
                <c:pt idx="3">
                  <c:v>-30.346664152642152</c:v>
                </c:pt>
                <c:pt idx="4">
                  <c:v>-19.641908227752239</c:v>
                </c:pt>
                <c:pt idx="5">
                  <c:v>0</c:v>
                </c:pt>
                <c:pt idx="6">
                  <c:v>4.182307348501765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-44.28516738337305</c:v>
                </c:pt>
                <c:pt idx="1">
                  <c:v>-44.177703092507954</c:v>
                </c:pt>
                <c:pt idx="2">
                  <c:v>-44.078978302783071</c:v>
                </c:pt>
                <c:pt idx="3">
                  <c:v>-43.988086701885891</c:v>
                </c:pt>
                <c:pt idx="4">
                  <c:v>-43.904165101532897</c:v>
                </c:pt>
                <c:pt idx="5">
                  <c:v>-43.826392487937312</c:v>
                </c:pt>
                <c:pt idx="6">
                  <c:v>-43.753989055100305</c:v>
                </c:pt>
                <c:pt idx="7">
                  <c:v>-43.686215222498333</c:v>
                </c:pt>
                <c:pt idx="8">
                  <c:v>-43.622370638723794</c:v>
                </c:pt>
                <c:pt idx="9">
                  <c:v>-43.56179317257741</c:v>
                </c:pt>
                <c:pt idx="10">
                  <c:v>-43.503857893130117</c:v>
                </c:pt>
                <c:pt idx="11">
                  <c:v>-43.447976040184102</c:v>
                </c:pt>
                <c:pt idx="12">
                  <c:v>-43.393593986592634</c:v>
                </c:pt>
                <c:pt idx="13">
                  <c:v>-43.340192193824947</c:v>
                </c:pt>
                <c:pt idx="14">
                  <c:v>-43.28728416215975</c:v>
                </c:pt>
                <c:pt idx="15">
                  <c:v>-43.234415376852724</c:v>
                </c:pt>
                <c:pt idx="16">
                  <c:v>-43.181162251592525</c:v>
                </c:pt>
                <c:pt idx="17">
                  <c:v>-43.127131070540713</c:v>
                </c:pt>
                <c:pt idx="18">
                  <c:v>-43.071956930210916</c:v>
                </c:pt>
                <c:pt idx="19">
                  <c:v>-43.015302682425158</c:v>
                </c:pt>
                <c:pt idx="20">
                  <c:v>-42.956857879544884</c:v>
                </c:pt>
                <c:pt idx="21">
                  <c:v>-42.89633772315716</c:v>
                </c:pt>
                <c:pt idx="22">
                  <c:v>-42.833482017360836</c:v>
                </c:pt>
                <c:pt idx="23">
                  <c:v>-42.768054127767755</c:v>
                </c:pt>
                <c:pt idx="24">
                  <c:v>-42.699839947314572</c:v>
                </c:pt>
                <c:pt idx="25">
                  <c:v>-42.628646869939573</c:v>
                </c:pt>
                <c:pt idx="26">
                  <c:v>-42.554302773162689</c:v>
                </c:pt>
                <c:pt idx="27">
                  <c:v>-42.476655010564969</c:v>
                </c:pt>
                <c:pt idx="28">
                  <c:v>-42.395569415152337</c:v>
                </c:pt>
                <c:pt idx="29">
                  <c:v>-42.310929314539365</c:v>
                </c:pt>
                <c:pt idx="30">
                  <c:v>-42.222634558880088</c:v>
                </c:pt>
                <c:pt idx="31">
                  <c:v>-42.130600562429109</c:v>
                </c:pt>
                <c:pt idx="32">
                  <c:v>-42.034757359596895</c:v>
                </c:pt>
                <c:pt idx="33">
                  <c:v>-41.935048676330169</c:v>
                </c:pt>
                <c:pt idx="34">
                  <c:v>-41.831431017620723</c:v>
                </c:pt>
                <c:pt idx="35">
                  <c:v>-41.723872771917506</c:v>
                </c:pt>
                <c:pt idx="36">
                  <c:v>-41.61235333319032</c:v>
                </c:pt>
                <c:pt idx="37">
                  <c:v>-41.496862241359707</c:v>
                </c:pt>
                <c:pt idx="38">
                  <c:v>-41.377398341784257</c:v>
                </c:pt>
                <c:pt idx="39">
                  <c:v>-41.253968964466097</c:v>
                </c:pt>
                <c:pt idx="40">
                  <c:v>-41.126589123603999</c:v>
                </c:pt>
                <c:pt idx="41">
                  <c:v>-40.995280738101386</c:v>
                </c:pt>
                <c:pt idx="42">
                  <c:v>-40.860071873601157</c:v>
                </c:pt>
                <c:pt idx="43">
                  <c:v>-40.72099600659373</c:v>
                </c:pt>
                <c:pt idx="44">
                  <c:v>-40.578091311117454</c:v>
                </c:pt>
                <c:pt idx="45">
                  <c:v>-40.431399968539168</c:v>
                </c:pt>
                <c:pt idx="46">
                  <c:v>-40.280967500875029</c:v>
                </c:pt>
                <c:pt idx="47">
                  <c:v>-40.126842128085528</c:v>
                </c:pt>
                <c:pt idx="48">
                  <c:v>-39.969074149745403</c:v>
                </c:pt>
                <c:pt idx="49">
                  <c:v>-39.807715351463855</c:v>
                </c:pt>
                <c:pt idx="50">
                  <c:v>-39.642818436403353</c:v>
                </c:pt>
                <c:pt idx="51">
                  <c:v>-39.474436482210443</c:v>
                </c:pt>
                <c:pt idx="52">
                  <c:v>-39.302622423651599</c:v>
                </c:pt>
                <c:pt idx="53">
                  <c:v>-39.127428561211033</c:v>
                </c:pt>
                <c:pt idx="54">
                  <c:v>-38.948906095884965</c:v>
                </c:pt>
                <c:pt idx="55">
                  <c:v>-38.767104690372825</c:v>
                </c:pt>
                <c:pt idx="56">
                  <c:v>-38.582072056842996</c:v>
                </c:pt>
                <c:pt idx="57">
                  <c:v>-38.393853571415406</c:v>
                </c:pt>
                <c:pt idx="58">
                  <c:v>-38.202491915482</c:v>
                </c:pt>
                <c:pt idx="59">
                  <c:v>-38.008026743951156</c:v>
                </c:pt>
                <c:pt idx="60">
                  <c:v>-37.810494380477238</c:v>
                </c:pt>
                <c:pt idx="61">
                  <c:v>-37.609927539707186</c:v>
                </c:pt>
                <c:pt idx="62">
                  <c:v>-37.406355076546831</c:v>
                </c:pt>
                <c:pt idx="63">
                  <c:v>-37.199801762420819</c:v>
                </c:pt>
                <c:pt idx="64">
                  <c:v>-36.99028808847298</c:v>
                </c:pt>
                <c:pt idx="65">
                  <c:v>-36.777830095623749</c:v>
                </c:pt>
                <c:pt idx="66">
                  <c:v>-36.562439231372835</c:v>
                </c:pt>
                <c:pt idx="67">
                  <c:v>-36.344122233208822</c:v>
                </c:pt>
                <c:pt idx="68">
                  <c:v>-36.122881038455013</c:v>
                </c:pt>
                <c:pt idx="69">
                  <c:v>-35.898712720356208</c:v>
                </c:pt>
                <c:pt idx="70">
                  <c:v>-35.671609450179488</c:v>
                </c:pt>
                <c:pt idx="71">
                  <c:v>-35.44155848507544</c:v>
                </c:pt>
                <c:pt idx="72">
                  <c:v>-35.20854218141659</c:v>
                </c:pt>
                <c:pt idx="73">
                  <c:v>-34.972538033301667</c:v>
                </c:pt>
                <c:pt idx="74">
                  <c:v>-34.733518735885426</c:v>
                </c:pt>
                <c:pt idx="75">
                  <c:v>-34.491452273165692</c:v>
                </c:pt>
                <c:pt idx="76">
                  <c:v>-34.24630202983014</c:v>
                </c:pt>
                <c:pt idx="77">
                  <c:v>-33.998026926737062</c:v>
                </c:pt>
                <c:pt idx="78">
                  <c:v>-33.746581579575611</c:v>
                </c:pt>
                <c:pt idx="79">
                  <c:v>-33.491916480222542</c:v>
                </c:pt>
                <c:pt idx="80">
                  <c:v>-33.233978200283893</c:v>
                </c:pt>
                <c:pt idx="81">
                  <c:v>-32.972709616281307</c:v>
                </c:pt>
                <c:pt idx="82">
                  <c:v>-32.708050155914378</c:v>
                </c:pt>
                <c:pt idx="83">
                  <c:v>-32.439936064801131</c:v>
                </c:pt>
                <c:pt idx="84">
                  <c:v>-32.168300693071643</c:v>
                </c:pt>
                <c:pt idx="85">
                  <c:v>-31.893074801158953</c:v>
                </c:pt>
                <c:pt idx="86">
                  <c:v>-31.614186884105568</c:v>
                </c:pt>
                <c:pt idx="87">
                  <c:v>-31.331563513672265</c:v>
                </c:pt>
                <c:pt idx="88">
                  <c:v>-31.045129697510291</c:v>
                </c:pt>
                <c:pt idx="89">
                  <c:v>-30.754809254627073</c:v>
                </c:pt>
                <c:pt idx="90">
                  <c:v>-30.460525206348326</c:v>
                </c:pt>
                <c:pt idx="91">
                  <c:v>-30.162200181950436</c:v>
                </c:pt>
                <c:pt idx="92">
                  <c:v>-29.859756838108371</c:v>
                </c:pt>
                <c:pt idx="93">
                  <c:v>-29.553118291275837</c:v>
                </c:pt>
                <c:pt idx="94">
                  <c:v>-29.242208562085882</c:v>
                </c:pt>
                <c:pt idx="95">
                  <c:v>-28.926953030831331</c:v>
                </c:pt>
                <c:pt idx="96">
                  <c:v>-28.607278903056322</c:v>
                </c:pt>
                <c:pt idx="97">
                  <c:v>-28.283115684260856</c:v>
                </c:pt>
                <c:pt idx="98">
                  <c:v>-27.954395662692583</c:v>
                </c:pt>
                <c:pt idx="99">
                  <c:v>-27.621054399170671</c:v>
                </c:pt>
                <c:pt idx="100">
                  <c:v>-27.283031222858597</c:v>
                </c:pt>
                <c:pt idx="101">
                  <c:v>-26.940269731873617</c:v>
                </c:pt>
                <c:pt idx="102">
                  <c:v>-26.592718297592619</c:v>
                </c:pt>
                <c:pt idx="103">
                  <c:v>-26.24033057148495</c:v>
                </c:pt>
                <c:pt idx="104">
                  <c:v>-25.883065993274492</c:v>
                </c:pt>
                <c:pt idx="105">
                  <c:v>-25.520890299204787</c:v>
                </c:pt>
                <c:pt idx="106">
                  <c:v>-25.153776029152091</c:v>
                </c:pt>
                <c:pt idx="107">
                  <c:v>-24.781703031302904</c:v>
                </c:pt>
                <c:pt idx="108">
                  <c:v>-24.404658963083822</c:v>
                </c:pt>
                <c:pt idx="109">
                  <c:v>-24.022639787003033</c:v>
                </c:pt>
                <c:pt idx="110">
                  <c:v>-23.635650260034158</c:v>
                </c:pt>
                <c:pt idx="111">
                  <c:v>-23.243704415144485</c:v>
                </c:pt>
                <c:pt idx="112">
                  <c:v>-22.846826033541177</c:v>
                </c:pt>
                <c:pt idx="113">
                  <c:v>-22.445049106180367</c:v>
                </c:pt>
                <c:pt idx="114">
                  <c:v>-22.038418283055442</c:v>
                </c:pt>
                <c:pt idx="115">
                  <c:v>-21.626989308752332</c:v>
                </c:pt>
                <c:pt idx="116">
                  <c:v>-21.210829442730912</c:v>
                </c:pt>
                <c:pt idx="117">
                  <c:v>-20.790017862763104</c:v>
                </c:pt>
                <c:pt idx="118">
                  <c:v>-20.364646049929679</c:v>
                </c:pt>
                <c:pt idx="119">
                  <c:v>-19.934818153549042</c:v>
                </c:pt>
                <c:pt idx="120">
                  <c:v>-19.500651334383058</c:v>
                </c:pt>
                <c:pt idx="121">
                  <c:v>-19.06227608443578</c:v>
                </c:pt>
                <c:pt idx="122">
                  <c:v>-18.619836521633022</c:v>
                </c:pt>
                <c:pt idx="123">
                  <c:v>-18.173490657641569</c:v>
                </c:pt>
                <c:pt idx="124">
                  <c:v>-17.723410637058649</c:v>
                </c:pt>
                <c:pt idx="125">
                  <c:v>-17.269782946173372</c:v>
                </c:pt>
                <c:pt idx="126">
                  <c:v>-16.81280858947353</c:v>
                </c:pt>
                <c:pt idx="127">
                  <c:v>-16.352703232042305</c:v>
                </c:pt>
                <c:pt idx="128">
                  <c:v>-15.889697305961072</c:v>
                </c:pt>
                <c:pt idx="129">
                  <c:v>-15.424036078805733</c:v>
                </c:pt>
                <c:pt idx="130">
                  <c:v>-14.955979682295547</c:v>
                </c:pt>
                <c:pt idx="131">
                  <c:v>-14.485803099124656</c:v>
                </c:pt>
                <c:pt idx="132">
                  <c:v>-14.013796105978143</c:v>
                </c:pt>
                <c:pt idx="133">
                  <c:v>-13.540263170705762</c:v>
                </c:pt>
                <c:pt idx="134">
                  <c:v>-13.065523301597768</c:v>
                </c:pt>
                <c:pt idx="135">
                  <c:v>-12.589909846678919</c:v>
                </c:pt>
                <c:pt idx="136">
                  <c:v>-12.113770240907986</c:v>
                </c:pt>
                <c:pt idx="137">
                  <c:v>-11.637465699141529</c:v>
                </c:pt>
                <c:pt idx="138">
                  <c:v>-11.161370852692116</c:v>
                </c:pt>
                <c:pt idx="139">
                  <c:v>-10.685873327282643</c:v>
                </c:pt>
                <c:pt idx="140">
                  <c:v>-10.211373260169697</c:v>
                </c:pt>
                <c:pt idx="141">
                  <c:v>-9.7382827541804033</c:v>
                </c:pt>
                <c:pt idx="142">
                  <c:v>-9.2670252663786279</c:v>
                </c:pt>
                <c:pt idx="143">
                  <c:v>-8.7980349290476756</c:v>
                </c:pt>
                <c:pt idx="144">
                  <c:v>-8.3317558006482493</c:v>
                </c:pt>
                <c:pt idx="145">
                  <c:v>-7.8686410443816515</c:v>
                </c:pt>
                <c:pt idx="146">
                  <c:v>-7.4091520319597137</c:v>
                </c:pt>
                <c:pt idx="147">
                  <c:v>-6.9537573701543556</c:v>
                </c:pt>
                <c:pt idx="148">
                  <c:v>-6.5029318476710545</c:v>
                </c:pt>
                <c:pt idx="149">
                  <c:v>-6.0571552998618969</c:v>
                </c:pt>
                <c:pt idx="150">
                  <c:v>-5.6169113887653976</c:v>
                </c:pt>
                <c:pt idx="151">
                  <c:v>-5.1826862959315001</c:v>
                </c:pt>
                <c:pt idx="152">
                  <c:v>-4.7549673254618074</c:v>
                </c:pt>
                <c:pt idx="153">
                  <c:v>-4.3342414146662858</c:v>
                </c:pt>
                <c:pt idx="154">
                  <c:v>-3.9209935497092756</c:v>
                </c:pt>
                <c:pt idx="155">
                  <c:v>-3.5157050835889025</c:v>
                </c:pt>
                <c:pt idx="156">
                  <c:v>-3.1188519537655139</c:v>
                </c:pt>
                <c:pt idx="157">
                  <c:v>-2.7309027967260975</c:v>
                </c:pt>
                <c:pt idx="158">
                  <c:v>-2.3523169567430928</c:v>
                </c:pt>
                <c:pt idx="159">
                  <c:v>-1.9835423860573784</c:v>
                </c:pt>
                <c:pt idx="160">
                  <c:v>-1.6250134336866797</c:v>
                </c:pt>
                <c:pt idx="161">
                  <c:v>-1.2771485200319919</c:v>
                </c:pt>
                <c:pt idx="162">
                  <c:v>-0.94034769442607602</c:v>
                </c:pt>
                <c:pt idx="163">
                  <c:v>-0.61499007273946393</c:v>
                </c:pt>
                <c:pt idx="164">
                  <c:v>-0.3014311521308306</c:v>
                </c:pt>
                <c:pt idx="165">
                  <c:v>0</c:v>
                </c:pt>
                <c:pt idx="166">
                  <c:v>0.28900368582673674</c:v>
                </c:pt>
                <c:pt idx="167">
                  <c:v>0.56531264867790543</c:v>
                </c:pt>
                <c:pt idx="168">
                  <c:v>0.82869527941223664</c:v>
                </c:pt>
                <c:pt idx="169">
                  <c:v>1.0789589606442493</c:v>
                </c:pt>
                <c:pt idx="170">
                  <c:v>1.3159535519047105</c:v>
                </c:pt>
                <c:pt idx="171">
                  <c:v>1.539575018849249</c:v>
                </c:pt>
                <c:pt idx="172">
                  <c:v>1.7497692096569692</c:v>
                </c:pt>
                <c:pt idx="173">
                  <c:v>1.9465357817895346</c:v>
                </c:pt>
                <c:pt idx="174">
                  <c:v>2.1299322823097455</c:v>
                </c:pt>
                <c:pt idx="175">
                  <c:v>2.3000783849872519</c:v>
                </c:pt>
                <c:pt idx="176">
                  <c:v>2.4571602874476106</c:v>
                </c:pt>
                <c:pt idx="177">
                  <c:v>2.6014352716495068</c:v>
                </c:pt>
                <c:pt idx="178">
                  <c:v>2.7332364310035304</c:v>
                </c:pt>
                <c:pt idx="179">
                  <c:v>2.8529775674745004</c:v>
                </c:pt>
                <c:pt idx="180">
                  <c:v>2.961158262037912</c:v>
                </c:pt>
                <c:pt idx="181">
                  <c:v>3.0583691218896831</c:v>
                </c:pt>
                <c:pt idx="182">
                  <c:v>3.1452972078369394</c:v>
                </c:pt>
                <c:pt idx="183">
                  <c:v>3.222731645326204</c:v>
                </c:pt>
                <c:pt idx="184">
                  <c:v>3.2915694225939278</c:v>
                </c:pt>
                <c:pt idx="185">
                  <c:v>3.3528213794528599</c:v>
                </c:pt>
                <c:pt idx="186">
                  <c:v>3.4076183902564225</c:v>
                </c:pt>
                <c:pt idx="187">
                  <c:v>3.4572177446117416</c:v>
                </c:pt>
                <c:pt idx="188">
                  <c:v>3.5030097294406706</c:v>
                </c:pt>
                <c:pt idx="189">
                  <c:v>3.5465244160166818</c:v>
                </c:pt>
                <c:pt idx="190">
                  <c:v>3.5894386556340767</c:v>
                </c:pt>
                <c:pt idx="191">
                  <c:v>3.6335832875946177</c:v>
                </c:pt>
                <c:pt idx="192">
                  <c:v>3.6809505632252089</c:v>
                </c:pt>
                <c:pt idx="193">
                  <c:v>3.7337017896688698</c:v>
                </c:pt>
                <c:pt idx="194">
                  <c:v>3.794175197219857</c:v>
                </c:pt>
                <c:pt idx="195">
                  <c:v>3.8648940340023321</c:v>
                </c:pt>
                <c:pt idx="196">
                  <c:v>3.9485748918206038</c:v>
                </c:pt>
                <c:pt idx="197">
                  <c:v>4.0481362670375312</c:v>
                </c:pt>
                <c:pt idx="198">
                  <c:v>4.1667073603663134</c:v>
                </c:pt>
                <c:pt idx="199">
                  <c:v>4.3076371194894039</c:v>
                </c:pt>
                <c:pt idx="200">
                  <c:v>4.4745035284469425</c:v>
                </c:pt>
              </c:numCache>
            </c:numRef>
          </c:yVal>
          <c:smooth val="1"/>
        </c:ser>
        <c:dLbls>
          <c:showLegendKey val="0"/>
          <c:showVal val="0"/>
          <c:showCatName val="0"/>
          <c:showSerName val="0"/>
          <c:showPercent val="0"/>
          <c:showBubbleSize val="0"/>
        </c:dLbls>
        <c:axId val="548250864"/>
        <c:axId val="548253608"/>
      </c:scatterChart>
      <c:valAx>
        <c:axId val="54825086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253608"/>
        <c:crossesAt val="-1000"/>
        <c:crossBetween val="midCat"/>
      </c:valAx>
      <c:valAx>
        <c:axId val="548253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25086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0.29526476979781491</v>
      </c>
      <c r="D59" s="55">
        <v>1</v>
      </c>
    </row>
    <row r="60" spans="1:4" s="11" customFormat="1" x14ac:dyDescent="0.25">
      <c r="A60" s="54">
        <v>2</v>
      </c>
      <c r="B60" s="56">
        <f>'Shiftfunktion bestimmen'!N2</f>
        <v>-6.2150841180003708E-3</v>
      </c>
      <c r="D60" s="55">
        <v>2</v>
      </c>
    </row>
    <row r="61" spans="1:4" s="11" customFormat="1" x14ac:dyDescent="0.25">
      <c r="A61" s="54">
        <v>3</v>
      </c>
      <c r="B61" s="56">
        <f>'Shiftfunktion bestimmen'!N3</f>
        <v>-4.7376969338081972E-5</v>
      </c>
      <c r="D61" s="55">
        <v>3</v>
      </c>
    </row>
    <row r="62" spans="1:4" s="11" customFormat="1" x14ac:dyDescent="0.25">
      <c r="A62" s="54">
        <v>4</v>
      </c>
      <c r="B62" s="56">
        <f>'Shiftfunktion bestimmen'!N4</f>
        <v>1.3507787486179921E-6</v>
      </c>
      <c r="D62" s="55">
        <v>4</v>
      </c>
    </row>
    <row r="63" spans="1:4" s="11" customFormat="1" x14ac:dyDescent="0.25">
      <c r="A63" s="54">
        <v>5</v>
      </c>
      <c r="B63" s="56">
        <f>'Shiftfunktion bestimmen'!N5</f>
        <v>2.6149703362472778E-8</v>
      </c>
      <c r="D63" s="55">
        <v>5</v>
      </c>
    </row>
    <row r="64" spans="1:4" s="11" customFormat="1" x14ac:dyDescent="0.25">
      <c r="A64" s="54">
        <v>6</v>
      </c>
      <c r="B64" s="56">
        <f>'Shiftfunktion bestimmen'!N6</f>
        <v>1.8720410614197295E-10</v>
      </c>
      <c r="D64" s="55">
        <v>6</v>
      </c>
    </row>
    <row r="65" spans="1:5" s="11" customFormat="1" x14ac:dyDescent="0.25">
      <c r="A65" s="54">
        <v>7</v>
      </c>
      <c r="B65" s="56">
        <f>'Shiftfunktion bestimmen'!N7</f>
        <v>6.0353117632843836E-13</v>
      </c>
      <c r="D65" s="55">
        <v>7</v>
      </c>
    </row>
    <row r="66" spans="1:5" x14ac:dyDescent="0.25">
      <c r="A66" s="54">
        <v>8</v>
      </c>
      <c r="B66" s="56">
        <f>'Shiftfunktion bestimmen'!N8</f>
        <v>7.0906889798789677E-16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0.11019752157474517</v>
      </c>
      <c r="D74" s="51">
        <v>1</v>
      </c>
      <c r="E74" s="56">
        <f>'Mastercurve bestimmen'!A18</f>
        <v>1.0000000000000001E-20</v>
      </c>
    </row>
    <row r="75" spans="1:5" x14ac:dyDescent="0.25">
      <c r="A75" s="50">
        <f>A74+1</f>
        <v>2</v>
      </c>
      <c r="B75" s="56">
        <f>'Mastercurve bestimmen'!C19</f>
        <v>6.7386263954763354E-2</v>
      </c>
      <c r="D75" s="51">
        <v>2</v>
      </c>
      <c r="E75" s="56">
        <f>'Mastercurve bestimmen'!A19</f>
        <v>3.9038946506297401E-14</v>
      </c>
    </row>
    <row r="76" spans="1:5" x14ac:dyDescent="0.25">
      <c r="A76" s="50">
        <f t="shared" ref="A76:A104" si="0">A75+1</f>
        <v>3</v>
      </c>
      <c r="B76" s="56">
        <f>'Mastercurve bestimmen'!C20</f>
        <v>3.4082747841508325E-2</v>
      </c>
      <c r="D76" s="51">
        <v>3</v>
      </c>
      <c r="E76" s="56">
        <f>'Mastercurve bestimmen'!A20</f>
        <v>4.3276437088188502E-13</v>
      </c>
    </row>
    <row r="77" spans="1:5" x14ac:dyDescent="0.25">
      <c r="A77" s="50">
        <f t="shared" si="0"/>
        <v>4</v>
      </c>
      <c r="B77" s="56">
        <f>'Mastercurve bestimmen'!C21</f>
        <v>4.6674257676140619E-2</v>
      </c>
      <c r="D77" s="51">
        <v>4</v>
      </c>
      <c r="E77" s="56">
        <f>'Mastercurve bestimmen'!A21</f>
        <v>4.7973886968128502E-12</v>
      </c>
    </row>
    <row r="78" spans="1:5" x14ac:dyDescent="0.25">
      <c r="A78" s="50">
        <f t="shared" si="0"/>
        <v>5</v>
      </c>
      <c r="B78" s="56">
        <f>'Mastercurve bestimmen'!C22</f>
        <v>4.4764266498867597E-2</v>
      </c>
      <c r="D78" s="51">
        <v>5</v>
      </c>
      <c r="E78" s="56">
        <f>'Mastercurve bestimmen'!A22</f>
        <v>5.31812225239524E-11</v>
      </c>
    </row>
    <row r="79" spans="1:5" x14ac:dyDescent="0.25">
      <c r="A79" s="50">
        <f t="shared" si="0"/>
        <v>6</v>
      </c>
      <c r="B79" s="56">
        <f>'Mastercurve bestimmen'!C23</f>
        <v>4.8577269491505953E-2</v>
      </c>
      <c r="D79" s="51">
        <v>6</v>
      </c>
      <c r="E79" s="56">
        <f>'Mastercurve bestimmen'!A23</f>
        <v>5.8953789402578301E-10</v>
      </c>
    </row>
    <row r="80" spans="1:5" x14ac:dyDescent="0.25">
      <c r="A80" s="50">
        <f t="shared" si="0"/>
        <v>7</v>
      </c>
      <c r="B80" s="56">
        <f>'Mastercurve bestimmen'!C24</f>
        <v>5.5549505588396574E-2</v>
      </c>
      <c r="D80" s="51">
        <v>7</v>
      </c>
      <c r="E80" s="56">
        <f>'Mastercurve bestimmen'!A24</f>
        <v>6.5352940755699598E-9</v>
      </c>
    </row>
    <row r="81" spans="1:5" x14ac:dyDescent="0.25">
      <c r="A81" s="50">
        <f t="shared" si="0"/>
        <v>8</v>
      </c>
      <c r="B81" s="56">
        <f>'Mastercurve bestimmen'!C25</f>
        <v>7.866276737132312E-2</v>
      </c>
      <c r="D81" s="51">
        <v>8</v>
      </c>
      <c r="E81" s="56">
        <f>'Mastercurve bestimmen'!A25</f>
        <v>7.2446689325643296E-8</v>
      </c>
    </row>
    <row r="82" spans="1:5" x14ac:dyDescent="0.25">
      <c r="A82" s="50">
        <f t="shared" si="0"/>
        <v>9</v>
      </c>
      <c r="B82" s="56">
        <f>'Mastercurve bestimmen'!C26</f>
        <v>9.4543741847587029E-2</v>
      </c>
      <c r="D82" s="51">
        <f>A82</f>
        <v>9</v>
      </c>
      <c r="E82" s="56">
        <f>'Mastercurve bestimmen'!A26</f>
        <v>8.03104303120212E-7</v>
      </c>
    </row>
    <row r="83" spans="1:5" x14ac:dyDescent="0.25">
      <c r="A83" s="50">
        <f t="shared" si="0"/>
        <v>10</v>
      </c>
      <c r="B83" s="56">
        <f>'Mastercurve bestimmen'!C27</f>
        <v>0.11359632384203742</v>
      </c>
      <c r="C83" s="11"/>
      <c r="D83" s="51">
        <f t="shared" ref="D83:D104" si="1">A83</f>
        <v>10</v>
      </c>
      <c r="E83" s="56">
        <f>'Mastercurve bestimmen'!A27</f>
        <v>8.9027742702096099E-6</v>
      </c>
    </row>
    <row r="84" spans="1:5" x14ac:dyDescent="0.25">
      <c r="A84" s="50">
        <f t="shared" si="0"/>
        <v>11</v>
      </c>
      <c r="B84" s="56">
        <f>'Mastercurve bestimmen'!C28</f>
        <v>0.12987660327805553</v>
      </c>
      <c r="C84" s="11"/>
      <c r="D84" s="51">
        <f t="shared" si="1"/>
        <v>11</v>
      </c>
      <c r="E84" s="56">
        <f>'Mastercurve bestimmen'!A28</f>
        <v>9.86912775817142E-5</v>
      </c>
    </row>
    <row r="85" spans="1:5" x14ac:dyDescent="0.25">
      <c r="A85" s="50">
        <f t="shared" si="0"/>
        <v>12</v>
      </c>
      <c r="B85" s="56">
        <f>'Mastercurve bestimmen'!C29</f>
        <v>7.5604381501705717E-2</v>
      </c>
      <c r="C85" s="11"/>
      <c r="D85" s="51">
        <f t="shared" si="1"/>
        <v>12</v>
      </c>
      <c r="E85" s="56">
        <f>'Mastercurve bestimmen'!A29</f>
        <v>1.0940374286813801E-3</v>
      </c>
    </row>
    <row r="86" spans="1:5" x14ac:dyDescent="0.25">
      <c r="A86" s="50">
        <f t="shared" si="0"/>
        <v>13</v>
      </c>
      <c r="B86" s="56">
        <f>'Mastercurve bestimmen'!C30</f>
        <v>4.9796050081425132E-2</v>
      </c>
      <c r="C86" s="11"/>
      <c r="D86" s="51">
        <f t="shared" si="1"/>
        <v>13</v>
      </c>
      <c r="E86" s="56">
        <f>'Mastercurve bestimmen'!A30</f>
        <v>1.2127899493091E-2</v>
      </c>
    </row>
    <row r="87" spans="1:5" x14ac:dyDescent="0.25">
      <c r="A87" s="50">
        <f t="shared" si="0"/>
        <v>14</v>
      </c>
      <c r="B87" s="56">
        <f>'Mastercurve bestimmen'!C31</f>
        <v>2.0966447401353387E-2</v>
      </c>
      <c r="C87" s="11"/>
      <c r="D87" s="51">
        <f t="shared" si="1"/>
        <v>14</v>
      </c>
      <c r="E87" s="56">
        <f>'Mastercurve bestimmen'!A31</f>
        <v>0.13444324870292301</v>
      </c>
    </row>
    <row r="88" spans="1:5" x14ac:dyDescent="0.25">
      <c r="A88" s="50">
        <f t="shared" si="0"/>
        <v>15</v>
      </c>
      <c r="B88" s="56">
        <f>'Mastercurve bestimmen'!C32</f>
        <v>3.9443248072899657E-3</v>
      </c>
      <c r="C88" s="11"/>
      <c r="D88" s="51">
        <f t="shared" si="1"/>
        <v>15</v>
      </c>
      <c r="E88" s="56">
        <f>'Mastercurve bestimmen'!A32</f>
        <v>1.49036419143257</v>
      </c>
    </row>
    <row r="89" spans="1:5" x14ac:dyDescent="0.25">
      <c r="A89" s="50">
        <f t="shared" si="0"/>
        <v>16</v>
      </c>
      <c r="B89" s="56">
        <f>'Mastercurve bestimmen'!C33</f>
        <v>3.51380910541953E-3</v>
      </c>
      <c r="C89" s="11"/>
      <c r="D89" s="51">
        <f t="shared" si="1"/>
        <v>16</v>
      </c>
      <c r="E89" s="56">
        <f>'Mastercurve bestimmen'!A33</f>
        <v>16.521360830937301</v>
      </c>
    </row>
    <row r="90" spans="1:5" x14ac:dyDescent="0.25">
      <c r="A90" s="50">
        <f t="shared" si="0"/>
        <v>17</v>
      </c>
      <c r="B90" s="56">
        <f>'Mastercurve bestimmen'!C34</f>
        <v>7.1978944921583432E-4</v>
      </c>
      <c r="C90" s="11"/>
      <c r="D90" s="51">
        <f t="shared" si="1"/>
        <v>17</v>
      </c>
      <c r="E90" s="56">
        <f>'Mastercurve bestimmen'!A34</f>
        <v>183.146753843879</v>
      </c>
    </row>
    <row r="91" spans="1:5" x14ac:dyDescent="0.25">
      <c r="A91" s="50">
        <f t="shared" si="0"/>
        <v>18</v>
      </c>
      <c r="B91" s="56">
        <f>'Mastercurve bestimmen'!C35</f>
        <v>5.3803230598076777E-4</v>
      </c>
      <c r="C91" s="11"/>
      <c r="D91" s="51">
        <f t="shared" si="1"/>
        <v>18</v>
      </c>
      <c r="E91" s="56">
        <f>'Mastercurve bestimmen'!A35</f>
        <v>2030.26456396616</v>
      </c>
    </row>
    <row r="92" spans="1:5" x14ac:dyDescent="0.25">
      <c r="A92" s="50">
        <f t="shared" si="0"/>
        <v>19</v>
      </c>
      <c r="B92" s="56">
        <f>'Mastercurve bestimmen'!C36</f>
        <v>5.6418757759686938E-4</v>
      </c>
      <c r="C92" s="11"/>
      <c r="D92" s="51">
        <f t="shared" si="1"/>
        <v>19</v>
      </c>
      <c r="E92" s="56">
        <f>'Mastercurve bestimmen'!A36</f>
        <v>22506.400540467101</v>
      </c>
    </row>
    <row r="93" spans="1:5" x14ac:dyDescent="0.25">
      <c r="A93" s="50">
        <f t="shared" si="0"/>
        <v>20</v>
      </c>
      <c r="B93" s="56">
        <f>'Mastercurve bestimmen'!C37</f>
        <v>5.289794145093928E-4</v>
      </c>
      <c r="C93" s="11"/>
      <c r="D93" s="51">
        <f t="shared" si="1"/>
        <v>20</v>
      </c>
      <c r="E93" s="56">
        <f>'Mastercurve bestimmen'!A37</f>
        <v>249493.62476110301</v>
      </c>
    </row>
    <row r="94" spans="1:5" x14ac:dyDescent="0.25">
      <c r="A94" s="50">
        <f t="shared" si="0"/>
        <v>21</v>
      </c>
      <c r="B94" s="56">
        <f>'Mastercurve bestimmen'!C38</f>
        <v>5.3547450135887617E-5</v>
      </c>
      <c r="C94" s="11"/>
      <c r="D94" s="51">
        <f t="shared" si="1"/>
        <v>21</v>
      </c>
      <c r="E94" s="56">
        <f>'Mastercurve bestimmen'!A38</f>
        <v>2765749.6224023802</v>
      </c>
    </row>
    <row r="95" spans="1:5" x14ac:dyDescent="0.25">
      <c r="A95" s="50">
        <f t="shared" si="0"/>
        <v>22</v>
      </c>
      <c r="B95" s="56">
        <f>'Mastercurve bestimmen'!C39</f>
        <v>4.4495454548071421E-4</v>
      </c>
      <c r="C95" s="11"/>
      <c r="D95" s="51">
        <f t="shared" si="1"/>
        <v>22</v>
      </c>
      <c r="E95" s="56">
        <f>'Mastercurve bestimmen'!A39</f>
        <v>10000000</v>
      </c>
    </row>
    <row r="96" spans="1:5" x14ac:dyDescent="0.25">
      <c r="A96" s="50">
        <f t="shared" si="0"/>
        <v>23</v>
      </c>
      <c r="B96" s="56">
        <f>'Mastercurve bestimmen'!C40</f>
        <v>1.5289773047840316E-5</v>
      </c>
      <c r="C96" s="11"/>
      <c r="D96" s="51">
        <f t="shared" si="1"/>
        <v>23</v>
      </c>
      <c r="E96" s="56">
        <f>'Mastercurve bestimmen'!A40</f>
        <v>100000000</v>
      </c>
    </row>
    <row r="97" spans="1:5" x14ac:dyDescent="0.25">
      <c r="A97" s="50">
        <f t="shared" si="0"/>
        <v>24</v>
      </c>
      <c r="B97" s="56">
        <f>'Mastercurve bestimmen'!C41</f>
        <v>2.5082649304706281E-4</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5.6673676320409674E-5</v>
      </c>
      <c r="C99" s="11"/>
      <c r="D99" s="51">
        <f t="shared" si="1"/>
        <v>26</v>
      </c>
      <c r="E99" s="56">
        <f>'Mastercurve bestimmen'!A43</f>
        <v>100000000000</v>
      </c>
    </row>
    <row r="100" spans="1:5" x14ac:dyDescent="0.25">
      <c r="A100" s="50">
        <f t="shared" si="0"/>
        <v>27</v>
      </c>
      <c r="B100" s="56">
        <f>'Mastercurve bestimmen'!C44</f>
        <v>1.228688753482083E-4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1.663721654170598E-4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C5" sqref="C5"/>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5863.6829549380891</v>
      </c>
      <c r="G16" s="26">
        <f>INDEX(Comparison!$AM$3:$AS$33,G14,$B$3)</f>
        <v>5609.1927579282792</v>
      </c>
      <c r="H16" s="26">
        <f>INDEX(Comparison!$AM$3:$AS$33,H14,$B$3)</f>
        <v>5370.7345311781783</v>
      </c>
      <c r="I16" s="26">
        <f>INDEX(Comparison!$AM$3:$AS$33,I14,$B$3)</f>
        <v>5097.9534912421213</v>
      </c>
      <c r="J16" s="26">
        <f>INDEX(Comparison!$AM$3:$AS$33,J14,$B$3)</f>
        <v>4821.046341164677</v>
      </c>
      <c r="K16" s="26">
        <f>INDEX(Comparison!$AM$3:$AS$33,K14,$B$3)</f>
        <v>4535.3452020984814</v>
      </c>
      <c r="L16" s="26">
        <f>INDEX(Comparison!$AM$3:$AS$33,L14,$B$3)</f>
        <v>4228.4929725950406</v>
      </c>
      <c r="M16" s="26">
        <f>INDEX(Comparison!$AM$3:$AS$33,M14,$B$3)</f>
        <v>3871.0057883923755</v>
      </c>
      <c r="N16" s="26">
        <f>INDEX(Comparison!$AM$3:$AS$33,N14,$B$3)</f>
        <v>3401.7561264704505</v>
      </c>
      <c r="O16" s="26">
        <f>INDEX(Comparison!$AM$3:$AS$33,O14,$B$3)</f>
        <v>2827.0529060658037</v>
      </c>
      <c r="P16" s="26">
        <f>INDEX(Comparison!$AM$3:$AS$33,P14,$B$3)</f>
        <v>2150.7951483518323</v>
      </c>
      <c r="Q16" s="26">
        <f>INDEX(Comparison!$AM$3:$AS$33,Q14,$B$3)</f>
        <v>1410.5199057082755</v>
      </c>
      <c r="R16" s="26">
        <f>INDEX(Comparison!$AM$3:$AS$33,R14,$B$3)</f>
        <v>826.67973456797017</v>
      </c>
      <c r="S16" s="26">
        <f>INDEX(Comparison!$AM$3:$AS$33,S14,$B$3)</f>
        <v>463.10914863390207</v>
      </c>
      <c r="T16" s="26">
        <f>INDEX(Comparison!$AM$3:$AS$33,T14,$B$3)</f>
        <v>257.27368574751409</v>
      </c>
      <c r="U16" s="26">
        <f>INDEX(Comparison!$AM$3:$AS$33,U14,$B$3)</f>
        <v>179.98076982609024</v>
      </c>
      <c r="V16" s="26">
        <f>INDEX(Comparison!$AM$3:$AS$33,V14,$B$3)</f>
        <v>157.55849658546879</v>
      </c>
      <c r="W16" s="26">
        <f>INDEX(Comparison!$AM$3:$AS$33,W14,$B$3)</f>
        <v>143.13037816485394</v>
      </c>
      <c r="X16" s="26">
        <f>INDEX(Comparison!$AM$3:$AS$33,X14,$B$3)</f>
        <v>139.03929298884987</v>
      </c>
      <c r="Y16" s="26">
        <f>INDEX(Comparison!$AM$3:$AS$33,Y14,$B$3)</f>
        <v>135.60631839895524</v>
      </c>
      <c r="Z16" s="26">
        <f>INDEX(Comparison!$AM$3:$AS$33,Z14,$B$3)</f>
        <v>132.22937471479068</v>
      </c>
      <c r="AA16" s="26">
        <f>INDEX(Comparison!$AM$3:$AS$33,AA14,$B$3)</f>
        <v>129.58780540541244</v>
      </c>
      <c r="AB16" s="26">
        <f>INDEX(Comparison!$AM$3:$AS$33,AB14,$B$3)</f>
        <v>127.7135675720335</v>
      </c>
      <c r="AC16" s="26">
        <f>INDEX(Comparison!$AM$3:$AS$33,AC14,$B$3)</f>
        <v>126.4367312836393</v>
      </c>
      <c r="AD16" s="26">
        <f>INDEX(Comparison!$AM$3:$AS$33,AD14,$B$3)</f>
        <v>125.52960401951817</v>
      </c>
      <c r="AE16" s="26">
        <f>INDEX(Comparison!$AM$3:$AS$33,AE14,$B$3)</f>
        <v>124.83927834622055</v>
      </c>
      <c r="AF16" s="26">
        <f>INDEX(Comparison!$AM$3:$AS$33,AF14,$B$3)</f>
        <v>124.70417941781746</v>
      </c>
      <c r="AG16" s="26">
        <f>INDEX(Comparison!$AM$3:$AS$33,AG14,$B$3)</f>
        <v>123.9260383626436</v>
      </c>
      <c r="AH16" s="26">
        <f>INDEX(Comparison!$AM$3:$AS$33,AH14,$B$3)</f>
        <v>123.91358498832378</v>
      </c>
      <c r="AI16" s="26">
        <f>INDEX(Comparison!$AM$3:$AS$33,AI14,$B$3)</f>
        <v>123.65466987195585</v>
      </c>
      <c r="AJ16" s="26">
        <f>INDEX(Comparison!$AM$3:$AS$33,AJ14,$B$3)</f>
        <v>123.64094316844046</v>
      </c>
    </row>
    <row r="17" spans="1:36" x14ac:dyDescent="0.25">
      <c r="A17" s="14" t="s">
        <v>20</v>
      </c>
      <c r="B17" s="105">
        <v>1.2893349255277117E-2</v>
      </c>
      <c r="C17" s="18">
        <f t="shared" ref="C17:C48" si="3">ABS(B17/$B$49)</f>
        <v>1.8802196411775361E-2</v>
      </c>
      <c r="D17" s="66"/>
      <c r="E17" s="65" t="s">
        <v>22</v>
      </c>
      <c r="F17" s="27">
        <f>($C$17+SUM(F18:F48))*$B$51</f>
        <v>5793.4523046389049</v>
      </c>
      <c r="G17" s="27">
        <f t="shared" ref="G17:M17" si="4">($C$17+SUM(G18:G48))*$B$51</f>
        <v>5700.0318269065447</v>
      </c>
      <c r="H17" s="27">
        <f t="shared" si="4"/>
        <v>5346.6855609762524</v>
      </c>
      <c r="I17" s="27">
        <f t="shared" si="4"/>
        <v>5101.8804049000601</v>
      </c>
      <c r="J17" s="27">
        <f t="shared" si="4"/>
        <v>4820.5005046125943</v>
      </c>
      <c r="K17" s="27">
        <f t="shared" si="4"/>
        <v>4535.41127213245</v>
      </c>
      <c r="L17" s="27">
        <f t="shared" si="4"/>
        <v>4228.4837057636532</v>
      </c>
      <c r="M17" s="27">
        <f t="shared" si="4"/>
        <v>3871.0145013042311</v>
      </c>
      <c r="N17" s="27">
        <f t="shared" ref="N17" si="5">($C$17+SUM(N18:N48))*$B$51</f>
        <v>3401.741881102319</v>
      </c>
      <c r="O17" s="27">
        <f t="shared" ref="O17" si="6">($C$17+SUM(O18:O48))*$B$51</f>
        <v>2827.0741372660314</v>
      </c>
      <c r="P17" s="27">
        <f t="shared" ref="P17" si="7">($C$17+SUM(P18:P48))*$B$51</f>
        <v>2150.7592165929741</v>
      </c>
      <c r="Q17" s="27">
        <f t="shared" ref="Q17" si="8">($C$17+SUM(Q18:Q48))*$B$51</f>
        <v>1410.5793699674709</v>
      </c>
      <c r="R17" s="27">
        <f t="shared" ref="R17" si="9">($C$17+SUM(R18:R48))*$B$51</f>
        <v>826.60129458505821</v>
      </c>
      <c r="S17" s="27">
        <f t="shared" ref="S17:T17" si="10">($C$17+SUM(S18:S48))*$B$51</f>
        <v>463.1925994461447</v>
      </c>
      <c r="T17" s="27">
        <f t="shared" si="10"/>
        <v>257.1972291899055</v>
      </c>
      <c r="U17" s="27">
        <f t="shared" ref="U17" si="11">($C$17+SUM(U18:U48))*$B$51</f>
        <v>180.03658363020517</v>
      </c>
      <c r="V17" s="27">
        <f t="shared" ref="V17" si="12">($C$17+SUM(V18:V48))*$B$51</f>
        <v>157.52833381624174</v>
      </c>
      <c r="W17" s="27">
        <f t="shared" ref="W17" si="13">($C$17+SUM(W18:W48))*$B$51</f>
        <v>143.14220755671209</v>
      </c>
      <c r="X17" s="27">
        <f t="shared" ref="X17" si="14">($C$17+SUM(X18:X48))*$B$51</f>
        <v>139.03514524805985</v>
      </c>
      <c r="Y17" s="27">
        <f t="shared" ref="Y17" si="15">($C$17+SUM(Y18:Y48))*$B$51</f>
        <v>135.60966136452373</v>
      </c>
      <c r="Z17" s="27">
        <f t="shared" ref="Z17:AA17" si="16">($C$17+SUM(Z18:Z48))*$B$51</f>
        <v>132.22568250928234</v>
      </c>
      <c r="AA17" s="27">
        <f t="shared" si="16"/>
        <v>129.59030264237458</v>
      </c>
      <c r="AB17" s="27">
        <f t="shared" ref="AB17" si="17">($C$17+SUM(AB18:AB48))*$B$51</f>
        <v>127.71171468753445</v>
      </c>
      <c r="AC17" s="27">
        <f t="shared" ref="AC17" si="18">($C$17+SUM(AC18:AC48))*$B$51</f>
        <v>126.44111280766575</v>
      </c>
      <c r="AD17" s="27">
        <f t="shared" ref="AD17" si="19">($C$17+SUM(AD18:AD48))*$B$51</f>
        <v>125.52157207744062</v>
      </c>
      <c r="AE17" s="27">
        <f t="shared" ref="AE17" si="20">($C$17+SUM(AE18:AE48))*$B$51</f>
        <v>124.88095562953836</v>
      </c>
      <c r="AF17" s="27">
        <f t="shared" ref="AF17" si="21">($C$17+SUM(AF18:AF48))*$B$51</f>
        <v>124.61402747463876</v>
      </c>
      <c r="AG17" s="27">
        <f t="shared" ref="AG17:AH17" si="22">($C$17+SUM(AG18:AG48))*$B$51</f>
        <v>124.04749550578464</v>
      </c>
      <c r="AH17" s="27">
        <f t="shared" si="22"/>
        <v>123.75164370459413</v>
      </c>
      <c r="AI17" s="27">
        <f t="shared" ref="AI17" si="23">($C$17+SUM(AI18:AI48))*$B$51</f>
        <v>123.74189201376467</v>
      </c>
      <c r="AJ17" s="27">
        <f t="shared" ref="AJ17" si="24">($C$17+SUM(AJ18:AJ48))*$B$51</f>
        <v>123.64940012605396</v>
      </c>
    </row>
    <row r="18" spans="1:36" x14ac:dyDescent="0.25">
      <c r="A18" s="3">
        <f>0.000000000000001/10^5</f>
        <v>1.0000000000000001E-20</v>
      </c>
      <c r="B18" s="106">
        <v>7.5566444558535867E-2</v>
      </c>
      <c r="C18" s="18">
        <f t="shared" si="3"/>
        <v>0.11019752157474517</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4.620920966621353E-2</v>
      </c>
      <c r="C19" s="18">
        <f t="shared" si="3"/>
        <v>6.7386263954763354E-2</v>
      </c>
      <c r="D19" s="17"/>
      <c r="F19" s="3">
        <f t="shared" si="25"/>
        <v>6.5682055013724247E-2</v>
      </c>
      <c r="G19" s="3">
        <f t="shared" si="25"/>
        <v>5.2158478375850054E-2</v>
      </c>
      <c r="H19" s="3">
        <f t="shared" si="25"/>
        <v>5.2012379532591644E-3</v>
      </c>
      <c r="I19" s="3">
        <f t="shared" si="25"/>
        <v>5.0573710730366803E-13</v>
      </c>
      <c r="J19" s="3">
        <f t="shared" si="25"/>
        <v>3.8203732247101323E-113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2.3371778587787648E-2</v>
      </c>
      <c r="C20" s="18">
        <f t="shared" si="3"/>
        <v>3.4082747841508325E-2</v>
      </c>
      <c r="D20" s="17"/>
      <c r="F20" s="3">
        <f t="shared" si="25"/>
        <v>3.4004082862377071E-2</v>
      </c>
      <c r="G20" s="3">
        <f t="shared" si="25"/>
        <v>3.3304218317836171E-2</v>
      </c>
      <c r="H20" s="3">
        <f t="shared" si="25"/>
        <v>2.7050857382000078E-2</v>
      </c>
      <c r="I20" s="3">
        <f t="shared" si="25"/>
        <v>3.3806400621162105E-3</v>
      </c>
      <c r="J20" s="3">
        <f t="shared" si="25"/>
        <v>3.1417955784456221E-12</v>
      </c>
      <c r="K20" s="3">
        <f t="shared" si="25"/>
        <v>1.5099682946572227E-102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3.2006234392509325E-2</v>
      </c>
      <c r="C21" s="18">
        <f t="shared" si="3"/>
        <v>4.6674257676140619E-2</v>
      </c>
      <c r="D21" s="17"/>
      <c r="F21" s="3">
        <f t="shared" si="25"/>
        <v>4.6664529593549171E-2</v>
      </c>
      <c r="G21" s="3">
        <f t="shared" si="25"/>
        <v>4.6577068040439679E-2</v>
      </c>
      <c r="H21" s="3">
        <f t="shared" si="25"/>
        <v>4.5711417926725173E-2</v>
      </c>
      <c r="I21" s="3">
        <f t="shared" si="25"/>
        <v>3.7892229033246225E-2</v>
      </c>
      <c r="J21" s="3">
        <f t="shared" si="25"/>
        <v>5.8050339110584138E-3</v>
      </c>
      <c r="K21" s="3">
        <f t="shared" si="25"/>
        <v>4.1338130820670484E-11</v>
      </c>
      <c r="L21" s="3">
        <f t="shared" si="25"/>
        <v>1.3861543034592251E-92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3.0696484042935471E-2</v>
      </c>
      <c r="C22" s="18">
        <f t="shared" si="3"/>
        <v>4.4764266498867597E-2</v>
      </c>
      <c r="D22" s="17"/>
      <c r="F22" s="3">
        <f t="shared" si="25"/>
        <v>4.4763424776103213E-2</v>
      </c>
      <c r="G22" s="3">
        <f t="shared" si="25"/>
        <v>4.4755849983416279E-2</v>
      </c>
      <c r="H22" s="3">
        <f t="shared" si="25"/>
        <v>4.4680172519433889E-2</v>
      </c>
      <c r="I22" s="3">
        <f t="shared" si="25"/>
        <v>4.3930400246214196E-2</v>
      </c>
      <c r="J22" s="3">
        <f t="shared" si="25"/>
        <v>3.7090983370536026E-2</v>
      </c>
      <c r="K22" s="3">
        <f t="shared" si="25"/>
        <v>6.8281055088343116E-3</v>
      </c>
      <c r="L22" s="3">
        <f t="shared" si="25"/>
        <v>3.0522421071303997E-10</v>
      </c>
      <c r="M22" s="3">
        <f t="shared" si="25"/>
        <v>9.7231400252355237E-84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3.3311198740028733E-2</v>
      </c>
      <c r="C23" s="18">
        <f t="shared" si="3"/>
        <v>4.8577269491505953E-2</v>
      </c>
      <c r="D23" s="17"/>
      <c r="F23" s="3">
        <f t="shared" si="25"/>
        <v>4.8577187092683445E-2</v>
      </c>
      <c r="G23" s="3">
        <f t="shared" si="25"/>
        <v>4.8576445509570416E-2</v>
      </c>
      <c r="H23" s="3">
        <f t="shared" si="25"/>
        <v>4.8569030301070182E-2</v>
      </c>
      <c r="I23" s="3">
        <f t="shared" si="25"/>
        <v>4.8494940443921303E-2</v>
      </c>
      <c r="J23" s="3">
        <f t="shared" si="25"/>
        <v>4.7760229651497045E-2</v>
      </c>
      <c r="K23" s="3">
        <f t="shared" si="25"/>
        <v>4.0998330040520961E-2</v>
      </c>
      <c r="L23" s="3">
        <f t="shared" si="25"/>
        <v>8.9076629464204197E-3</v>
      </c>
      <c r="M23" s="3">
        <f t="shared" si="25"/>
        <v>2.088045023825986E-9</v>
      </c>
      <c r="N23" s="3">
        <f t="shared" si="25"/>
        <v>1.0459253595373973E-75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3.809231436709247E-2</v>
      </c>
      <c r="C24" s="18">
        <f t="shared" si="3"/>
        <v>5.5549505588396574E-2</v>
      </c>
      <c r="D24" s="17"/>
      <c r="F24" s="3">
        <f t="shared" si="25"/>
        <v>5.5549497088472823E-2</v>
      </c>
      <c r="G24" s="3">
        <f t="shared" si="25"/>
        <v>5.5549420589217587E-2</v>
      </c>
      <c r="H24" s="3">
        <f t="shared" si="25"/>
        <v>5.5548655602459411E-2</v>
      </c>
      <c r="I24" s="3">
        <f t="shared" si="25"/>
        <v>5.5541006314270475E-2</v>
      </c>
      <c r="J24" s="3">
        <f t="shared" si="25"/>
        <v>5.5464571342143505E-2</v>
      </c>
      <c r="K24" s="3">
        <f t="shared" si="25"/>
        <v>5.4705983198104963E-2</v>
      </c>
      <c r="L24" s="3">
        <f t="shared" si="25"/>
        <v>4.7667952332178611E-2</v>
      </c>
      <c r="M24" s="3">
        <f t="shared" si="25"/>
        <v>1.2026608747191241E-2</v>
      </c>
      <c r="N24" s="3">
        <f t="shared" si="25"/>
        <v>1.2569269698885589E-8</v>
      </c>
      <c r="O24" s="3">
        <f t="shared" si="25"/>
        <v>1.9542434667752512E-68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5.3941917789450414E-2</v>
      </c>
      <c r="C25" s="18">
        <f t="shared" si="3"/>
        <v>7.866276737132312E-2</v>
      </c>
      <c r="D25" s="17"/>
      <c r="F25" s="3">
        <f t="shared" si="25"/>
        <v>7.8662766285521019E-2</v>
      </c>
      <c r="G25" s="3">
        <f t="shared" si="25"/>
        <v>7.8662756513302873E-2</v>
      </c>
      <c r="H25" s="3">
        <f t="shared" si="25"/>
        <v>7.8662658791188111E-2</v>
      </c>
      <c r="I25" s="3">
        <f t="shared" si="25"/>
        <v>7.8661681576717379E-2</v>
      </c>
      <c r="J25" s="3">
        <f t="shared" si="25"/>
        <v>7.8651910099673747E-2</v>
      </c>
      <c r="K25" s="3">
        <f t="shared" si="25"/>
        <v>7.8554262064912603E-2</v>
      </c>
      <c r="L25" s="3">
        <f t="shared" si="25"/>
        <v>7.7584424711552705E-2</v>
      </c>
      <c r="M25" s="3">
        <f t="shared" si="25"/>
        <v>6.8520804555850121E-2</v>
      </c>
      <c r="N25" s="3">
        <f t="shared" si="25"/>
        <v>1.978342810107412E-2</v>
      </c>
      <c r="O25" s="3">
        <f t="shared" si="25"/>
        <v>7.9632894438718262E-8</v>
      </c>
      <c r="P25" s="3">
        <f t="shared" si="25"/>
        <v>8.8920526640587E-62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6.4832079021272068E-2</v>
      </c>
      <c r="C26" s="18">
        <f t="shared" si="3"/>
        <v>9.4543741847587029E-2</v>
      </c>
      <c r="D26" s="17"/>
      <c r="F26" s="3">
        <f t="shared" si="25"/>
        <v>9.4543741729864156E-2</v>
      </c>
      <c r="G26" s="3">
        <f t="shared" si="25"/>
        <v>9.4543740670358353E-2</v>
      </c>
      <c r="H26" s="3">
        <f t="shared" si="25"/>
        <v>9.4543730075300966E-2</v>
      </c>
      <c r="I26" s="3">
        <f t="shared" si="25"/>
        <v>9.4543624124792336E-2</v>
      </c>
      <c r="J26" s="3">
        <f t="shared" si="25"/>
        <v>9.4542564626236475E-2</v>
      </c>
      <c r="K26" s="3">
        <f t="shared" si="25"/>
        <v>9.4531970293682863E-2</v>
      </c>
      <c r="L26" s="3">
        <f t="shared" si="25"/>
        <v>9.4426092241589765E-2</v>
      </c>
      <c r="M26" s="3">
        <f t="shared" si="25"/>
        <v>9.3373812080854074E-2</v>
      </c>
      <c r="N26" s="3">
        <f t="shared" si="25"/>
        <v>8.3474882362098143E-2</v>
      </c>
      <c r="O26" s="3">
        <f t="shared" si="25"/>
        <v>2.72184303108359E-2</v>
      </c>
      <c r="P26" s="3">
        <f t="shared" si="25"/>
        <v>3.6977340868914948E-7</v>
      </c>
      <c r="Q26" s="3">
        <f t="shared" si="25"/>
        <v>7.9188421587172363E-56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7.7897126768321848E-2</v>
      </c>
      <c r="C27" s="18">
        <f t="shared" si="3"/>
        <v>0.11359632384203742</v>
      </c>
      <c r="D27" s="17"/>
      <c r="F27" s="3">
        <f t="shared" si="25"/>
        <v>0.11359632382927777</v>
      </c>
      <c r="G27" s="3">
        <f t="shared" si="25"/>
        <v>0.11359632371444088</v>
      </c>
      <c r="H27" s="3">
        <f t="shared" si="25"/>
        <v>0.11359632256607198</v>
      </c>
      <c r="I27" s="3">
        <f t="shared" si="25"/>
        <v>0.11359631108238363</v>
      </c>
      <c r="J27" s="3">
        <f t="shared" si="25"/>
        <v>0.11359619624556401</v>
      </c>
      <c r="K27" s="3">
        <f t="shared" si="25"/>
        <v>0.11359504788375281</v>
      </c>
      <c r="L27" s="3">
        <f t="shared" si="25"/>
        <v>0.1135835649041147</v>
      </c>
      <c r="M27" s="3">
        <f t="shared" si="25"/>
        <v>0.11346879893125794</v>
      </c>
      <c r="N27" s="3">
        <f t="shared" si="25"/>
        <v>0.11232749774694281</v>
      </c>
      <c r="O27" s="3">
        <f t="shared" si="25"/>
        <v>0.10152718630468174</v>
      </c>
      <c r="P27" s="3">
        <f t="shared" si="25"/>
        <v>3.6944093108821324E-2</v>
      </c>
      <c r="Q27" s="3">
        <f t="shared" si="25"/>
        <v>1.5037360339777236E-6</v>
      </c>
      <c r="R27" s="3">
        <f t="shared" si="25"/>
        <v>1.8768846137331558E-50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8.9061105919748418E-2</v>
      </c>
      <c r="C28" s="18">
        <f t="shared" si="3"/>
        <v>0.12987660327805553</v>
      </c>
      <c r="D28" s="17"/>
      <c r="F28" s="3">
        <f t="shared" si="25"/>
        <v>0.12987660327673956</v>
      </c>
      <c r="G28" s="3">
        <f t="shared" si="25"/>
        <v>0.12987660326489564</v>
      </c>
      <c r="H28" s="3">
        <f t="shared" si="25"/>
        <v>0.12987660314645666</v>
      </c>
      <c r="I28" s="3">
        <f t="shared" si="25"/>
        <v>0.12987660196206688</v>
      </c>
      <c r="J28" s="3">
        <f t="shared" si="25"/>
        <v>0.12987659011816949</v>
      </c>
      <c r="K28" s="3">
        <f t="shared" si="25"/>
        <v>0.12987647167925506</v>
      </c>
      <c r="L28" s="3">
        <f t="shared" si="25"/>
        <v>0.12987528729605116</v>
      </c>
      <c r="M28" s="3">
        <f t="shared" si="25"/>
        <v>0.1298634440580374</v>
      </c>
      <c r="N28" s="3">
        <f t="shared" si="25"/>
        <v>0.12974507106037261</v>
      </c>
      <c r="O28" s="3">
        <f t="shared" si="25"/>
        <v>0.12856725934321289</v>
      </c>
      <c r="P28" s="3">
        <f t="shared" si="25"/>
        <v>0.11736147677366299</v>
      </c>
      <c r="Q28" s="3">
        <f t="shared" si="25"/>
        <v>4.7149529170835709E-2</v>
      </c>
      <c r="R28" s="3">
        <f t="shared" si="25"/>
        <v>5.1641078847250514E-6</v>
      </c>
      <c r="S28" s="3">
        <f t="shared" si="25"/>
        <v>1.2828467263728754E-45</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5.1844671472542153E-2</v>
      </c>
      <c r="C29" s="18">
        <f t="shared" si="3"/>
        <v>7.5604381501705717E-2</v>
      </c>
      <c r="D29" s="17"/>
      <c r="F29" s="3">
        <f t="shared" si="25"/>
        <v>7.5604381501636606E-2</v>
      </c>
      <c r="G29" s="3">
        <f t="shared" si="25"/>
        <v>7.5604381501014659E-2</v>
      </c>
      <c r="H29" s="3">
        <f t="shared" si="25"/>
        <v>7.5604381494795134E-2</v>
      </c>
      <c r="I29" s="3">
        <f t="shared" si="25"/>
        <v>7.5604381432599871E-2</v>
      </c>
      <c r="J29" s="3">
        <f t="shared" si="25"/>
        <v>7.560438081064727E-2</v>
      </c>
      <c r="K29" s="3">
        <f t="shared" si="25"/>
        <v>7.5604374591121487E-2</v>
      </c>
      <c r="L29" s="3">
        <f t="shared" si="25"/>
        <v>7.5604312395891812E-2</v>
      </c>
      <c r="M29" s="3">
        <f t="shared" si="25"/>
        <v>7.5603690446409147E-2</v>
      </c>
      <c r="N29" s="3">
        <f t="shared" si="25"/>
        <v>7.5597471232976984E-2</v>
      </c>
      <c r="O29" s="3">
        <f t="shared" si="25"/>
        <v>7.5535307229543672E-2</v>
      </c>
      <c r="P29" s="3">
        <f t="shared" si="25"/>
        <v>7.4916471740441984E-2</v>
      </c>
      <c r="Q29" s="3">
        <f t="shared" si="25"/>
        <v>6.9000219574292809E-2</v>
      </c>
      <c r="R29" s="3">
        <f t="shared" si="25"/>
        <v>3.030972831186084E-2</v>
      </c>
      <c r="S29" s="3">
        <f t="shared" si="25"/>
        <v>8.1077014958339102E-6</v>
      </c>
      <c r="T29" s="3">
        <f t="shared" si="25"/>
        <v>1.5207394884698648E-41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3.414696087479397E-2</v>
      </c>
      <c r="C30" s="18">
        <f t="shared" si="3"/>
        <v>4.9796050081425132E-2</v>
      </c>
      <c r="D30" s="17"/>
      <c r="F30" s="3">
        <f t="shared" si="25"/>
        <v>4.9796050081421024E-2</v>
      </c>
      <c r="G30" s="3">
        <f t="shared" si="25"/>
        <v>4.9796050081384075E-2</v>
      </c>
      <c r="H30" s="3">
        <f t="shared" si="25"/>
        <v>4.9796050081014544E-2</v>
      </c>
      <c r="I30" s="3">
        <f t="shared" si="25"/>
        <v>4.9796050077319222E-2</v>
      </c>
      <c r="J30" s="3">
        <f t="shared" si="25"/>
        <v>4.9796050040366045E-2</v>
      </c>
      <c r="K30" s="3">
        <f t="shared" si="25"/>
        <v>4.9796049670834244E-2</v>
      </c>
      <c r="L30" s="3">
        <f t="shared" si="25"/>
        <v>4.9796045975516436E-2</v>
      </c>
      <c r="M30" s="3">
        <f t="shared" si="25"/>
        <v>4.9796009022353378E-2</v>
      </c>
      <c r="N30" s="3">
        <f t="shared" si="25"/>
        <v>4.9795639492231057E-2</v>
      </c>
      <c r="O30" s="3">
        <f t="shared" si="25"/>
        <v>4.9791944341827619E-2</v>
      </c>
      <c r="P30" s="3">
        <f t="shared" si="25"/>
        <v>4.9755007915626523E-2</v>
      </c>
      <c r="Q30" s="3">
        <f t="shared" si="25"/>
        <v>4.9387147305175849E-2</v>
      </c>
      <c r="R30" s="3">
        <f t="shared" si="25"/>
        <v>4.5854858403060271E-2</v>
      </c>
      <c r="S30" s="3">
        <f t="shared" si="25"/>
        <v>2.1832301067905343E-2</v>
      </c>
      <c r="T30" s="3">
        <f t="shared" si="25"/>
        <v>1.3068960967360508E-5</v>
      </c>
      <c r="U30" s="3">
        <f t="shared" si="25"/>
        <v>7.7206977897989896E-38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1.4377454796650611E-2</v>
      </c>
      <c r="C31" s="18">
        <f t="shared" si="3"/>
        <v>2.0966447401353387E-2</v>
      </c>
      <c r="D31" s="17"/>
      <c r="F31" s="3">
        <f t="shared" si="25"/>
        <v>2.0966447401353231E-2</v>
      </c>
      <c r="G31" s="3">
        <f t="shared" si="25"/>
        <v>2.0966447401351826E-2</v>
      </c>
      <c r="H31" s="3">
        <f t="shared" si="25"/>
        <v>2.0966447401337792E-2</v>
      </c>
      <c r="I31" s="3">
        <f t="shared" si="25"/>
        <v>2.0966447401197439E-2</v>
      </c>
      <c r="J31" s="3">
        <f t="shared" si="25"/>
        <v>2.0966447399793885E-2</v>
      </c>
      <c r="K31" s="3">
        <f t="shared" si="25"/>
        <v>2.0966447385758372E-2</v>
      </c>
      <c r="L31" s="3">
        <f t="shared" si="25"/>
        <v>2.0966447245403218E-2</v>
      </c>
      <c r="M31" s="3">
        <f t="shared" si="25"/>
        <v>2.0966445841851752E-2</v>
      </c>
      <c r="N31" s="3">
        <f t="shared" si="25"/>
        <v>2.0966431806342254E-2</v>
      </c>
      <c r="O31" s="3">
        <f t="shared" si="25"/>
        <v>2.0966291451764034E-2</v>
      </c>
      <c r="P31" s="3">
        <f t="shared" si="25"/>
        <v>2.0964887957657097E-2</v>
      </c>
      <c r="Q31" s="3">
        <f t="shared" si="25"/>
        <v>2.0950858182833293E-2</v>
      </c>
      <c r="R31" s="3">
        <f t="shared" si="25"/>
        <v>2.0811075781821536E-2</v>
      </c>
      <c r="S31" s="3">
        <f t="shared" si="25"/>
        <v>1.9463532575103682E-2</v>
      </c>
      <c r="T31" s="3">
        <f t="shared" si="25"/>
        <v>9.965360692006724E-3</v>
      </c>
      <c r="U31" s="3">
        <f t="shared" si="25"/>
        <v>1.2336915322156608E-5</v>
      </c>
      <c r="V31" s="3">
        <f t="shared" si="26"/>
        <v>1.0431390367036203E-34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2.7047668369634486E-3</v>
      </c>
      <c r="C32" s="18">
        <f t="shared" si="3"/>
        <v>3.9443248072899657E-3</v>
      </c>
      <c r="D32" s="17"/>
      <c r="F32" s="3">
        <f t="shared" si="25"/>
        <v>3.9443248072899631E-3</v>
      </c>
      <c r="G32" s="3">
        <f t="shared" si="25"/>
        <v>3.9443248072899397E-3</v>
      </c>
      <c r="H32" s="3">
        <f t="shared" si="25"/>
        <v>3.9443248072897012E-3</v>
      </c>
      <c r="I32" s="3">
        <f t="shared" si="25"/>
        <v>3.9443248072873194E-3</v>
      </c>
      <c r="J32" s="3">
        <f t="shared" si="25"/>
        <v>3.9443248072634999E-3</v>
      </c>
      <c r="K32" s="3">
        <f t="shared" si="25"/>
        <v>3.9443248070253111E-3</v>
      </c>
      <c r="L32" s="3">
        <f t="shared" si="25"/>
        <v>3.9443248046434143E-3</v>
      </c>
      <c r="M32" s="3">
        <f t="shared" si="25"/>
        <v>3.9443247808244562E-3</v>
      </c>
      <c r="N32" s="3">
        <f t="shared" si="25"/>
        <v>3.9443245426348771E-3</v>
      </c>
      <c r="O32" s="3">
        <f t="shared" si="25"/>
        <v>3.9443221607398764E-3</v>
      </c>
      <c r="P32" s="3">
        <f t="shared" si="25"/>
        <v>3.9442983418689816E-3</v>
      </c>
      <c r="Q32" s="3">
        <f t="shared" si="25"/>
        <v>3.9440601610709154E-3</v>
      </c>
      <c r="R32" s="3">
        <f t="shared" si="25"/>
        <v>3.9416791440015017E-3</v>
      </c>
      <c r="S32" s="3">
        <f t="shared" si="25"/>
        <v>3.9179478879995868E-3</v>
      </c>
      <c r="T32" s="3">
        <f t="shared" si="25"/>
        <v>3.6883532858552983E-3</v>
      </c>
      <c r="U32" s="3">
        <f t="shared" si="25"/>
        <v>2.0163740048086969E-3</v>
      </c>
      <c r="V32" s="3">
        <f t="shared" si="26"/>
        <v>4.807915866067007E-6</v>
      </c>
      <c r="W32" s="3">
        <f t="shared" si="26"/>
        <v>2.8563705977380536E-32</v>
      </c>
      <c r="X32" s="3">
        <f t="shared" si="26"/>
        <v>1.5645573983888399E-294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2.4095465774505776E-3</v>
      </c>
      <c r="C33" s="18">
        <f t="shared" si="3"/>
        <v>3.51380910541953E-3</v>
      </c>
      <c r="D33" s="17"/>
      <c r="F33" s="3">
        <f t="shared" si="25"/>
        <v>3.5138091054195296E-3</v>
      </c>
      <c r="G33" s="3">
        <f t="shared" si="25"/>
        <v>3.5138091054195283E-3</v>
      </c>
      <c r="H33" s="3">
        <f t="shared" si="25"/>
        <v>3.5138091054195087E-3</v>
      </c>
      <c r="I33" s="3">
        <f t="shared" si="25"/>
        <v>3.5138091054193175E-3</v>
      </c>
      <c r="J33" s="3">
        <f t="shared" si="25"/>
        <v>3.5138091054174032E-3</v>
      </c>
      <c r="K33" s="3">
        <f t="shared" si="25"/>
        <v>3.5138091053982614E-3</v>
      </c>
      <c r="L33" s="3">
        <f t="shared" si="25"/>
        <v>3.5138091052068473E-3</v>
      </c>
      <c r="M33" s="3">
        <f t="shared" si="25"/>
        <v>3.5138091032927018E-3</v>
      </c>
      <c r="N33" s="3">
        <f t="shared" si="25"/>
        <v>3.5138090841512512E-3</v>
      </c>
      <c r="O33" s="3">
        <f t="shared" si="25"/>
        <v>3.5138088927367471E-3</v>
      </c>
      <c r="P33" s="3">
        <f t="shared" si="25"/>
        <v>3.5138069785922801E-3</v>
      </c>
      <c r="Q33" s="3">
        <f t="shared" si="25"/>
        <v>3.5137878372049607E-3</v>
      </c>
      <c r="R33" s="3">
        <f t="shared" si="25"/>
        <v>3.513596429066648E-3</v>
      </c>
      <c r="S33" s="3">
        <f t="shared" si="25"/>
        <v>3.5116829210561839E-3</v>
      </c>
      <c r="T33" s="3">
        <f t="shared" si="25"/>
        <v>3.4926050628185158E-3</v>
      </c>
      <c r="U33" s="3">
        <f t="shared" ref="P33:AE48" si="27">$C33*EXP(-U$15/$A33)</f>
        <v>3.3074349936211486E-3</v>
      </c>
      <c r="V33" s="3">
        <f t="shared" si="27"/>
        <v>1.9182698256633688E-3</v>
      </c>
      <c r="W33" s="3">
        <f t="shared" si="27"/>
        <v>8.2621576785130464E-6</v>
      </c>
      <c r="X33" s="3">
        <f t="shared" si="27"/>
        <v>1.8152285548608833E-29</v>
      </c>
      <c r="Y33" s="3">
        <f t="shared" si="27"/>
        <v>4.7567428262288774E-266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4.9358577879715974E-4</v>
      </c>
      <c r="C34" s="18">
        <f t="shared" si="3"/>
        <v>7.1978944921583432E-4</v>
      </c>
      <c r="D34" s="17"/>
      <c r="F34" s="3">
        <f t="shared" ref="F34:O48" si="28">$C34*EXP(-F$15/$A34)</f>
        <v>7.1978944921583432E-4</v>
      </c>
      <c r="G34" s="3">
        <f t="shared" si="28"/>
        <v>7.1978944921583432E-4</v>
      </c>
      <c r="H34" s="3">
        <f t="shared" si="28"/>
        <v>7.1978944921583389E-4</v>
      </c>
      <c r="I34" s="3">
        <f t="shared" si="28"/>
        <v>7.1978944921583042E-4</v>
      </c>
      <c r="J34" s="3">
        <f t="shared" si="28"/>
        <v>7.1978944921579496E-4</v>
      </c>
      <c r="K34" s="3">
        <f t="shared" si="28"/>
        <v>7.197894492154413E-4</v>
      </c>
      <c r="L34" s="3">
        <f t="shared" si="28"/>
        <v>7.197894492119042E-4</v>
      </c>
      <c r="M34" s="3">
        <f t="shared" si="28"/>
        <v>7.1978944917653308E-4</v>
      </c>
      <c r="N34" s="3">
        <f t="shared" si="28"/>
        <v>7.1978944882282187E-4</v>
      </c>
      <c r="O34" s="3">
        <f t="shared" si="28"/>
        <v>7.197894452857103E-4</v>
      </c>
      <c r="P34" s="3">
        <f t="shared" si="27"/>
        <v>7.1978940991459562E-4</v>
      </c>
      <c r="Q34" s="3">
        <f t="shared" si="27"/>
        <v>7.1978905620354353E-4</v>
      </c>
      <c r="R34" s="3">
        <f t="shared" si="27"/>
        <v>7.1978551910258331E-4</v>
      </c>
      <c r="S34" s="3">
        <f t="shared" si="27"/>
        <v>7.1975014904895461E-4</v>
      </c>
      <c r="T34" s="3">
        <f t="shared" si="27"/>
        <v>7.1939654409266184E-4</v>
      </c>
      <c r="U34" s="3">
        <f t="shared" si="27"/>
        <v>7.1587003517347206E-4</v>
      </c>
      <c r="V34" s="3">
        <f t="shared" si="27"/>
        <v>6.8154188907975277E-4</v>
      </c>
      <c r="W34" s="3">
        <f t="shared" si="27"/>
        <v>4.1694257984193381E-4</v>
      </c>
      <c r="X34" s="3">
        <f t="shared" si="27"/>
        <v>3.0613515534265403E-6</v>
      </c>
      <c r="Y34" s="3">
        <f t="shared" si="27"/>
        <v>1.3940641643900575E-27</v>
      </c>
      <c r="Z34" s="3">
        <f t="shared" si="27"/>
        <v>5.3453770737379403E-241</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3.6894830155521956E-4</v>
      </c>
      <c r="C35" s="18">
        <f t="shared" si="3"/>
        <v>5.3803230598076777E-4</v>
      </c>
      <c r="D35" s="17"/>
      <c r="F35" s="3">
        <f t="shared" si="28"/>
        <v>5.3803230598076777E-4</v>
      </c>
      <c r="G35" s="3">
        <f t="shared" si="28"/>
        <v>5.3803230598076777E-4</v>
      </c>
      <c r="H35" s="3">
        <f t="shared" si="28"/>
        <v>5.3803230598076777E-4</v>
      </c>
      <c r="I35" s="3">
        <f t="shared" si="28"/>
        <v>5.3803230598076755E-4</v>
      </c>
      <c r="J35" s="3">
        <f t="shared" si="28"/>
        <v>5.3803230598076517E-4</v>
      </c>
      <c r="K35" s="3">
        <f t="shared" si="28"/>
        <v>5.3803230598074121E-4</v>
      </c>
      <c r="L35" s="3">
        <f t="shared" si="28"/>
        <v>5.3803230598050279E-4</v>
      </c>
      <c r="M35" s="3">
        <f t="shared" si="28"/>
        <v>5.3803230597811765E-4</v>
      </c>
      <c r="N35" s="3">
        <f t="shared" si="28"/>
        <v>5.3803230595426716E-4</v>
      </c>
      <c r="O35" s="3">
        <f t="shared" si="28"/>
        <v>5.3803230571576176E-4</v>
      </c>
      <c r="P35" s="3">
        <f t="shared" si="27"/>
        <v>5.3803230333070769E-4</v>
      </c>
      <c r="Q35" s="3">
        <f t="shared" si="27"/>
        <v>5.3803227948016766E-4</v>
      </c>
      <c r="R35" s="3">
        <f t="shared" si="27"/>
        <v>5.3803204097482567E-4</v>
      </c>
      <c r="S35" s="3">
        <f t="shared" si="27"/>
        <v>5.3802965592722061E-4</v>
      </c>
      <c r="T35" s="3">
        <f t="shared" si="27"/>
        <v>5.3800580603266014E-4</v>
      </c>
      <c r="U35" s="3">
        <f t="shared" si="27"/>
        <v>5.3776736522660404E-4</v>
      </c>
      <c r="V35" s="3">
        <f t="shared" si="27"/>
        <v>5.3538876159617288E-4</v>
      </c>
      <c r="W35" s="3">
        <f t="shared" si="27"/>
        <v>5.1217375982489798E-4</v>
      </c>
      <c r="X35" s="3">
        <f t="shared" si="27"/>
        <v>3.2877445263887874E-4</v>
      </c>
      <c r="Y35" s="3">
        <f t="shared" si="27"/>
        <v>3.9057590910402145E-6</v>
      </c>
      <c r="Z35" s="3">
        <f t="shared" si="27"/>
        <v>2.1866503363944043E-25</v>
      </c>
      <c r="AA35" s="3">
        <f t="shared" si="27"/>
        <v>6.6148230506259202E-218</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3.8688392165127573E-4</v>
      </c>
      <c r="C36" s="18">
        <f t="shared" si="3"/>
        <v>5.6418757759686938E-4</v>
      </c>
      <c r="D36" s="17"/>
      <c r="F36" s="3">
        <f t="shared" si="28"/>
        <v>5.6418757759686938E-4</v>
      </c>
      <c r="G36" s="3">
        <f t="shared" si="28"/>
        <v>5.6418757759686938E-4</v>
      </c>
      <c r="H36" s="3">
        <f t="shared" si="28"/>
        <v>5.6418757759686938E-4</v>
      </c>
      <c r="I36" s="3">
        <f t="shared" si="28"/>
        <v>5.6418757759686938E-4</v>
      </c>
      <c r="J36" s="3">
        <f t="shared" si="28"/>
        <v>5.6418757759686916E-4</v>
      </c>
      <c r="K36" s="3">
        <f t="shared" si="28"/>
        <v>5.6418757759686688E-4</v>
      </c>
      <c r="L36" s="3">
        <f t="shared" si="28"/>
        <v>5.6418757759684433E-4</v>
      </c>
      <c r="M36" s="3">
        <f t="shared" si="28"/>
        <v>5.6418757759661871E-4</v>
      </c>
      <c r="N36" s="3">
        <f t="shared" si="28"/>
        <v>5.6418757759436259E-4</v>
      </c>
      <c r="O36" s="3">
        <f t="shared" si="28"/>
        <v>5.6418757757180154E-4</v>
      </c>
      <c r="P36" s="3">
        <f t="shared" si="27"/>
        <v>5.6418757734619067E-4</v>
      </c>
      <c r="Q36" s="3">
        <f t="shared" si="27"/>
        <v>5.6418757509008217E-4</v>
      </c>
      <c r="R36" s="3">
        <f t="shared" si="27"/>
        <v>5.6418755252899756E-4</v>
      </c>
      <c r="S36" s="3">
        <f t="shared" si="27"/>
        <v>5.641873269182008E-4</v>
      </c>
      <c r="T36" s="3">
        <f t="shared" si="27"/>
        <v>5.6418507081519554E-4</v>
      </c>
      <c r="U36" s="3">
        <f t="shared" si="27"/>
        <v>5.6416251028133693E-4</v>
      </c>
      <c r="V36" s="3">
        <f t="shared" si="27"/>
        <v>5.6393695455486757E-4</v>
      </c>
      <c r="W36" s="3">
        <f t="shared" si="27"/>
        <v>5.61686351169061E-4</v>
      </c>
      <c r="X36" s="3">
        <f t="shared" si="27"/>
        <v>5.3966845328423316E-4</v>
      </c>
      <c r="Y36" s="3">
        <f t="shared" si="27"/>
        <v>3.6179173573716545E-4</v>
      </c>
      <c r="Z36" s="3">
        <f t="shared" si="27"/>
        <v>6.6339889899826828E-6</v>
      </c>
      <c r="AA36" s="3">
        <f t="shared" si="27"/>
        <v>2.8505967673788485E-23</v>
      </c>
      <c r="AB36" s="3">
        <f t="shared" si="27"/>
        <v>6.1171088315211221E-197</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3.6274040493748948E-4</v>
      </c>
      <c r="C37" s="18">
        <f t="shared" si="3"/>
        <v>5.289794145093928E-4</v>
      </c>
      <c r="D37" s="17"/>
      <c r="F37" s="3">
        <f t="shared" si="28"/>
        <v>5.289794145093928E-4</v>
      </c>
      <c r="G37" s="3">
        <f t="shared" si="28"/>
        <v>5.289794145093928E-4</v>
      </c>
      <c r="H37" s="3">
        <f t="shared" si="28"/>
        <v>5.289794145093928E-4</v>
      </c>
      <c r="I37" s="3">
        <f t="shared" si="28"/>
        <v>5.289794145093928E-4</v>
      </c>
      <c r="J37" s="3">
        <f t="shared" si="28"/>
        <v>5.289794145093928E-4</v>
      </c>
      <c r="K37" s="3">
        <f t="shared" si="28"/>
        <v>5.2897941450939258E-4</v>
      </c>
      <c r="L37" s="3">
        <f t="shared" si="28"/>
        <v>5.2897941450939063E-4</v>
      </c>
      <c r="M37" s="3">
        <f t="shared" si="28"/>
        <v>5.2897941450937155E-4</v>
      </c>
      <c r="N37" s="3">
        <f t="shared" si="28"/>
        <v>5.2897941450918084E-4</v>
      </c>
      <c r="O37" s="3">
        <f t="shared" si="28"/>
        <v>5.2897941450727253E-4</v>
      </c>
      <c r="P37" s="3">
        <f t="shared" si="27"/>
        <v>5.2897941448819068E-4</v>
      </c>
      <c r="Q37" s="3">
        <f t="shared" si="27"/>
        <v>5.2897941429737164E-4</v>
      </c>
      <c r="R37" s="3">
        <f t="shared" si="27"/>
        <v>5.289794123891807E-4</v>
      </c>
      <c r="S37" s="3">
        <f t="shared" si="27"/>
        <v>5.2897939330727168E-4</v>
      </c>
      <c r="T37" s="3">
        <f t="shared" si="27"/>
        <v>5.2897920248822026E-4</v>
      </c>
      <c r="U37" s="3">
        <f t="shared" si="27"/>
        <v>5.2897729430149206E-4</v>
      </c>
      <c r="V37" s="3">
        <f t="shared" si="27"/>
        <v>5.2895821281279251E-4</v>
      </c>
      <c r="W37" s="3">
        <f t="shared" si="27"/>
        <v>5.2876743577904629E-4</v>
      </c>
      <c r="X37" s="3">
        <f t="shared" si="27"/>
        <v>5.2686344571914619E-4</v>
      </c>
      <c r="Y37" s="3">
        <f t="shared" si="27"/>
        <v>5.0819657564137673E-4</v>
      </c>
      <c r="Z37" s="3">
        <f t="shared" si="27"/>
        <v>3.5429775391667193E-4</v>
      </c>
      <c r="AA37" s="3">
        <f t="shared" si="27"/>
        <v>9.6102579973864377E-6</v>
      </c>
      <c r="AB37" s="3">
        <f t="shared" si="27"/>
        <v>2.0720561730616121E-21</v>
      </c>
      <c r="AC37" s="3">
        <f t="shared" si="27"/>
        <v>4.4984852882606864E-178</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3.6719432198844102E-5</v>
      </c>
      <c r="C38" s="18">
        <f t="shared" si="3"/>
        <v>5.3547450135887617E-5</v>
      </c>
      <c r="D38" s="17"/>
      <c r="F38" s="3">
        <f t="shared" si="28"/>
        <v>5.3547450135887617E-5</v>
      </c>
      <c r="G38" s="3">
        <f t="shared" si="28"/>
        <v>5.3547450135887617E-5</v>
      </c>
      <c r="H38" s="3">
        <f t="shared" si="28"/>
        <v>5.3547450135887617E-5</v>
      </c>
      <c r="I38" s="3">
        <f t="shared" si="28"/>
        <v>5.3547450135887617E-5</v>
      </c>
      <c r="J38" s="3">
        <f t="shared" si="28"/>
        <v>5.3547450135887617E-5</v>
      </c>
      <c r="K38" s="3">
        <f t="shared" si="28"/>
        <v>5.3547450135887617E-5</v>
      </c>
      <c r="L38" s="3">
        <f t="shared" si="28"/>
        <v>5.3547450135887597E-5</v>
      </c>
      <c r="M38" s="3">
        <f t="shared" si="28"/>
        <v>5.3547450135887421E-5</v>
      </c>
      <c r="N38" s="3">
        <f t="shared" si="28"/>
        <v>5.3547450135885679E-5</v>
      </c>
      <c r="O38" s="3">
        <f t="shared" si="28"/>
        <v>5.3547450135868257E-5</v>
      </c>
      <c r="P38" s="3">
        <f t="shared" si="27"/>
        <v>5.3547450135694006E-5</v>
      </c>
      <c r="Q38" s="3">
        <f t="shared" si="27"/>
        <v>5.354745013395153E-5</v>
      </c>
      <c r="R38" s="3">
        <f t="shared" si="27"/>
        <v>5.35474501165267E-5</v>
      </c>
      <c r="S38" s="3">
        <f t="shared" si="27"/>
        <v>5.3547449942278437E-5</v>
      </c>
      <c r="T38" s="3">
        <f t="shared" si="27"/>
        <v>5.3547448199795909E-5</v>
      </c>
      <c r="U38" s="3">
        <f t="shared" si="27"/>
        <v>5.3547430774973663E-5</v>
      </c>
      <c r="V38" s="3">
        <f t="shared" si="27"/>
        <v>5.3547256527063095E-5</v>
      </c>
      <c r="W38" s="3">
        <f t="shared" si="27"/>
        <v>5.3545514079143075E-5</v>
      </c>
      <c r="X38" s="3">
        <f t="shared" si="27"/>
        <v>5.3528092718133633E-5</v>
      </c>
      <c r="Y38" s="3">
        <f t="shared" si="27"/>
        <v>5.3354190552008462E-5</v>
      </c>
      <c r="Z38" s="3">
        <f t="shared" si="27"/>
        <v>5.1645941546481539E-5</v>
      </c>
      <c r="AA38" s="3">
        <f t="shared" si="27"/>
        <v>3.7300344067236452E-5</v>
      </c>
      <c r="AB38" s="3">
        <f t="shared" si="27"/>
        <v>1.440387098764328E-6</v>
      </c>
      <c r="AC38" s="3">
        <f t="shared" si="27"/>
        <v>1.062045376339023E-20</v>
      </c>
      <c r="AD38" s="3">
        <f t="shared" si="27"/>
        <v>5.0440753988655737E-162</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3.0512149921022095E-4</v>
      </c>
      <c r="C39" s="18">
        <f t="shared" si="3"/>
        <v>4.4495454548071421E-4</v>
      </c>
      <c r="D39" s="17"/>
      <c r="F39" s="3">
        <f t="shared" si="28"/>
        <v>4.4495454548071421E-4</v>
      </c>
      <c r="G39" s="3">
        <f t="shared" si="28"/>
        <v>4.4495454548071421E-4</v>
      </c>
      <c r="H39" s="3">
        <f t="shared" si="28"/>
        <v>4.4495454548071421E-4</v>
      </c>
      <c r="I39" s="3">
        <f t="shared" si="28"/>
        <v>4.4495454548071421E-4</v>
      </c>
      <c r="J39" s="3">
        <f t="shared" si="28"/>
        <v>4.4495454548071421E-4</v>
      </c>
      <c r="K39" s="3">
        <f t="shared" si="28"/>
        <v>4.4495454548071421E-4</v>
      </c>
      <c r="L39" s="3">
        <f t="shared" si="28"/>
        <v>4.4495454548071416E-4</v>
      </c>
      <c r="M39" s="3">
        <f t="shared" si="28"/>
        <v>4.4495454548071378E-4</v>
      </c>
      <c r="N39" s="3">
        <f t="shared" si="28"/>
        <v>4.4495454548070976E-4</v>
      </c>
      <c r="O39" s="3">
        <f t="shared" si="28"/>
        <v>4.449545454806697E-4</v>
      </c>
      <c r="P39" s="3">
        <f t="shared" si="27"/>
        <v>4.4495454548026925E-4</v>
      </c>
      <c r="Q39" s="3">
        <f t="shared" si="27"/>
        <v>4.4495454547626464E-4</v>
      </c>
      <c r="R39" s="3">
        <f t="shared" si="27"/>
        <v>4.4495454543621877E-4</v>
      </c>
      <c r="S39" s="3">
        <f t="shared" si="27"/>
        <v>4.449545450357597E-4</v>
      </c>
      <c r="T39" s="3">
        <f t="shared" si="27"/>
        <v>4.4495454103116877E-4</v>
      </c>
      <c r="U39" s="3">
        <f t="shared" si="27"/>
        <v>4.4495450098526191E-4</v>
      </c>
      <c r="V39" s="3">
        <f t="shared" si="27"/>
        <v>4.449541005263912E-4</v>
      </c>
      <c r="W39" s="3">
        <f t="shared" si="27"/>
        <v>4.4495009595750708E-4</v>
      </c>
      <c r="X39" s="3">
        <f t="shared" si="27"/>
        <v>4.4491005225086473E-4</v>
      </c>
      <c r="Y39" s="3">
        <f t="shared" si="27"/>
        <v>4.4450981333836567E-4</v>
      </c>
      <c r="Z39" s="3">
        <f t="shared" si="27"/>
        <v>4.4052717377911774E-4</v>
      </c>
      <c r="AA39" s="3">
        <f t="shared" si="27"/>
        <v>4.0261152207613334E-4</v>
      </c>
      <c r="AB39" s="3">
        <f t="shared" si="27"/>
        <v>1.6368962953813826E-4</v>
      </c>
      <c r="AC39" s="3">
        <f t="shared" si="27"/>
        <v>2.0200905112322799E-8</v>
      </c>
      <c r="AD39" s="3">
        <f t="shared" si="27"/>
        <v>1.6552647150640754E-47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1.0484752931113214E-5</v>
      </c>
      <c r="C40" s="18">
        <f t="shared" si="3"/>
        <v>1.5289773047840316E-5</v>
      </c>
      <c r="D40" s="17"/>
      <c r="F40" s="3">
        <f t="shared" si="28"/>
        <v>1.5289773047840316E-5</v>
      </c>
      <c r="G40" s="3">
        <f t="shared" si="28"/>
        <v>1.5289773047840316E-5</v>
      </c>
      <c r="H40" s="3">
        <f t="shared" si="28"/>
        <v>1.5289773047840316E-5</v>
      </c>
      <c r="I40" s="3">
        <f t="shared" si="28"/>
        <v>1.5289773047840316E-5</v>
      </c>
      <c r="J40" s="3">
        <f t="shared" si="28"/>
        <v>1.5289773047840316E-5</v>
      </c>
      <c r="K40" s="3">
        <f t="shared" si="28"/>
        <v>1.5289773047840316E-5</v>
      </c>
      <c r="L40" s="3">
        <f t="shared" si="28"/>
        <v>1.5289773047840316E-5</v>
      </c>
      <c r="M40" s="3">
        <f t="shared" si="28"/>
        <v>1.5289773047840312E-5</v>
      </c>
      <c r="N40" s="3">
        <f t="shared" si="28"/>
        <v>1.5289773047840299E-5</v>
      </c>
      <c r="O40" s="3">
        <f t="shared" si="28"/>
        <v>1.5289773047840163E-5</v>
      </c>
      <c r="P40" s="3">
        <f t="shared" si="27"/>
        <v>1.5289773047838788E-5</v>
      </c>
      <c r="Q40" s="3">
        <f t="shared" si="27"/>
        <v>1.5289773047825025E-5</v>
      </c>
      <c r="R40" s="3">
        <f t="shared" si="27"/>
        <v>1.528977304768742E-5</v>
      </c>
      <c r="S40" s="3">
        <f t="shared" si="27"/>
        <v>1.528977304631134E-5</v>
      </c>
      <c r="T40" s="3">
        <f t="shared" si="27"/>
        <v>1.5289773032550544E-5</v>
      </c>
      <c r="U40" s="3">
        <f t="shared" si="27"/>
        <v>1.5289772894942585E-5</v>
      </c>
      <c r="V40" s="3">
        <f t="shared" si="27"/>
        <v>1.5289771518863088E-5</v>
      </c>
      <c r="W40" s="3">
        <f t="shared" si="27"/>
        <v>1.5289757758074914E-5</v>
      </c>
      <c r="X40" s="3">
        <f t="shared" si="27"/>
        <v>1.5289620150874323E-5</v>
      </c>
      <c r="Y40" s="3">
        <f t="shared" si="27"/>
        <v>1.528824414698185E-5</v>
      </c>
      <c r="Z40" s="3">
        <f t="shared" si="27"/>
        <v>1.5274490917131341E-5</v>
      </c>
      <c r="AA40" s="3">
        <f t="shared" si="27"/>
        <v>1.5137637264076816E-5</v>
      </c>
      <c r="AB40" s="3">
        <f t="shared" si="27"/>
        <v>1.3834758766963634E-5</v>
      </c>
      <c r="AC40" s="3">
        <f t="shared" si="27"/>
        <v>5.6247931644776759E-6</v>
      </c>
      <c r="AD40" s="3">
        <f t="shared" si="27"/>
        <v>6.9415462245628432E-10</v>
      </c>
      <c r="AE40" s="3">
        <f t="shared" si="27"/>
        <v>5.6879117394081636E-49</v>
      </c>
      <c r="AF40" s="3">
        <f t="shared" si="29"/>
        <v>0</v>
      </c>
      <c r="AG40" s="3">
        <f t="shared" si="29"/>
        <v>0</v>
      </c>
      <c r="AH40" s="3">
        <f t="shared" si="29"/>
        <v>0</v>
      </c>
      <c r="AI40" s="3">
        <f t="shared" si="29"/>
        <v>0</v>
      </c>
      <c r="AJ40" s="3">
        <f t="shared" si="29"/>
        <v>0</v>
      </c>
    </row>
    <row r="41" spans="1:36" x14ac:dyDescent="0.25">
      <c r="A41" s="3">
        <f t="shared" si="30"/>
        <v>1000000000</v>
      </c>
      <c r="B41" s="106">
        <v>1.7200084003519647E-4</v>
      </c>
      <c r="C41" s="18">
        <f t="shared" si="3"/>
        <v>2.5082649304706281E-4</v>
      </c>
      <c r="D41" s="17"/>
      <c r="F41" s="3">
        <f t="shared" si="28"/>
        <v>2.5082649304706281E-4</v>
      </c>
      <c r="G41" s="3">
        <f t="shared" si="28"/>
        <v>2.5082649304706281E-4</v>
      </c>
      <c r="H41" s="3">
        <f t="shared" si="28"/>
        <v>2.5082649304706281E-4</v>
      </c>
      <c r="I41" s="3">
        <f t="shared" si="28"/>
        <v>2.5082649304706281E-4</v>
      </c>
      <c r="J41" s="3">
        <f t="shared" si="28"/>
        <v>2.5082649304706281E-4</v>
      </c>
      <c r="K41" s="3">
        <f t="shared" si="28"/>
        <v>2.5082649304706281E-4</v>
      </c>
      <c r="L41" s="3">
        <f t="shared" si="28"/>
        <v>2.5082649304706281E-4</v>
      </c>
      <c r="M41" s="3">
        <f t="shared" si="28"/>
        <v>2.5082649304706281E-4</v>
      </c>
      <c r="N41" s="3">
        <f t="shared" si="28"/>
        <v>2.5082649304706276E-4</v>
      </c>
      <c r="O41" s="3">
        <f t="shared" si="28"/>
        <v>2.5082649304706254E-4</v>
      </c>
      <c r="P41" s="3">
        <f t="shared" si="27"/>
        <v>2.5082649304706032E-4</v>
      </c>
      <c r="Q41" s="3">
        <f t="shared" si="27"/>
        <v>2.5082649304703771E-4</v>
      </c>
      <c r="R41" s="3">
        <f t="shared" si="27"/>
        <v>2.5082649304681198E-4</v>
      </c>
      <c r="S41" s="3">
        <f t="shared" si="27"/>
        <v>2.5082649304455457E-4</v>
      </c>
      <c r="T41" s="3">
        <f t="shared" si="27"/>
        <v>2.5082649302198018E-4</v>
      </c>
      <c r="U41" s="3">
        <f t="shared" si="27"/>
        <v>2.5082649279623633E-4</v>
      </c>
      <c r="V41" s="3">
        <f t="shared" si="27"/>
        <v>2.508264905387979E-4</v>
      </c>
      <c r="W41" s="3">
        <f t="shared" si="27"/>
        <v>2.5082646796441478E-4</v>
      </c>
      <c r="X41" s="3">
        <f t="shared" si="27"/>
        <v>2.5082624222069516E-4</v>
      </c>
      <c r="Y41" s="3">
        <f t="shared" si="27"/>
        <v>2.508239847946736E-4</v>
      </c>
      <c r="Z41" s="3">
        <f t="shared" si="27"/>
        <v>2.5080141165184877E-4</v>
      </c>
      <c r="AA41" s="3">
        <f t="shared" si="27"/>
        <v>2.505757919254683E-4</v>
      </c>
      <c r="AB41" s="3">
        <f t="shared" si="27"/>
        <v>2.4833072774113141E-4</v>
      </c>
      <c r="AC41" s="3">
        <f t="shared" si="27"/>
        <v>2.2695719634371886E-4</v>
      </c>
      <c r="AD41" s="3">
        <f t="shared" si="27"/>
        <v>9.2273910093146138E-5</v>
      </c>
      <c r="AE41" s="3">
        <f t="shared" si="27"/>
        <v>1.1387505166907047E-8</v>
      </c>
      <c r="AF41" s="3">
        <f t="shared" si="29"/>
        <v>9.3309361093393562E-48</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3.8863199084652806E-5</v>
      </c>
      <c r="C43" s="18">
        <f t="shared" si="3"/>
        <v>5.6673676320409674E-5</v>
      </c>
      <c r="D43" s="17"/>
      <c r="F43" s="3">
        <f t="shared" si="28"/>
        <v>5.6673676320409674E-5</v>
      </c>
      <c r="G43" s="3">
        <f t="shared" si="28"/>
        <v>5.6673676320409674E-5</v>
      </c>
      <c r="H43" s="3">
        <f t="shared" si="28"/>
        <v>5.6673676320409674E-5</v>
      </c>
      <c r="I43" s="3">
        <f t="shared" si="28"/>
        <v>5.6673676320409674E-5</v>
      </c>
      <c r="J43" s="3">
        <f t="shared" si="28"/>
        <v>5.6673676320409674E-5</v>
      </c>
      <c r="K43" s="3">
        <f t="shared" si="28"/>
        <v>5.6673676320409674E-5</v>
      </c>
      <c r="L43" s="3">
        <f t="shared" si="28"/>
        <v>5.6673676320409674E-5</v>
      </c>
      <c r="M43" s="3">
        <f t="shared" si="28"/>
        <v>5.6673676320409674E-5</v>
      </c>
      <c r="N43" s="3">
        <f t="shared" si="28"/>
        <v>5.6673676320409674E-5</v>
      </c>
      <c r="O43" s="3">
        <f t="shared" si="28"/>
        <v>5.6673676320409674E-5</v>
      </c>
      <c r="P43" s="3">
        <f t="shared" si="27"/>
        <v>5.6673676320409667E-5</v>
      </c>
      <c r="Q43" s="3">
        <f t="shared" si="27"/>
        <v>5.667367632040962E-5</v>
      </c>
      <c r="R43" s="3">
        <f t="shared" si="27"/>
        <v>5.6673676320409105E-5</v>
      </c>
      <c r="S43" s="3">
        <f t="shared" si="27"/>
        <v>5.6673676320404002E-5</v>
      </c>
      <c r="T43" s="3">
        <f t="shared" si="27"/>
        <v>5.6673676320353004E-5</v>
      </c>
      <c r="U43" s="3">
        <f t="shared" si="27"/>
        <v>5.6673676319842934E-5</v>
      </c>
      <c r="V43" s="3">
        <f t="shared" si="27"/>
        <v>5.6673676314742305E-5</v>
      </c>
      <c r="W43" s="3">
        <f t="shared" si="27"/>
        <v>5.6673676263736E-5</v>
      </c>
      <c r="X43" s="3">
        <f t="shared" si="27"/>
        <v>5.6673675753672912E-5</v>
      </c>
      <c r="Y43" s="3">
        <f t="shared" si="27"/>
        <v>5.6673670653042328E-5</v>
      </c>
      <c r="Z43" s="3">
        <f t="shared" si="27"/>
        <v>5.6673619646761694E-5</v>
      </c>
      <c r="AA43" s="3">
        <f t="shared" si="27"/>
        <v>5.6673109586480147E-5</v>
      </c>
      <c r="AB43" s="3">
        <f t="shared" si="27"/>
        <v>5.6668009236136568E-5</v>
      </c>
      <c r="AC43" s="3">
        <f t="shared" si="27"/>
        <v>5.6617030971484177E-5</v>
      </c>
      <c r="AD43" s="3">
        <f t="shared" si="27"/>
        <v>5.6109763818975762E-5</v>
      </c>
      <c r="AE43" s="3">
        <f t="shared" si="27"/>
        <v>5.1280462952365188E-5</v>
      </c>
      <c r="AF43" s="3">
        <f t="shared" si="29"/>
        <v>2.0849080373883516E-5</v>
      </c>
      <c r="AG43" s="3">
        <f t="shared" si="29"/>
        <v>2.5729809243284003E-9</v>
      </c>
      <c r="AH43" s="3">
        <f t="shared" si="29"/>
        <v>2.1083038175233696E-48</v>
      </c>
      <c r="AI43" s="3">
        <f t="shared" si="29"/>
        <v>0</v>
      </c>
      <c r="AJ43" s="3">
        <f t="shared" si="29"/>
        <v>0</v>
      </c>
    </row>
    <row r="44" spans="1:36" x14ac:dyDescent="0.25">
      <c r="A44" s="3">
        <f t="shared" si="30"/>
        <v>1000000000000</v>
      </c>
      <c r="B44" s="106">
        <v>8.4255652253234509E-5</v>
      </c>
      <c r="C44" s="18">
        <f t="shared" si="3"/>
        <v>1.228688753482083E-4</v>
      </c>
      <c r="D44" s="17"/>
      <c r="F44" s="3">
        <f t="shared" si="28"/>
        <v>1.228688753482083E-4</v>
      </c>
      <c r="G44" s="3">
        <f t="shared" si="28"/>
        <v>1.228688753482083E-4</v>
      </c>
      <c r="H44" s="3">
        <f t="shared" si="28"/>
        <v>1.228688753482083E-4</v>
      </c>
      <c r="I44" s="3">
        <f t="shared" si="28"/>
        <v>1.228688753482083E-4</v>
      </c>
      <c r="J44" s="3">
        <f t="shared" si="28"/>
        <v>1.228688753482083E-4</v>
      </c>
      <c r="K44" s="3">
        <f t="shared" si="28"/>
        <v>1.228688753482083E-4</v>
      </c>
      <c r="L44" s="3">
        <f t="shared" si="28"/>
        <v>1.228688753482083E-4</v>
      </c>
      <c r="M44" s="3">
        <f t="shared" si="28"/>
        <v>1.228688753482083E-4</v>
      </c>
      <c r="N44" s="3">
        <f t="shared" si="28"/>
        <v>1.228688753482083E-4</v>
      </c>
      <c r="O44" s="3">
        <f t="shared" si="28"/>
        <v>1.228688753482083E-4</v>
      </c>
      <c r="P44" s="3">
        <f t="shared" si="27"/>
        <v>1.228688753482083E-4</v>
      </c>
      <c r="Q44" s="3">
        <f t="shared" si="27"/>
        <v>1.2286887534820827E-4</v>
      </c>
      <c r="R44" s="3">
        <f t="shared" si="27"/>
        <v>1.2286887534820816E-4</v>
      </c>
      <c r="S44" s="3">
        <f t="shared" si="27"/>
        <v>1.2286887534820708E-4</v>
      </c>
      <c r="T44" s="3">
        <f t="shared" si="27"/>
        <v>1.2286887534819602E-4</v>
      </c>
      <c r="U44" s="3">
        <f t="shared" si="27"/>
        <v>1.2286887534808543E-4</v>
      </c>
      <c r="V44" s="3">
        <f t="shared" si="27"/>
        <v>1.228688753469796E-4</v>
      </c>
      <c r="W44" s="3">
        <f t="shared" si="27"/>
        <v>1.2286887533592141E-4</v>
      </c>
      <c r="X44" s="3">
        <f t="shared" si="27"/>
        <v>1.2286887522533943E-4</v>
      </c>
      <c r="Y44" s="3">
        <f t="shared" si="27"/>
        <v>1.2286887411951954E-4</v>
      </c>
      <c r="Z44" s="3">
        <f t="shared" si="27"/>
        <v>1.2286886306132137E-4</v>
      </c>
      <c r="AA44" s="3">
        <f t="shared" si="27"/>
        <v>1.2286875247939438E-4</v>
      </c>
      <c r="AB44" s="3">
        <f t="shared" si="27"/>
        <v>1.2286764666559824E-4</v>
      </c>
      <c r="AC44" s="3">
        <f t="shared" si="27"/>
        <v>1.2285658907499738E-4</v>
      </c>
      <c r="AD44" s="3">
        <f t="shared" si="27"/>
        <v>1.2274606788682474E-4</v>
      </c>
      <c r="AE44" s="3">
        <f t="shared" si="27"/>
        <v>1.2164630961144088E-4</v>
      </c>
      <c r="AF44" s="3">
        <f t="shared" si="29"/>
        <v>1.1117635592705495E-4</v>
      </c>
      <c r="AG44" s="3">
        <f t="shared" si="29"/>
        <v>4.5200933200462476E-5</v>
      </c>
      <c r="AH44" s="3">
        <f t="shared" si="29"/>
        <v>5.5782383108041636E-9</v>
      </c>
      <c r="AI44" s="3">
        <f t="shared" si="29"/>
        <v>4.5708155138356845E-48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1.1408743894066911E-4</v>
      </c>
      <c r="C48" s="18">
        <f t="shared" si="3"/>
        <v>1.663721654170598E-4</v>
      </c>
      <c r="D48" s="17"/>
      <c r="F48" s="3">
        <f t="shared" si="28"/>
        <v>1.663721654170598E-4</v>
      </c>
      <c r="G48" s="3">
        <f t="shared" si="28"/>
        <v>1.663721654170598E-4</v>
      </c>
      <c r="H48" s="3">
        <f t="shared" si="28"/>
        <v>1.663721654170598E-4</v>
      </c>
      <c r="I48" s="3">
        <f t="shared" si="28"/>
        <v>1.663721654170598E-4</v>
      </c>
      <c r="J48" s="3">
        <f t="shared" si="28"/>
        <v>1.663721654170598E-4</v>
      </c>
      <c r="K48" s="3">
        <f t="shared" si="28"/>
        <v>1.663721654170598E-4</v>
      </c>
      <c r="L48" s="3">
        <f t="shared" si="28"/>
        <v>1.663721654170598E-4</v>
      </c>
      <c r="M48" s="3">
        <f t="shared" si="28"/>
        <v>1.663721654170598E-4</v>
      </c>
      <c r="N48" s="3">
        <f t="shared" si="28"/>
        <v>1.663721654170598E-4</v>
      </c>
      <c r="O48" s="3">
        <f t="shared" si="28"/>
        <v>1.663721654170598E-4</v>
      </c>
      <c r="P48" s="3">
        <f t="shared" si="27"/>
        <v>1.663721654170598E-4</v>
      </c>
      <c r="Q48" s="3">
        <f t="shared" si="27"/>
        <v>1.663721654170598E-4</v>
      </c>
      <c r="R48" s="3">
        <f t="shared" si="27"/>
        <v>1.663721654170598E-4</v>
      </c>
      <c r="S48" s="3">
        <f t="shared" si="27"/>
        <v>1.663721654170598E-4</v>
      </c>
      <c r="T48" s="3">
        <f t="shared" si="27"/>
        <v>1.663721654170598E-4</v>
      </c>
      <c r="U48" s="3">
        <f t="shared" si="27"/>
        <v>1.6637216541705977E-4</v>
      </c>
      <c r="V48" s="3">
        <f t="shared" si="27"/>
        <v>1.6637216541705963E-4</v>
      </c>
      <c r="W48" s="3">
        <f t="shared" si="27"/>
        <v>1.6637216541705814E-4</v>
      </c>
      <c r="X48" s="3">
        <f t="shared" si="27"/>
        <v>1.6637216541704315E-4</v>
      </c>
      <c r="Y48" s="3">
        <f t="shared" si="27"/>
        <v>1.6637216541689342E-4</v>
      </c>
      <c r="Z48" s="3">
        <f t="shared" si="27"/>
        <v>1.6637216541539609E-4</v>
      </c>
      <c r="AA48" s="3">
        <f t="shared" si="27"/>
        <v>1.6637216540042258E-4</v>
      </c>
      <c r="AB48" s="3">
        <f t="shared" si="27"/>
        <v>1.6637216525068764E-4</v>
      </c>
      <c r="AC48" s="3">
        <f t="shared" si="27"/>
        <v>1.6637216375333815E-4</v>
      </c>
      <c r="AD48" s="3">
        <f t="shared" si="27"/>
        <v>1.663721487798441E-4</v>
      </c>
      <c r="AE48" s="3">
        <f t="shared" si="27"/>
        <v>1.6637199904497756E-4</v>
      </c>
      <c r="AF48" s="3">
        <f t="shared" si="29"/>
        <v>1.6637050170372421E-4</v>
      </c>
      <c r="AG48" s="3">
        <f t="shared" si="29"/>
        <v>1.6635552903235119E-4</v>
      </c>
      <c r="AH48" s="3">
        <f t="shared" si="29"/>
        <v>1.6620587641000368E-4</v>
      </c>
      <c r="AI48" s="3">
        <f t="shared" si="29"/>
        <v>1.6471673471164916E-4</v>
      </c>
      <c r="AJ48" s="3">
        <f t="shared" si="29"/>
        <v>1.5053976058902394E-4</v>
      </c>
    </row>
    <row r="49" spans="1:36" x14ac:dyDescent="0.25">
      <c r="B49" s="16">
        <f>SUM(B17:B48)</f>
        <v>0.68573633488916885</v>
      </c>
      <c r="C49" s="18">
        <f>SUM(C17:C48)</f>
        <v>1</v>
      </c>
      <c r="F49" s="3">
        <f t="shared" ref="F49:AJ49" si="31">F16-F17</f>
        <v>70.230650299184163</v>
      </c>
      <c r="G49" s="3">
        <f t="shared" si="31"/>
        <v>-90.839068978265459</v>
      </c>
      <c r="H49" s="3">
        <f t="shared" si="31"/>
        <v>24.04897020192584</v>
      </c>
      <c r="I49" s="3">
        <f t="shared" si="31"/>
        <v>-3.9269136579387123</v>
      </c>
      <c r="J49" s="3">
        <f t="shared" si="31"/>
        <v>0.54583655208261916</v>
      </c>
      <c r="K49" s="3">
        <f t="shared" si="31"/>
        <v>-6.6070033968571806E-2</v>
      </c>
      <c r="L49" s="3">
        <f t="shared" si="31"/>
        <v>9.2668313873218722E-3</v>
      </c>
      <c r="M49" s="3">
        <f t="shared" si="31"/>
        <v>-8.712911855582206E-3</v>
      </c>
      <c r="N49" s="3">
        <f t="shared" si="31"/>
        <v>1.4245368131469149E-2</v>
      </c>
      <c r="O49" s="3">
        <f t="shared" si="31"/>
        <v>-2.1231200227703084E-2</v>
      </c>
      <c r="P49" s="3">
        <f t="shared" si="31"/>
        <v>3.5931758858168905E-2</v>
      </c>
      <c r="Q49" s="3">
        <f t="shared" si="31"/>
        <v>-5.9464259195465274E-2</v>
      </c>
      <c r="R49" s="3">
        <f t="shared" si="31"/>
        <v>7.8439982911959305E-2</v>
      </c>
      <c r="S49" s="3">
        <f t="shared" si="31"/>
        <v>-8.34508122426314E-2</v>
      </c>
      <c r="T49" s="3">
        <f t="shared" si="31"/>
        <v>7.6456557608594267E-2</v>
      </c>
      <c r="U49" s="3">
        <f t="shared" si="31"/>
        <v>-5.5813804114933419E-2</v>
      </c>
      <c r="V49" s="3">
        <f t="shared" si="31"/>
        <v>3.0162769227047193E-2</v>
      </c>
      <c r="W49" s="3">
        <f t="shared" si="31"/>
        <v>-1.1829391858157123E-2</v>
      </c>
      <c r="X49" s="3">
        <f t="shared" si="31"/>
        <v>4.1477407900174512E-3</v>
      </c>
      <c r="Y49" s="3">
        <f t="shared" si="31"/>
        <v>-3.3429655684926729E-3</v>
      </c>
      <c r="Z49" s="3">
        <f t="shared" si="31"/>
        <v>3.6922055083437044E-3</v>
      </c>
      <c r="AA49" s="3">
        <f t="shared" si="31"/>
        <v>-2.497236962142324E-3</v>
      </c>
      <c r="AB49" s="3">
        <f t="shared" si="31"/>
        <v>1.8528844990441939E-3</v>
      </c>
      <c r="AC49" s="3">
        <f t="shared" si="31"/>
        <v>-4.3815240264422073E-3</v>
      </c>
      <c r="AD49" s="3">
        <f t="shared" si="31"/>
        <v>8.0319420775509798E-3</v>
      </c>
      <c r="AE49" s="3">
        <f t="shared" si="31"/>
        <v>-4.1677283317810065E-2</v>
      </c>
      <c r="AF49" s="3">
        <f t="shared" si="31"/>
        <v>9.015194317869657E-2</v>
      </c>
      <c r="AG49" s="3">
        <f t="shared" si="31"/>
        <v>-0.12145714314104339</v>
      </c>
      <c r="AH49" s="3">
        <f t="shared" si="31"/>
        <v>0.16194128372964656</v>
      </c>
      <c r="AI49" s="3">
        <f t="shared" si="31"/>
        <v>-8.7222141808823039E-2</v>
      </c>
      <c r="AJ49" s="3">
        <f t="shared" si="31"/>
        <v>-8.456957613503846E-3</v>
      </c>
    </row>
    <row r="50" spans="1:36" x14ac:dyDescent="0.25">
      <c r="F50" s="57">
        <f t="shared" ref="F50:AJ50" si="32">F49/F17</f>
        <v>1.2122417965355375E-2</v>
      </c>
      <c r="G50" s="57">
        <f t="shared" si="32"/>
        <v>-1.5936589783493296E-2</v>
      </c>
      <c r="H50" s="57">
        <f t="shared" si="32"/>
        <v>4.4979211752139642E-3</v>
      </c>
      <c r="I50" s="57">
        <f t="shared" si="32"/>
        <v>-7.6969927679354055E-4</v>
      </c>
      <c r="J50" s="57">
        <f t="shared" si="32"/>
        <v>1.1323233999463838E-4</v>
      </c>
      <c r="K50" s="57">
        <f t="shared" si="32"/>
        <v>-1.456759486720311E-5</v>
      </c>
      <c r="L50" s="57">
        <f t="shared" si="32"/>
        <v>2.1915258594211151E-6</v>
      </c>
      <c r="M50" s="57">
        <f t="shared" si="32"/>
        <v>-2.2508083740442285E-6</v>
      </c>
      <c r="N50" s="57">
        <f t="shared" si="32"/>
        <v>4.1876687383620664E-6</v>
      </c>
      <c r="O50" s="57">
        <f t="shared" si="32"/>
        <v>-7.5099552388233674E-6</v>
      </c>
      <c r="P50" s="57">
        <f t="shared" si="32"/>
        <v>1.6706546498072686E-5</v>
      </c>
      <c r="Q50" s="57">
        <f t="shared" si="32"/>
        <v>-4.2155911578968125E-5</v>
      </c>
      <c r="R50" s="57">
        <f t="shared" si="32"/>
        <v>9.4894580284119966E-5</v>
      </c>
      <c r="S50" s="57">
        <f t="shared" si="32"/>
        <v>-1.8016439023943044E-4</v>
      </c>
      <c r="T50" s="57">
        <f t="shared" si="32"/>
        <v>2.9726820094217035E-4</v>
      </c>
      <c r="U50" s="57">
        <f t="shared" si="32"/>
        <v>-3.100136816058167E-4</v>
      </c>
      <c r="V50" s="57">
        <f t="shared" si="32"/>
        <v>1.9147520002485611E-4</v>
      </c>
      <c r="W50" s="57">
        <f t="shared" si="32"/>
        <v>-8.2640837109280909E-5</v>
      </c>
      <c r="X50" s="57">
        <f t="shared" si="32"/>
        <v>2.983231889043055E-5</v>
      </c>
      <c r="Y50" s="57">
        <f t="shared" si="32"/>
        <v>-2.465138202437258E-5</v>
      </c>
      <c r="Z50" s="57">
        <f t="shared" si="32"/>
        <v>2.7923512575437143E-5</v>
      </c>
      <c r="AA50" s="57">
        <f t="shared" si="32"/>
        <v>-1.9270245621957174E-5</v>
      </c>
      <c r="AB50" s="57">
        <f t="shared" si="32"/>
        <v>1.4508336244467073E-5</v>
      </c>
      <c r="AC50" s="57">
        <f t="shared" si="32"/>
        <v>-3.4652684788586966E-5</v>
      </c>
      <c r="AD50" s="57">
        <f t="shared" si="32"/>
        <v>6.3988539536420625E-5</v>
      </c>
      <c r="AE50" s="57">
        <f t="shared" si="32"/>
        <v>-3.3373610177557007E-4</v>
      </c>
      <c r="AF50" s="57">
        <f t="shared" si="32"/>
        <v>7.2344939815900059E-4</v>
      </c>
      <c r="AG50" s="57">
        <f t="shared" si="32"/>
        <v>-9.7911805994809094E-4</v>
      </c>
      <c r="AH50" s="57">
        <f t="shared" si="32"/>
        <v>1.3085990527625993E-3</v>
      </c>
      <c r="AI50" s="57">
        <f t="shared" si="32"/>
        <v>-7.0487157089145459E-4</v>
      </c>
      <c r="AJ50" s="57">
        <f t="shared" si="32"/>
        <v>-6.8394651368162149E-5</v>
      </c>
    </row>
    <row r="51" spans="1:36" x14ac:dyDescent="0.25">
      <c r="A51" s="13" t="s">
        <v>21</v>
      </c>
      <c r="B51" s="3">
        <f>STUTT!D8</f>
        <v>6524.0923000000003</v>
      </c>
      <c r="E51" s="11" t="s">
        <v>24</v>
      </c>
      <c r="F51" s="20">
        <f t="shared" ref="F51:AJ51" si="33">(F16-F17)^2</f>
        <v>4932.3442414462961</v>
      </c>
      <c r="G51" s="20">
        <f t="shared" si="33"/>
        <v>8251.7364528380695</v>
      </c>
      <c r="H51" s="20">
        <f t="shared" si="33"/>
        <v>578.35296777311703</v>
      </c>
      <c r="I51" s="20">
        <f t="shared" si="33"/>
        <v>15.420650876905597</v>
      </c>
      <c r="J51" s="20">
        <f t="shared" si="33"/>
        <v>0.2979375415894418</v>
      </c>
      <c r="K51" s="20">
        <f t="shared" si="33"/>
        <v>4.3652493886082323E-3</v>
      </c>
      <c r="L51" s="20">
        <f t="shared" si="33"/>
        <v>8.5874163961053811E-5</v>
      </c>
      <c r="M51" s="20">
        <f t="shared" si="33"/>
        <v>7.5914833003144956E-5</v>
      </c>
      <c r="N51" s="20">
        <f t="shared" si="33"/>
        <v>2.0293051320107683E-4</v>
      </c>
      <c r="O51" s="20">
        <f t="shared" si="33"/>
        <v>4.5076386310881952E-4</v>
      </c>
      <c r="P51" s="20">
        <f t="shared" si="33"/>
        <v>1.2910912946415996E-3</v>
      </c>
      <c r="Q51" s="20">
        <f t="shared" si="33"/>
        <v>3.5359981216654766E-3</v>
      </c>
      <c r="R51" s="20">
        <f t="shared" si="33"/>
        <v>6.1528309192284674E-3</v>
      </c>
      <c r="S51" s="20">
        <f t="shared" si="33"/>
        <v>6.9640380639549191E-3</v>
      </c>
      <c r="T51" s="20">
        <f t="shared" si="33"/>
        <v>5.8456052013562939E-3</v>
      </c>
      <c r="U51" s="20">
        <f t="shared" si="33"/>
        <v>3.1151807297801586E-3</v>
      </c>
      <c r="V51" s="20">
        <f t="shared" si="33"/>
        <v>9.0979264744410514E-4</v>
      </c>
      <c r="W51" s="20">
        <f t="shared" si="33"/>
        <v>1.3993451173383405E-4</v>
      </c>
      <c r="X51" s="20">
        <f t="shared" si="33"/>
        <v>1.720375366117459E-5</v>
      </c>
      <c r="Y51" s="20">
        <f t="shared" si="33"/>
        <v>1.117541879212754E-5</v>
      </c>
      <c r="Z51" s="20">
        <f t="shared" si="33"/>
        <v>1.3632381515843593E-5</v>
      </c>
      <c r="AA51" s="20">
        <f t="shared" si="33"/>
        <v>6.2361924450898229E-6</v>
      </c>
      <c r="AB51" s="20">
        <f t="shared" si="33"/>
        <v>3.4331809667982534E-6</v>
      </c>
      <c r="AC51" s="20">
        <f t="shared" si="33"/>
        <v>1.9197752794290333E-5</v>
      </c>
      <c r="AD51" s="20">
        <f t="shared" si="33"/>
        <v>6.4512093537133952E-5</v>
      </c>
      <c r="AE51" s="20">
        <f t="shared" si="33"/>
        <v>1.7369959447530092E-3</v>
      </c>
      <c r="AF51" s="20">
        <f t="shared" si="33"/>
        <v>8.1273728588949351E-3</v>
      </c>
      <c r="AG51" s="20">
        <f t="shared" si="33"/>
        <v>1.4751837619983903E-2</v>
      </c>
      <c r="AH51" s="20">
        <f t="shared" si="33"/>
        <v>2.6224979376005889E-2</v>
      </c>
      <c r="AI51" s="20">
        <f t="shared" si="33"/>
        <v>7.6077020217184361E-3</v>
      </c>
      <c r="AJ51" s="20">
        <f t="shared" si="33"/>
        <v>7.1520132076600666E-5</v>
      </c>
    </row>
    <row r="52" spans="1:36" x14ac:dyDescent="0.25">
      <c r="A52" s="13"/>
    </row>
    <row r="53" spans="1:36" x14ac:dyDescent="0.25">
      <c r="E53" s="119" t="s">
        <v>25</v>
      </c>
      <c r="F53" s="119"/>
      <c r="G53" s="104">
        <f>SUM(F51:AJ51)</f>
        <v>13778.244041478951</v>
      </c>
      <c r="I53" s="3">
        <f>G53+C123</f>
        <v>13778.244041478951</v>
      </c>
      <c r="K53" s="3">
        <f>SUM(Z51:AJ51)</f>
        <v>5.8627419554691924E-2</v>
      </c>
    </row>
    <row r="55" spans="1:36" x14ac:dyDescent="0.25">
      <c r="E55" s="30" t="s">
        <v>30</v>
      </c>
      <c r="F55" s="31">
        <f t="shared" ref="F55:AJ55" si="34">ABS(F17-F16)/F16</f>
        <v>1.1977225037387049E-2</v>
      </c>
      <c r="G55" s="31">
        <f t="shared" si="34"/>
        <v>1.6194677718976501E-2</v>
      </c>
      <c r="H55" s="31">
        <f t="shared" si="34"/>
        <v>4.4777804716127382E-3</v>
      </c>
      <c r="I55" s="31">
        <f t="shared" si="34"/>
        <v>7.702921701198015E-4</v>
      </c>
      <c r="J55" s="31">
        <f t="shared" si="34"/>
        <v>1.132195198834689E-4</v>
      </c>
      <c r="K55" s="31">
        <f t="shared" si="34"/>
        <v>1.456780708511483E-5</v>
      </c>
      <c r="L55" s="31">
        <f t="shared" si="34"/>
        <v>2.191521056646048E-6</v>
      </c>
      <c r="M55" s="31">
        <f t="shared" si="34"/>
        <v>2.2508134401939682E-6</v>
      </c>
      <c r="N55" s="31">
        <f t="shared" si="34"/>
        <v>4.1876512018660404E-6</v>
      </c>
      <c r="O55" s="31">
        <f t="shared" si="34"/>
        <v>7.510011638674617E-6</v>
      </c>
      <c r="P55" s="31">
        <f t="shared" si="34"/>
        <v>1.6706267394039659E-5</v>
      </c>
      <c r="Q55" s="31">
        <f t="shared" si="34"/>
        <v>4.2157688774768492E-5</v>
      </c>
      <c r="R55" s="31">
        <f t="shared" si="34"/>
        <v>9.4885576157195518E-5</v>
      </c>
      <c r="S55" s="31">
        <f t="shared" si="34"/>
        <v>1.801968552959879E-4</v>
      </c>
      <c r="T55" s="31">
        <f t="shared" si="34"/>
        <v>2.9717985882018262E-4</v>
      </c>
      <c r="U55" s="31">
        <f t="shared" si="34"/>
        <v>3.101098198927838E-4</v>
      </c>
      <c r="V55" s="31">
        <f t="shared" si="34"/>
        <v>1.9143854429129546E-4</v>
      </c>
      <c r="W55" s="31">
        <f t="shared" si="34"/>
        <v>8.2647667181681941E-5</v>
      </c>
      <c r="X55" s="31">
        <f t="shared" si="34"/>
        <v>2.9831428949729163E-5</v>
      </c>
      <c r="Y55" s="31">
        <f t="shared" si="34"/>
        <v>2.4651989729989074E-5</v>
      </c>
      <c r="Z55" s="31">
        <f t="shared" si="34"/>
        <v>2.7922732874654577E-5</v>
      </c>
      <c r="AA55" s="31">
        <f t="shared" si="34"/>
        <v>1.9270616971479501E-5</v>
      </c>
      <c r="AB55" s="31">
        <f t="shared" si="34"/>
        <v>1.4508125755700333E-5</v>
      </c>
      <c r="AC55" s="31">
        <f t="shared" si="34"/>
        <v>3.4653885638762707E-5</v>
      </c>
      <c r="AD55" s="31">
        <f t="shared" si="34"/>
        <v>6.3984445265215055E-5</v>
      </c>
      <c r="AE55" s="31">
        <f t="shared" si="34"/>
        <v>3.3384751874506347E-4</v>
      </c>
      <c r="AF55" s="31">
        <f t="shared" si="34"/>
        <v>7.2292639749182183E-4</v>
      </c>
      <c r="AG55" s="31">
        <f t="shared" si="34"/>
        <v>9.8007767169660089E-4</v>
      </c>
      <c r="AH55" s="31">
        <f t="shared" si="34"/>
        <v>1.3068888592393327E-3</v>
      </c>
      <c r="AI55" s="31">
        <f t="shared" si="34"/>
        <v>7.0536876528109603E-4</v>
      </c>
      <c r="AJ55" s="31">
        <f t="shared" si="34"/>
        <v>6.8399329516458248E-5</v>
      </c>
    </row>
    <row r="56" spans="1:36" x14ac:dyDescent="0.25">
      <c r="E56" s="13" t="s">
        <v>31</v>
      </c>
      <c r="F56" s="32">
        <f>AVERAGE(F55:AJ55)</f>
        <v>1.2616631215279319E-3</v>
      </c>
    </row>
    <row r="57" spans="1:36" x14ac:dyDescent="0.25">
      <c r="A57" s="42"/>
      <c r="B57" s="15"/>
      <c r="C57" s="15"/>
      <c r="D57" s="15"/>
      <c r="F57" s="60">
        <f>AVERAGE(S55:X55)</f>
        <v>1.8190069573861017E-4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-44.146123426846039</v>
      </c>
    </row>
    <row r="119" spans="1:14" x14ac:dyDescent="0.25">
      <c r="L119" s="11">
        <f>L118+1</f>
        <v>2</v>
      </c>
      <c r="M119" s="11">
        <f t="shared" ref="M119:M124" si="35">INDEX($B$125:$K$126,1,L119)</f>
        <v>0</v>
      </c>
      <c r="N119" s="11">
        <f t="shared" ref="N119:N124" si="36">IF(L119=$B$3,0,INDEX($B$125:$K$126,2,L119))</f>
        <v>-41.134350911465361</v>
      </c>
    </row>
    <row r="120" spans="1:14" x14ac:dyDescent="0.25">
      <c r="L120" s="11">
        <f t="shared" ref="L120:L124" si="37">L119+1</f>
        <v>3</v>
      </c>
      <c r="M120" s="11">
        <f t="shared" si="35"/>
        <v>25</v>
      </c>
      <c r="N120" s="11">
        <f t="shared" si="36"/>
        <v>-36.84655767360919</v>
      </c>
    </row>
    <row r="121" spans="1:14" x14ac:dyDescent="0.25">
      <c r="A121" s="103">
        <f>(A165+A204+A243+A282+A321+A360+A399)*10^9</f>
        <v>1.314934965658233E+16</v>
      </c>
      <c r="L121" s="11">
        <f t="shared" si="37"/>
        <v>4</v>
      </c>
      <c r="M121" s="11">
        <f t="shared" si="35"/>
        <v>50</v>
      </c>
      <c r="N121" s="11">
        <f t="shared" si="36"/>
        <v>-30.346664152642152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-19.641908227752239</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4.182307348501765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-44.146123426846039</v>
      </c>
      <c r="C126" s="107">
        <v>-41.134350911465361</v>
      </c>
      <c r="D126" s="107">
        <v>-36.84655767360919</v>
      </c>
      <c r="E126" s="107">
        <v>-30.346664152642152</v>
      </c>
      <c r="F126" s="107">
        <v>-19.641908227752239</v>
      </c>
      <c r="G126" s="107">
        <v>7.9664097042025286E-3</v>
      </c>
      <c r="H126" s="107">
        <v>4.182307348501765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6524.0922999999948</v>
      </c>
      <c r="C131" s="27">
        <f t="shared" ref="C131:AF131" si="40">($C$17+SUM(C132:C162))*$B$51</f>
        <v>6524.092299999952</v>
      </c>
      <c r="D131" s="27">
        <f t="shared" si="40"/>
        <v>6524.0922999995164</v>
      </c>
      <c r="E131" s="27">
        <f t="shared" si="40"/>
        <v>6524.0922999951663</v>
      </c>
      <c r="F131" s="27">
        <f t="shared" si="40"/>
        <v>6524.0922999516633</v>
      </c>
      <c r="G131" s="27">
        <f t="shared" si="40"/>
        <v>6524.0922995166366</v>
      </c>
      <c r="H131" s="27">
        <f t="shared" si="40"/>
        <v>6524.0922951663615</v>
      </c>
      <c r="I131" s="27">
        <f t="shared" si="40"/>
        <v>6524.0922516636138</v>
      </c>
      <c r="J131" s="27">
        <f t="shared" si="40"/>
        <v>6524.0918166362826</v>
      </c>
      <c r="K131" s="27">
        <f t="shared" si="40"/>
        <v>6524.0874663774548</v>
      </c>
      <c r="L131" s="27">
        <f t="shared" si="40"/>
        <v>6524.043965236925</v>
      </c>
      <c r="M131" s="27">
        <f t="shared" si="40"/>
        <v>6523.6090985741084</v>
      </c>
      <c r="N131" s="27">
        <f t="shared" si="40"/>
        <v>6519.2748738401478</v>
      </c>
      <c r="O131" s="27">
        <f t="shared" si="40"/>
        <v>6477.3449992480319</v>
      </c>
      <c r="P131" s="27">
        <f t="shared" si="40"/>
        <v>6172.1845569541056</v>
      </c>
      <c r="Q131" s="27">
        <f t="shared" si="40"/>
        <v>5806.0172749096373</v>
      </c>
      <c r="R131" s="27">
        <f t="shared" si="40"/>
        <v>5805.145534469706</v>
      </c>
      <c r="S131" s="27">
        <f t="shared" si="40"/>
        <v>5805.0738684527741</v>
      </c>
      <c r="T131" s="27">
        <f t="shared" si="40"/>
        <v>5804.3577912391474</v>
      </c>
      <c r="U131" s="27">
        <f t="shared" si="40"/>
        <v>5797.2549829889085</v>
      </c>
      <c r="V131" s="27">
        <f t="shared" si="40"/>
        <v>5731.7054158471265</v>
      </c>
      <c r="W131" s="27">
        <f t="shared" si="40"/>
        <v>5407.4272613059857</v>
      </c>
      <c r="X131" s="27">
        <f t="shared" si="40"/>
        <v>5146.2949626045502</v>
      </c>
      <c r="Y131" s="27">
        <f t="shared" si="40"/>
        <v>4874.9325165476648</v>
      </c>
      <c r="Z131" s="27">
        <f t="shared" si="40"/>
        <v>4590.696800283652</v>
      </c>
      <c r="AA131" s="27">
        <f t="shared" si="40"/>
        <v>4290.2503462915583</v>
      </c>
      <c r="AB131" s="27">
        <f t="shared" si="40"/>
        <v>3945.5739241030865</v>
      </c>
      <c r="AC131" s="27">
        <f t="shared" si="40"/>
        <v>3501.2483641309514</v>
      </c>
      <c r="AD131" s="27">
        <f t="shared" si="40"/>
        <v>2944.3659657664584</v>
      </c>
      <c r="AE131" s="27">
        <f t="shared" si="40"/>
        <v>2285.5427870897902</v>
      </c>
      <c r="AF131" s="27">
        <f t="shared" si="40"/>
        <v>1546.6791369346288</v>
      </c>
    </row>
    <row r="132" spans="1:33" x14ac:dyDescent="0.25">
      <c r="B132" s="3">
        <f t="shared" ref="B132:Z133" si="41">$C18*EXP(-B$129/$A18/EXP(-$B$126))</f>
        <v>0.11019752157474443</v>
      </c>
      <c r="C132" s="3">
        <f t="shared" ref="C132:AF132" si="42">$C18*EXP(-C$129/$A18/EXP(-$B$126))</f>
        <v>0.11019752157473776</v>
      </c>
      <c r="D132" s="3">
        <f t="shared" si="42"/>
        <v>0.11019752157467108</v>
      </c>
      <c r="E132" s="3">
        <f t="shared" si="42"/>
        <v>0.11019752157400428</v>
      </c>
      <c r="F132" s="3">
        <f t="shared" si="42"/>
        <v>0.11019752156733627</v>
      </c>
      <c r="G132" s="3">
        <f t="shared" si="42"/>
        <v>0.11019752150065613</v>
      </c>
      <c r="H132" s="3">
        <f t="shared" si="42"/>
        <v>0.11019752083385467</v>
      </c>
      <c r="I132" s="3">
        <f t="shared" si="42"/>
        <v>0.11019751416584044</v>
      </c>
      <c r="J132" s="3">
        <f t="shared" si="42"/>
        <v>0.11019744748572022</v>
      </c>
      <c r="K132" s="3">
        <f t="shared" si="42"/>
        <v>0.11019678068673715</v>
      </c>
      <c r="L132" s="3">
        <f t="shared" si="42"/>
        <v>0.11019011291881455</v>
      </c>
      <c r="M132" s="3">
        <f t="shared" si="42"/>
        <v>0.11012345742542971</v>
      </c>
      <c r="N132" s="3">
        <f t="shared" si="42"/>
        <v>0.10945911611664176</v>
      </c>
      <c r="O132" s="3">
        <f t="shared" si="42"/>
        <v>0.10303218873781443</v>
      </c>
      <c r="P132" s="3">
        <f t="shared" si="42"/>
        <v>5.6257809009704965E-2</v>
      </c>
      <c r="Q132" s="3">
        <f t="shared" si="42"/>
        <v>1.3252008328420067E-4</v>
      </c>
      <c r="R132" s="3">
        <f t="shared" si="42"/>
        <v>6.9706063622772452E-31</v>
      </c>
      <c r="S132" s="3">
        <f t="shared" si="42"/>
        <v>1.1302099863445063E-293</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6.7386263954763354E-2</v>
      </c>
      <c r="C133" s="3">
        <f t="shared" si="41"/>
        <v>6.7386263954763354E-2</v>
      </c>
      <c r="D133" s="3">
        <f t="shared" si="41"/>
        <v>6.7386263954763354E-2</v>
      </c>
      <c r="E133" s="3">
        <f t="shared" si="41"/>
        <v>6.7386263954763354E-2</v>
      </c>
      <c r="F133" s="3">
        <f t="shared" si="41"/>
        <v>6.7386263954763354E-2</v>
      </c>
      <c r="G133" s="3">
        <f t="shared" si="41"/>
        <v>6.738626395476334E-2</v>
      </c>
      <c r="H133" s="3">
        <f t="shared" si="41"/>
        <v>6.7386263954763229E-2</v>
      </c>
      <c r="I133" s="3">
        <f t="shared" si="41"/>
        <v>6.7386263954762188E-2</v>
      </c>
      <c r="J133" s="3">
        <f t="shared" si="41"/>
        <v>6.7386263954751752E-2</v>
      </c>
      <c r="K133" s="3">
        <f t="shared" si="41"/>
        <v>6.7386263954647307E-2</v>
      </c>
      <c r="L133" s="3">
        <f t="shared" si="41"/>
        <v>6.7386263953602824E-2</v>
      </c>
      <c r="M133" s="3">
        <f t="shared" si="41"/>
        <v>6.7386263943158081E-2</v>
      </c>
      <c r="N133" s="3">
        <f t="shared" si="41"/>
        <v>6.7386263838710589E-2</v>
      </c>
      <c r="O133" s="3">
        <f t="shared" si="41"/>
        <v>6.7386262794235735E-2</v>
      </c>
      <c r="P133" s="3">
        <f t="shared" si="41"/>
        <v>6.7386252349487974E-2</v>
      </c>
      <c r="Q133" s="3">
        <f t="shared" si="41"/>
        <v>6.7386147902099486E-2</v>
      </c>
      <c r="R133" s="3">
        <f t="shared" si="41"/>
        <v>6.7385103437118551E-2</v>
      </c>
      <c r="S133" s="3">
        <f t="shared" si="41"/>
        <v>6.7374659677656906E-2</v>
      </c>
      <c r="T133" s="3">
        <f t="shared" si="41"/>
        <v>6.7270311066768868E-2</v>
      </c>
      <c r="U133" s="3">
        <f t="shared" si="41"/>
        <v>6.6235672510037813E-2</v>
      </c>
      <c r="V133" s="3">
        <f t="shared" si="41"/>
        <v>5.6725338070637683E-2</v>
      </c>
      <c r="W133" s="3">
        <f t="shared" si="41"/>
        <v>1.2040056352807338E-2</v>
      </c>
      <c r="X133" s="3">
        <f t="shared" si="41"/>
        <v>2.2343066964220655E-9</v>
      </c>
      <c r="Y133" s="3">
        <f t="shared" si="41"/>
        <v>1.082145013053028E-76</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3.4082747841508325E-2</v>
      </c>
      <c r="C134" s="3">
        <f t="shared" si="44"/>
        <v>3.4082747841508325E-2</v>
      </c>
      <c r="D134" s="3">
        <f t="shared" si="44"/>
        <v>3.4082747841508325E-2</v>
      </c>
      <c r="E134" s="3">
        <f t="shared" si="44"/>
        <v>3.4082747841508325E-2</v>
      </c>
      <c r="F134" s="3">
        <f t="shared" si="44"/>
        <v>3.4082747841508325E-2</v>
      </c>
      <c r="G134" s="3">
        <f t="shared" si="44"/>
        <v>3.4082747841508325E-2</v>
      </c>
      <c r="H134" s="3">
        <f t="shared" si="44"/>
        <v>3.4082747841508318E-2</v>
      </c>
      <c r="I134" s="3">
        <f t="shared" si="44"/>
        <v>3.4082747841508269E-2</v>
      </c>
      <c r="J134" s="3">
        <f t="shared" si="44"/>
        <v>3.4082747841507798E-2</v>
      </c>
      <c r="K134" s="3">
        <f t="shared" si="44"/>
        <v>3.408274784150303E-2</v>
      </c>
      <c r="L134" s="3">
        <f t="shared" si="44"/>
        <v>3.4082747841455374E-2</v>
      </c>
      <c r="M134" s="3">
        <f t="shared" si="44"/>
        <v>3.4082747840978825E-2</v>
      </c>
      <c r="N134" s="3">
        <f t="shared" si="44"/>
        <v>3.4082747836213331E-2</v>
      </c>
      <c r="O134" s="3">
        <f t="shared" si="44"/>
        <v>3.408274778855841E-2</v>
      </c>
      <c r="P134" s="3">
        <f t="shared" si="44"/>
        <v>3.4082747312009137E-2</v>
      </c>
      <c r="Q134" s="3">
        <f t="shared" si="44"/>
        <v>3.4082742546516817E-2</v>
      </c>
      <c r="R134" s="3">
        <f t="shared" si="44"/>
        <v>3.4082694891630308E-2</v>
      </c>
      <c r="S134" s="3">
        <f t="shared" si="44"/>
        <v>3.4082218346429889E-2</v>
      </c>
      <c r="T134" s="3">
        <f t="shared" si="44"/>
        <v>3.4077453260879097E-2</v>
      </c>
      <c r="U134" s="3">
        <f t="shared" si="44"/>
        <v>3.4029839031759358E-2</v>
      </c>
      <c r="V134" s="3">
        <f t="shared" si="44"/>
        <v>3.355734050179543E-2</v>
      </c>
      <c r="W134" s="3">
        <f t="shared" si="44"/>
        <v>2.9178565254633981E-2</v>
      </c>
      <c r="X134" s="3">
        <f t="shared" si="44"/>
        <v>7.2082181163696567E-3</v>
      </c>
      <c r="Y134" s="3">
        <f t="shared" si="44"/>
        <v>6.1019378975855507E-9</v>
      </c>
      <c r="Z134" s="3">
        <f t="shared" si="44"/>
        <v>1.153098533212682E-69</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4.6674257676140619E-2</v>
      </c>
      <c r="C135" s="3">
        <f t="shared" si="47"/>
        <v>4.6674257676140619E-2</v>
      </c>
      <c r="D135" s="3">
        <f t="shared" si="47"/>
        <v>4.6674257676140619E-2</v>
      </c>
      <c r="E135" s="3">
        <f t="shared" si="47"/>
        <v>4.6674257676140619E-2</v>
      </c>
      <c r="F135" s="3">
        <f t="shared" si="47"/>
        <v>4.6674257676140619E-2</v>
      </c>
      <c r="G135" s="3">
        <f t="shared" si="47"/>
        <v>4.6674257676140619E-2</v>
      </c>
      <c r="H135" s="3">
        <f t="shared" si="47"/>
        <v>4.6674257676140619E-2</v>
      </c>
      <c r="I135" s="3">
        <f t="shared" si="47"/>
        <v>4.6674257676140612E-2</v>
      </c>
      <c r="J135" s="3">
        <f t="shared" si="47"/>
        <v>4.667425767614055E-2</v>
      </c>
      <c r="K135" s="3">
        <f t="shared" si="47"/>
        <v>4.6674257676139967E-2</v>
      </c>
      <c r="L135" s="3">
        <f t="shared" si="47"/>
        <v>4.6674257676134083E-2</v>
      </c>
      <c r="M135" s="3">
        <f t="shared" si="47"/>
        <v>4.6674257676075206E-2</v>
      </c>
      <c r="N135" s="3">
        <f t="shared" si="47"/>
        <v>4.6674257675486504E-2</v>
      </c>
      <c r="O135" s="3">
        <f t="shared" si="47"/>
        <v>4.6674257669599463E-2</v>
      </c>
      <c r="P135" s="3">
        <f t="shared" si="47"/>
        <v>4.6674257610729027E-2</v>
      </c>
      <c r="Q135" s="3">
        <f t="shared" si="47"/>
        <v>4.6674257022024719E-2</v>
      </c>
      <c r="R135" s="3">
        <f t="shared" si="47"/>
        <v>4.6674251134982012E-2</v>
      </c>
      <c r="S135" s="3">
        <f t="shared" si="47"/>
        <v>4.66741922645958E-2</v>
      </c>
      <c r="T135" s="3">
        <f t="shared" si="47"/>
        <v>4.6673603564817631E-2</v>
      </c>
      <c r="U135" s="3">
        <f t="shared" si="47"/>
        <v>4.666771697540905E-2</v>
      </c>
      <c r="V135" s="3">
        <f t="shared" si="47"/>
        <v>4.6608891899587591E-2</v>
      </c>
      <c r="W135" s="3">
        <f t="shared" si="47"/>
        <v>4.6024703982730696E-2</v>
      </c>
      <c r="X135" s="3">
        <f t="shared" si="47"/>
        <v>4.0570771256306731E-2</v>
      </c>
      <c r="Y135" s="3">
        <f t="shared" si="47"/>
        <v>1.1493064984546403E-2</v>
      </c>
      <c r="Z135" s="3">
        <f t="shared" si="47"/>
        <v>3.8252678255609267E-8</v>
      </c>
      <c r="AA135" s="3">
        <f t="shared" ref="AA135" si="48">$C21*EXP(-AA$129/$A21/EXP(-$B$126))</f>
        <v>6.3814842345470418E-63</v>
      </c>
      <c r="AB135" s="3">
        <f t="shared" si="46"/>
        <v>0</v>
      </c>
      <c r="AC135" s="3">
        <f t="shared" si="46"/>
        <v>0</v>
      </c>
      <c r="AD135" s="3">
        <f t="shared" si="46"/>
        <v>0</v>
      </c>
      <c r="AE135" s="3">
        <f t="shared" si="46"/>
        <v>0</v>
      </c>
      <c r="AF135" s="3">
        <f t="shared" si="46"/>
        <v>0</v>
      </c>
    </row>
    <row r="136" spans="1:33" x14ac:dyDescent="0.25">
      <c r="B136" s="3">
        <f t="shared" ref="B136:Z136" si="49">$C22*EXP(-B$129/$A22/EXP(-$B$126))</f>
        <v>4.4764266498867597E-2</v>
      </c>
      <c r="C136" s="3">
        <f t="shared" si="49"/>
        <v>4.4764266498867597E-2</v>
      </c>
      <c r="D136" s="3">
        <f t="shared" si="49"/>
        <v>4.4764266498867597E-2</v>
      </c>
      <c r="E136" s="3">
        <f t="shared" si="49"/>
        <v>4.4764266498867597E-2</v>
      </c>
      <c r="F136" s="3">
        <f t="shared" si="49"/>
        <v>4.4764266498867597E-2</v>
      </c>
      <c r="G136" s="3">
        <f t="shared" si="49"/>
        <v>4.4764266498867597E-2</v>
      </c>
      <c r="H136" s="3">
        <f t="shared" si="49"/>
        <v>4.4764266498867597E-2</v>
      </c>
      <c r="I136" s="3">
        <f t="shared" si="49"/>
        <v>4.4764266498867597E-2</v>
      </c>
      <c r="J136" s="3">
        <f t="shared" si="49"/>
        <v>4.476426649886759E-2</v>
      </c>
      <c r="K136" s="3">
        <f t="shared" si="49"/>
        <v>4.4764266498867541E-2</v>
      </c>
      <c r="L136" s="3">
        <f t="shared" si="49"/>
        <v>4.4764266498867028E-2</v>
      </c>
      <c r="M136" s="3">
        <f t="shared" si="49"/>
        <v>4.4764266498861935E-2</v>
      </c>
      <c r="N136" s="3">
        <f t="shared" si="49"/>
        <v>4.4764266498811003E-2</v>
      </c>
      <c r="O136" s="3">
        <f t="shared" si="49"/>
        <v>4.4764266498301675E-2</v>
      </c>
      <c r="P136" s="3">
        <f t="shared" si="49"/>
        <v>4.4764266493208395E-2</v>
      </c>
      <c r="Q136" s="3">
        <f t="shared" si="49"/>
        <v>4.4764266442275553E-2</v>
      </c>
      <c r="R136" s="3">
        <f t="shared" si="49"/>
        <v>4.4764265932947196E-2</v>
      </c>
      <c r="S136" s="3">
        <f t="shared" si="49"/>
        <v>4.4764260839663894E-2</v>
      </c>
      <c r="T136" s="3">
        <f t="shared" si="49"/>
        <v>4.4764209906862737E-2</v>
      </c>
      <c r="U136" s="3">
        <f t="shared" si="49"/>
        <v>4.4763700582038525E-2</v>
      </c>
      <c r="V136" s="3">
        <f t="shared" si="49"/>
        <v>4.4758607652514416E-2</v>
      </c>
      <c r="W136" s="3">
        <f t="shared" si="49"/>
        <v>4.4707710215662631E-2</v>
      </c>
      <c r="X136" s="3">
        <f t="shared" si="49"/>
        <v>4.4201908314846404E-2</v>
      </c>
      <c r="Y136" s="3">
        <f t="shared" si="49"/>
        <v>3.9448177233069738E-2</v>
      </c>
      <c r="Z136" s="3">
        <f t="shared" si="49"/>
        <v>1.2644048525541907E-2</v>
      </c>
      <c r="AA136" s="3">
        <f t="shared" ref="AA136" si="50">$C22*EXP(-AA$129/$A22/EXP(-$B$126))</f>
        <v>1.4470325012652875E-7</v>
      </c>
      <c r="AB136" s="3">
        <f t="shared" si="46"/>
        <v>5.5769866410548621E-57</v>
      </c>
      <c r="AC136" s="3">
        <f t="shared" si="46"/>
        <v>0</v>
      </c>
      <c r="AD136" s="3">
        <f t="shared" si="46"/>
        <v>0</v>
      </c>
      <c r="AE136" s="3">
        <f t="shared" si="46"/>
        <v>0</v>
      </c>
      <c r="AF136" s="3">
        <f t="shared" si="46"/>
        <v>0</v>
      </c>
    </row>
    <row r="137" spans="1:33" x14ac:dyDescent="0.25">
      <c r="B137" s="3">
        <f t="shared" ref="B137:Z137" si="51">$C23*EXP(-B$129/$A23/EXP(-$B$126))</f>
        <v>4.8577269491505953E-2</v>
      </c>
      <c r="C137" s="3">
        <f t="shared" si="51"/>
        <v>4.8577269491505953E-2</v>
      </c>
      <c r="D137" s="3">
        <f t="shared" si="51"/>
        <v>4.8577269491505953E-2</v>
      </c>
      <c r="E137" s="3">
        <f t="shared" si="51"/>
        <v>4.8577269491505953E-2</v>
      </c>
      <c r="F137" s="3">
        <f t="shared" si="51"/>
        <v>4.8577269491505953E-2</v>
      </c>
      <c r="G137" s="3">
        <f t="shared" si="51"/>
        <v>4.8577269491505953E-2</v>
      </c>
      <c r="H137" s="3">
        <f t="shared" si="51"/>
        <v>4.8577269491505953E-2</v>
      </c>
      <c r="I137" s="3">
        <f t="shared" si="51"/>
        <v>4.8577269491505953E-2</v>
      </c>
      <c r="J137" s="3">
        <f t="shared" si="51"/>
        <v>4.8577269491505953E-2</v>
      </c>
      <c r="K137" s="3">
        <f t="shared" si="51"/>
        <v>4.8577269491505946E-2</v>
      </c>
      <c r="L137" s="3">
        <f t="shared" si="51"/>
        <v>4.8577269491505898E-2</v>
      </c>
      <c r="M137" s="3">
        <f t="shared" si="51"/>
        <v>4.8577269491505398E-2</v>
      </c>
      <c r="N137" s="3">
        <f t="shared" si="51"/>
        <v>4.8577269491500416E-2</v>
      </c>
      <c r="O137" s="3">
        <f t="shared" si="51"/>
        <v>4.8577269491450553E-2</v>
      </c>
      <c r="P137" s="3">
        <f t="shared" si="51"/>
        <v>4.8577269490951966E-2</v>
      </c>
      <c r="Q137" s="3">
        <f t="shared" si="51"/>
        <v>4.8577269485966038E-2</v>
      </c>
      <c r="R137" s="3">
        <f t="shared" si="51"/>
        <v>4.857726943610674E-2</v>
      </c>
      <c r="S137" s="3">
        <f t="shared" si="51"/>
        <v>4.8577268937513858E-2</v>
      </c>
      <c r="T137" s="3">
        <f t="shared" si="51"/>
        <v>4.8577263951585264E-2</v>
      </c>
      <c r="U137" s="3">
        <f t="shared" si="51"/>
        <v>4.8577214092327473E-2</v>
      </c>
      <c r="V137" s="3">
        <f t="shared" si="51"/>
        <v>4.8576715502564177E-2</v>
      </c>
      <c r="W137" s="3">
        <f t="shared" si="51"/>
        <v>4.8571729886382621E-2</v>
      </c>
      <c r="X137" s="3">
        <f t="shared" si="51"/>
        <v>4.8521901859022463E-2</v>
      </c>
      <c r="Y137" s="3">
        <f t="shared" si="51"/>
        <v>4.8026424375750623E-2</v>
      </c>
      <c r="Z137" s="3">
        <f t="shared" si="51"/>
        <v>4.3341570516511774E-2</v>
      </c>
      <c r="AA137" s="3">
        <f t="shared" ref="AA137" si="52">$C23*EXP(-AA$129/$A23/EXP(-$B$126))</f>
        <v>1.5529180789843394E-2</v>
      </c>
      <c r="AB137" s="3">
        <f t="shared" si="46"/>
        <v>5.4148641255399001E-7</v>
      </c>
      <c r="AC137" s="3">
        <f t="shared" si="46"/>
        <v>1.4387248247705157E-51</v>
      </c>
      <c r="AD137" s="3">
        <f t="shared" si="46"/>
        <v>0</v>
      </c>
      <c r="AE137" s="3">
        <f t="shared" si="46"/>
        <v>0</v>
      </c>
      <c r="AF137" s="3">
        <f t="shared" si="46"/>
        <v>0</v>
      </c>
    </row>
    <row r="138" spans="1:33" x14ac:dyDescent="0.25">
      <c r="B138" s="3">
        <f t="shared" ref="B138:Z138" si="53">$C24*EXP(-B$129/$A24/EXP(-$B$126))</f>
        <v>5.5549505588396574E-2</v>
      </c>
      <c r="C138" s="3">
        <f t="shared" si="53"/>
        <v>5.5549505588396574E-2</v>
      </c>
      <c r="D138" s="3">
        <f t="shared" si="53"/>
        <v>5.5549505588396574E-2</v>
      </c>
      <c r="E138" s="3">
        <f t="shared" si="53"/>
        <v>5.5549505588396574E-2</v>
      </c>
      <c r="F138" s="3">
        <f t="shared" si="53"/>
        <v>5.5549505588396574E-2</v>
      </c>
      <c r="G138" s="3">
        <f t="shared" si="53"/>
        <v>5.5549505588396574E-2</v>
      </c>
      <c r="H138" s="3">
        <f t="shared" si="53"/>
        <v>5.5549505588396574E-2</v>
      </c>
      <c r="I138" s="3">
        <f t="shared" si="53"/>
        <v>5.5549505588396574E-2</v>
      </c>
      <c r="J138" s="3">
        <f t="shared" si="53"/>
        <v>5.5549505588396574E-2</v>
      </c>
      <c r="K138" s="3">
        <f t="shared" si="53"/>
        <v>5.5549505588396574E-2</v>
      </c>
      <c r="L138" s="3">
        <f t="shared" si="53"/>
        <v>5.5549505588396567E-2</v>
      </c>
      <c r="M138" s="3">
        <f t="shared" si="53"/>
        <v>5.5549505588396518E-2</v>
      </c>
      <c r="N138" s="3">
        <f t="shared" si="53"/>
        <v>5.5549505588395998E-2</v>
      </c>
      <c r="O138" s="3">
        <f t="shared" si="53"/>
        <v>5.5549505588390856E-2</v>
      </c>
      <c r="P138" s="3">
        <f t="shared" si="53"/>
        <v>5.5549505588339425E-2</v>
      </c>
      <c r="Q138" s="3">
        <f t="shared" si="53"/>
        <v>5.55495055878251E-2</v>
      </c>
      <c r="R138" s="3">
        <f t="shared" si="53"/>
        <v>5.5549505582681825E-2</v>
      </c>
      <c r="S138" s="3">
        <f t="shared" si="53"/>
        <v>5.5549505531249072E-2</v>
      </c>
      <c r="T138" s="3">
        <f t="shared" si="53"/>
        <v>5.5549505016921547E-2</v>
      </c>
      <c r="U138" s="3">
        <f t="shared" si="53"/>
        <v>5.5549499873646539E-2</v>
      </c>
      <c r="V138" s="3">
        <f t="shared" si="53"/>
        <v>5.5549448440922661E-2</v>
      </c>
      <c r="W138" s="3">
        <f t="shared" si="53"/>
        <v>5.5548934116303066E-2</v>
      </c>
      <c r="X138" s="3">
        <f t="shared" si="53"/>
        <v>5.5543791132013083E-2</v>
      </c>
      <c r="Y138" s="3">
        <f t="shared" si="53"/>
        <v>5.5492387470746453E-2</v>
      </c>
      <c r="Z138" s="3">
        <f t="shared" si="53"/>
        <v>5.4980960074276629E-2</v>
      </c>
      <c r="AA138" s="3">
        <f t="shared" ref="AA138" si="54">$C24*EXP(-AA$129/$A24/EXP(-$B$126))</f>
        <v>5.0118886173198089E-2</v>
      </c>
      <c r="AB138" s="3">
        <f t="shared" si="46"/>
        <v>1.9856025725831585E-2</v>
      </c>
      <c r="AC138" s="3">
        <f t="shared" si="46"/>
        <v>1.8914788398728512E-6</v>
      </c>
      <c r="AD138" s="3">
        <f t="shared" si="46"/>
        <v>1.1638394938533418E-46</v>
      </c>
      <c r="AE138" s="3">
        <f t="shared" si="46"/>
        <v>0</v>
      </c>
      <c r="AF138" s="3">
        <f t="shared" si="46"/>
        <v>0</v>
      </c>
    </row>
    <row r="139" spans="1:33" x14ac:dyDescent="0.25">
      <c r="B139" s="3">
        <f t="shared" ref="B139:Z139" si="55">$C25*EXP(-B$129/$A25/EXP(-$B$126))</f>
        <v>7.866276737132312E-2</v>
      </c>
      <c r="C139" s="3">
        <f t="shared" si="55"/>
        <v>7.866276737132312E-2</v>
      </c>
      <c r="D139" s="3">
        <f t="shared" si="55"/>
        <v>7.866276737132312E-2</v>
      </c>
      <c r="E139" s="3">
        <f t="shared" si="55"/>
        <v>7.866276737132312E-2</v>
      </c>
      <c r="F139" s="3">
        <f t="shared" si="55"/>
        <v>7.866276737132312E-2</v>
      </c>
      <c r="G139" s="3">
        <f t="shared" si="55"/>
        <v>7.866276737132312E-2</v>
      </c>
      <c r="H139" s="3">
        <f t="shared" si="55"/>
        <v>7.866276737132312E-2</v>
      </c>
      <c r="I139" s="3">
        <f t="shared" si="55"/>
        <v>7.866276737132312E-2</v>
      </c>
      <c r="J139" s="3">
        <f t="shared" si="55"/>
        <v>7.866276737132312E-2</v>
      </c>
      <c r="K139" s="3">
        <f t="shared" si="55"/>
        <v>7.866276737132312E-2</v>
      </c>
      <c r="L139" s="3">
        <f t="shared" si="55"/>
        <v>7.866276737132312E-2</v>
      </c>
      <c r="M139" s="3">
        <f t="shared" si="55"/>
        <v>7.8662767371323106E-2</v>
      </c>
      <c r="N139" s="3">
        <f t="shared" si="55"/>
        <v>7.866276737132305E-2</v>
      </c>
      <c r="O139" s="3">
        <f t="shared" si="55"/>
        <v>7.8662767371322384E-2</v>
      </c>
      <c r="P139" s="3">
        <f t="shared" si="55"/>
        <v>7.866276737131582E-2</v>
      </c>
      <c r="Q139" s="3">
        <f t="shared" si="55"/>
        <v>7.8662767371250122E-2</v>
      </c>
      <c r="R139" s="3">
        <f t="shared" si="55"/>
        <v>7.8662767370593106E-2</v>
      </c>
      <c r="S139" s="3">
        <f t="shared" si="55"/>
        <v>7.8662767364022959E-2</v>
      </c>
      <c r="T139" s="3">
        <f t="shared" si="55"/>
        <v>7.8662767298321432E-2</v>
      </c>
      <c r="U139" s="3">
        <f t="shared" si="55"/>
        <v>7.8662766641306295E-2</v>
      </c>
      <c r="V139" s="3">
        <f t="shared" si="55"/>
        <v>7.8662760071155108E-2</v>
      </c>
      <c r="W139" s="3">
        <f t="shared" si="55"/>
        <v>7.8662694369673519E-2</v>
      </c>
      <c r="X139" s="3">
        <f t="shared" si="55"/>
        <v>7.8662037357875816E-2</v>
      </c>
      <c r="Y139" s="3">
        <f t="shared" si="55"/>
        <v>7.8655467541705715E-2</v>
      </c>
      <c r="Z139" s="3">
        <f t="shared" si="55"/>
        <v>7.8589799551381179E-2</v>
      </c>
      <c r="AA139" s="3">
        <f t="shared" ref="AA139" si="56">$C25*EXP(-AA$129/$A25/EXP(-$B$126))</f>
        <v>7.7936127482554282E-2</v>
      </c>
      <c r="AB139" s="3">
        <f t="shared" si="46"/>
        <v>7.1691098999242808E-2</v>
      </c>
      <c r="AC139" s="3">
        <f t="shared" si="46"/>
        <v>3.1097780371762525E-2</v>
      </c>
      <c r="AD139" s="3">
        <f t="shared" si="46"/>
        <v>7.3345070796419178E-6</v>
      </c>
      <c r="AE139" s="3">
        <f t="shared" si="46"/>
        <v>3.9064865465357057E-42</v>
      </c>
      <c r="AF139" s="3">
        <f t="shared" si="46"/>
        <v>0</v>
      </c>
    </row>
    <row r="140" spans="1:33" x14ac:dyDescent="0.25">
      <c r="B140" s="3">
        <f t="shared" ref="B140:Z140" si="57">$C26*EXP(-B$129/$A26/EXP(-$B$126))</f>
        <v>9.4543741847587029E-2</v>
      </c>
      <c r="C140" s="3">
        <f t="shared" si="57"/>
        <v>9.4543741847587029E-2</v>
      </c>
      <c r="D140" s="3">
        <f t="shared" si="57"/>
        <v>9.4543741847587029E-2</v>
      </c>
      <c r="E140" s="3">
        <f t="shared" si="57"/>
        <v>9.4543741847587029E-2</v>
      </c>
      <c r="F140" s="3">
        <f t="shared" si="57"/>
        <v>9.4543741847587029E-2</v>
      </c>
      <c r="G140" s="3">
        <f t="shared" si="57"/>
        <v>9.4543741847587029E-2</v>
      </c>
      <c r="H140" s="3">
        <f t="shared" si="57"/>
        <v>9.4543741847587029E-2</v>
      </c>
      <c r="I140" s="3">
        <f t="shared" si="57"/>
        <v>9.4543741847587029E-2</v>
      </c>
      <c r="J140" s="3">
        <f t="shared" si="57"/>
        <v>9.4543741847587029E-2</v>
      </c>
      <c r="K140" s="3">
        <f t="shared" si="57"/>
        <v>9.4543741847587029E-2</v>
      </c>
      <c r="L140" s="3">
        <f t="shared" si="57"/>
        <v>9.4543741847587029E-2</v>
      </c>
      <c r="M140" s="3">
        <f t="shared" si="57"/>
        <v>9.4543741847587029E-2</v>
      </c>
      <c r="N140" s="3">
        <f t="shared" si="57"/>
        <v>9.4543741847587015E-2</v>
      </c>
      <c r="O140" s="3">
        <f t="shared" si="57"/>
        <v>9.4543741847586946E-2</v>
      </c>
      <c r="P140" s="3">
        <f t="shared" si="57"/>
        <v>9.4543741847586238E-2</v>
      </c>
      <c r="Q140" s="3">
        <f t="shared" si="57"/>
        <v>9.4543741847579119E-2</v>
      </c>
      <c r="R140" s="3">
        <f t="shared" si="57"/>
        <v>9.4543741847507884E-2</v>
      </c>
      <c r="S140" s="3">
        <f t="shared" si="57"/>
        <v>9.4543741846795537E-2</v>
      </c>
      <c r="T140" s="3">
        <f t="shared" si="57"/>
        <v>9.4543741839672166E-2</v>
      </c>
      <c r="U140" s="3">
        <f t="shared" si="57"/>
        <v>9.4543741768438466E-2</v>
      </c>
      <c r="V140" s="3">
        <f t="shared" si="57"/>
        <v>9.4543741056101416E-2</v>
      </c>
      <c r="W140" s="3">
        <f t="shared" si="57"/>
        <v>9.4543733932731105E-2</v>
      </c>
      <c r="X140" s="3">
        <f t="shared" si="57"/>
        <v>9.4543662699057548E-2</v>
      </c>
      <c r="Y140" s="3">
        <f t="shared" si="57"/>
        <v>9.4542950365273964E-2</v>
      </c>
      <c r="Z140" s="3">
        <f t="shared" si="57"/>
        <v>9.4535827322618421E-2</v>
      </c>
      <c r="AA140" s="3">
        <f t="shared" ref="AA140" si="58">$C26*EXP(-AA$129/$A26/EXP(-$B$126))</f>
        <v>9.4464626405876953E-2</v>
      </c>
      <c r="AB140" s="3">
        <f t="shared" si="46"/>
        <v>9.3755560009795041E-2</v>
      </c>
      <c r="AC140" s="3">
        <f t="shared" si="46"/>
        <v>8.6951132177781235E-2</v>
      </c>
      <c r="AD140" s="3">
        <f t="shared" si="46"/>
        <v>4.09314690027172E-2</v>
      </c>
      <c r="AE140" s="3">
        <f t="shared" si="46"/>
        <v>2.187148310121698E-5</v>
      </c>
      <c r="AF140" s="3">
        <f t="shared" si="46"/>
        <v>4.1503741885844823E-38</v>
      </c>
    </row>
    <row r="141" spans="1:33" x14ac:dyDescent="0.25">
      <c r="B141" s="3">
        <f t="shared" ref="B141:Z141" si="59">$C27*EXP(-B$129/$A27/EXP(-$B$126))</f>
        <v>0.11359632384203742</v>
      </c>
      <c r="C141" s="3">
        <f t="shared" si="59"/>
        <v>0.11359632384203742</v>
      </c>
      <c r="D141" s="3">
        <f t="shared" si="59"/>
        <v>0.11359632384203742</v>
      </c>
      <c r="E141" s="3">
        <f t="shared" si="59"/>
        <v>0.11359632384203742</v>
      </c>
      <c r="F141" s="3">
        <f t="shared" si="59"/>
        <v>0.11359632384203742</v>
      </c>
      <c r="G141" s="3">
        <f t="shared" si="59"/>
        <v>0.11359632384203742</v>
      </c>
      <c r="H141" s="3">
        <f t="shared" si="59"/>
        <v>0.11359632384203742</v>
      </c>
      <c r="I141" s="3">
        <f t="shared" si="59"/>
        <v>0.11359632384203742</v>
      </c>
      <c r="J141" s="3">
        <f t="shared" si="59"/>
        <v>0.11359632384203742</v>
      </c>
      <c r="K141" s="3">
        <f t="shared" si="59"/>
        <v>0.11359632384203742</v>
      </c>
      <c r="L141" s="3">
        <f t="shared" si="59"/>
        <v>0.11359632384203742</v>
      </c>
      <c r="M141" s="3">
        <f t="shared" si="59"/>
        <v>0.11359632384203742</v>
      </c>
      <c r="N141" s="3">
        <f t="shared" si="59"/>
        <v>0.11359632384203742</v>
      </c>
      <c r="O141" s="3">
        <f t="shared" si="59"/>
        <v>0.11359632384203741</v>
      </c>
      <c r="P141" s="3">
        <f t="shared" si="59"/>
        <v>0.11359632384203734</v>
      </c>
      <c r="Q141" s="3">
        <f t="shared" si="59"/>
        <v>0.11359632384203656</v>
      </c>
      <c r="R141" s="3">
        <f t="shared" si="59"/>
        <v>0.11359632384202885</v>
      </c>
      <c r="S141" s="3">
        <f t="shared" si="59"/>
        <v>0.11359632384195165</v>
      </c>
      <c r="T141" s="3">
        <f t="shared" si="59"/>
        <v>0.11359632384117956</v>
      </c>
      <c r="U141" s="3">
        <f t="shared" si="59"/>
        <v>0.11359632383345873</v>
      </c>
      <c r="V141" s="3">
        <f t="shared" si="59"/>
        <v>0.11359632375625051</v>
      </c>
      <c r="W141" s="3">
        <f t="shared" si="59"/>
        <v>0.11359632298416815</v>
      </c>
      <c r="X141" s="3">
        <f t="shared" si="59"/>
        <v>0.113596315263345</v>
      </c>
      <c r="Y141" s="3">
        <f t="shared" si="59"/>
        <v>0.11359623805514235</v>
      </c>
      <c r="Z141" s="3">
        <f t="shared" si="59"/>
        <v>0.11359546597600205</v>
      </c>
      <c r="AA141" s="3">
        <f t="shared" ref="AA141" si="60">$C27*EXP(-AA$129/$A27/EXP(-$B$126))</f>
        <v>0.11358774547321041</v>
      </c>
      <c r="AB141" s="3">
        <f t="shared" si="46"/>
        <v>0.11351056929918012</v>
      </c>
      <c r="AC141" s="3">
        <f t="shared" si="46"/>
        <v>0.11274168570452775</v>
      </c>
      <c r="AD141" s="3">
        <f t="shared" si="46"/>
        <v>0.10533355610926777</v>
      </c>
      <c r="AE141" s="3">
        <f t="shared" si="46"/>
        <v>5.3381278351079753E-2</v>
      </c>
      <c r="AF141" s="3">
        <f t="shared" si="46"/>
        <v>5.9650103889744375E-5</v>
      </c>
    </row>
    <row r="142" spans="1:33" x14ac:dyDescent="0.25">
      <c r="B142" s="3">
        <f t="shared" ref="B142:Z142" si="61">$C28*EXP(-B$129/$A28/EXP(-$B$126))</f>
        <v>0.12987660327805553</v>
      </c>
      <c r="C142" s="3">
        <f t="shared" si="61"/>
        <v>0.12987660327805553</v>
      </c>
      <c r="D142" s="3">
        <f t="shared" si="61"/>
        <v>0.12987660327805553</v>
      </c>
      <c r="E142" s="3">
        <f t="shared" si="61"/>
        <v>0.12987660327805553</v>
      </c>
      <c r="F142" s="3">
        <f t="shared" si="61"/>
        <v>0.12987660327805553</v>
      </c>
      <c r="G142" s="3">
        <f t="shared" si="61"/>
        <v>0.12987660327805553</v>
      </c>
      <c r="H142" s="3">
        <f t="shared" si="61"/>
        <v>0.12987660327805553</v>
      </c>
      <c r="I142" s="3">
        <f t="shared" si="61"/>
        <v>0.12987660327805553</v>
      </c>
      <c r="J142" s="3">
        <f t="shared" si="61"/>
        <v>0.12987660327805553</v>
      </c>
      <c r="K142" s="3">
        <f t="shared" si="61"/>
        <v>0.12987660327805553</v>
      </c>
      <c r="L142" s="3">
        <f t="shared" si="61"/>
        <v>0.12987660327805553</v>
      </c>
      <c r="M142" s="3">
        <f t="shared" si="61"/>
        <v>0.12987660327805553</v>
      </c>
      <c r="N142" s="3">
        <f t="shared" si="61"/>
        <v>0.12987660327805553</v>
      </c>
      <c r="O142" s="3">
        <f t="shared" si="61"/>
        <v>0.12987660327805553</v>
      </c>
      <c r="P142" s="3">
        <f t="shared" si="61"/>
        <v>0.1298766032780555</v>
      </c>
      <c r="Q142" s="3">
        <f t="shared" si="61"/>
        <v>0.12987660327805545</v>
      </c>
      <c r="R142" s="3">
        <f t="shared" si="61"/>
        <v>0.12987660327805464</v>
      </c>
      <c r="S142" s="3">
        <f t="shared" si="61"/>
        <v>0.12987660327804668</v>
      </c>
      <c r="T142" s="3">
        <f t="shared" si="61"/>
        <v>0.12987660327796705</v>
      </c>
      <c r="U142" s="3">
        <f t="shared" si="61"/>
        <v>0.12987660327717077</v>
      </c>
      <c r="V142" s="3">
        <f t="shared" si="61"/>
        <v>0.12987660326920775</v>
      </c>
      <c r="W142" s="3">
        <f t="shared" si="61"/>
        <v>0.12987660318957772</v>
      </c>
      <c r="X142" s="3">
        <f t="shared" si="61"/>
        <v>0.12987660239327747</v>
      </c>
      <c r="Y142" s="3">
        <f t="shared" si="61"/>
        <v>0.12987659443027516</v>
      </c>
      <c r="Z142" s="3">
        <f t="shared" si="61"/>
        <v>0.12987651480027881</v>
      </c>
      <c r="AA142" s="3">
        <f t="shared" ref="AA142" si="62">$C28*EXP(-AA$129/$A28/EXP(-$B$126))</f>
        <v>0.12987571850300064</v>
      </c>
      <c r="AB142" s="3">
        <f t="shared" si="46"/>
        <v>0.12986775579873786</v>
      </c>
      <c r="AC142" s="3">
        <f t="shared" si="46"/>
        <v>0.12978815560188939</v>
      </c>
      <c r="AD142" s="3">
        <f t="shared" si="46"/>
        <v>0.12899483213125526</v>
      </c>
      <c r="AE142" s="3">
        <f t="shared" si="46"/>
        <v>0.12132346927990915</v>
      </c>
      <c r="AF142" s="3">
        <f t="shared" si="46"/>
        <v>6.5715816722708154E-2</v>
      </c>
    </row>
    <row r="143" spans="1:33" x14ac:dyDescent="0.25">
      <c r="B143" s="3">
        <f t="shared" ref="B143:Z143" si="63">$C29*EXP(-B$129/$A29/EXP(-$B$126))</f>
        <v>7.5604381501705717E-2</v>
      </c>
      <c r="C143" s="3">
        <f t="shared" si="63"/>
        <v>7.5604381501705717E-2</v>
      </c>
      <c r="D143" s="3">
        <f t="shared" si="63"/>
        <v>7.5604381501705717E-2</v>
      </c>
      <c r="E143" s="3">
        <f t="shared" si="63"/>
        <v>7.5604381501705717E-2</v>
      </c>
      <c r="F143" s="3">
        <f t="shared" si="63"/>
        <v>7.5604381501705717E-2</v>
      </c>
      <c r="G143" s="3">
        <f t="shared" si="63"/>
        <v>7.5604381501705717E-2</v>
      </c>
      <c r="H143" s="3">
        <f t="shared" si="63"/>
        <v>7.5604381501705717E-2</v>
      </c>
      <c r="I143" s="3">
        <f t="shared" si="63"/>
        <v>7.5604381501705717E-2</v>
      </c>
      <c r="J143" s="3">
        <f t="shared" si="63"/>
        <v>7.5604381501705717E-2</v>
      </c>
      <c r="K143" s="3">
        <f t="shared" si="63"/>
        <v>7.5604381501705717E-2</v>
      </c>
      <c r="L143" s="3">
        <f t="shared" si="63"/>
        <v>7.5604381501705717E-2</v>
      </c>
      <c r="M143" s="3">
        <f t="shared" si="63"/>
        <v>7.5604381501705717E-2</v>
      </c>
      <c r="N143" s="3">
        <f t="shared" si="63"/>
        <v>7.5604381501705717E-2</v>
      </c>
      <c r="O143" s="3">
        <f t="shared" si="63"/>
        <v>7.5604381501705717E-2</v>
      </c>
      <c r="P143" s="3">
        <f t="shared" si="63"/>
        <v>7.5604381501705717E-2</v>
      </c>
      <c r="Q143" s="3">
        <f t="shared" si="63"/>
        <v>7.5604381501705703E-2</v>
      </c>
      <c r="R143" s="3">
        <f t="shared" si="63"/>
        <v>7.5604381501705661E-2</v>
      </c>
      <c r="S143" s="3">
        <f t="shared" si="63"/>
        <v>7.5604381501705259E-2</v>
      </c>
      <c r="T143" s="3">
        <f t="shared" si="63"/>
        <v>7.5604381501701068E-2</v>
      </c>
      <c r="U143" s="3">
        <f t="shared" si="63"/>
        <v>7.5604381501659254E-2</v>
      </c>
      <c r="V143" s="3">
        <f t="shared" si="63"/>
        <v>7.5604381501241102E-2</v>
      </c>
      <c r="W143" s="3">
        <f t="shared" si="63"/>
        <v>7.5604381497059531E-2</v>
      </c>
      <c r="X143" s="3">
        <f t="shared" si="63"/>
        <v>7.5604381455243813E-2</v>
      </c>
      <c r="Y143" s="3">
        <f t="shared" si="63"/>
        <v>7.5604381037086693E-2</v>
      </c>
      <c r="Z143" s="3">
        <f t="shared" si="63"/>
        <v>7.5604376855515673E-2</v>
      </c>
      <c r="AA143" s="3">
        <f t="shared" ref="AA143" si="64">$C29*EXP(-AA$129/$A29/EXP(-$B$126))</f>
        <v>7.560433503981813E-2</v>
      </c>
      <c r="AB143" s="3">
        <f t="shared" si="46"/>
        <v>7.5603916884114802E-2</v>
      </c>
      <c r="AC143" s="3">
        <f t="shared" si="46"/>
        <v>7.5599735454280781E-2</v>
      </c>
      <c r="AD143" s="3">
        <f t="shared" si="46"/>
        <v>7.5557933873271199E-2</v>
      </c>
      <c r="AE143" s="3">
        <f t="shared" si="46"/>
        <v>7.514118719759208E-2</v>
      </c>
      <c r="AF143" s="3">
        <f t="shared" si="46"/>
        <v>7.1098074679501577E-2</v>
      </c>
    </row>
    <row r="144" spans="1:33" x14ac:dyDescent="0.25">
      <c r="B144" s="3">
        <f t="shared" ref="B144:Z144" si="65">$C30*EXP(-B$129/$A30/EXP(-$B$126))</f>
        <v>4.9796050081425132E-2</v>
      </c>
      <c r="C144" s="3">
        <f t="shared" si="65"/>
        <v>4.9796050081425132E-2</v>
      </c>
      <c r="D144" s="3">
        <f t="shared" si="65"/>
        <v>4.9796050081425132E-2</v>
      </c>
      <c r="E144" s="3">
        <f t="shared" si="65"/>
        <v>4.9796050081425132E-2</v>
      </c>
      <c r="F144" s="3">
        <f t="shared" si="65"/>
        <v>4.9796050081425132E-2</v>
      </c>
      <c r="G144" s="3">
        <f t="shared" si="65"/>
        <v>4.9796050081425132E-2</v>
      </c>
      <c r="H144" s="3">
        <f t="shared" si="65"/>
        <v>4.9796050081425132E-2</v>
      </c>
      <c r="I144" s="3">
        <f t="shared" si="65"/>
        <v>4.9796050081425132E-2</v>
      </c>
      <c r="J144" s="3">
        <f t="shared" si="65"/>
        <v>4.9796050081425132E-2</v>
      </c>
      <c r="K144" s="3">
        <f t="shared" si="65"/>
        <v>4.9796050081425132E-2</v>
      </c>
      <c r="L144" s="3">
        <f t="shared" si="65"/>
        <v>4.9796050081425132E-2</v>
      </c>
      <c r="M144" s="3">
        <f t="shared" si="65"/>
        <v>4.9796050081425132E-2</v>
      </c>
      <c r="N144" s="3">
        <f t="shared" si="65"/>
        <v>4.9796050081425132E-2</v>
      </c>
      <c r="O144" s="3">
        <f t="shared" si="65"/>
        <v>4.9796050081425132E-2</v>
      </c>
      <c r="P144" s="3">
        <f t="shared" si="65"/>
        <v>4.9796050081425132E-2</v>
      </c>
      <c r="Q144" s="3">
        <f t="shared" si="65"/>
        <v>4.9796050081425132E-2</v>
      </c>
      <c r="R144" s="3">
        <f t="shared" si="65"/>
        <v>4.9796050081425132E-2</v>
      </c>
      <c r="S144" s="3">
        <f t="shared" si="65"/>
        <v>4.9796050081425104E-2</v>
      </c>
      <c r="T144" s="3">
        <f t="shared" si="65"/>
        <v>4.9796050081424854E-2</v>
      </c>
      <c r="U144" s="3">
        <f t="shared" si="65"/>
        <v>4.979605008142237E-2</v>
      </c>
      <c r="V144" s="3">
        <f t="shared" si="65"/>
        <v>4.9796050081397529E-2</v>
      </c>
      <c r="W144" s="3">
        <f t="shared" si="65"/>
        <v>4.9796050081149082E-2</v>
      </c>
      <c r="X144" s="3">
        <f t="shared" si="65"/>
        <v>4.9796050078664604E-2</v>
      </c>
      <c r="Y144" s="3">
        <f t="shared" si="65"/>
        <v>4.9796050053819894E-2</v>
      </c>
      <c r="Z144" s="3">
        <f t="shared" si="65"/>
        <v>4.9796049805372743E-2</v>
      </c>
      <c r="AA144" s="3">
        <f t="shared" ref="AA144" si="66">$C30*EXP(-AA$129/$A30/EXP(-$B$126))</f>
        <v>4.9796047320901357E-2</v>
      </c>
      <c r="AB144" s="3">
        <f t="shared" ref="AB144:AF153" si="67">$C30*EXP(-AB$129/$A30/EXP(-$B$126))</f>
        <v>4.9796022476194253E-2</v>
      </c>
      <c r="AC144" s="3">
        <f t="shared" si="67"/>
        <v>4.9795774029804979E-2</v>
      </c>
      <c r="AD144" s="3">
        <f t="shared" si="67"/>
        <v>4.9793289634087544E-2</v>
      </c>
      <c r="AE144" s="3">
        <f t="shared" si="67"/>
        <v>4.9768452493182548E-2</v>
      </c>
      <c r="AF144" s="3">
        <f t="shared" si="67"/>
        <v>4.9520761454436762E-2</v>
      </c>
    </row>
    <row r="145" spans="1:32" x14ac:dyDescent="0.25">
      <c r="B145" s="3">
        <f t="shared" ref="B145:Z145" si="68">$C31*EXP(-B$129/$A31/EXP(-$B$126))</f>
        <v>2.0966447401353387E-2</v>
      </c>
      <c r="C145" s="3">
        <f t="shared" si="68"/>
        <v>2.0966447401353387E-2</v>
      </c>
      <c r="D145" s="3">
        <f t="shared" si="68"/>
        <v>2.0966447401353387E-2</v>
      </c>
      <c r="E145" s="3">
        <f t="shared" si="68"/>
        <v>2.0966447401353387E-2</v>
      </c>
      <c r="F145" s="3">
        <f t="shared" si="68"/>
        <v>2.0966447401353387E-2</v>
      </c>
      <c r="G145" s="3">
        <f t="shared" si="68"/>
        <v>2.0966447401353387E-2</v>
      </c>
      <c r="H145" s="3">
        <f t="shared" si="68"/>
        <v>2.0966447401353387E-2</v>
      </c>
      <c r="I145" s="3">
        <f t="shared" si="68"/>
        <v>2.0966447401353387E-2</v>
      </c>
      <c r="J145" s="3">
        <f t="shared" si="68"/>
        <v>2.0966447401353387E-2</v>
      </c>
      <c r="K145" s="3">
        <f t="shared" si="68"/>
        <v>2.0966447401353387E-2</v>
      </c>
      <c r="L145" s="3">
        <f t="shared" si="68"/>
        <v>2.0966447401353387E-2</v>
      </c>
      <c r="M145" s="3">
        <f t="shared" si="68"/>
        <v>2.0966447401353387E-2</v>
      </c>
      <c r="N145" s="3">
        <f t="shared" si="68"/>
        <v>2.0966447401353387E-2</v>
      </c>
      <c r="O145" s="3">
        <f t="shared" si="68"/>
        <v>2.0966447401353387E-2</v>
      </c>
      <c r="P145" s="3">
        <f t="shared" si="68"/>
        <v>2.0966447401353387E-2</v>
      </c>
      <c r="Q145" s="3">
        <f t="shared" si="68"/>
        <v>2.0966447401353387E-2</v>
      </c>
      <c r="R145" s="3">
        <f t="shared" si="68"/>
        <v>2.0966447401353387E-2</v>
      </c>
      <c r="S145" s="3">
        <f t="shared" si="68"/>
        <v>2.0966447401353387E-2</v>
      </c>
      <c r="T145" s="3">
        <f t="shared" si="68"/>
        <v>2.0966447401353377E-2</v>
      </c>
      <c r="U145" s="3">
        <f t="shared" si="68"/>
        <v>2.0966447401353283E-2</v>
      </c>
      <c r="V145" s="3">
        <f t="shared" si="68"/>
        <v>2.0966447401352339E-2</v>
      </c>
      <c r="W145" s="3">
        <f t="shared" si="68"/>
        <v>2.0966447401342903E-2</v>
      </c>
      <c r="X145" s="3">
        <f t="shared" si="68"/>
        <v>2.0966447401248537E-2</v>
      </c>
      <c r="Y145" s="3">
        <f t="shared" si="68"/>
        <v>2.0966447400304889E-2</v>
      </c>
      <c r="Z145" s="3">
        <f t="shared" si="68"/>
        <v>2.0966447390868396E-2</v>
      </c>
      <c r="AA145" s="3">
        <f t="shared" ref="AA145" si="69">$C31*EXP(-AA$129/$A31/EXP(-$B$126))</f>
        <v>2.0966447296503481E-2</v>
      </c>
      <c r="AB145" s="3">
        <f t="shared" si="67"/>
        <v>2.0966446352854346E-2</v>
      </c>
      <c r="AC145" s="3">
        <f t="shared" si="67"/>
        <v>2.0966436916365322E-2</v>
      </c>
      <c r="AD145" s="3">
        <f t="shared" si="67"/>
        <v>2.0966342551708705E-2</v>
      </c>
      <c r="AE145" s="3">
        <f t="shared" si="67"/>
        <v>2.0965398928501348E-2</v>
      </c>
      <c r="AF145" s="3">
        <f t="shared" si="67"/>
        <v>2.0955965031920952E-2</v>
      </c>
    </row>
    <row r="146" spans="1:32" x14ac:dyDescent="0.25">
      <c r="B146" s="3">
        <f t="shared" ref="B146:Z146" si="70">$C32*EXP(-B$129/$A32/EXP(-$B$126))</f>
        <v>3.9443248072899657E-3</v>
      </c>
      <c r="C146" s="3">
        <f t="shared" si="70"/>
        <v>3.9443248072899657E-3</v>
      </c>
      <c r="D146" s="3">
        <f t="shared" si="70"/>
        <v>3.9443248072899657E-3</v>
      </c>
      <c r="E146" s="3">
        <f t="shared" si="70"/>
        <v>3.9443248072899657E-3</v>
      </c>
      <c r="F146" s="3">
        <f t="shared" si="70"/>
        <v>3.9443248072899657E-3</v>
      </c>
      <c r="G146" s="3">
        <f t="shared" si="70"/>
        <v>3.9443248072899657E-3</v>
      </c>
      <c r="H146" s="3">
        <f t="shared" si="70"/>
        <v>3.9443248072899657E-3</v>
      </c>
      <c r="I146" s="3">
        <f t="shared" si="70"/>
        <v>3.9443248072899657E-3</v>
      </c>
      <c r="J146" s="3">
        <f t="shared" si="70"/>
        <v>3.9443248072899657E-3</v>
      </c>
      <c r="K146" s="3">
        <f t="shared" si="70"/>
        <v>3.9443248072899657E-3</v>
      </c>
      <c r="L146" s="3">
        <f t="shared" si="70"/>
        <v>3.9443248072899657E-3</v>
      </c>
      <c r="M146" s="3">
        <f t="shared" si="70"/>
        <v>3.9443248072899657E-3</v>
      </c>
      <c r="N146" s="3">
        <f t="shared" si="70"/>
        <v>3.9443248072899657E-3</v>
      </c>
      <c r="O146" s="3">
        <f t="shared" si="70"/>
        <v>3.9443248072899657E-3</v>
      </c>
      <c r="P146" s="3">
        <f t="shared" si="70"/>
        <v>3.9443248072899657E-3</v>
      </c>
      <c r="Q146" s="3">
        <f t="shared" si="70"/>
        <v>3.9443248072899657E-3</v>
      </c>
      <c r="R146" s="3">
        <f t="shared" si="70"/>
        <v>3.9443248072899657E-3</v>
      </c>
      <c r="S146" s="3">
        <f t="shared" si="70"/>
        <v>3.9443248072899657E-3</v>
      </c>
      <c r="T146" s="3">
        <f t="shared" si="70"/>
        <v>3.9443248072899657E-3</v>
      </c>
      <c r="U146" s="3">
        <f t="shared" si="70"/>
        <v>3.944324807289964E-3</v>
      </c>
      <c r="V146" s="3">
        <f t="shared" si="70"/>
        <v>3.9443248072899475E-3</v>
      </c>
      <c r="W146" s="3">
        <f t="shared" si="70"/>
        <v>3.9443248072897879E-3</v>
      </c>
      <c r="X146" s="3">
        <f t="shared" si="70"/>
        <v>3.9443248072881867E-3</v>
      </c>
      <c r="Y146" s="3">
        <f t="shared" si="70"/>
        <v>3.9443248072721718E-3</v>
      </c>
      <c r="Z146" s="3">
        <f t="shared" si="70"/>
        <v>3.9443248071120299E-3</v>
      </c>
      <c r="AA146" s="3">
        <f t="shared" ref="AA146" si="71">$C32*EXP(-AA$129/$A32/EXP(-$B$126))</f>
        <v>3.9443248055106113E-3</v>
      </c>
      <c r="AB146" s="3">
        <f t="shared" si="67"/>
        <v>3.9443247894964213E-3</v>
      </c>
      <c r="AC146" s="3">
        <f t="shared" si="67"/>
        <v>3.9443246293545276E-3</v>
      </c>
      <c r="AD146" s="3">
        <f t="shared" si="67"/>
        <v>3.9443230279359448E-3</v>
      </c>
      <c r="AE146" s="3">
        <f t="shared" si="67"/>
        <v>3.9443070137858798E-3</v>
      </c>
      <c r="AF146" s="3">
        <f t="shared" si="67"/>
        <v>3.9441468758611856E-3</v>
      </c>
    </row>
    <row r="147" spans="1:32" x14ac:dyDescent="0.25">
      <c r="B147" s="3">
        <f t="shared" ref="B147:Z147" si="72">$C33*EXP(-B$129/$A33/EXP(-$B$126))</f>
        <v>3.51380910541953E-3</v>
      </c>
      <c r="C147" s="3">
        <f t="shared" si="72"/>
        <v>3.51380910541953E-3</v>
      </c>
      <c r="D147" s="3">
        <f t="shared" si="72"/>
        <v>3.51380910541953E-3</v>
      </c>
      <c r="E147" s="3">
        <f t="shared" si="72"/>
        <v>3.51380910541953E-3</v>
      </c>
      <c r="F147" s="3">
        <f t="shared" si="72"/>
        <v>3.51380910541953E-3</v>
      </c>
      <c r="G147" s="3">
        <f t="shared" si="72"/>
        <v>3.51380910541953E-3</v>
      </c>
      <c r="H147" s="3">
        <f t="shared" si="72"/>
        <v>3.51380910541953E-3</v>
      </c>
      <c r="I147" s="3">
        <f t="shared" si="72"/>
        <v>3.51380910541953E-3</v>
      </c>
      <c r="J147" s="3">
        <f t="shared" si="72"/>
        <v>3.51380910541953E-3</v>
      </c>
      <c r="K147" s="3">
        <f t="shared" si="72"/>
        <v>3.51380910541953E-3</v>
      </c>
      <c r="L147" s="3">
        <f t="shared" si="72"/>
        <v>3.51380910541953E-3</v>
      </c>
      <c r="M147" s="3">
        <f t="shared" si="72"/>
        <v>3.51380910541953E-3</v>
      </c>
      <c r="N147" s="3">
        <f t="shared" si="72"/>
        <v>3.51380910541953E-3</v>
      </c>
      <c r="O147" s="3">
        <f t="shared" si="72"/>
        <v>3.51380910541953E-3</v>
      </c>
      <c r="P147" s="3">
        <f t="shared" si="72"/>
        <v>3.51380910541953E-3</v>
      </c>
      <c r="Q147" s="3">
        <f t="shared" si="72"/>
        <v>3.51380910541953E-3</v>
      </c>
      <c r="R147" s="3">
        <f t="shared" si="72"/>
        <v>3.51380910541953E-3</v>
      </c>
      <c r="S147" s="3">
        <f t="shared" si="72"/>
        <v>3.51380910541953E-3</v>
      </c>
      <c r="T147" s="3">
        <f t="shared" si="72"/>
        <v>3.51380910541953E-3</v>
      </c>
      <c r="U147" s="3">
        <f t="shared" si="72"/>
        <v>3.51380910541953E-3</v>
      </c>
      <c r="V147" s="3">
        <f t="shared" si="72"/>
        <v>3.5138091054195283E-3</v>
      </c>
      <c r="W147" s="3">
        <f t="shared" si="72"/>
        <v>3.5138091054195157E-3</v>
      </c>
      <c r="X147" s="3">
        <f t="shared" si="72"/>
        <v>3.5138091054193869E-3</v>
      </c>
      <c r="Y147" s="3">
        <f t="shared" si="72"/>
        <v>3.5138091054181001E-3</v>
      </c>
      <c r="Z147" s="3">
        <f t="shared" si="72"/>
        <v>3.5138091054052307E-3</v>
      </c>
      <c r="AA147" s="3">
        <f t="shared" ref="AA147" si="73">$C33*EXP(-AA$129/$A33/EXP(-$B$126))</f>
        <v>3.5138091052765372E-3</v>
      </c>
      <c r="AB147" s="3">
        <f t="shared" si="67"/>
        <v>3.5138091039896009E-3</v>
      </c>
      <c r="AC147" s="3">
        <f t="shared" si="67"/>
        <v>3.5138090911202378E-3</v>
      </c>
      <c r="AD147" s="3">
        <f t="shared" si="67"/>
        <v>3.5138089624266091E-3</v>
      </c>
      <c r="AE147" s="3">
        <f t="shared" si="67"/>
        <v>3.5138076754905848E-3</v>
      </c>
      <c r="AF147" s="3">
        <f t="shared" si="67"/>
        <v>3.513794806156263E-3</v>
      </c>
    </row>
    <row r="148" spans="1:32" x14ac:dyDescent="0.25">
      <c r="B148" s="3">
        <f t="shared" ref="B148:Z148" si="74">$C34*EXP(-B$129/$A34/EXP(-$B$126))</f>
        <v>7.1978944921583432E-4</v>
      </c>
      <c r="C148" s="3">
        <f t="shared" si="74"/>
        <v>7.1978944921583432E-4</v>
      </c>
      <c r="D148" s="3">
        <f t="shared" si="74"/>
        <v>7.1978944921583432E-4</v>
      </c>
      <c r="E148" s="3">
        <f t="shared" si="74"/>
        <v>7.1978944921583432E-4</v>
      </c>
      <c r="F148" s="3">
        <f t="shared" si="74"/>
        <v>7.1978944921583432E-4</v>
      </c>
      <c r="G148" s="3">
        <f t="shared" si="74"/>
        <v>7.1978944921583432E-4</v>
      </c>
      <c r="H148" s="3">
        <f t="shared" si="74"/>
        <v>7.1978944921583432E-4</v>
      </c>
      <c r="I148" s="3">
        <f t="shared" si="74"/>
        <v>7.1978944921583432E-4</v>
      </c>
      <c r="J148" s="3">
        <f t="shared" si="74"/>
        <v>7.1978944921583432E-4</v>
      </c>
      <c r="K148" s="3">
        <f t="shared" si="74"/>
        <v>7.1978944921583432E-4</v>
      </c>
      <c r="L148" s="3">
        <f t="shared" si="74"/>
        <v>7.1978944921583432E-4</v>
      </c>
      <c r="M148" s="3">
        <f t="shared" si="74"/>
        <v>7.1978944921583432E-4</v>
      </c>
      <c r="N148" s="3">
        <f t="shared" si="74"/>
        <v>7.1978944921583432E-4</v>
      </c>
      <c r="O148" s="3">
        <f t="shared" si="74"/>
        <v>7.1978944921583432E-4</v>
      </c>
      <c r="P148" s="3">
        <f t="shared" si="74"/>
        <v>7.1978944921583432E-4</v>
      </c>
      <c r="Q148" s="3">
        <f t="shared" si="74"/>
        <v>7.1978944921583432E-4</v>
      </c>
      <c r="R148" s="3">
        <f t="shared" si="74"/>
        <v>7.1978944921583432E-4</v>
      </c>
      <c r="S148" s="3">
        <f t="shared" si="74"/>
        <v>7.1978944921583432E-4</v>
      </c>
      <c r="T148" s="3">
        <f t="shared" si="74"/>
        <v>7.1978944921583432E-4</v>
      </c>
      <c r="U148" s="3">
        <f t="shared" si="74"/>
        <v>7.1978944921583432E-4</v>
      </c>
      <c r="V148" s="3">
        <f t="shared" si="74"/>
        <v>7.1978944921583432E-4</v>
      </c>
      <c r="W148" s="3">
        <f t="shared" si="74"/>
        <v>7.197894492158341E-4</v>
      </c>
      <c r="X148" s="3">
        <f t="shared" si="74"/>
        <v>7.1978944921583172E-4</v>
      </c>
      <c r="Y148" s="3">
        <f t="shared" si="74"/>
        <v>7.1978944921580787E-4</v>
      </c>
      <c r="Z148" s="3">
        <f t="shared" si="74"/>
        <v>7.197894492155701E-4</v>
      </c>
      <c r="AA148" s="3">
        <f>$C34*EXP(-AA$129/$A34/EXP(-$B$126))</f>
        <v>7.1978944921319201E-4</v>
      </c>
      <c r="AB148" s="3">
        <f t="shared" si="67"/>
        <v>7.197894491894109E-4</v>
      </c>
      <c r="AC148" s="3">
        <f t="shared" si="67"/>
        <v>7.1978944895160048E-4</v>
      </c>
      <c r="AD148" s="3">
        <f t="shared" si="67"/>
        <v>7.1978944657349582E-4</v>
      </c>
      <c r="AE148" s="3">
        <f t="shared" si="67"/>
        <v>7.1978942279245001E-4</v>
      </c>
      <c r="AF148" s="3">
        <f t="shared" si="67"/>
        <v>7.1978918498203487E-4</v>
      </c>
    </row>
    <row r="149" spans="1:32" x14ac:dyDescent="0.25">
      <c r="B149" s="3">
        <f t="shared" ref="B149:Z149" si="75">$C35*EXP(-B$129/$A35/EXP(-$B$126))</f>
        <v>5.3803230598076777E-4</v>
      </c>
      <c r="C149" s="3">
        <f t="shared" si="75"/>
        <v>5.3803230598076777E-4</v>
      </c>
      <c r="D149" s="3">
        <f t="shared" si="75"/>
        <v>5.3803230598076777E-4</v>
      </c>
      <c r="E149" s="3">
        <f t="shared" si="75"/>
        <v>5.3803230598076777E-4</v>
      </c>
      <c r="F149" s="3">
        <f t="shared" si="75"/>
        <v>5.3803230598076777E-4</v>
      </c>
      <c r="G149" s="3">
        <f t="shared" si="75"/>
        <v>5.3803230598076777E-4</v>
      </c>
      <c r="H149" s="3">
        <f t="shared" si="75"/>
        <v>5.3803230598076777E-4</v>
      </c>
      <c r="I149" s="3">
        <f t="shared" si="75"/>
        <v>5.3803230598076777E-4</v>
      </c>
      <c r="J149" s="3">
        <f t="shared" si="75"/>
        <v>5.3803230598076777E-4</v>
      </c>
      <c r="K149" s="3">
        <f t="shared" si="75"/>
        <v>5.3803230598076777E-4</v>
      </c>
      <c r="L149" s="3">
        <f t="shared" si="75"/>
        <v>5.3803230598076777E-4</v>
      </c>
      <c r="M149" s="3">
        <f t="shared" si="75"/>
        <v>5.3803230598076777E-4</v>
      </c>
      <c r="N149" s="3">
        <f t="shared" si="75"/>
        <v>5.3803230598076777E-4</v>
      </c>
      <c r="O149" s="3">
        <f t="shared" si="75"/>
        <v>5.3803230598076777E-4</v>
      </c>
      <c r="P149" s="3">
        <f t="shared" si="75"/>
        <v>5.3803230598076777E-4</v>
      </c>
      <c r="Q149" s="3">
        <f t="shared" si="75"/>
        <v>5.3803230598076777E-4</v>
      </c>
      <c r="R149" s="3">
        <f t="shared" si="75"/>
        <v>5.3803230598076777E-4</v>
      </c>
      <c r="S149" s="3">
        <f t="shared" si="75"/>
        <v>5.3803230598076777E-4</v>
      </c>
      <c r="T149" s="3">
        <f t="shared" si="75"/>
        <v>5.3803230598076777E-4</v>
      </c>
      <c r="U149" s="3">
        <f t="shared" si="75"/>
        <v>5.3803230598076777E-4</v>
      </c>
      <c r="V149" s="3">
        <f t="shared" si="75"/>
        <v>5.3803230598076777E-4</v>
      </c>
      <c r="W149" s="3">
        <f t="shared" si="75"/>
        <v>5.3803230598076777E-4</v>
      </c>
      <c r="X149" s="3">
        <f t="shared" si="75"/>
        <v>5.3803230598076755E-4</v>
      </c>
      <c r="Y149" s="3">
        <f t="shared" si="75"/>
        <v>5.3803230598076593E-4</v>
      </c>
      <c r="Z149" s="3">
        <f t="shared" si="75"/>
        <v>5.3803230598074999E-4</v>
      </c>
      <c r="AA149" s="3">
        <f t="shared" ref="AA149" si="76">$C35*EXP(-AA$129/$A35/EXP(-$B$126))</f>
        <v>5.3803230598058964E-4</v>
      </c>
      <c r="AB149" s="3">
        <f t="shared" si="67"/>
        <v>5.3803230597898599E-4</v>
      </c>
      <c r="AC149" s="3">
        <f t="shared" si="67"/>
        <v>5.3803230596295064E-4</v>
      </c>
      <c r="AD149" s="3">
        <f t="shared" si="67"/>
        <v>5.3803230580259638E-4</v>
      </c>
      <c r="AE149" s="3">
        <f t="shared" si="67"/>
        <v>5.380323041990541E-4</v>
      </c>
      <c r="AF149" s="3">
        <f t="shared" si="67"/>
        <v>5.3803228816363111E-4</v>
      </c>
    </row>
    <row r="150" spans="1:32" x14ac:dyDescent="0.25">
      <c r="B150" s="3">
        <f t="shared" ref="B150:Z150" si="77">$C36*EXP(-B$129/$A36/EXP(-$B$126))</f>
        <v>5.6418757759686938E-4</v>
      </c>
      <c r="C150" s="3">
        <f t="shared" si="77"/>
        <v>5.6418757759686938E-4</v>
      </c>
      <c r="D150" s="3">
        <f t="shared" si="77"/>
        <v>5.6418757759686938E-4</v>
      </c>
      <c r="E150" s="3">
        <f t="shared" si="77"/>
        <v>5.6418757759686938E-4</v>
      </c>
      <c r="F150" s="3">
        <f t="shared" si="77"/>
        <v>5.6418757759686938E-4</v>
      </c>
      <c r="G150" s="3">
        <f t="shared" si="77"/>
        <v>5.6418757759686938E-4</v>
      </c>
      <c r="H150" s="3">
        <f t="shared" si="77"/>
        <v>5.6418757759686938E-4</v>
      </c>
      <c r="I150" s="3">
        <f t="shared" si="77"/>
        <v>5.6418757759686938E-4</v>
      </c>
      <c r="J150" s="3">
        <f t="shared" si="77"/>
        <v>5.6418757759686938E-4</v>
      </c>
      <c r="K150" s="3">
        <f t="shared" si="77"/>
        <v>5.6418757759686938E-4</v>
      </c>
      <c r="L150" s="3">
        <f t="shared" si="77"/>
        <v>5.6418757759686938E-4</v>
      </c>
      <c r="M150" s="3">
        <f t="shared" si="77"/>
        <v>5.6418757759686938E-4</v>
      </c>
      <c r="N150" s="3">
        <f t="shared" si="77"/>
        <v>5.6418757759686938E-4</v>
      </c>
      <c r="O150" s="3">
        <f t="shared" si="77"/>
        <v>5.6418757759686938E-4</v>
      </c>
      <c r="P150" s="3">
        <f t="shared" si="77"/>
        <v>5.6418757759686938E-4</v>
      </c>
      <c r="Q150" s="3">
        <f t="shared" si="77"/>
        <v>5.6418757759686938E-4</v>
      </c>
      <c r="R150" s="3">
        <f t="shared" si="77"/>
        <v>5.6418757759686938E-4</v>
      </c>
      <c r="S150" s="3">
        <f t="shared" si="77"/>
        <v>5.6418757759686938E-4</v>
      </c>
      <c r="T150" s="3">
        <f t="shared" si="77"/>
        <v>5.6418757759686938E-4</v>
      </c>
      <c r="U150" s="3">
        <f t="shared" si="77"/>
        <v>5.6418757759686938E-4</v>
      </c>
      <c r="V150" s="3">
        <f t="shared" si="77"/>
        <v>5.6418757759686938E-4</v>
      </c>
      <c r="W150" s="3">
        <f t="shared" si="77"/>
        <v>5.6418757759686938E-4</v>
      </c>
      <c r="X150" s="3">
        <f t="shared" si="77"/>
        <v>5.6418757759686938E-4</v>
      </c>
      <c r="Y150" s="3">
        <f t="shared" si="77"/>
        <v>5.6418757759686916E-4</v>
      </c>
      <c r="Z150" s="3">
        <f t="shared" si="77"/>
        <v>5.6418757759686764E-4</v>
      </c>
      <c r="AA150" s="3">
        <f t="shared" ref="AA150" si="78">$C36*EXP(-AA$129/$A36/EXP(-$B$126))</f>
        <v>5.6418757759685257E-4</v>
      </c>
      <c r="AB150" s="3">
        <f t="shared" si="67"/>
        <v>5.6418757759670079E-4</v>
      </c>
      <c r="AC150" s="3">
        <f t="shared" si="67"/>
        <v>5.6418757759518399E-4</v>
      </c>
      <c r="AD150" s="3">
        <f t="shared" si="67"/>
        <v>5.6418757758001556E-4</v>
      </c>
      <c r="AE150" s="3">
        <f t="shared" si="67"/>
        <v>5.6418757742833069E-4</v>
      </c>
      <c r="AF150" s="3">
        <f t="shared" si="67"/>
        <v>5.641875759114822E-4</v>
      </c>
    </row>
    <row r="151" spans="1:32" x14ac:dyDescent="0.25">
      <c r="B151" s="3">
        <f t="shared" ref="B151:Z151" si="79">$C37*EXP(-B$129/$A37/EXP(-$B$126))</f>
        <v>5.289794145093928E-4</v>
      </c>
      <c r="C151" s="3">
        <f t="shared" si="79"/>
        <v>5.289794145093928E-4</v>
      </c>
      <c r="D151" s="3">
        <f t="shared" si="79"/>
        <v>5.289794145093928E-4</v>
      </c>
      <c r="E151" s="3">
        <f t="shared" si="79"/>
        <v>5.289794145093928E-4</v>
      </c>
      <c r="F151" s="3">
        <f t="shared" si="79"/>
        <v>5.289794145093928E-4</v>
      </c>
      <c r="G151" s="3">
        <f t="shared" si="79"/>
        <v>5.289794145093928E-4</v>
      </c>
      <c r="H151" s="3">
        <f t="shared" si="79"/>
        <v>5.289794145093928E-4</v>
      </c>
      <c r="I151" s="3">
        <f t="shared" si="79"/>
        <v>5.289794145093928E-4</v>
      </c>
      <c r="J151" s="3">
        <f t="shared" si="79"/>
        <v>5.289794145093928E-4</v>
      </c>
      <c r="K151" s="3">
        <f t="shared" si="79"/>
        <v>5.289794145093928E-4</v>
      </c>
      <c r="L151" s="3">
        <f t="shared" si="79"/>
        <v>5.289794145093928E-4</v>
      </c>
      <c r="M151" s="3">
        <f t="shared" si="79"/>
        <v>5.289794145093928E-4</v>
      </c>
      <c r="N151" s="3">
        <f t="shared" si="79"/>
        <v>5.289794145093928E-4</v>
      </c>
      <c r="O151" s="3">
        <f t="shared" si="79"/>
        <v>5.289794145093928E-4</v>
      </c>
      <c r="P151" s="3">
        <f t="shared" si="79"/>
        <v>5.289794145093928E-4</v>
      </c>
      <c r="Q151" s="3">
        <f t="shared" si="79"/>
        <v>5.289794145093928E-4</v>
      </c>
      <c r="R151" s="3">
        <f t="shared" si="79"/>
        <v>5.289794145093928E-4</v>
      </c>
      <c r="S151" s="3">
        <f t="shared" si="79"/>
        <v>5.289794145093928E-4</v>
      </c>
      <c r="T151" s="3">
        <f t="shared" si="79"/>
        <v>5.289794145093928E-4</v>
      </c>
      <c r="U151" s="3">
        <f t="shared" si="79"/>
        <v>5.289794145093928E-4</v>
      </c>
      <c r="V151" s="3">
        <f t="shared" si="79"/>
        <v>5.289794145093928E-4</v>
      </c>
      <c r="W151" s="3">
        <f t="shared" si="79"/>
        <v>5.289794145093928E-4</v>
      </c>
      <c r="X151" s="3">
        <f t="shared" si="79"/>
        <v>5.289794145093928E-4</v>
      </c>
      <c r="Y151" s="3">
        <f t="shared" si="79"/>
        <v>5.289794145093928E-4</v>
      </c>
      <c r="Z151" s="3">
        <f t="shared" si="79"/>
        <v>5.2897941450939269E-4</v>
      </c>
      <c r="AA151" s="3">
        <f t="shared" ref="AA151" si="80">$C37*EXP(-AA$129/$A37/EXP(-$B$126))</f>
        <v>5.2897941450939139E-4</v>
      </c>
      <c r="AB151" s="3">
        <f t="shared" si="67"/>
        <v>5.2897941450937849E-4</v>
      </c>
      <c r="AC151" s="3">
        <f t="shared" si="67"/>
        <v>5.2897941450925023E-4</v>
      </c>
      <c r="AD151" s="3">
        <f t="shared" si="67"/>
        <v>5.2897941450796729E-4</v>
      </c>
      <c r="AE151" s="3">
        <f t="shared" si="67"/>
        <v>5.2897941449513792E-4</v>
      </c>
      <c r="AF151" s="3">
        <f t="shared" si="67"/>
        <v>5.2897941436684472E-4</v>
      </c>
    </row>
    <row r="152" spans="1:32" x14ac:dyDescent="0.25">
      <c r="B152" s="3">
        <f t="shared" ref="B152:Z152" si="81">$C38*EXP(-B$129/$A38/EXP(-$B$126))</f>
        <v>5.3547450135887617E-5</v>
      </c>
      <c r="C152" s="3">
        <f t="shared" si="81"/>
        <v>5.3547450135887617E-5</v>
      </c>
      <c r="D152" s="3">
        <f t="shared" si="81"/>
        <v>5.3547450135887617E-5</v>
      </c>
      <c r="E152" s="3">
        <f t="shared" si="81"/>
        <v>5.3547450135887617E-5</v>
      </c>
      <c r="F152" s="3">
        <f t="shared" si="81"/>
        <v>5.3547450135887617E-5</v>
      </c>
      <c r="G152" s="3">
        <f t="shared" si="81"/>
        <v>5.3547450135887617E-5</v>
      </c>
      <c r="H152" s="3">
        <f t="shared" si="81"/>
        <v>5.3547450135887617E-5</v>
      </c>
      <c r="I152" s="3">
        <f t="shared" si="81"/>
        <v>5.3547450135887617E-5</v>
      </c>
      <c r="J152" s="3">
        <f t="shared" si="81"/>
        <v>5.3547450135887617E-5</v>
      </c>
      <c r="K152" s="3">
        <f t="shared" si="81"/>
        <v>5.3547450135887617E-5</v>
      </c>
      <c r="L152" s="3">
        <f t="shared" si="81"/>
        <v>5.3547450135887617E-5</v>
      </c>
      <c r="M152" s="3">
        <f t="shared" si="81"/>
        <v>5.3547450135887617E-5</v>
      </c>
      <c r="N152" s="3">
        <f t="shared" si="81"/>
        <v>5.3547450135887617E-5</v>
      </c>
      <c r="O152" s="3">
        <f t="shared" si="81"/>
        <v>5.3547450135887617E-5</v>
      </c>
      <c r="P152" s="3">
        <f t="shared" si="81"/>
        <v>5.3547450135887617E-5</v>
      </c>
      <c r="Q152" s="3">
        <f t="shared" si="81"/>
        <v>5.3547450135887617E-5</v>
      </c>
      <c r="R152" s="3">
        <f t="shared" si="81"/>
        <v>5.3547450135887617E-5</v>
      </c>
      <c r="S152" s="3">
        <f t="shared" si="81"/>
        <v>5.3547450135887617E-5</v>
      </c>
      <c r="T152" s="3">
        <f t="shared" si="81"/>
        <v>5.3547450135887617E-5</v>
      </c>
      <c r="U152" s="3">
        <f t="shared" si="81"/>
        <v>5.3547450135887617E-5</v>
      </c>
      <c r="V152" s="3">
        <f t="shared" si="81"/>
        <v>5.3547450135887617E-5</v>
      </c>
      <c r="W152" s="3">
        <f t="shared" si="81"/>
        <v>5.3547450135887617E-5</v>
      </c>
      <c r="X152" s="3">
        <f t="shared" si="81"/>
        <v>5.3547450135887617E-5</v>
      </c>
      <c r="Y152" s="3">
        <f t="shared" si="81"/>
        <v>5.3547450135887617E-5</v>
      </c>
      <c r="Z152" s="3">
        <f t="shared" si="81"/>
        <v>5.3547450135887617E-5</v>
      </c>
      <c r="AA152" s="3">
        <f t="shared" ref="AA152" si="82">$C38*EXP(-AA$129/$A38/EXP(-$B$126))</f>
        <v>5.3547450135887604E-5</v>
      </c>
      <c r="AB152" s="3">
        <f t="shared" si="67"/>
        <v>5.3547450135887488E-5</v>
      </c>
      <c r="AC152" s="3">
        <f t="shared" si="67"/>
        <v>5.3547450135886316E-5</v>
      </c>
      <c r="AD152" s="3">
        <f t="shared" si="67"/>
        <v>5.35474501358746E-5</v>
      </c>
      <c r="AE152" s="3">
        <f t="shared" si="67"/>
        <v>5.3547450135757445E-5</v>
      </c>
      <c r="AF152" s="3">
        <f t="shared" si="67"/>
        <v>5.3547450134585924E-5</v>
      </c>
    </row>
    <row r="153" spans="1:32" x14ac:dyDescent="0.25">
      <c r="B153" s="3">
        <f t="shared" ref="B153:Z153" si="83">$C39*EXP(-B$129/$A39/EXP(-$B$126))</f>
        <v>4.4495454548071421E-4</v>
      </c>
      <c r="C153" s="3">
        <f t="shared" si="83"/>
        <v>4.4495454548071421E-4</v>
      </c>
      <c r="D153" s="3">
        <f t="shared" si="83"/>
        <v>4.4495454548071421E-4</v>
      </c>
      <c r="E153" s="3">
        <f t="shared" si="83"/>
        <v>4.4495454548071421E-4</v>
      </c>
      <c r="F153" s="3">
        <f t="shared" si="83"/>
        <v>4.4495454548071421E-4</v>
      </c>
      <c r="G153" s="3">
        <f t="shared" si="83"/>
        <v>4.4495454548071421E-4</v>
      </c>
      <c r="H153" s="3">
        <f t="shared" si="83"/>
        <v>4.4495454548071421E-4</v>
      </c>
      <c r="I153" s="3">
        <f t="shared" si="83"/>
        <v>4.4495454548071421E-4</v>
      </c>
      <c r="J153" s="3">
        <f t="shared" si="83"/>
        <v>4.4495454548071421E-4</v>
      </c>
      <c r="K153" s="3">
        <f t="shared" si="83"/>
        <v>4.4495454548071421E-4</v>
      </c>
      <c r="L153" s="3">
        <f t="shared" si="83"/>
        <v>4.4495454548071421E-4</v>
      </c>
      <c r="M153" s="3">
        <f t="shared" si="83"/>
        <v>4.4495454548071421E-4</v>
      </c>
      <c r="N153" s="3">
        <f t="shared" si="83"/>
        <v>4.4495454548071421E-4</v>
      </c>
      <c r="O153" s="3">
        <f t="shared" si="83"/>
        <v>4.4495454548071421E-4</v>
      </c>
      <c r="P153" s="3">
        <f t="shared" si="83"/>
        <v>4.4495454548071421E-4</v>
      </c>
      <c r="Q153" s="3">
        <f t="shared" si="83"/>
        <v>4.4495454548071421E-4</v>
      </c>
      <c r="R153" s="3">
        <f t="shared" si="83"/>
        <v>4.4495454548071421E-4</v>
      </c>
      <c r="S153" s="3">
        <f t="shared" si="83"/>
        <v>4.4495454548071421E-4</v>
      </c>
      <c r="T153" s="3">
        <f t="shared" si="83"/>
        <v>4.4495454548071421E-4</v>
      </c>
      <c r="U153" s="3">
        <f t="shared" si="83"/>
        <v>4.4495454548071421E-4</v>
      </c>
      <c r="V153" s="3">
        <f t="shared" si="83"/>
        <v>4.4495454548071421E-4</v>
      </c>
      <c r="W153" s="3">
        <f t="shared" si="83"/>
        <v>4.4495454548071421E-4</v>
      </c>
      <c r="X153" s="3">
        <f t="shared" si="83"/>
        <v>4.4495454548071421E-4</v>
      </c>
      <c r="Y153" s="3">
        <f t="shared" si="83"/>
        <v>4.4495454548071421E-4</v>
      </c>
      <c r="Z153" s="3">
        <f t="shared" si="83"/>
        <v>4.4495454548071421E-4</v>
      </c>
      <c r="AA153" s="3">
        <f t="shared" ref="AA153" si="84">$C39*EXP(-AA$129/$A39/EXP(-$B$126))</f>
        <v>4.4495454548071416E-4</v>
      </c>
      <c r="AB153" s="3">
        <f t="shared" si="67"/>
        <v>4.4495454548071394E-4</v>
      </c>
      <c r="AC153" s="3">
        <f t="shared" si="67"/>
        <v>4.4495454548071117E-4</v>
      </c>
      <c r="AD153" s="3">
        <f t="shared" si="67"/>
        <v>4.4495454548068429E-4</v>
      </c>
      <c r="AE153" s="3">
        <f t="shared" si="67"/>
        <v>4.4495454548041502E-4</v>
      </c>
      <c r="AF153" s="3">
        <f t="shared" si="67"/>
        <v>4.4495454547772262E-4</v>
      </c>
    </row>
    <row r="154" spans="1:32" x14ac:dyDescent="0.25">
      <c r="B154" s="3">
        <f t="shared" ref="B154:Z154" si="85">$C40*EXP(-B$129/$A40/EXP(-$B$126))</f>
        <v>1.5289773047840316E-5</v>
      </c>
      <c r="C154" s="3">
        <f t="shared" si="85"/>
        <v>1.5289773047840316E-5</v>
      </c>
      <c r="D154" s="3">
        <f t="shared" si="85"/>
        <v>1.5289773047840316E-5</v>
      </c>
      <c r="E154" s="3">
        <f t="shared" si="85"/>
        <v>1.5289773047840316E-5</v>
      </c>
      <c r="F154" s="3">
        <f t="shared" si="85"/>
        <v>1.5289773047840316E-5</v>
      </c>
      <c r="G154" s="3">
        <f t="shared" si="85"/>
        <v>1.5289773047840316E-5</v>
      </c>
      <c r="H154" s="3">
        <f t="shared" si="85"/>
        <v>1.5289773047840316E-5</v>
      </c>
      <c r="I154" s="3">
        <f t="shared" si="85"/>
        <v>1.5289773047840316E-5</v>
      </c>
      <c r="J154" s="3">
        <f t="shared" si="85"/>
        <v>1.5289773047840316E-5</v>
      </c>
      <c r="K154" s="3">
        <f t="shared" si="85"/>
        <v>1.5289773047840316E-5</v>
      </c>
      <c r="L154" s="3">
        <f t="shared" si="85"/>
        <v>1.5289773047840316E-5</v>
      </c>
      <c r="M154" s="3">
        <f t="shared" si="85"/>
        <v>1.5289773047840316E-5</v>
      </c>
      <c r="N154" s="3">
        <f t="shared" si="85"/>
        <v>1.5289773047840316E-5</v>
      </c>
      <c r="O154" s="3">
        <f t="shared" si="85"/>
        <v>1.5289773047840316E-5</v>
      </c>
      <c r="P154" s="3">
        <f t="shared" si="85"/>
        <v>1.5289773047840316E-5</v>
      </c>
      <c r="Q154" s="3">
        <f t="shared" si="85"/>
        <v>1.5289773047840316E-5</v>
      </c>
      <c r="R154" s="3">
        <f t="shared" si="85"/>
        <v>1.5289773047840316E-5</v>
      </c>
      <c r="S154" s="3">
        <f t="shared" si="85"/>
        <v>1.5289773047840316E-5</v>
      </c>
      <c r="T154" s="3">
        <f t="shared" si="85"/>
        <v>1.5289773047840316E-5</v>
      </c>
      <c r="U154" s="3">
        <f t="shared" si="85"/>
        <v>1.5289773047840316E-5</v>
      </c>
      <c r="V154" s="3">
        <f t="shared" si="85"/>
        <v>1.5289773047840316E-5</v>
      </c>
      <c r="W154" s="3">
        <f t="shared" si="85"/>
        <v>1.5289773047840316E-5</v>
      </c>
      <c r="X154" s="3">
        <f t="shared" si="85"/>
        <v>1.5289773047840316E-5</v>
      </c>
      <c r="Y154" s="3">
        <f t="shared" si="85"/>
        <v>1.5289773047840316E-5</v>
      </c>
      <c r="Z154" s="3">
        <f t="shared" si="85"/>
        <v>1.5289773047840316E-5</v>
      </c>
      <c r="AA154" s="3">
        <f t="shared" ref="AA154:AF154" si="86">$C40*EXP(-AA$129/$A40/EXP(-$B$126))</f>
        <v>1.5289773047840316E-5</v>
      </c>
      <c r="AB154" s="3">
        <f t="shared" si="86"/>
        <v>1.5289773047840312E-5</v>
      </c>
      <c r="AC154" s="3">
        <f t="shared" si="86"/>
        <v>1.5289773047840306E-5</v>
      </c>
      <c r="AD154" s="3">
        <f t="shared" si="86"/>
        <v>1.5289773047840211E-5</v>
      </c>
      <c r="AE154" s="3">
        <f t="shared" si="86"/>
        <v>1.5289773047839286E-5</v>
      </c>
      <c r="AF154" s="3">
        <f t="shared" si="86"/>
        <v>1.5289773047830036E-5</v>
      </c>
    </row>
    <row r="155" spans="1:32" x14ac:dyDescent="0.25">
      <c r="B155" s="3">
        <f t="shared" ref="B155:Z155" si="87">$C41*EXP(-B$129/$A41/EXP(-$B$126))</f>
        <v>2.5082649304706281E-4</v>
      </c>
      <c r="C155" s="3">
        <f t="shared" si="87"/>
        <v>2.5082649304706281E-4</v>
      </c>
      <c r="D155" s="3">
        <f t="shared" si="87"/>
        <v>2.5082649304706281E-4</v>
      </c>
      <c r="E155" s="3">
        <f t="shared" si="87"/>
        <v>2.5082649304706281E-4</v>
      </c>
      <c r="F155" s="3">
        <f t="shared" si="87"/>
        <v>2.5082649304706281E-4</v>
      </c>
      <c r="G155" s="3">
        <f t="shared" si="87"/>
        <v>2.5082649304706281E-4</v>
      </c>
      <c r="H155" s="3">
        <f t="shared" si="87"/>
        <v>2.5082649304706281E-4</v>
      </c>
      <c r="I155" s="3">
        <f t="shared" si="87"/>
        <v>2.5082649304706281E-4</v>
      </c>
      <c r="J155" s="3">
        <f t="shared" si="87"/>
        <v>2.5082649304706281E-4</v>
      </c>
      <c r="K155" s="3">
        <f t="shared" si="87"/>
        <v>2.5082649304706281E-4</v>
      </c>
      <c r="L155" s="3">
        <f t="shared" si="87"/>
        <v>2.5082649304706281E-4</v>
      </c>
      <c r="M155" s="3">
        <f t="shared" si="87"/>
        <v>2.5082649304706281E-4</v>
      </c>
      <c r="N155" s="3">
        <f t="shared" si="87"/>
        <v>2.5082649304706281E-4</v>
      </c>
      <c r="O155" s="3">
        <f t="shared" si="87"/>
        <v>2.5082649304706281E-4</v>
      </c>
      <c r="P155" s="3">
        <f t="shared" si="87"/>
        <v>2.5082649304706281E-4</v>
      </c>
      <c r="Q155" s="3">
        <f t="shared" si="87"/>
        <v>2.5082649304706281E-4</v>
      </c>
      <c r="R155" s="3">
        <f t="shared" si="87"/>
        <v>2.5082649304706281E-4</v>
      </c>
      <c r="S155" s="3">
        <f t="shared" si="87"/>
        <v>2.5082649304706281E-4</v>
      </c>
      <c r="T155" s="3">
        <f t="shared" si="87"/>
        <v>2.5082649304706281E-4</v>
      </c>
      <c r="U155" s="3">
        <f t="shared" si="87"/>
        <v>2.5082649304706281E-4</v>
      </c>
      <c r="V155" s="3">
        <f t="shared" si="87"/>
        <v>2.5082649304706281E-4</v>
      </c>
      <c r="W155" s="3">
        <f t="shared" si="87"/>
        <v>2.5082649304706281E-4</v>
      </c>
      <c r="X155" s="3">
        <f t="shared" si="87"/>
        <v>2.5082649304706281E-4</v>
      </c>
      <c r="Y155" s="3">
        <f t="shared" si="87"/>
        <v>2.5082649304706281E-4</v>
      </c>
      <c r="Z155" s="3">
        <f t="shared" si="87"/>
        <v>2.5082649304706281E-4</v>
      </c>
      <c r="AA155" s="3">
        <f t="shared" ref="AA155:AF155" si="88">$C41*EXP(-AA$129/$A41/EXP(-$B$126))</f>
        <v>2.5082649304706281E-4</v>
      </c>
      <c r="AB155" s="3">
        <f t="shared" si="88"/>
        <v>2.5082649304706281E-4</v>
      </c>
      <c r="AC155" s="3">
        <f t="shared" si="88"/>
        <v>2.5082649304706276E-4</v>
      </c>
      <c r="AD155" s="3">
        <f t="shared" si="88"/>
        <v>2.5082649304706265E-4</v>
      </c>
      <c r="AE155" s="3">
        <f t="shared" si="88"/>
        <v>2.5082649304706113E-4</v>
      </c>
      <c r="AF155" s="3">
        <f t="shared" si="88"/>
        <v>2.5082649304704595E-4</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5.6673676320409674E-5</v>
      </c>
      <c r="C157" s="3">
        <f t="shared" si="91"/>
        <v>5.6673676320409674E-5</v>
      </c>
      <c r="D157" s="3">
        <f t="shared" si="91"/>
        <v>5.6673676320409674E-5</v>
      </c>
      <c r="E157" s="3">
        <f t="shared" si="91"/>
        <v>5.6673676320409674E-5</v>
      </c>
      <c r="F157" s="3">
        <f t="shared" si="91"/>
        <v>5.6673676320409674E-5</v>
      </c>
      <c r="G157" s="3">
        <f t="shared" si="91"/>
        <v>5.6673676320409674E-5</v>
      </c>
      <c r="H157" s="3">
        <f t="shared" si="91"/>
        <v>5.6673676320409674E-5</v>
      </c>
      <c r="I157" s="3">
        <f t="shared" si="91"/>
        <v>5.6673676320409674E-5</v>
      </c>
      <c r="J157" s="3">
        <f t="shared" si="91"/>
        <v>5.6673676320409674E-5</v>
      </c>
      <c r="K157" s="3">
        <f t="shared" si="91"/>
        <v>5.6673676320409674E-5</v>
      </c>
      <c r="L157" s="3">
        <f t="shared" si="91"/>
        <v>5.6673676320409674E-5</v>
      </c>
      <c r="M157" s="3">
        <f t="shared" si="91"/>
        <v>5.6673676320409674E-5</v>
      </c>
      <c r="N157" s="3">
        <f t="shared" si="91"/>
        <v>5.6673676320409674E-5</v>
      </c>
      <c r="O157" s="3">
        <f t="shared" si="91"/>
        <v>5.6673676320409674E-5</v>
      </c>
      <c r="P157" s="3">
        <f t="shared" si="91"/>
        <v>5.6673676320409674E-5</v>
      </c>
      <c r="Q157" s="3">
        <f t="shared" si="91"/>
        <v>5.6673676320409674E-5</v>
      </c>
      <c r="R157" s="3">
        <f t="shared" si="91"/>
        <v>5.6673676320409674E-5</v>
      </c>
      <c r="S157" s="3">
        <f t="shared" si="91"/>
        <v>5.6673676320409674E-5</v>
      </c>
      <c r="T157" s="3">
        <f t="shared" si="91"/>
        <v>5.6673676320409674E-5</v>
      </c>
      <c r="U157" s="3">
        <f t="shared" si="91"/>
        <v>5.6673676320409674E-5</v>
      </c>
      <c r="V157" s="3">
        <f t="shared" si="91"/>
        <v>5.6673676320409674E-5</v>
      </c>
      <c r="W157" s="3">
        <f t="shared" si="91"/>
        <v>5.6673676320409674E-5</v>
      </c>
      <c r="X157" s="3">
        <f t="shared" si="91"/>
        <v>5.6673676320409674E-5</v>
      </c>
      <c r="Y157" s="3">
        <f t="shared" si="91"/>
        <v>5.6673676320409674E-5</v>
      </c>
      <c r="Z157" s="3">
        <f t="shared" si="91"/>
        <v>5.6673676320409674E-5</v>
      </c>
      <c r="AA157" s="3">
        <f t="shared" ref="AA157:AF157" si="92">$C43*EXP(-AA$129/$A43/EXP(-$B$126))</f>
        <v>5.6673676320409674E-5</v>
      </c>
      <c r="AB157" s="3">
        <f t="shared" si="92"/>
        <v>5.6673676320409674E-5</v>
      </c>
      <c r="AC157" s="3">
        <f t="shared" si="92"/>
        <v>5.6673676320409674E-5</v>
      </c>
      <c r="AD157" s="3">
        <f t="shared" si="92"/>
        <v>5.6673676320409674E-5</v>
      </c>
      <c r="AE157" s="3">
        <f t="shared" si="92"/>
        <v>5.6673676320409667E-5</v>
      </c>
      <c r="AF157" s="3">
        <f t="shared" si="92"/>
        <v>5.6673676320409633E-5</v>
      </c>
    </row>
    <row r="158" spans="1:32" x14ac:dyDescent="0.25">
      <c r="B158" s="3">
        <f t="shared" ref="B158:Z158" si="93">$C44*EXP(-B$129/$A44/EXP(-$B$126))</f>
        <v>1.228688753482083E-4</v>
      </c>
      <c r="C158" s="3">
        <f t="shared" si="93"/>
        <v>1.228688753482083E-4</v>
      </c>
      <c r="D158" s="3">
        <f t="shared" si="93"/>
        <v>1.228688753482083E-4</v>
      </c>
      <c r="E158" s="3">
        <f t="shared" si="93"/>
        <v>1.228688753482083E-4</v>
      </c>
      <c r="F158" s="3">
        <f t="shared" si="93"/>
        <v>1.228688753482083E-4</v>
      </c>
      <c r="G158" s="3">
        <f t="shared" si="93"/>
        <v>1.228688753482083E-4</v>
      </c>
      <c r="H158" s="3">
        <f t="shared" si="93"/>
        <v>1.228688753482083E-4</v>
      </c>
      <c r="I158" s="3">
        <f t="shared" si="93"/>
        <v>1.228688753482083E-4</v>
      </c>
      <c r="J158" s="3">
        <f t="shared" si="93"/>
        <v>1.228688753482083E-4</v>
      </c>
      <c r="K158" s="3">
        <f t="shared" si="93"/>
        <v>1.228688753482083E-4</v>
      </c>
      <c r="L158" s="3">
        <f t="shared" si="93"/>
        <v>1.228688753482083E-4</v>
      </c>
      <c r="M158" s="3">
        <f t="shared" si="93"/>
        <v>1.228688753482083E-4</v>
      </c>
      <c r="N158" s="3">
        <f t="shared" si="93"/>
        <v>1.228688753482083E-4</v>
      </c>
      <c r="O158" s="3">
        <f t="shared" si="93"/>
        <v>1.228688753482083E-4</v>
      </c>
      <c r="P158" s="3">
        <f t="shared" si="93"/>
        <v>1.228688753482083E-4</v>
      </c>
      <c r="Q158" s="3">
        <f t="shared" si="93"/>
        <v>1.228688753482083E-4</v>
      </c>
      <c r="R158" s="3">
        <f t="shared" si="93"/>
        <v>1.228688753482083E-4</v>
      </c>
      <c r="S158" s="3">
        <f t="shared" si="93"/>
        <v>1.228688753482083E-4</v>
      </c>
      <c r="T158" s="3">
        <f t="shared" si="93"/>
        <v>1.228688753482083E-4</v>
      </c>
      <c r="U158" s="3">
        <f t="shared" si="93"/>
        <v>1.228688753482083E-4</v>
      </c>
      <c r="V158" s="3">
        <f t="shared" si="93"/>
        <v>1.228688753482083E-4</v>
      </c>
      <c r="W158" s="3">
        <f t="shared" si="93"/>
        <v>1.228688753482083E-4</v>
      </c>
      <c r="X158" s="3">
        <f t="shared" si="93"/>
        <v>1.228688753482083E-4</v>
      </c>
      <c r="Y158" s="3">
        <f t="shared" si="93"/>
        <v>1.228688753482083E-4</v>
      </c>
      <c r="Z158" s="3">
        <f t="shared" si="93"/>
        <v>1.228688753482083E-4</v>
      </c>
      <c r="AA158" s="3">
        <f t="shared" ref="AA158:AF158" si="94">$C44*EXP(-AA$129/$A44/EXP(-$B$126))</f>
        <v>1.228688753482083E-4</v>
      </c>
      <c r="AB158" s="3">
        <f t="shared" si="94"/>
        <v>1.228688753482083E-4</v>
      </c>
      <c r="AC158" s="3">
        <f t="shared" si="94"/>
        <v>1.228688753482083E-4</v>
      </c>
      <c r="AD158" s="3">
        <f t="shared" si="94"/>
        <v>1.228688753482083E-4</v>
      </c>
      <c r="AE158" s="3">
        <f t="shared" si="94"/>
        <v>1.228688753482083E-4</v>
      </c>
      <c r="AF158" s="3">
        <f t="shared" si="94"/>
        <v>1.2286887534820827E-4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1.663721654170598E-4</v>
      </c>
      <c r="C162" s="3">
        <f t="shared" si="101"/>
        <v>1.663721654170598E-4</v>
      </c>
      <c r="D162" s="3">
        <f t="shared" si="101"/>
        <v>1.663721654170598E-4</v>
      </c>
      <c r="E162" s="3">
        <f t="shared" si="101"/>
        <v>1.663721654170598E-4</v>
      </c>
      <c r="F162" s="3">
        <f t="shared" si="101"/>
        <v>1.663721654170598E-4</v>
      </c>
      <c r="G162" s="3">
        <f t="shared" si="101"/>
        <v>1.663721654170598E-4</v>
      </c>
      <c r="H162" s="3">
        <f t="shared" si="101"/>
        <v>1.663721654170598E-4</v>
      </c>
      <c r="I162" s="3">
        <f t="shared" si="101"/>
        <v>1.663721654170598E-4</v>
      </c>
      <c r="J162" s="3">
        <f t="shared" si="101"/>
        <v>1.663721654170598E-4</v>
      </c>
      <c r="K162" s="3">
        <f t="shared" si="101"/>
        <v>1.663721654170598E-4</v>
      </c>
      <c r="L162" s="3">
        <f t="shared" si="101"/>
        <v>1.663721654170598E-4</v>
      </c>
      <c r="M162" s="3">
        <f t="shared" si="101"/>
        <v>1.663721654170598E-4</v>
      </c>
      <c r="N162" s="3">
        <f t="shared" si="101"/>
        <v>1.663721654170598E-4</v>
      </c>
      <c r="O162" s="3">
        <f t="shared" si="101"/>
        <v>1.663721654170598E-4</v>
      </c>
      <c r="P162" s="3">
        <f t="shared" si="101"/>
        <v>1.663721654170598E-4</v>
      </c>
      <c r="Q162" s="3">
        <f t="shared" si="101"/>
        <v>1.663721654170598E-4</v>
      </c>
      <c r="R162" s="3">
        <f t="shared" si="101"/>
        <v>1.663721654170598E-4</v>
      </c>
      <c r="S162" s="3">
        <f t="shared" si="101"/>
        <v>1.663721654170598E-4</v>
      </c>
      <c r="T162" s="3">
        <f t="shared" si="101"/>
        <v>1.663721654170598E-4</v>
      </c>
      <c r="U162" s="3">
        <f t="shared" si="101"/>
        <v>1.663721654170598E-4</v>
      </c>
      <c r="V162" s="3">
        <f t="shared" si="101"/>
        <v>1.663721654170598E-4</v>
      </c>
      <c r="W162" s="3">
        <f t="shared" si="101"/>
        <v>1.663721654170598E-4</v>
      </c>
      <c r="X162" s="3">
        <f t="shared" si="101"/>
        <v>1.663721654170598E-4</v>
      </c>
      <c r="Y162" s="3">
        <f t="shared" si="101"/>
        <v>1.663721654170598E-4</v>
      </c>
      <c r="Z162" s="3">
        <f t="shared" si="101"/>
        <v>1.663721654170598E-4</v>
      </c>
      <c r="AA162" s="3">
        <f t="shared" ref="AA162:AF162" si="102">$C48*EXP(-AA$129/$A48/EXP(-$B$126))</f>
        <v>1.663721654170598E-4</v>
      </c>
      <c r="AB162" s="3">
        <f t="shared" si="102"/>
        <v>1.663721654170598E-4</v>
      </c>
      <c r="AC162" s="3">
        <f t="shared" si="102"/>
        <v>1.663721654170598E-4</v>
      </c>
      <c r="AD162" s="3">
        <f t="shared" si="102"/>
        <v>1.663721654170598E-4</v>
      </c>
      <c r="AE162" s="3">
        <f t="shared" si="102"/>
        <v>1.663721654170598E-4</v>
      </c>
      <c r="AF162" s="3">
        <f t="shared" si="102"/>
        <v>1.663721654170598E-4</v>
      </c>
    </row>
    <row r="163" spans="1:34" x14ac:dyDescent="0.25">
      <c r="A163" s="79">
        <f>AVERAGE(B163:AF163)</f>
        <v>5.0560402632147235E-2</v>
      </c>
      <c r="B163" s="80">
        <f>IF($A$64&lt;=B129,IF($B$64&gt;=B129,ABS((B131-B130)/B130),0),0)</f>
        <v>7.6131623857345673E-3</v>
      </c>
      <c r="C163" s="80">
        <f t="shared" ref="C163:AF163" si="103">IF($A$64&lt;=C129,IF($B$64&gt;=C129,ABS((C131-C130)/C130),0),0)</f>
        <v>7.6216213374145679E-3</v>
      </c>
      <c r="D163" s="80">
        <f t="shared" si="103"/>
        <v>7.616454256379088E-3</v>
      </c>
      <c r="E163" s="80">
        <f t="shared" si="103"/>
        <v>7.6149033870999798E-3</v>
      </c>
      <c r="F163" s="80">
        <f t="shared" si="103"/>
        <v>7.6144224749134272E-3</v>
      </c>
      <c r="G163" s="80">
        <f t="shared" si="103"/>
        <v>7.6142622348177947E-3</v>
      </c>
      <c r="H163" s="80">
        <f t="shared" si="103"/>
        <v>7.6142107038036054E-3</v>
      </c>
      <c r="I163" s="80">
        <f t="shared" si="103"/>
        <v>7.6142098649420696E-3</v>
      </c>
      <c r="J163" s="80">
        <f t="shared" si="103"/>
        <v>7.6142760373573426E-3</v>
      </c>
      <c r="K163" s="80">
        <f t="shared" si="103"/>
        <v>7.6149377593069389E-3</v>
      </c>
      <c r="L163" s="80">
        <f t="shared" si="103"/>
        <v>7.6215510305592182E-3</v>
      </c>
      <c r="M163" s="80">
        <f t="shared" si="103"/>
        <v>7.6876580011266274E-3</v>
      </c>
      <c r="N163" s="80">
        <f t="shared" si="103"/>
        <v>8.3468627880958438E-3</v>
      </c>
      <c r="O163" s="80">
        <f t="shared" si="103"/>
        <v>1.4723764225922744E-2</v>
      </c>
      <c r="P163" s="80">
        <f t="shared" si="103"/>
        <v>6.1131647331774404E-2</v>
      </c>
      <c r="Q163" s="80">
        <f t="shared" si="103"/>
        <v>0.11673288783311336</v>
      </c>
      <c r="R163" s="80">
        <f t="shared" si="103"/>
        <v>0.11591148774439437</v>
      </c>
      <c r="S163" s="80">
        <f t="shared" si="103"/>
        <v>0.10817629391992005</v>
      </c>
      <c r="T163" s="80">
        <f t="shared" si="103"/>
        <v>8.7204066863234161E-2</v>
      </c>
      <c r="U163" s="80">
        <f t="shared" si="103"/>
        <v>6.4682157533690693E-2</v>
      </c>
      <c r="V163" s="80">
        <f t="shared" si="103"/>
        <v>3.9145465617649026E-2</v>
      </c>
      <c r="W163" s="80">
        <f t="shared" si="103"/>
        <v>2.7949612609140296E-2</v>
      </c>
      <c r="X163" s="80">
        <f t="shared" si="103"/>
        <v>1.5325781205855446E-2</v>
      </c>
      <c r="Y163" s="80">
        <f t="shared" si="103"/>
        <v>6.3673866328991219E-2</v>
      </c>
      <c r="Z163" s="80">
        <f t="shared" si="103"/>
        <v>0.10194983687051518</v>
      </c>
      <c r="AA163" s="80">
        <f t="shared" si="103"/>
        <v>0.12205386039190975</v>
      </c>
      <c r="AB163" s="80">
        <f t="shared" si="103"/>
        <v>0.12391618959674434</v>
      </c>
      <c r="AC163" s="80">
        <f t="shared" si="103"/>
        <v>8.8875956864751249E-2</v>
      </c>
      <c r="AD163" s="80">
        <f t="shared" si="103"/>
        <v>2.5842070696423882E-2</v>
      </c>
      <c r="AE163" s="80">
        <f t="shared" si="103"/>
        <v>7.0357652412058908E-2</v>
      </c>
      <c r="AF163" s="80">
        <f t="shared" si="103"/>
        <v>0.21991135128892411</v>
      </c>
    </row>
    <row r="164" spans="1:34" x14ac:dyDescent="0.25">
      <c r="B164" s="21">
        <f>(B131-B130)^2</f>
        <v>2505.0037988589229</v>
      </c>
      <c r="C164" s="21">
        <f t="shared" ref="C164:AF164" si="104">(C131-C130)^2</f>
        <v>2510.6162890911023</v>
      </c>
      <c r="D164" s="21">
        <f t="shared" si="104"/>
        <v>2507.18718777101</v>
      </c>
      <c r="E164" s="21">
        <f t="shared" si="104"/>
        <v>2506.1584271755187</v>
      </c>
      <c r="F164" s="21">
        <f t="shared" si="104"/>
        <v>2505.8394602264984</v>
      </c>
      <c r="G164" s="21">
        <f t="shared" si="104"/>
        <v>2505.7331845905633</v>
      </c>
      <c r="H164" s="21">
        <f t="shared" si="104"/>
        <v>2505.6990050575846</v>
      </c>
      <c r="I164" s="21">
        <f t="shared" si="104"/>
        <v>2505.6984152971067</v>
      </c>
      <c r="J164" s="21">
        <f t="shared" si="104"/>
        <v>2505.7419677705784</v>
      </c>
      <c r="K164" s="21">
        <f t="shared" si="104"/>
        <v>2506.1775118725009</v>
      </c>
      <c r="L164" s="21">
        <f t="shared" si="104"/>
        <v>2510.5324146551116</v>
      </c>
      <c r="M164" s="21">
        <f t="shared" si="104"/>
        <v>2554.2722377228238</v>
      </c>
      <c r="N164" s="21">
        <f t="shared" si="104"/>
        <v>3011.1025986788354</v>
      </c>
      <c r="O164" s="21">
        <f t="shared" si="104"/>
        <v>9369.485669446578</v>
      </c>
      <c r="P164" s="21">
        <f t="shared" si="104"/>
        <v>161510.44173731259</v>
      </c>
      <c r="Q164" s="21">
        <f t="shared" si="104"/>
        <v>588788.04910237831</v>
      </c>
      <c r="R164" s="21">
        <f t="shared" si="104"/>
        <v>579278.87257391261</v>
      </c>
      <c r="S164" s="21">
        <f t="shared" si="104"/>
        <v>495817.29678461509</v>
      </c>
      <c r="T164" s="21">
        <f t="shared" si="104"/>
        <v>307492.43536002783</v>
      </c>
      <c r="U164" s="21">
        <f t="shared" si="104"/>
        <v>160729.41434424368</v>
      </c>
      <c r="V164" s="21">
        <f t="shared" si="104"/>
        <v>54527.471746166593</v>
      </c>
      <c r="W164" s="21">
        <f t="shared" si="104"/>
        <v>24174.383231124935</v>
      </c>
      <c r="X164" s="21">
        <f t="shared" si="104"/>
        <v>6034.2564492918973</v>
      </c>
      <c r="Y164" s="21">
        <f t="shared" si="104"/>
        <v>85161.378147215961</v>
      </c>
      <c r="Z164" s="21">
        <f t="shared" si="104"/>
        <v>180387.58345879696</v>
      </c>
      <c r="AA164" s="21">
        <f t="shared" si="104"/>
        <v>217791.48782162307</v>
      </c>
      <c r="AB164" s="21">
        <f t="shared" si="104"/>
        <v>189238.11620180841</v>
      </c>
      <c r="AC164" s="21">
        <f t="shared" si="104"/>
        <v>81669.06810924047</v>
      </c>
      <c r="AD164" s="21">
        <f t="shared" si="104"/>
        <v>5501.4502096698779</v>
      </c>
      <c r="AE164" s="21">
        <f t="shared" si="104"/>
        <v>29920.551544408834</v>
      </c>
      <c r="AF164" s="21">
        <f t="shared" si="104"/>
        <v>190111.25653266747</v>
      </c>
    </row>
    <row r="165" spans="1:34" x14ac:dyDescent="0.25">
      <c r="A165" s="71">
        <f>SUM(B165:AF165)</f>
        <v>3400642.7615227196</v>
      </c>
      <c r="B165" s="60">
        <f>IF($A$64&lt;=B129,IF($B$64&gt;=B129,ABS(B164),0),0)</f>
        <v>2505.0037988589229</v>
      </c>
      <c r="C165" s="60">
        <f t="shared" ref="C165:AF165" si="105">IF($A$64&lt;=C129,IF($B$64&gt;=C129,ABS(C164),0),0)</f>
        <v>2510.6162890911023</v>
      </c>
      <c r="D165" s="60">
        <f t="shared" si="105"/>
        <v>2507.18718777101</v>
      </c>
      <c r="E165" s="60">
        <f t="shared" si="105"/>
        <v>2506.1584271755187</v>
      </c>
      <c r="F165" s="60">
        <f t="shared" si="105"/>
        <v>2505.8394602264984</v>
      </c>
      <c r="G165" s="60">
        <f t="shared" si="105"/>
        <v>2505.7331845905633</v>
      </c>
      <c r="H165" s="60">
        <f t="shared" si="105"/>
        <v>2505.6990050575846</v>
      </c>
      <c r="I165" s="60">
        <f t="shared" si="105"/>
        <v>2505.6984152971067</v>
      </c>
      <c r="J165" s="60">
        <f t="shared" si="105"/>
        <v>2505.7419677705784</v>
      </c>
      <c r="K165" s="60">
        <f t="shared" si="105"/>
        <v>2506.1775118725009</v>
      </c>
      <c r="L165" s="60">
        <f t="shared" si="105"/>
        <v>2510.5324146551116</v>
      </c>
      <c r="M165" s="60">
        <f t="shared" si="105"/>
        <v>2554.2722377228238</v>
      </c>
      <c r="N165" s="60">
        <f t="shared" si="105"/>
        <v>3011.1025986788354</v>
      </c>
      <c r="O165" s="60">
        <f t="shared" si="105"/>
        <v>9369.485669446578</v>
      </c>
      <c r="P165" s="60">
        <f t="shared" si="105"/>
        <v>161510.44173731259</v>
      </c>
      <c r="Q165" s="60">
        <f t="shared" si="105"/>
        <v>588788.04910237831</v>
      </c>
      <c r="R165" s="60">
        <f t="shared" si="105"/>
        <v>579278.87257391261</v>
      </c>
      <c r="S165" s="60">
        <f t="shared" si="105"/>
        <v>495817.29678461509</v>
      </c>
      <c r="T165" s="60">
        <f t="shared" si="105"/>
        <v>307492.43536002783</v>
      </c>
      <c r="U165" s="60">
        <f t="shared" si="105"/>
        <v>160729.41434424368</v>
      </c>
      <c r="V165" s="60">
        <f t="shared" si="105"/>
        <v>54527.471746166593</v>
      </c>
      <c r="W165" s="60">
        <f t="shared" si="105"/>
        <v>24174.383231124935</v>
      </c>
      <c r="X165" s="60">
        <f t="shared" si="105"/>
        <v>6034.2564492918973</v>
      </c>
      <c r="Y165" s="60">
        <f t="shared" si="105"/>
        <v>85161.378147215961</v>
      </c>
      <c r="Z165" s="60">
        <f t="shared" si="105"/>
        <v>180387.58345879696</v>
      </c>
      <c r="AA165" s="60">
        <f t="shared" si="105"/>
        <v>217791.48782162307</v>
      </c>
      <c r="AB165" s="60">
        <f t="shared" si="105"/>
        <v>189238.11620180841</v>
      </c>
      <c r="AC165" s="60">
        <f t="shared" si="105"/>
        <v>81669.06810924047</v>
      </c>
      <c r="AD165" s="60">
        <f t="shared" si="105"/>
        <v>5501.4502096698779</v>
      </c>
      <c r="AE165" s="60">
        <f t="shared" si="105"/>
        <v>29920.551544408834</v>
      </c>
      <c r="AF165" s="60">
        <f t="shared" si="105"/>
        <v>190111.25653266747</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6524.092299999902</v>
      </c>
      <c r="C170" s="27">
        <f t="shared" ref="C170:AF170" si="106">($C$17+SUM(C171:C201))*$B$51</f>
        <v>6524.0922999990171</v>
      </c>
      <c r="D170" s="27">
        <f t="shared" si="106"/>
        <v>6524.0922999901759</v>
      </c>
      <c r="E170" s="27">
        <f t="shared" si="106"/>
        <v>6524.0922999017648</v>
      </c>
      <c r="F170" s="27">
        <f t="shared" si="106"/>
        <v>6524.0922990176405</v>
      </c>
      <c r="G170" s="27">
        <f t="shared" si="106"/>
        <v>6524.0922901764061</v>
      </c>
      <c r="H170" s="27">
        <f t="shared" si="106"/>
        <v>6524.0922017640723</v>
      </c>
      <c r="I170" s="27">
        <f t="shared" si="106"/>
        <v>6524.0913176413333</v>
      </c>
      <c r="J170" s="27">
        <f t="shared" si="106"/>
        <v>6524.0824764737363</v>
      </c>
      <c r="K170" s="27">
        <f t="shared" si="106"/>
        <v>6523.994070777404</v>
      </c>
      <c r="L170" s="27">
        <f t="shared" si="106"/>
        <v>6523.1106115052635</v>
      </c>
      <c r="M170" s="27">
        <f t="shared" si="106"/>
        <v>6514.335516838245</v>
      </c>
      <c r="N170" s="27">
        <f t="shared" si="106"/>
        <v>6432.272329360464</v>
      </c>
      <c r="O170" s="27">
        <f t="shared" si="106"/>
        <v>5988.4992437189512</v>
      </c>
      <c r="P170" s="27">
        <f t="shared" si="106"/>
        <v>5805.1527160785008</v>
      </c>
      <c r="Q170" s="27">
        <f t="shared" si="106"/>
        <v>5805.1373135273225</v>
      </c>
      <c r="R170" s="27">
        <f t="shared" si="106"/>
        <v>5804.99167747109</v>
      </c>
      <c r="S170" s="27">
        <f t="shared" si="106"/>
        <v>5803.5377231734865</v>
      </c>
      <c r="T170" s="27">
        <f t="shared" si="106"/>
        <v>5789.2360360650573</v>
      </c>
      <c r="U170" s="27">
        <f t="shared" si="106"/>
        <v>5667.4608741726724</v>
      </c>
      <c r="V170" s="27">
        <f t="shared" si="106"/>
        <v>5309.2079994114802</v>
      </c>
      <c r="W170" s="27">
        <f t="shared" si="106"/>
        <v>5068.917753637018</v>
      </c>
      <c r="X170" s="27">
        <f t="shared" si="106"/>
        <v>4782.0002068913682</v>
      </c>
      <c r="Y170" s="27">
        <f t="shared" si="106"/>
        <v>4494.8270928375632</v>
      </c>
      <c r="Z170" s="27">
        <f t="shared" si="106"/>
        <v>4181.7603177225601</v>
      </c>
      <c r="AA170" s="27">
        <f t="shared" si="106"/>
        <v>3812.183693352878</v>
      </c>
      <c r="AB170" s="27">
        <f t="shared" si="106"/>
        <v>3322.8784157270584</v>
      </c>
      <c r="AC170" s="27">
        <f t="shared" si="106"/>
        <v>2732.0311273684069</v>
      </c>
      <c r="AD170" s="27">
        <f t="shared" si="106"/>
        <v>2039.7970306454461</v>
      </c>
      <c r="AE170" s="27">
        <f t="shared" si="106"/>
        <v>1299.3329536126921</v>
      </c>
      <c r="AF170" s="27">
        <f t="shared" si="106"/>
        <v>761.01213236756234</v>
      </c>
      <c r="AG170" s="27"/>
      <c r="AH170" s="27"/>
    </row>
    <row r="171" spans="1:34" x14ac:dyDescent="0.25">
      <c r="B171" s="3">
        <f t="shared" ref="B171:AF171" si="107">$C18*EXP(-B$168/$A18/EXP(-$C$126))</f>
        <v>0.11019752157473012</v>
      </c>
      <c r="C171" s="3">
        <f t="shared" si="107"/>
        <v>0.1101975215745946</v>
      </c>
      <c r="D171" s="3">
        <f t="shared" si="107"/>
        <v>0.11019752157323943</v>
      </c>
      <c r="E171" s="3">
        <f t="shared" si="107"/>
        <v>0.11019752155968777</v>
      </c>
      <c r="F171" s="3">
        <f t="shared" si="107"/>
        <v>0.11019752142417109</v>
      </c>
      <c r="G171" s="3">
        <f t="shared" si="107"/>
        <v>0.11019752006900441</v>
      </c>
      <c r="H171" s="3">
        <f t="shared" si="107"/>
        <v>0.11019750651733851</v>
      </c>
      <c r="I171" s="3">
        <f t="shared" si="107"/>
        <v>0.11019737100077112</v>
      </c>
      <c r="J171" s="3">
        <f t="shared" si="107"/>
        <v>0.11019601584426301</v>
      </c>
      <c r="K171" s="3">
        <f t="shared" si="107"/>
        <v>0.11018246519572814</v>
      </c>
      <c r="L171" s="3">
        <f t="shared" si="107"/>
        <v>0.11004705032330554</v>
      </c>
      <c r="M171" s="3">
        <f t="shared" si="107"/>
        <v>0.10870202134350547</v>
      </c>
      <c r="N171" s="3">
        <f t="shared" si="107"/>
        <v>9.6123540056308021E-2</v>
      </c>
      <c r="O171" s="3">
        <f t="shared" si="107"/>
        <v>2.8102899088565132E-2</v>
      </c>
      <c r="P171" s="3">
        <f t="shared" si="107"/>
        <v>1.2822266414868061E-7</v>
      </c>
      <c r="Q171" s="3">
        <f t="shared" si="107"/>
        <v>5.0130440278208321E-61</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6.7386263954763354E-2</v>
      </c>
      <c r="C172" s="3">
        <f t="shared" si="108"/>
        <v>6.7386263954763354E-2</v>
      </c>
      <c r="D172" s="3">
        <f t="shared" si="108"/>
        <v>6.7386263954763354E-2</v>
      </c>
      <c r="E172" s="3">
        <f t="shared" si="108"/>
        <v>6.7386263954763354E-2</v>
      </c>
      <c r="F172" s="3">
        <f t="shared" si="108"/>
        <v>6.7386263954763326E-2</v>
      </c>
      <c r="G172" s="3">
        <f t="shared" si="108"/>
        <v>6.7386263954763118E-2</v>
      </c>
      <c r="H172" s="3">
        <f t="shared" si="108"/>
        <v>6.7386263954760994E-2</v>
      </c>
      <c r="I172" s="3">
        <f t="shared" si="108"/>
        <v>6.7386263954739761E-2</v>
      </c>
      <c r="J172" s="3">
        <f t="shared" si="108"/>
        <v>6.7386263954527501E-2</v>
      </c>
      <c r="K172" s="3">
        <f t="shared" si="108"/>
        <v>6.7386263952404768E-2</v>
      </c>
      <c r="L172" s="3">
        <f t="shared" si="108"/>
        <v>6.7386263931177498E-2</v>
      </c>
      <c r="M172" s="3">
        <f t="shared" si="108"/>
        <v>6.7386263718904785E-2</v>
      </c>
      <c r="N172" s="3">
        <f t="shared" si="108"/>
        <v>6.7386261596177638E-2</v>
      </c>
      <c r="O172" s="3">
        <f t="shared" si="108"/>
        <v>6.7386240368909903E-2</v>
      </c>
      <c r="P172" s="3">
        <f t="shared" si="108"/>
        <v>6.7386028096600284E-2</v>
      </c>
      <c r="Q172" s="3">
        <f t="shared" si="108"/>
        <v>6.7383905410280914E-2</v>
      </c>
      <c r="R172" s="3">
        <f t="shared" si="108"/>
        <v>6.7362682224339568E-2</v>
      </c>
      <c r="S172" s="3">
        <f t="shared" si="108"/>
        <v>6.7150817661924267E-2</v>
      </c>
      <c r="T172" s="3">
        <f t="shared" si="108"/>
        <v>6.5068477224081614E-2</v>
      </c>
      <c r="U172" s="3">
        <f t="shared" si="108"/>
        <v>4.7485828863656418E-2</v>
      </c>
      <c r="V172" s="3">
        <f t="shared" si="108"/>
        <v>2.0346879870864316E-3</v>
      </c>
      <c r="W172" s="3">
        <f t="shared" si="108"/>
        <v>4.2445905310757359E-17</v>
      </c>
      <c r="X172" s="3">
        <f t="shared" si="108"/>
        <v>6.6254533427009808E-154</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3.4082747841508325E-2</v>
      </c>
      <c r="C173" s="3">
        <f t="shared" si="109"/>
        <v>3.4082747841508325E-2</v>
      </c>
      <c r="D173" s="3">
        <f t="shared" si="109"/>
        <v>3.4082747841508325E-2</v>
      </c>
      <c r="E173" s="3">
        <f t="shared" si="109"/>
        <v>3.4082747841508325E-2</v>
      </c>
      <c r="F173" s="3">
        <f t="shared" si="109"/>
        <v>3.4082747841508325E-2</v>
      </c>
      <c r="G173" s="3">
        <f t="shared" si="109"/>
        <v>3.4082747841508311E-2</v>
      </c>
      <c r="H173" s="3">
        <f t="shared" si="109"/>
        <v>3.4082747841508221E-2</v>
      </c>
      <c r="I173" s="3">
        <f t="shared" si="109"/>
        <v>3.4082747841507249E-2</v>
      </c>
      <c r="J173" s="3">
        <f t="shared" si="109"/>
        <v>3.4082747841497563E-2</v>
      </c>
      <c r="K173" s="3">
        <f t="shared" si="109"/>
        <v>3.4082747841400717E-2</v>
      </c>
      <c r="L173" s="3">
        <f t="shared" si="109"/>
        <v>3.40827478404322E-2</v>
      </c>
      <c r="M173" s="3">
        <f t="shared" si="109"/>
        <v>3.4082747830747107E-2</v>
      </c>
      <c r="N173" s="3">
        <f t="shared" si="109"/>
        <v>3.4082747733896128E-2</v>
      </c>
      <c r="O173" s="3">
        <f t="shared" si="109"/>
        <v>3.4082746765386404E-2</v>
      </c>
      <c r="P173" s="3">
        <f t="shared" si="109"/>
        <v>3.4082737080290637E-2</v>
      </c>
      <c r="Q173" s="3">
        <f t="shared" si="109"/>
        <v>3.4082640229484311E-2</v>
      </c>
      <c r="R173" s="3">
        <f t="shared" si="109"/>
        <v>3.4081671736557802E-2</v>
      </c>
      <c r="S173" s="3">
        <f t="shared" si="109"/>
        <v>3.4071988320802868E-2</v>
      </c>
      <c r="T173" s="3">
        <f t="shared" si="109"/>
        <v>3.397530535525968E-2</v>
      </c>
      <c r="U173" s="3">
        <f t="shared" si="109"/>
        <v>3.3023437137077262E-2</v>
      </c>
      <c r="V173" s="3">
        <f t="shared" si="109"/>
        <v>2.4854859973775904E-2</v>
      </c>
      <c r="W173" s="3">
        <f t="shared" si="109"/>
        <v>1.4497789655993423E-3</v>
      </c>
      <c r="X173" s="3">
        <f t="shared" si="109"/>
        <v>6.6100771870209078E-16</v>
      </c>
      <c r="Y173" s="3">
        <f t="shared" si="109"/>
        <v>2.5659837112394196E-139</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4.6674257676140619E-2</v>
      </c>
      <c r="C174" s="3">
        <f t="shared" si="110"/>
        <v>4.6674257676140619E-2</v>
      </c>
      <c r="D174" s="3">
        <f t="shared" si="110"/>
        <v>4.6674257676140619E-2</v>
      </c>
      <c r="E174" s="3">
        <f t="shared" si="110"/>
        <v>4.6674257676140619E-2</v>
      </c>
      <c r="F174" s="3">
        <f t="shared" si="110"/>
        <v>4.6674257676140619E-2</v>
      </c>
      <c r="G174" s="3">
        <f t="shared" si="110"/>
        <v>4.6674257676140619E-2</v>
      </c>
      <c r="H174" s="3">
        <f t="shared" si="110"/>
        <v>4.6674257676140606E-2</v>
      </c>
      <c r="I174" s="3">
        <f t="shared" si="110"/>
        <v>4.6674257676140488E-2</v>
      </c>
      <c r="J174" s="3">
        <f t="shared" si="110"/>
        <v>4.6674257676139287E-2</v>
      </c>
      <c r="K174" s="3">
        <f t="shared" si="110"/>
        <v>4.6674257676127325E-2</v>
      </c>
      <c r="L174" s="3">
        <f t="shared" si="110"/>
        <v>4.6674257676007684E-2</v>
      </c>
      <c r="M174" s="3">
        <f t="shared" si="110"/>
        <v>4.6674257674811231E-2</v>
      </c>
      <c r="N174" s="3">
        <f t="shared" si="110"/>
        <v>4.6674257662846767E-2</v>
      </c>
      <c r="O174" s="3">
        <f t="shared" si="110"/>
        <v>4.6674257543202084E-2</v>
      </c>
      <c r="P174" s="3">
        <f t="shared" si="110"/>
        <v>4.6674256346755275E-2</v>
      </c>
      <c r="Q174" s="3">
        <f t="shared" si="110"/>
        <v>4.6674244382288836E-2</v>
      </c>
      <c r="R174" s="3">
        <f t="shared" si="110"/>
        <v>4.6674124737793116E-2</v>
      </c>
      <c r="S174" s="3">
        <f t="shared" si="110"/>
        <v>4.667292830970414E-2</v>
      </c>
      <c r="T174" s="3">
        <f t="shared" si="110"/>
        <v>4.6660965715469564E-2</v>
      </c>
      <c r="U174" s="3">
        <f t="shared" si="110"/>
        <v>4.6541508278781937E-2</v>
      </c>
      <c r="V174" s="3">
        <f t="shared" si="110"/>
        <v>4.5363625747254006E-2</v>
      </c>
      <c r="W174" s="3">
        <f t="shared" si="110"/>
        <v>3.5105956693228878E-2</v>
      </c>
      <c r="X174" s="3">
        <f t="shared" si="110"/>
        <v>2.7046517407389131E-3</v>
      </c>
      <c r="Y174" s="3">
        <f t="shared" si="110"/>
        <v>1.9925844830280152E-14</v>
      </c>
      <c r="Z174" s="3">
        <f t="shared" si="110"/>
        <v>9.3857863557649836E-126</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4.4764266498867597E-2</v>
      </c>
      <c r="C175" s="3">
        <f t="shared" si="111"/>
        <v>4.4764266498867597E-2</v>
      </c>
      <c r="D175" s="3">
        <f t="shared" si="111"/>
        <v>4.4764266498867597E-2</v>
      </c>
      <c r="E175" s="3">
        <f t="shared" si="111"/>
        <v>4.4764266498867597E-2</v>
      </c>
      <c r="F175" s="3">
        <f t="shared" si="111"/>
        <v>4.4764266498867597E-2</v>
      </c>
      <c r="G175" s="3">
        <f t="shared" si="111"/>
        <v>4.4764266498867597E-2</v>
      </c>
      <c r="H175" s="3">
        <f t="shared" si="111"/>
        <v>4.4764266498867597E-2</v>
      </c>
      <c r="I175" s="3">
        <f t="shared" si="111"/>
        <v>4.476426649886759E-2</v>
      </c>
      <c r="J175" s="3">
        <f t="shared" si="111"/>
        <v>4.4764266498867486E-2</v>
      </c>
      <c r="K175" s="3">
        <f t="shared" si="111"/>
        <v>4.4764266498866452E-2</v>
      </c>
      <c r="L175" s="3">
        <f t="shared" si="111"/>
        <v>4.4764266498856099E-2</v>
      </c>
      <c r="M175" s="3">
        <f t="shared" si="111"/>
        <v>4.4764266498752585E-2</v>
      </c>
      <c r="N175" s="3">
        <f t="shared" si="111"/>
        <v>4.4764266497717455E-2</v>
      </c>
      <c r="O175" s="3">
        <f t="shared" si="111"/>
        <v>4.4764266487366172E-2</v>
      </c>
      <c r="P175" s="3">
        <f t="shared" si="111"/>
        <v>4.4764266383853377E-2</v>
      </c>
      <c r="Q175" s="3">
        <f t="shared" si="111"/>
        <v>4.4764265348725407E-2</v>
      </c>
      <c r="R175" s="3">
        <f t="shared" si="111"/>
        <v>4.476425499744708E-2</v>
      </c>
      <c r="S175" s="3">
        <f t="shared" si="111"/>
        <v>4.4764151484795366E-2</v>
      </c>
      <c r="T175" s="3">
        <f t="shared" si="111"/>
        <v>4.4763116371443049E-2</v>
      </c>
      <c r="U175" s="3">
        <f t="shared" si="111"/>
        <v>4.4752766554290085E-2</v>
      </c>
      <c r="V175" s="3">
        <f t="shared" si="111"/>
        <v>4.4649399907218584E-2</v>
      </c>
      <c r="W175" s="3">
        <f t="shared" si="111"/>
        <v>4.3628774044320029E-2</v>
      </c>
      <c r="X175" s="3">
        <f t="shared" si="111"/>
        <v>3.4621576744521675E-2</v>
      </c>
      <c r="Y175" s="3">
        <f t="shared" si="111"/>
        <v>3.4283501688994718E-3</v>
      </c>
      <c r="Z175" s="3">
        <f t="shared" si="111"/>
        <v>3.107910377791854E-13</v>
      </c>
      <c r="AA175" s="3">
        <f t="shared" si="111"/>
        <v>1.1649347837957352E-113</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4.8577269491505953E-2</v>
      </c>
      <c r="C176" s="3">
        <f t="shared" si="112"/>
        <v>4.8577269491505953E-2</v>
      </c>
      <c r="D176" s="3">
        <f t="shared" si="112"/>
        <v>4.8577269491505953E-2</v>
      </c>
      <c r="E176" s="3">
        <f t="shared" si="112"/>
        <v>4.8577269491505953E-2</v>
      </c>
      <c r="F176" s="3">
        <f t="shared" si="112"/>
        <v>4.8577269491505953E-2</v>
      </c>
      <c r="G176" s="3">
        <f t="shared" si="112"/>
        <v>4.8577269491505953E-2</v>
      </c>
      <c r="H176" s="3">
        <f t="shared" si="112"/>
        <v>4.8577269491505953E-2</v>
      </c>
      <c r="I176" s="3">
        <f t="shared" si="112"/>
        <v>4.8577269491505953E-2</v>
      </c>
      <c r="J176" s="3">
        <f t="shared" si="112"/>
        <v>4.8577269491505939E-2</v>
      </c>
      <c r="K176" s="3">
        <f t="shared" si="112"/>
        <v>4.8577269491505842E-2</v>
      </c>
      <c r="L176" s="3">
        <f t="shared" si="112"/>
        <v>4.8577269491504829E-2</v>
      </c>
      <c r="M176" s="3">
        <f t="shared" si="112"/>
        <v>4.8577269491494691E-2</v>
      </c>
      <c r="N176" s="3">
        <f t="shared" si="112"/>
        <v>4.8577269491393363E-2</v>
      </c>
      <c r="O176" s="3">
        <f t="shared" si="112"/>
        <v>4.8577269490380055E-2</v>
      </c>
      <c r="P176" s="3">
        <f t="shared" si="112"/>
        <v>4.8577269480246953E-2</v>
      </c>
      <c r="Q176" s="3">
        <f t="shared" si="112"/>
        <v>4.8577269378915974E-2</v>
      </c>
      <c r="R176" s="3">
        <f t="shared" si="112"/>
        <v>4.8577268365606129E-2</v>
      </c>
      <c r="S176" s="3">
        <f t="shared" si="112"/>
        <v>4.8577258232508878E-2</v>
      </c>
      <c r="T176" s="3">
        <f t="shared" si="112"/>
        <v>4.8577156901652686E-2</v>
      </c>
      <c r="U176" s="3">
        <f t="shared" si="112"/>
        <v>4.8576143604716196E-2</v>
      </c>
      <c r="V176" s="3">
        <f t="shared" si="112"/>
        <v>4.8566011797808249E-2</v>
      </c>
      <c r="W176" s="3">
        <f t="shared" si="112"/>
        <v>4.8464809884754198E-2</v>
      </c>
      <c r="X176" s="3">
        <f t="shared" si="112"/>
        <v>4.7464317204297002E-2</v>
      </c>
      <c r="Y176" s="3">
        <f t="shared" si="112"/>
        <v>3.8527823931289631E-2</v>
      </c>
      <c r="Z176" s="3">
        <f t="shared" si="112"/>
        <v>4.7846140234985334E-3</v>
      </c>
      <c r="AA176" s="3">
        <f t="shared" si="112"/>
        <v>4.1741801799941534E-12</v>
      </c>
      <c r="AB176" s="3">
        <f t="shared" si="112"/>
        <v>1.0661394639057844E-102</v>
      </c>
      <c r="AC176" s="3">
        <f t="shared" si="112"/>
        <v>0</v>
      </c>
      <c r="AD176" s="3">
        <f t="shared" si="112"/>
        <v>0</v>
      </c>
      <c r="AE176" s="3">
        <f t="shared" si="112"/>
        <v>0</v>
      </c>
      <c r="AF176" s="3">
        <f t="shared" si="112"/>
        <v>0</v>
      </c>
      <c r="AG176" s="3"/>
      <c r="AH176" s="3"/>
    </row>
    <row r="177" spans="2:34" x14ac:dyDescent="0.25">
      <c r="B177" s="3">
        <f t="shared" ref="B177:AF177" si="113">$C24*EXP(-B$168/$A24/EXP(-$C$126))</f>
        <v>5.5549505588396574E-2</v>
      </c>
      <c r="C177" s="3">
        <f t="shared" si="113"/>
        <v>5.5549505588396574E-2</v>
      </c>
      <c r="D177" s="3">
        <f t="shared" si="113"/>
        <v>5.5549505588396574E-2</v>
      </c>
      <c r="E177" s="3">
        <f t="shared" si="113"/>
        <v>5.5549505588396574E-2</v>
      </c>
      <c r="F177" s="3">
        <f t="shared" si="113"/>
        <v>5.5549505588396574E-2</v>
      </c>
      <c r="G177" s="3">
        <f t="shared" si="113"/>
        <v>5.5549505588396574E-2</v>
      </c>
      <c r="H177" s="3">
        <f t="shared" si="113"/>
        <v>5.5549505588396574E-2</v>
      </c>
      <c r="I177" s="3">
        <f t="shared" si="113"/>
        <v>5.5549505588396574E-2</v>
      </c>
      <c r="J177" s="3">
        <f t="shared" si="113"/>
        <v>5.5549505588396574E-2</v>
      </c>
      <c r="K177" s="3">
        <f t="shared" si="113"/>
        <v>5.554950558839656E-2</v>
      </c>
      <c r="L177" s="3">
        <f t="shared" si="113"/>
        <v>5.5549505588396456E-2</v>
      </c>
      <c r="M177" s="3">
        <f t="shared" si="113"/>
        <v>5.5549505588395415E-2</v>
      </c>
      <c r="N177" s="3">
        <f t="shared" si="113"/>
        <v>5.5549505588384958E-2</v>
      </c>
      <c r="O177" s="3">
        <f t="shared" si="113"/>
        <v>5.554950558828043E-2</v>
      </c>
      <c r="P177" s="3">
        <f t="shared" si="113"/>
        <v>5.5549505587235141E-2</v>
      </c>
      <c r="Q177" s="3">
        <f t="shared" si="113"/>
        <v>5.5549505576782267E-2</v>
      </c>
      <c r="R177" s="3">
        <f t="shared" si="113"/>
        <v>5.5549505472253465E-2</v>
      </c>
      <c r="S177" s="3">
        <f t="shared" si="113"/>
        <v>5.5549504426965497E-2</v>
      </c>
      <c r="T177" s="3">
        <f t="shared" si="113"/>
        <v>5.5549493974086935E-2</v>
      </c>
      <c r="U177" s="3">
        <f t="shared" si="113"/>
        <v>5.5549389445409457E-2</v>
      </c>
      <c r="V177" s="3">
        <f t="shared" si="113"/>
        <v>5.5548344169452736E-2</v>
      </c>
      <c r="W177" s="3">
        <f t="shared" si="113"/>
        <v>5.5537892491620403E-2</v>
      </c>
      <c r="X177" s="3">
        <f t="shared" si="113"/>
        <v>5.5433483811501455E-2</v>
      </c>
      <c r="Y177" s="3">
        <f t="shared" si="113"/>
        <v>5.4400131946039626E-2</v>
      </c>
      <c r="Z177" s="3">
        <f t="shared" si="113"/>
        <v>4.5068982103265806E-2</v>
      </c>
      <c r="AA177" s="3">
        <f t="shared" si="113"/>
        <v>6.8652398369169285E-3</v>
      </c>
      <c r="AB177" s="3">
        <f t="shared" si="113"/>
        <v>4.6178025350906915E-11</v>
      </c>
      <c r="AC177" s="3">
        <f t="shared" si="113"/>
        <v>8.7545090712569239E-93</v>
      </c>
      <c r="AD177" s="3">
        <f t="shared" si="113"/>
        <v>0</v>
      </c>
      <c r="AE177" s="3">
        <f t="shared" si="113"/>
        <v>0</v>
      </c>
      <c r="AF177" s="3">
        <f t="shared" si="113"/>
        <v>0</v>
      </c>
      <c r="AG177" s="3"/>
      <c r="AH177" s="3"/>
    </row>
    <row r="178" spans="2:34" x14ac:dyDescent="0.25">
      <c r="B178" s="3">
        <f t="shared" ref="B178:AF178" si="114">$C25*EXP(-B$168/$A25/EXP(-$C$126))</f>
        <v>7.866276737132312E-2</v>
      </c>
      <c r="C178" s="3">
        <f t="shared" si="114"/>
        <v>7.866276737132312E-2</v>
      </c>
      <c r="D178" s="3">
        <f t="shared" si="114"/>
        <v>7.866276737132312E-2</v>
      </c>
      <c r="E178" s="3">
        <f t="shared" si="114"/>
        <v>7.866276737132312E-2</v>
      </c>
      <c r="F178" s="3">
        <f t="shared" si="114"/>
        <v>7.866276737132312E-2</v>
      </c>
      <c r="G178" s="3">
        <f t="shared" si="114"/>
        <v>7.866276737132312E-2</v>
      </c>
      <c r="H178" s="3">
        <f t="shared" si="114"/>
        <v>7.866276737132312E-2</v>
      </c>
      <c r="I178" s="3">
        <f t="shared" si="114"/>
        <v>7.866276737132312E-2</v>
      </c>
      <c r="J178" s="3">
        <f t="shared" si="114"/>
        <v>7.866276737132312E-2</v>
      </c>
      <c r="K178" s="3">
        <f t="shared" si="114"/>
        <v>7.866276737132312E-2</v>
      </c>
      <c r="L178" s="3">
        <f t="shared" si="114"/>
        <v>7.8662767371323106E-2</v>
      </c>
      <c r="M178" s="3">
        <f t="shared" si="114"/>
        <v>7.8662767371322967E-2</v>
      </c>
      <c r="N178" s="3">
        <f t="shared" si="114"/>
        <v>7.8662767371321635E-2</v>
      </c>
      <c r="O178" s="3">
        <f t="shared" si="114"/>
        <v>7.8662767371308284E-2</v>
      </c>
      <c r="P178" s="3">
        <f t="shared" si="114"/>
        <v>7.8662767371174752E-2</v>
      </c>
      <c r="Q178" s="3">
        <f t="shared" si="114"/>
        <v>7.8662767369839473E-2</v>
      </c>
      <c r="R178" s="3">
        <f t="shared" si="114"/>
        <v>7.8662767356486696E-2</v>
      </c>
      <c r="S178" s="3">
        <f t="shared" si="114"/>
        <v>7.8662767222958938E-2</v>
      </c>
      <c r="T178" s="3">
        <f t="shared" si="114"/>
        <v>7.8662765887681341E-2</v>
      </c>
      <c r="U178" s="3">
        <f t="shared" si="114"/>
        <v>7.8662752534906552E-2</v>
      </c>
      <c r="V178" s="3">
        <f t="shared" si="114"/>
        <v>7.8662619007283399E-2</v>
      </c>
      <c r="W178" s="3">
        <f t="shared" si="114"/>
        <v>7.8661283743517968E-2</v>
      </c>
      <c r="X178" s="3">
        <f t="shared" si="114"/>
        <v>7.8647932352404012E-2</v>
      </c>
      <c r="Y178" s="3">
        <f t="shared" si="114"/>
        <v>7.8514543017032409E-2</v>
      </c>
      <c r="Z178" s="3">
        <f t="shared" si="114"/>
        <v>7.7193029352516582E-2</v>
      </c>
      <c r="AA178" s="3">
        <f t="shared" si="114"/>
        <v>6.5141515548107307E-2</v>
      </c>
      <c r="AB178" s="3">
        <f t="shared" si="114"/>
        <v>1.1930416238517707E-2</v>
      </c>
      <c r="AC178" s="3">
        <f t="shared" si="114"/>
        <v>5.0656242420601508E-10</v>
      </c>
      <c r="AD178" s="3">
        <f t="shared" si="114"/>
        <v>9.6473209570322989E-84</v>
      </c>
      <c r="AE178" s="3">
        <f t="shared" si="114"/>
        <v>0</v>
      </c>
      <c r="AF178" s="3">
        <f t="shared" si="114"/>
        <v>0</v>
      </c>
      <c r="AG178" s="3"/>
      <c r="AH178" s="3"/>
    </row>
    <row r="179" spans="2:34" x14ac:dyDescent="0.25">
      <c r="B179" s="3">
        <f t="shared" ref="B179:AF179" si="115">$C26*EXP(-B$168/$A26/EXP(-$C$126))</f>
        <v>9.4543741847587029E-2</v>
      </c>
      <c r="C179" s="3">
        <f t="shared" si="115"/>
        <v>9.4543741847587029E-2</v>
      </c>
      <c r="D179" s="3">
        <f t="shared" si="115"/>
        <v>9.4543741847587029E-2</v>
      </c>
      <c r="E179" s="3">
        <f t="shared" si="115"/>
        <v>9.4543741847587029E-2</v>
      </c>
      <c r="F179" s="3">
        <f t="shared" si="115"/>
        <v>9.4543741847587029E-2</v>
      </c>
      <c r="G179" s="3">
        <f t="shared" si="115"/>
        <v>9.4543741847587029E-2</v>
      </c>
      <c r="H179" s="3">
        <f t="shared" si="115"/>
        <v>9.4543741847587029E-2</v>
      </c>
      <c r="I179" s="3">
        <f t="shared" si="115"/>
        <v>9.4543741847587029E-2</v>
      </c>
      <c r="J179" s="3">
        <f t="shared" si="115"/>
        <v>9.4543741847587029E-2</v>
      </c>
      <c r="K179" s="3">
        <f t="shared" si="115"/>
        <v>9.4543741847587029E-2</v>
      </c>
      <c r="L179" s="3">
        <f t="shared" si="115"/>
        <v>9.4543741847587029E-2</v>
      </c>
      <c r="M179" s="3">
        <f t="shared" si="115"/>
        <v>9.4543741847587001E-2</v>
      </c>
      <c r="N179" s="3">
        <f t="shared" si="115"/>
        <v>9.4543741847586876E-2</v>
      </c>
      <c r="O179" s="3">
        <f t="shared" si="115"/>
        <v>9.4543741847585419E-2</v>
      </c>
      <c r="P179" s="3">
        <f t="shared" si="115"/>
        <v>9.4543741847570945E-2</v>
      </c>
      <c r="Q179" s="3">
        <f t="shared" si="115"/>
        <v>9.4543741847426171E-2</v>
      </c>
      <c r="R179" s="3">
        <f t="shared" si="115"/>
        <v>9.4543741845978468E-2</v>
      </c>
      <c r="S179" s="3">
        <f t="shared" si="115"/>
        <v>9.4543741831501354E-2</v>
      </c>
      <c r="T179" s="3">
        <f t="shared" si="115"/>
        <v>9.4543741686730298E-2</v>
      </c>
      <c r="U179" s="3">
        <f t="shared" si="115"/>
        <v>9.4543740239019819E-2</v>
      </c>
      <c r="V179" s="3">
        <f t="shared" si="115"/>
        <v>9.4543725761916123E-2</v>
      </c>
      <c r="W179" s="3">
        <f t="shared" si="115"/>
        <v>9.4543580991001089E-2</v>
      </c>
      <c r="X179" s="3">
        <f t="shared" si="115"/>
        <v>9.4542133294043165E-2</v>
      </c>
      <c r="Y179" s="3">
        <f t="shared" si="115"/>
        <v>9.4527657543638885E-2</v>
      </c>
      <c r="Z179" s="3">
        <f t="shared" si="115"/>
        <v>9.4383021888040625E-2</v>
      </c>
      <c r="AA179" s="3">
        <f t="shared" si="115"/>
        <v>9.2948781423154575E-2</v>
      </c>
      <c r="AB179" s="3">
        <f t="shared" si="115"/>
        <v>7.9752062521453587E-2</v>
      </c>
      <c r="AC179" s="3">
        <f t="shared" si="115"/>
        <v>1.724742056427948E-2</v>
      </c>
      <c r="AD179" s="3">
        <f t="shared" si="115"/>
        <v>3.8596369281084049E-9</v>
      </c>
      <c r="AE179" s="3">
        <f t="shared" si="115"/>
        <v>1.2155405425030736E-75</v>
      </c>
      <c r="AF179" s="3">
        <f t="shared" si="115"/>
        <v>0</v>
      </c>
      <c r="AG179" s="3"/>
      <c r="AH179" s="3"/>
    </row>
    <row r="180" spans="2:34" x14ac:dyDescent="0.25">
      <c r="B180" s="3">
        <f t="shared" ref="B180:AF180" si="116">$C27*EXP(-B$168/$A27/EXP(-$C$126))</f>
        <v>0.11359632384203742</v>
      </c>
      <c r="C180" s="3">
        <f t="shared" si="116"/>
        <v>0.11359632384203742</v>
      </c>
      <c r="D180" s="3">
        <f t="shared" si="116"/>
        <v>0.11359632384203742</v>
      </c>
      <c r="E180" s="3">
        <f t="shared" si="116"/>
        <v>0.11359632384203742</v>
      </c>
      <c r="F180" s="3">
        <f t="shared" si="116"/>
        <v>0.11359632384203742</v>
      </c>
      <c r="G180" s="3">
        <f t="shared" si="116"/>
        <v>0.11359632384203742</v>
      </c>
      <c r="H180" s="3">
        <f t="shared" si="116"/>
        <v>0.11359632384203742</v>
      </c>
      <c r="I180" s="3">
        <f t="shared" si="116"/>
        <v>0.11359632384203742</v>
      </c>
      <c r="J180" s="3">
        <f t="shared" si="116"/>
        <v>0.11359632384203742</v>
      </c>
      <c r="K180" s="3">
        <f t="shared" si="116"/>
        <v>0.11359632384203742</v>
      </c>
      <c r="L180" s="3">
        <f t="shared" si="116"/>
        <v>0.11359632384203742</v>
      </c>
      <c r="M180" s="3">
        <f t="shared" si="116"/>
        <v>0.11359632384203742</v>
      </c>
      <c r="N180" s="3">
        <f t="shared" si="116"/>
        <v>0.11359632384203741</v>
      </c>
      <c r="O180" s="3">
        <f t="shared" si="116"/>
        <v>0.11359632384203724</v>
      </c>
      <c r="P180" s="3">
        <f t="shared" si="116"/>
        <v>0.11359632384203569</v>
      </c>
      <c r="Q180" s="3">
        <f t="shared" si="116"/>
        <v>0.11359632384201999</v>
      </c>
      <c r="R180" s="3">
        <f t="shared" si="116"/>
        <v>0.11359632384186308</v>
      </c>
      <c r="S180" s="3">
        <f t="shared" si="116"/>
        <v>0.11359632384029394</v>
      </c>
      <c r="T180" s="3">
        <f t="shared" si="116"/>
        <v>0.11359632382460261</v>
      </c>
      <c r="U180" s="3">
        <f t="shared" si="116"/>
        <v>0.11359632366768929</v>
      </c>
      <c r="V180" s="3">
        <f t="shared" si="116"/>
        <v>0.11359632209855612</v>
      </c>
      <c r="W180" s="3">
        <f t="shared" si="116"/>
        <v>0.11359630640722559</v>
      </c>
      <c r="X180" s="3">
        <f t="shared" si="116"/>
        <v>0.11359614949403962</v>
      </c>
      <c r="Y180" s="3">
        <f t="shared" si="116"/>
        <v>0.11359458037410082</v>
      </c>
      <c r="Z180" s="3">
        <f t="shared" si="116"/>
        <v>0.11357889036675978</v>
      </c>
      <c r="AA180" s="3">
        <f t="shared" si="116"/>
        <v>0.1134221094371435</v>
      </c>
      <c r="AB180" s="3">
        <f t="shared" si="116"/>
        <v>0.11186615385154733</v>
      </c>
      <c r="AC180" s="3">
        <f t="shared" si="116"/>
        <v>9.7433560070289832E-2</v>
      </c>
      <c r="AD180" s="3">
        <f t="shared" si="116"/>
        <v>2.447976354495467E-2</v>
      </c>
      <c r="AE180" s="3">
        <f t="shared" si="116"/>
        <v>2.4535430993494518E-8</v>
      </c>
      <c r="AF180" s="3">
        <f t="shared" si="116"/>
        <v>2.5099115579501423E-68</v>
      </c>
      <c r="AG180" s="3"/>
      <c r="AH180" s="3"/>
    </row>
    <row r="181" spans="2:34" x14ac:dyDescent="0.25">
      <c r="B181" s="3">
        <f t="shared" ref="B181:AF181" si="117">$C28*EXP(-B$168/$A28/EXP(-$C$126))</f>
        <v>0.12987660327805553</v>
      </c>
      <c r="C181" s="3">
        <f t="shared" si="117"/>
        <v>0.12987660327805553</v>
      </c>
      <c r="D181" s="3">
        <f t="shared" si="117"/>
        <v>0.12987660327805553</v>
      </c>
      <c r="E181" s="3">
        <f t="shared" si="117"/>
        <v>0.12987660327805553</v>
      </c>
      <c r="F181" s="3">
        <f t="shared" si="117"/>
        <v>0.12987660327805553</v>
      </c>
      <c r="G181" s="3">
        <f t="shared" si="117"/>
        <v>0.12987660327805553</v>
      </c>
      <c r="H181" s="3">
        <f t="shared" si="117"/>
        <v>0.12987660327805553</v>
      </c>
      <c r="I181" s="3">
        <f t="shared" si="117"/>
        <v>0.12987660327805553</v>
      </c>
      <c r="J181" s="3">
        <f t="shared" si="117"/>
        <v>0.12987660327805553</v>
      </c>
      <c r="K181" s="3">
        <f t="shared" si="117"/>
        <v>0.12987660327805553</v>
      </c>
      <c r="L181" s="3">
        <f t="shared" si="117"/>
        <v>0.12987660327805553</v>
      </c>
      <c r="M181" s="3">
        <f t="shared" si="117"/>
        <v>0.12987660327805553</v>
      </c>
      <c r="N181" s="3">
        <f t="shared" si="117"/>
        <v>0.12987660327805553</v>
      </c>
      <c r="O181" s="3">
        <f t="shared" si="117"/>
        <v>0.1298766032780555</v>
      </c>
      <c r="P181" s="3">
        <f t="shared" si="117"/>
        <v>0.12987660327805536</v>
      </c>
      <c r="Q181" s="3">
        <f t="shared" si="117"/>
        <v>0.12987660327805373</v>
      </c>
      <c r="R181" s="3">
        <f t="shared" si="117"/>
        <v>0.12987660327803754</v>
      </c>
      <c r="S181" s="3">
        <f t="shared" si="117"/>
        <v>0.1298766032778757</v>
      </c>
      <c r="T181" s="3">
        <f t="shared" si="117"/>
        <v>0.12987660327625736</v>
      </c>
      <c r="U181" s="3">
        <f t="shared" si="117"/>
        <v>0.12987660326007383</v>
      </c>
      <c r="V181" s="3">
        <f t="shared" si="117"/>
        <v>0.12987660309823862</v>
      </c>
      <c r="W181" s="3">
        <f t="shared" si="117"/>
        <v>0.12987660147988642</v>
      </c>
      <c r="X181" s="3">
        <f t="shared" si="117"/>
        <v>0.12987658529636564</v>
      </c>
      <c r="Y181" s="3">
        <f t="shared" si="117"/>
        <v>0.12987642346126885</v>
      </c>
      <c r="Z181" s="3">
        <f t="shared" si="117"/>
        <v>0.12987480512139182</v>
      </c>
      <c r="AA181" s="3">
        <f t="shared" si="117"/>
        <v>0.12985862283168326</v>
      </c>
      <c r="AB181" s="3">
        <f t="shared" si="117"/>
        <v>0.12969691078962556</v>
      </c>
      <c r="AC181" s="3">
        <f t="shared" si="117"/>
        <v>0.12809082493255086</v>
      </c>
      <c r="AD181" s="3">
        <f t="shared" si="117"/>
        <v>0.1130841999685365</v>
      </c>
      <c r="AE181" s="3">
        <f t="shared" si="117"/>
        <v>3.2526774792894439E-2</v>
      </c>
      <c r="AF181" s="3">
        <f t="shared" si="117"/>
        <v>1.2607579961849632E-7</v>
      </c>
      <c r="AG181" s="3"/>
      <c r="AH181" s="3"/>
    </row>
    <row r="182" spans="2:34" x14ac:dyDescent="0.25">
      <c r="B182" s="3">
        <f t="shared" ref="B182:AF182" si="118">$C29*EXP(-B$168/$A29/EXP(-$C$126))</f>
        <v>7.5604381501705717E-2</v>
      </c>
      <c r="C182" s="3">
        <f t="shared" si="118"/>
        <v>7.5604381501705717E-2</v>
      </c>
      <c r="D182" s="3">
        <f t="shared" si="118"/>
        <v>7.5604381501705717E-2</v>
      </c>
      <c r="E182" s="3">
        <f t="shared" si="118"/>
        <v>7.5604381501705717E-2</v>
      </c>
      <c r="F182" s="3">
        <f t="shared" si="118"/>
        <v>7.5604381501705717E-2</v>
      </c>
      <c r="G182" s="3">
        <f t="shared" si="118"/>
        <v>7.5604381501705717E-2</v>
      </c>
      <c r="H182" s="3">
        <f t="shared" si="118"/>
        <v>7.5604381501705717E-2</v>
      </c>
      <c r="I182" s="3">
        <f t="shared" si="118"/>
        <v>7.5604381501705717E-2</v>
      </c>
      <c r="J182" s="3">
        <f t="shared" si="118"/>
        <v>7.5604381501705717E-2</v>
      </c>
      <c r="K182" s="3">
        <f t="shared" si="118"/>
        <v>7.5604381501705717E-2</v>
      </c>
      <c r="L182" s="3">
        <f t="shared" si="118"/>
        <v>7.5604381501705717E-2</v>
      </c>
      <c r="M182" s="3">
        <f t="shared" si="118"/>
        <v>7.5604381501705717E-2</v>
      </c>
      <c r="N182" s="3">
        <f t="shared" si="118"/>
        <v>7.5604381501705717E-2</v>
      </c>
      <c r="O182" s="3">
        <f t="shared" si="118"/>
        <v>7.5604381501705717E-2</v>
      </c>
      <c r="P182" s="3">
        <f t="shared" si="118"/>
        <v>7.5604381501705703E-2</v>
      </c>
      <c r="Q182" s="3">
        <f t="shared" si="118"/>
        <v>7.560438150170562E-2</v>
      </c>
      <c r="R182" s="3">
        <f t="shared" si="118"/>
        <v>7.5604381501704773E-2</v>
      </c>
      <c r="S182" s="3">
        <f t="shared" si="118"/>
        <v>7.560438150169628E-2</v>
      </c>
      <c r="T182" s="3">
        <f t="shared" si="118"/>
        <v>7.5604381501611292E-2</v>
      </c>
      <c r="U182" s="3">
        <f t="shared" si="118"/>
        <v>7.5604381500761444E-2</v>
      </c>
      <c r="V182" s="3">
        <f t="shared" si="118"/>
        <v>7.560438149226309E-2</v>
      </c>
      <c r="W182" s="3">
        <f t="shared" si="118"/>
        <v>7.5604381407279375E-2</v>
      </c>
      <c r="X182" s="3">
        <f t="shared" si="118"/>
        <v>7.5604380557442299E-2</v>
      </c>
      <c r="Y182" s="3">
        <f t="shared" si="118"/>
        <v>7.560437205907207E-2</v>
      </c>
      <c r="Z182" s="3">
        <f t="shared" si="118"/>
        <v>7.5604287075422369E-2</v>
      </c>
      <c r="AA182" s="3">
        <f t="shared" si="118"/>
        <v>7.5603437244179214E-2</v>
      </c>
      <c r="AB182" s="3">
        <f t="shared" si="118"/>
        <v>7.5594939457119842E-2</v>
      </c>
      <c r="AC182" s="3">
        <f t="shared" si="118"/>
        <v>7.5510014101892703E-2</v>
      </c>
      <c r="AD182" s="3">
        <f t="shared" si="118"/>
        <v>7.4665990310584268E-2</v>
      </c>
      <c r="AE182" s="3">
        <f t="shared" si="118"/>
        <v>6.6727616462916389E-2</v>
      </c>
      <c r="AF182" s="3">
        <f t="shared" si="118"/>
        <v>2.1683702264376582E-2</v>
      </c>
      <c r="AG182" s="3"/>
      <c r="AH182" s="3"/>
    </row>
    <row r="183" spans="2:34" x14ac:dyDescent="0.25">
      <c r="B183" s="3">
        <f t="shared" ref="B183:AF183" si="119">$C30*EXP(-B$168/$A30/EXP(-$C$126))</f>
        <v>4.9796050081425132E-2</v>
      </c>
      <c r="C183" s="3">
        <f t="shared" si="119"/>
        <v>4.9796050081425132E-2</v>
      </c>
      <c r="D183" s="3">
        <f t="shared" si="119"/>
        <v>4.9796050081425132E-2</v>
      </c>
      <c r="E183" s="3">
        <f t="shared" si="119"/>
        <v>4.9796050081425132E-2</v>
      </c>
      <c r="F183" s="3">
        <f t="shared" si="119"/>
        <v>4.9796050081425132E-2</v>
      </c>
      <c r="G183" s="3">
        <f t="shared" si="119"/>
        <v>4.9796050081425132E-2</v>
      </c>
      <c r="H183" s="3">
        <f t="shared" si="119"/>
        <v>4.9796050081425132E-2</v>
      </c>
      <c r="I183" s="3">
        <f t="shared" si="119"/>
        <v>4.9796050081425132E-2</v>
      </c>
      <c r="J183" s="3">
        <f t="shared" si="119"/>
        <v>4.9796050081425132E-2</v>
      </c>
      <c r="K183" s="3">
        <f t="shared" si="119"/>
        <v>4.9796050081425132E-2</v>
      </c>
      <c r="L183" s="3">
        <f t="shared" si="119"/>
        <v>4.9796050081425132E-2</v>
      </c>
      <c r="M183" s="3">
        <f t="shared" si="119"/>
        <v>4.9796050081425132E-2</v>
      </c>
      <c r="N183" s="3">
        <f t="shared" si="119"/>
        <v>4.9796050081425132E-2</v>
      </c>
      <c r="O183" s="3">
        <f t="shared" si="119"/>
        <v>4.9796050081425132E-2</v>
      </c>
      <c r="P183" s="3">
        <f t="shared" si="119"/>
        <v>4.9796050081425132E-2</v>
      </c>
      <c r="Q183" s="3">
        <f t="shared" si="119"/>
        <v>4.9796050081425125E-2</v>
      </c>
      <c r="R183" s="3">
        <f t="shared" si="119"/>
        <v>4.9796050081425076E-2</v>
      </c>
      <c r="S183" s="3">
        <f t="shared" si="119"/>
        <v>4.9796050081424577E-2</v>
      </c>
      <c r="T183" s="3">
        <f t="shared" si="119"/>
        <v>4.9796050081419518E-2</v>
      </c>
      <c r="U183" s="3">
        <f t="shared" si="119"/>
        <v>4.9796050081369031E-2</v>
      </c>
      <c r="V183" s="3">
        <f t="shared" si="119"/>
        <v>4.9796050080864102E-2</v>
      </c>
      <c r="W183" s="3">
        <f t="shared" si="119"/>
        <v>4.9796050075814814E-2</v>
      </c>
      <c r="X183" s="3">
        <f t="shared" si="119"/>
        <v>4.9796050025321927E-2</v>
      </c>
      <c r="Y183" s="3">
        <f t="shared" si="119"/>
        <v>4.9796049520393064E-2</v>
      </c>
      <c r="Z183" s="3">
        <f t="shared" si="119"/>
        <v>4.9796044471104736E-2</v>
      </c>
      <c r="AA183" s="3">
        <f t="shared" si="119"/>
        <v>4.979599397824961E-2</v>
      </c>
      <c r="AB183" s="3">
        <f t="shared" si="119"/>
        <v>4.9795489052514283E-2</v>
      </c>
      <c r="AC183" s="3">
        <f t="shared" si="119"/>
        <v>4.9790440076746406E-2</v>
      </c>
      <c r="AD183" s="3">
        <f t="shared" si="119"/>
        <v>4.9739978467043006E-2</v>
      </c>
      <c r="AE183" s="3">
        <f t="shared" si="119"/>
        <v>4.9238166635633414E-2</v>
      </c>
      <c r="AF183" s="3">
        <f t="shared" si="119"/>
        <v>4.4490233209622684E-2</v>
      </c>
      <c r="AG183" s="3"/>
      <c r="AH183" s="3"/>
    </row>
    <row r="184" spans="2:34" x14ac:dyDescent="0.25">
      <c r="B184" s="3">
        <f t="shared" ref="B184:AF184" si="120">$C31*EXP(-B$168/$A31/EXP(-$C$126))</f>
        <v>2.0966447401353387E-2</v>
      </c>
      <c r="C184" s="3">
        <f t="shared" si="120"/>
        <v>2.0966447401353387E-2</v>
      </c>
      <c r="D184" s="3">
        <f t="shared" si="120"/>
        <v>2.0966447401353387E-2</v>
      </c>
      <c r="E184" s="3">
        <f t="shared" si="120"/>
        <v>2.0966447401353387E-2</v>
      </c>
      <c r="F184" s="3">
        <f t="shared" si="120"/>
        <v>2.0966447401353387E-2</v>
      </c>
      <c r="G184" s="3">
        <f t="shared" si="120"/>
        <v>2.0966447401353387E-2</v>
      </c>
      <c r="H184" s="3">
        <f t="shared" si="120"/>
        <v>2.0966447401353387E-2</v>
      </c>
      <c r="I184" s="3">
        <f t="shared" si="120"/>
        <v>2.0966447401353387E-2</v>
      </c>
      <c r="J184" s="3">
        <f t="shared" si="120"/>
        <v>2.0966447401353387E-2</v>
      </c>
      <c r="K184" s="3">
        <f t="shared" si="120"/>
        <v>2.0966447401353387E-2</v>
      </c>
      <c r="L184" s="3">
        <f t="shared" si="120"/>
        <v>2.0966447401353387E-2</v>
      </c>
      <c r="M184" s="3">
        <f t="shared" si="120"/>
        <v>2.0966447401353387E-2</v>
      </c>
      <c r="N184" s="3">
        <f t="shared" si="120"/>
        <v>2.0966447401353387E-2</v>
      </c>
      <c r="O184" s="3">
        <f t="shared" si="120"/>
        <v>2.0966447401353387E-2</v>
      </c>
      <c r="P184" s="3">
        <f t="shared" si="120"/>
        <v>2.0966447401353387E-2</v>
      </c>
      <c r="Q184" s="3">
        <f t="shared" si="120"/>
        <v>2.0966447401353387E-2</v>
      </c>
      <c r="R184" s="3">
        <f t="shared" si="120"/>
        <v>2.0966447401353384E-2</v>
      </c>
      <c r="S184" s="3">
        <f t="shared" si="120"/>
        <v>2.0966447401353366E-2</v>
      </c>
      <c r="T184" s="3">
        <f t="shared" si="120"/>
        <v>2.0966447401353172E-2</v>
      </c>
      <c r="U184" s="3">
        <f t="shared" si="120"/>
        <v>2.0966447401351257E-2</v>
      </c>
      <c r="V184" s="3">
        <f t="shared" si="120"/>
        <v>2.0966447401332078E-2</v>
      </c>
      <c r="W184" s="3">
        <f t="shared" si="120"/>
        <v>2.0966447401140297E-2</v>
      </c>
      <c r="X184" s="3">
        <f t="shared" si="120"/>
        <v>2.0966447399222484E-2</v>
      </c>
      <c r="Y184" s="3">
        <f t="shared" si="120"/>
        <v>2.0966447380044329E-2</v>
      </c>
      <c r="Z184" s="3">
        <f t="shared" si="120"/>
        <v>2.0966447188262818E-2</v>
      </c>
      <c r="AA184" s="3">
        <f t="shared" si="120"/>
        <v>2.0966445270447786E-2</v>
      </c>
      <c r="AB184" s="3">
        <f t="shared" si="120"/>
        <v>2.0966426092307117E-2</v>
      </c>
      <c r="AC184" s="3">
        <f t="shared" si="120"/>
        <v>2.0966234311865242E-2</v>
      </c>
      <c r="AD184" s="3">
        <f t="shared" si="120"/>
        <v>2.0964316603925993E-2</v>
      </c>
      <c r="AE184" s="3">
        <f t="shared" si="120"/>
        <v>2.0945149169217924E-2</v>
      </c>
      <c r="AF184" s="3">
        <f t="shared" si="120"/>
        <v>2.0754436034389812E-2</v>
      </c>
      <c r="AG184" s="3"/>
      <c r="AH184" s="3"/>
    </row>
    <row r="185" spans="2:34" x14ac:dyDescent="0.25">
      <c r="B185" s="3">
        <f t="shared" ref="B185:AF185" si="121">$C32*EXP(-B$168/$A32/EXP(-$C$126))</f>
        <v>3.9443248072899657E-3</v>
      </c>
      <c r="C185" s="3">
        <f t="shared" si="121"/>
        <v>3.9443248072899657E-3</v>
      </c>
      <c r="D185" s="3">
        <f t="shared" si="121"/>
        <v>3.9443248072899657E-3</v>
      </c>
      <c r="E185" s="3">
        <f t="shared" si="121"/>
        <v>3.9443248072899657E-3</v>
      </c>
      <c r="F185" s="3">
        <f t="shared" si="121"/>
        <v>3.9443248072899657E-3</v>
      </c>
      <c r="G185" s="3">
        <f t="shared" si="121"/>
        <v>3.9443248072899657E-3</v>
      </c>
      <c r="H185" s="3">
        <f t="shared" si="121"/>
        <v>3.9443248072899657E-3</v>
      </c>
      <c r="I185" s="3">
        <f t="shared" si="121"/>
        <v>3.9443248072899657E-3</v>
      </c>
      <c r="J185" s="3">
        <f t="shared" si="121"/>
        <v>3.9443248072899657E-3</v>
      </c>
      <c r="K185" s="3">
        <f t="shared" si="121"/>
        <v>3.9443248072899657E-3</v>
      </c>
      <c r="L185" s="3">
        <f t="shared" si="121"/>
        <v>3.9443248072899657E-3</v>
      </c>
      <c r="M185" s="3">
        <f t="shared" si="121"/>
        <v>3.9443248072899657E-3</v>
      </c>
      <c r="N185" s="3">
        <f t="shared" si="121"/>
        <v>3.9443248072899657E-3</v>
      </c>
      <c r="O185" s="3">
        <f t="shared" si="121"/>
        <v>3.9443248072899657E-3</v>
      </c>
      <c r="P185" s="3">
        <f t="shared" si="121"/>
        <v>3.9443248072899657E-3</v>
      </c>
      <c r="Q185" s="3">
        <f t="shared" si="121"/>
        <v>3.9443248072899657E-3</v>
      </c>
      <c r="R185" s="3">
        <f t="shared" si="121"/>
        <v>3.9443248072899657E-3</v>
      </c>
      <c r="S185" s="3">
        <f t="shared" si="121"/>
        <v>3.9443248072899648E-3</v>
      </c>
      <c r="T185" s="3">
        <f t="shared" si="121"/>
        <v>3.9443248072899622E-3</v>
      </c>
      <c r="U185" s="3">
        <f t="shared" si="121"/>
        <v>3.9443248072899293E-3</v>
      </c>
      <c r="V185" s="3">
        <f t="shared" si="121"/>
        <v>3.944324807289604E-3</v>
      </c>
      <c r="W185" s="3">
        <f t="shared" si="121"/>
        <v>3.9443248072863497E-3</v>
      </c>
      <c r="X185" s="3">
        <f t="shared" si="121"/>
        <v>3.9443248072538037E-3</v>
      </c>
      <c r="Y185" s="3">
        <f t="shared" si="121"/>
        <v>3.94432480692834E-3</v>
      </c>
      <c r="Z185" s="3">
        <f t="shared" si="121"/>
        <v>3.9443248036737143E-3</v>
      </c>
      <c r="AA185" s="3">
        <f t="shared" si="121"/>
        <v>3.9443247711274491E-3</v>
      </c>
      <c r="AB185" s="3">
        <f t="shared" si="121"/>
        <v>3.9443244456648166E-3</v>
      </c>
      <c r="AC185" s="3">
        <f t="shared" si="121"/>
        <v>3.9443211910399623E-3</v>
      </c>
      <c r="AD185" s="3">
        <f t="shared" si="121"/>
        <v>3.9442886449391262E-3</v>
      </c>
      <c r="AE185" s="3">
        <f t="shared" si="121"/>
        <v>3.9439631987006653E-3</v>
      </c>
      <c r="AF185" s="3">
        <f t="shared" si="121"/>
        <v>3.9407102128553688E-3</v>
      </c>
      <c r="AG185" s="3"/>
      <c r="AH185" s="3"/>
    </row>
    <row r="186" spans="2:34" x14ac:dyDescent="0.25">
      <c r="B186" s="3">
        <f t="shared" ref="B186:AF186" si="122">$C33*EXP(-B$168/$A33/EXP(-$C$126))</f>
        <v>3.51380910541953E-3</v>
      </c>
      <c r="C186" s="3">
        <f t="shared" si="122"/>
        <v>3.51380910541953E-3</v>
      </c>
      <c r="D186" s="3">
        <f t="shared" si="122"/>
        <v>3.51380910541953E-3</v>
      </c>
      <c r="E186" s="3">
        <f t="shared" si="122"/>
        <v>3.51380910541953E-3</v>
      </c>
      <c r="F186" s="3">
        <f t="shared" si="122"/>
        <v>3.51380910541953E-3</v>
      </c>
      <c r="G186" s="3">
        <f t="shared" si="122"/>
        <v>3.51380910541953E-3</v>
      </c>
      <c r="H186" s="3">
        <f t="shared" si="122"/>
        <v>3.51380910541953E-3</v>
      </c>
      <c r="I186" s="3">
        <f t="shared" si="122"/>
        <v>3.51380910541953E-3</v>
      </c>
      <c r="J186" s="3">
        <f t="shared" si="122"/>
        <v>3.51380910541953E-3</v>
      </c>
      <c r="K186" s="3">
        <f t="shared" si="122"/>
        <v>3.51380910541953E-3</v>
      </c>
      <c r="L186" s="3">
        <f t="shared" si="122"/>
        <v>3.51380910541953E-3</v>
      </c>
      <c r="M186" s="3">
        <f t="shared" si="122"/>
        <v>3.51380910541953E-3</v>
      </c>
      <c r="N186" s="3">
        <f t="shared" si="122"/>
        <v>3.51380910541953E-3</v>
      </c>
      <c r="O186" s="3">
        <f t="shared" si="122"/>
        <v>3.51380910541953E-3</v>
      </c>
      <c r="P186" s="3">
        <f t="shared" si="122"/>
        <v>3.51380910541953E-3</v>
      </c>
      <c r="Q186" s="3">
        <f t="shared" si="122"/>
        <v>3.51380910541953E-3</v>
      </c>
      <c r="R186" s="3">
        <f t="shared" si="122"/>
        <v>3.51380910541953E-3</v>
      </c>
      <c r="S186" s="3">
        <f t="shared" si="122"/>
        <v>3.51380910541953E-3</v>
      </c>
      <c r="T186" s="3">
        <f t="shared" si="122"/>
        <v>3.5138091054195296E-3</v>
      </c>
      <c r="U186" s="3">
        <f t="shared" si="122"/>
        <v>3.5138091054195274E-3</v>
      </c>
      <c r="V186" s="3">
        <f t="shared" si="122"/>
        <v>3.5138091054195009E-3</v>
      </c>
      <c r="W186" s="3">
        <f t="shared" si="122"/>
        <v>3.5138091054192394E-3</v>
      </c>
      <c r="X186" s="3">
        <f t="shared" si="122"/>
        <v>3.5138091054166239E-3</v>
      </c>
      <c r="Y186" s="3">
        <f t="shared" si="122"/>
        <v>3.513809105390469E-3</v>
      </c>
      <c r="Z186" s="3">
        <f t="shared" si="122"/>
        <v>3.51380910512892E-3</v>
      </c>
      <c r="AA186" s="3">
        <f t="shared" si="122"/>
        <v>3.5138091025134289E-3</v>
      </c>
      <c r="AB186" s="3">
        <f t="shared" si="122"/>
        <v>3.5138090763585186E-3</v>
      </c>
      <c r="AC186" s="3">
        <f t="shared" si="122"/>
        <v>3.5138088148094246E-3</v>
      </c>
      <c r="AD186" s="3">
        <f t="shared" si="122"/>
        <v>3.5138061993195573E-3</v>
      </c>
      <c r="AE186" s="3">
        <f t="shared" si="122"/>
        <v>3.5137800445279601E-3</v>
      </c>
      <c r="AF186" s="3">
        <f t="shared" si="122"/>
        <v>3.5135185073192328E-3</v>
      </c>
      <c r="AG186" s="3"/>
      <c r="AH186" s="3"/>
    </row>
    <row r="187" spans="2:34" x14ac:dyDescent="0.25">
      <c r="B187" s="3">
        <f t="shared" ref="B187:AF187" si="123">$C34*EXP(-B$168/$A34/EXP(-$C$126))</f>
        <v>7.1978944921583432E-4</v>
      </c>
      <c r="C187" s="3">
        <f t="shared" si="123"/>
        <v>7.1978944921583432E-4</v>
      </c>
      <c r="D187" s="3">
        <f t="shared" si="123"/>
        <v>7.1978944921583432E-4</v>
      </c>
      <c r="E187" s="3">
        <f t="shared" si="123"/>
        <v>7.1978944921583432E-4</v>
      </c>
      <c r="F187" s="3">
        <f t="shared" si="123"/>
        <v>7.1978944921583432E-4</v>
      </c>
      <c r="G187" s="3">
        <f t="shared" si="123"/>
        <v>7.1978944921583432E-4</v>
      </c>
      <c r="H187" s="3">
        <f t="shared" si="123"/>
        <v>7.1978944921583432E-4</v>
      </c>
      <c r="I187" s="3">
        <f t="shared" si="123"/>
        <v>7.1978944921583432E-4</v>
      </c>
      <c r="J187" s="3">
        <f t="shared" si="123"/>
        <v>7.1978944921583432E-4</v>
      </c>
      <c r="K187" s="3">
        <f t="shared" si="123"/>
        <v>7.1978944921583432E-4</v>
      </c>
      <c r="L187" s="3">
        <f t="shared" si="123"/>
        <v>7.1978944921583432E-4</v>
      </c>
      <c r="M187" s="3">
        <f t="shared" si="123"/>
        <v>7.1978944921583432E-4</v>
      </c>
      <c r="N187" s="3">
        <f t="shared" si="123"/>
        <v>7.1978944921583432E-4</v>
      </c>
      <c r="O187" s="3">
        <f t="shared" si="123"/>
        <v>7.1978944921583432E-4</v>
      </c>
      <c r="P187" s="3">
        <f t="shared" si="123"/>
        <v>7.1978944921583432E-4</v>
      </c>
      <c r="Q187" s="3">
        <f t="shared" si="123"/>
        <v>7.1978944921583432E-4</v>
      </c>
      <c r="R187" s="3">
        <f t="shared" si="123"/>
        <v>7.1978944921583432E-4</v>
      </c>
      <c r="S187" s="3">
        <f t="shared" si="123"/>
        <v>7.1978944921583432E-4</v>
      </c>
      <c r="T187" s="3">
        <f t="shared" si="123"/>
        <v>7.1978944921583432E-4</v>
      </c>
      <c r="U187" s="3">
        <f t="shared" si="123"/>
        <v>7.1978944921583421E-4</v>
      </c>
      <c r="V187" s="3">
        <f t="shared" si="123"/>
        <v>7.1978944921583378E-4</v>
      </c>
      <c r="W187" s="3">
        <f t="shared" si="123"/>
        <v>7.1978944921582901E-4</v>
      </c>
      <c r="X187" s="3">
        <f t="shared" si="123"/>
        <v>7.1978944921578065E-4</v>
      </c>
      <c r="Y187" s="3">
        <f t="shared" si="123"/>
        <v>7.1978944921529731E-4</v>
      </c>
      <c r="Z187" s="3">
        <f t="shared" si="123"/>
        <v>7.1978944921046416E-4</v>
      </c>
      <c r="AA187" s="3">
        <f t="shared" si="123"/>
        <v>7.1978944916213303E-4</v>
      </c>
      <c r="AB187" s="3">
        <f t="shared" si="123"/>
        <v>7.197894486788215E-4</v>
      </c>
      <c r="AC187" s="3">
        <f t="shared" si="123"/>
        <v>7.1978944384570637E-4</v>
      </c>
      <c r="AD187" s="3">
        <f t="shared" si="123"/>
        <v>7.1978939551455685E-4</v>
      </c>
      <c r="AE187" s="3">
        <f t="shared" si="123"/>
        <v>7.1978891220323966E-4</v>
      </c>
      <c r="AF187" s="3">
        <f t="shared" si="123"/>
        <v>7.1978407910791705E-4</v>
      </c>
      <c r="AG187" s="3"/>
      <c r="AH187" s="3"/>
    </row>
    <row r="188" spans="2:34" x14ac:dyDescent="0.25">
      <c r="B188" s="3">
        <f t="shared" ref="B188:AF188" si="124">$C35*EXP(-B$168/$A35/EXP(-$C$126))</f>
        <v>5.3803230598076777E-4</v>
      </c>
      <c r="C188" s="3">
        <f t="shared" si="124"/>
        <v>5.3803230598076777E-4</v>
      </c>
      <c r="D188" s="3">
        <f t="shared" si="124"/>
        <v>5.3803230598076777E-4</v>
      </c>
      <c r="E188" s="3">
        <f t="shared" si="124"/>
        <v>5.3803230598076777E-4</v>
      </c>
      <c r="F188" s="3">
        <f t="shared" si="124"/>
        <v>5.3803230598076777E-4</v>
      </c>
      <c r="G188" s="3">
        <f t="shared" si="124"/>
        <v>5.3803230598076777E-4</v>
      </c>
      <c r="H188" s="3">
        <f t="shared" si="124"/>
        <v>5.3803230598076777E-4</v>
      </c>
      <c r="I188" s="3">
        <f t="shared" si="124"/>
        <v>5.3803230598076777E-4</v>
      </c>
      <c r="J188" s="3">
        <f t="shared" si="124"/>
        <v>5.3803230598076777E-4</v>
      </c>
      <c r="K188" s="3">
        <f t="shared" si="124"/>
        <v>5.3803230598076777E-4</v>
      </c>
      <c r="L188" s="3">
        <f t="shared" si="124"/>
        <v>5.3803230598076777E-4</v>
      </c>
      <c r="M188" s="3">
        <f t="shared" si="124"/>
        <v>5.3803230598076777E-4</v>
      </c>
      <c r="N188" s="3">
        <f t="shared" si="124"/>
        <v>5.3803230598076777E-4</v>
      </c>
      <c r="O188" s="3">
        <f t="shared" si="124"/>
        <v>5.3803230598076777E-4</v>
      </c>
      <c r="P188" s="3">
        <f t="shared" si="124"/>
        <v>5.3803230598076777E-4</v>
      </c>
      <c r="Q188" s="3">
        <f t="shared" si="124"/>
        <v>5.3803230598076777E-4</v>
      </c>
      <c r="R188" s="3">
        <f t="shared" si="124"/>
        <v>5.3803230598076777E-4</v>
      </c>
      <c r="S188" s="3">
        <f t="shared" si="124"/>
        <v>5.3803230598076777E-4</v>
      </c>
      <c r="T188" s="3">
        <f t="shared" si="124"/>
        <v>5.3803230598076777E-4</v>
      </c>
      <c r="U188" s="3">
        <f t="shared" si="124"/>
        <v>5.3803230598076777E-4</v>
      </c>
      <c r="V188" s="3">
        <f t="shared" si="124"/>
        <v>5.3803230598076766E-4</v>
      </c>
      <c r="W188" s="3">
        <f t="shared" si="124"/>
        <v>5.3803230598076744E-4</v>
      </c>
      <c r="X188" s="3">
        <f t="shared" si="124"/>
        <v>5.3803230598076408E-4</v>
      </c>
      <c r="Y188" s="3">
        <f t="shared" si="124"/>
        <v>5.3803230598073156E-4</v>
      </c>
      <c r="Z188" s="3">
        <f t="shared" si="124"/>
        <v>5.3803230598040565E-4</v>
      </c>
      <c r="AA188" s="3">
        <f t="shared" si="124"/>
        <v>5.3803230597714675E-4</v>
      </c>
      <c r="AB188" s="3">
        <f t="shared" si="124"/>
        <v>5.3803230594455737E-4</v>
      </c>
      <c r="AC188" s="3">
        <f t="shared" si="124"/>
        <v>5.3803230561866311E-4</v>
      </c>
      <c r="AD188" s="3">
        <f t="shared" si="124"/>
        <v>5.3803230235972127E-4</v>
      </c>
      <c r="AE188" s="3">
        <f t="shared" si="124"/>
        <v>5.38032269770304E-4</v>
      </c>
      <c r="AF188" s="3">
        <f t="shared" si="124"/>
        <v>5.3803194387623998E-4</v>
      </c>
      <c r="AG188" s="3"/>
      <c r="AH188" s="3"/>
    </row>
    <row r="189" spans="2:34" x14ac:dyDescent="0.25">
      <c r="B189" s="3">
        <f t="shared" ref="B189:AF189" si="125">$C36*EXP(-B$168/$A36/EXP(-$C$126))</f>
        <v>5.6418757759686938E-4</v>
      </c>
      <c r="C189" s="3">
        <f t="shared" si="125"/>
        <v>5.6418757759686938E-4</v>
      </c>
      <c r="D189" s="3">
        <f t="shared" si="125"/>
        <v>5.6418757759686938E-4</v>
      </c>
      <c r="E189" s="3">
        <f t="shared" si="125"/>
        <v>5.6418757759686938E-4</v>
      </c>
      <c r="F189" s="3">
        <f t="shared" si="125"/>
        <v>5.6418757759686938E-4</v>
      </c>
      <c r="G189" s="3">
        <f t="shared" si="125"/>
        <v>5.6418757759686938E-4</v>
      </c>
      <c r="H189" s="3">
        <f t="shared" si="125"/>
        <v>5.6418757759686938E-4</v>
      </c>
      <c r="I189" s="3">
        <f t="shared" si="125"/>
        <v>5.6418757759686938E-4</v>
      </c>
      <c r="J189" s="3">
        <f t="shared" si="125"/>
        <v>5.6418757759686938E-4</v>
      </c>
      <c r="K189" s="3">
        <f t="shared" si="125"/>
        <v>5.6418757759686938E-4</v>
      </c>
      <c r="L189" s="3">
        <f t="shared" si="125"/>
        <v>5.6418757759686938E-4</v>
      </c>
      <c r="M189" s="3">
        <f t="shared" si="125"/>
        <v>5.6418757759686938E-4</v>
      </c>
      <c r="N189" s="3">
        <f t="shared" si="125"/>
        <v>5.6418757759686938E-4</v>
      </c>
      <c r="O189" s="3">
        <f t="shared" si="125"/>
        <v>5.6418757759686938E-4</v>
      </c>
      <c r="P189" s="3">
        <f t="shared" si="125"/>
        <v>5.6418757759686938E-4</v>
      </c>
      <c r="Q189" s="3">
        <f t="shared" si="125"/>
        <v>5.6418757759686938E-4</v>
      </c>
      <c r="R189" s="3">
        <f t="shared" si="125"/>
        <v>5.6418757759686938E-4</v>
      </c>
      <c r="S189" s="3">
        <f t="shared" si="125"/>
        <v>5.6418757759686938E-4</v>
      </c>
      <c r="T189" s="3">
        <f t="shared" si="125"/>
        <v>5.6418757759686938E-4</v>
      </c>
      <c r="U189" s="3">
        <f t="shared" si="125"/>
        <v>5.6418757759686938E-4</v>
      </c>
      <c r="V189" s="3">
        <f t="shared" si="125"/>
        <v>5.6418757759686938E-4</v>
      </c>
      <c r="W189" s="3">
        <f t="shared" si="125"/>
        <v>5.6418757759686927E-4</v>
      </c>
      <c r="X189" s="3">
        <f t="shared" si="125"/>
        <v>5.6418757759686905E-4</v>
      </c>
      <c r="Y189" s="3">
        <f t="shared" si="125"/>
        <v>5.6418757759686591E-4</v>
      </c>
      <c r="Z189" s="3">
        <f t="shared" si="125"/>
        <v>5.6418757759683512E-4</v>
      </c>
      <c r="AA189" s="3">
        <f t="shared" si="125"/>
        <v>5.6418757759652688E-4</v>
      </c>
      <c r="AB189" s="3">
        <f t="shared" si="125"/>
        <v>5.6418757759344417E-4</v>
      </c>
      <c r="AC189" s="3">
        <f t="shared" si="125"/>
        <v>5.6418757756261661E-4</v>
      </c>
      <c r="AD189" s="3">
        <f t="shared" si="125"/>
        <v>5.6418757725434151E-4</v>
      </c>
      <c r="AE189" s="3">
        <f t="shared" si="125"/>
        <v>5.6418757417159109E-4</v>
      </c>
      <c r="AF189" s="3">
        <f t="shared" si="125"/>
        <v>5.6418754334408778E-4</v>
      </c>
      <c r="AG189" s="3"/>
      <c r="AH189" s="3"/>
    </row>
    <row r="190" spans="2:34" x14ac:dyDescent="0.25">
      <c r="B190" s="3">
        <f t="shared" ref="B190:AF190" si="126">$C37*EXP(-B$168/$A37/EXP(-$C$126))</f>
        <v>5.289794145093928E-4</v>
      </c>
      <c r="C190" s="3">
        <f t="shared" si="126"/>
        <v>5.289794145093928E-4</v>
      </c>
      <c r="D190" s="3">
        <f t="shared" si="126"/>
        <v>5.289794145093928E-4</v>
      </c>
      <c r="E190" s="3">
        <f t="shared" si="126"/>
        <v>5.289794145093928E-4</v>
      </c>
      <c r="F190" s="3">
        <f t="shared" si="126"/>
        <v>5.289794145093928E-4</v>
      </c>
      <c r="G190" s="3">
        <f t="shared" si="126"/>
        <v>5.289794145093928E-4</v>
      </c>
      <c r="H190" s="3">
        <f t="shared" si="126"/>
        <v>5.289794145093928E-4</v>
      </c>
      <c r="I190" s="3">
        <f t="shared" si="126"/>
        <v>5.289794145093928E-4</v>
      </c>
      <c r="J190" s="3">
        <f t="shared" si="126"/>
        <v>5.289794145093928E-4</v>
      </c>
      <c r="K190" s="3">
        <f t="shared" si="126"/>
        <v>5.289794145093928E-4</v>
      </c>
      <c r="L190" s="3">
        <f t="shared" si="126"/>
        <v>5.289794145093928E-4</v>
      </c>
      <c r="M190" s="3">
        <f t="shared" si="126"/>
        <v>5.289794145093928E-4</v>
      </c>
      <c r="N190" s="3">
        <f t="shared" si="126"/>
        <v>5.289794145093928E-4</v>
      </c>
      <c r="O190" s="3">
        <f t="shared" si="126"/>
        <v>5.289794145093928E-4</v>
      </c>
      <c r="P190" s="3">
        <f t="shared" si="126"/>
        <v>5.289794145093928E-4</v>
      </c>
      <c r="Q190" s="3">
        <f t="shared" si="126"/>
        <v>5.289794145093928E-4</v>
      </c>
      <c r="R190" s="3">
        <f t="shared" si="126"/>
        <v>5.289794145093928E-4</v>
      </c>
      <c r="S190" s="3">
        <f t="shared" si="126"/>
        <v>5.289794145093928E-4</v>
      </c>
      <c r="T190" s="3">
        <f t="shared" si="126"/>
        <v>5.289794145093928E-4</v>
      </c>
      <c r="U190" s="3">
        <f t="shared" si="126"/>
        <v>5.289794145093928E-4</v>
      </c>
      <c r="V190" s="3">
        <f t="shared" si="126"/>
        <v>5.289794145093928E-4</v>
      </c>
      <c r="W190" s="3">
        <f t="shared" si="126"/>
        <v>5.289794145093928E-4</v>
      </c>
      <c r="X190" s="3">
        <f t="shared" si="126"/>
        <v>5.289794145093928E-4</v>
      </c>
      <c r="Y190" s="3">
        <f t="shared" si="126"/>
        <v>5.2897941450939247E-4</v>
      </c>
      <c r="Z190" s="3">
        <f t="shared" si="126"/>
        <v>5.2897941450938987E-4</v>
      </c>
      <c r="AA190" s="3">
        <f t="shared" si="126"/>
        <v>5.2897941450936385E-4</v>
      </c>
      <c r="AB190" s="3">
        <f t="shared" si="126"/>
        <v>5.289794145091031E-4</v>
      </c>
      <c r="AC190" s="3">
        <f t="shared" si="126"/>
        <v>5.289794145064957E-4</v>
      </c>
      <c r="AD190" s="3">
        <f t="shared" si="126"/>
        <v>5.2897941448042216E-4</v>
      </c>
      <c r="AE190" s="3">
        <f t="shared" si="126"/>
        <v>5.2897941421968661E-4</v>
      </c>
      <c r="AF190" s="3">
        <f t="shared" si="126"/>
        <v>5.2897941161233141E-4</v>
      </c>
      <c r="AG190" s="3"/>
      <c r="AH190" s="3"/>
    </row>
    <row r="191" spans="2:34" x14ac:dyDescent="0.25">
      <c r="B191" s="3">
        <f t="shared" ref="B191:AF191" si="127">$C38*EXP(-B$168/$A38/EXP(-$C$126))</f>
        <v>5.3547450135887617E-5</v>
      </c>
      <c r="C191" s="3">
        <f t="shared" si="127"/>
        <v>5.3547450135887617E-5</v>
      </c>
      <c r="D191" s="3">
        <f t="shared" si="127"/>
        <v>5.3547450135887617E-5</v>
      </c>
      <c r="E191" s="3">
        <f t="shared" si="127"/>
        <v>5.3547450135887617E-5</v>
      </c>
      <c r="F191" s="3">
        <f t="shared" si="127"/>
        <v>5.3547450135887617E-5</v>
      </c>
      <c r="G191" s="3">
        <f t="shared" si="127"/>
        <v>5.3547450135887617E-5</v>
      </c>
      <c r="H191" s="3">
        <f t="shared" si="127"/>
        <v>5.3547450135887617E-5</v>
      </c>
      <c r="I191" s="3">
        <f t="shared" si="127"/>
        <v>5.3547450135887617E-5</v>
      </c>
      <c r="J191" s="3">
        <f t="shared" si="127"/>
        <v>5.3547450135887617E-5</v>
      </c>
      <c r="K191" s="3">
        <f t="shared" si="127"/>
        <v>5.3547450135887617E-5</v>
      </c>
      <c r="L191" s="3">
        <f t="shared" si="127"/>
        <v>5.3547450135887617E-5</v>
      </c>
      <c r="M191" s="3">
        <f t="shared" si="127"/>
        <v>5.3547450135887617E-5</v>
      </c>
      <c r="N191" s="3">
        <f t="shared" si="127"/>
        <v>5.3547450135887617E-5</v>
      </c>
      <c r="O191" s="3">
        <f t="shared" si="127"/>
        <v>5.3547450135887617E-5</v>
      </c>
      <c r="P191" s="3">
        <f t="shared" si="127"/>
        <v>5.3547450135887617E-5</v>
      </c>
      <c r="Q191" s="3">
        <f t="shared" si="127"/>
        <v>5.3547450135887617E-5</v>
      </c>
      <c r="R191" s="3">
        <f t="shared" si="127"/>
        <v>5.3547450135887617E-5</v>
      </c>
      <c r="S191" s="3">
        <f t="shared" si="127"/>
        <v>5.3547450135887617E-5</v>
      </c>
      <c r="T191" s="3">
        <f t="shared" si="127"/>
        <v>5.3547450135887617E-5</v>
      </c>
      <c r="U191" s="3">
        <f t="shared" si="127"/>
        <v>5.3547450135887617E-5</v>
      </c>
      <c r="V191" s="3">
        <f t="shared" si="127"/>
        <v>5.3547450135887617E-5</v>
      </c>
      <c r="W191" s="3">
        <f t="shared" si="127"/>
        <v>5.3547450135887617E-5</v>
      </c>
      <c r="X191" s="3">
        <f t="shared" si="127"/>
        <v>5.3547450135887617E-5</v>
      </c>
      <c r="Y191" s="3">
        <f t="shared" si="127"/>
        <v>5.3547450135887617E-5</v>
      </c>
      <c r="Z191" s="3">
        <f t="shared" si="127"/>
        <v>5.354745013588759E-5</v>
      </c>
      <c r="AA191" s="3">
        <f t="shared" si="127"/>
        <v>5.3547450135887353E-5</v>
      </c>
      <c r="AB191" s="3">
        <f t="shared" si="127"/>
        <v>5.3547450135884974E-5</v>
      </c>
      <c r="AC191" s="3">
        <f t="shared" si="127"/>
        <v>5.3547450135861163E-5</v>
      </c>
      <c r="AD191" s="3">
        <f t="shared" si="127"/>
        <v>5.3547450135623065E-5</v>
      </c>
      <c r="AE191" s="3">
        <f t="shared" si="127"/>
        <v>5.3547450133242137E-5</v>
      </c>
      <c r="AF191" s="3">
        <f t="shared" si="127"/>
        <v>5.3547450109432827E-5</v>
      </c>
      <c r="AG191" s="3"/>
      <c r="AH191" s="3"/>
    </row>
    <row r="192" spans="2:34" x14ac:dyDescent="0.25">
      <c r="B192" s="3">
        <f t="shared" ref="B192:AF192" si="128">$C39*EXP(-B$168/$A39/EXP(-$C$126))</f>
        <v>4.4495454548071421E-4</v>
      </c>
      <c r="C192" s="3">
        <f t="shared" si="128"/>
        <v>4.4495454548071421E-4</v>
      </c>
      <c r="D192" s="3">
        <f t="shared" si="128"/>
        <v>4.4495454548071421E-4</v>
      </c>
      <c r="E192" s="3">
        <f t="shared" si="128"/>
        <v>4.4495454548071421E-4</v>
      </c>
      <c r="F192" s="3">
        <f t="shared" si="128"/>
        <v>4.4495454548071421E-4</v>
      </c>
      <c r="G192" s="3">
        <f t="shared" si="128"/>
        <v>4.4495454548071421E-4</v>
      </c>
      <c r="H192" s="3">
        <f t="shared" si="128"/>
        <v>4.4495454548071421E-4</v>
      </c>
      <c r="I192" s="3">
        <f t="shared" si="128"/>
        <v>4.4495454548071421E-4</v>
      </c>
      <c r="J192" s="3">
        <f t="shared" si="128"/>
        <v>4.4495454548071421E-4</v>
      </c>
      <c r="K192" s="3">
        <f t="shared" si="128"/>
        <v>4.4495454548071421E-4</v>
      </c>
      <c r="L192" s="3">
        <f t="shared" si="128"/>
        <v>4.4495454548071421E-4</v>
      </c>
      <c r="M192" s="3">
        <f t="shared" si="128"/>
        <v>4.4495454548071421E-4</v>
      </c>
      <c r="N192" s="3">
        <f t="shared" si="128"/>
        <v>4.4495454548071421E-4</v>
      </c>
      <c r="O192" s="3">
        <f t="shared" si="128"/>
        <v>4.4495454548071421E-4</v>
      </c>
      <c r="P192" s="3">
        <f t="shared" si="128"/>
        <v>4.4495454548071421E-4</v>
      </c>
      <c r="Q192" s="3">
        <f t="shared" si="128"/>
        <v>4.4495454548071421E-4</v>
      </c>
      <c r="R192" s="3">
        <f t="shared" si="128"/>
        <v>4.4495454548071421E-4</v>
      </c>
      <c r="S192" s="3">
        <f t="shared" si="128"/>
        <v>4.4495454548071421E-4</v>
      </c>
      <c r="T192" s="3">
        <f t="shared" si="128"/>
        <v>4.4495454548071421E-4</v>
      </c>
      <c r="U192" s="3">
        <f t="shared" si="128"/>
        <v>4.4495454548071421E-4</v>
      </c>
      <c r="V192" s="3">
        <f t="shared" si="128"/>
        <v>4.4495454548071421E-4</v>
      </c>
      <c r="W192" s="3">
        <f t="shared" si="128"/>
        <v>4.4495454548071421E-4</v>
      </c>
      <c r="X192" s="3">
        <f t="shared" si="128"/>
        <v>4.4495454548071421E-4</v>
      </c>
      <c r="Y192" s="3">
        <f t="shared" si="128"/>
        <v>4.4495454548071421E-4</v>
      </c>
      <c r="Z192" s="3">
        <f t="shared" si="128"/>
        <v>4.4495454548071416E-4</v>
      </c>
      <c r="AA192" s="3">
        <f t="shared" si="128"/>
        <v>4.4495454548071361E-4</v>
      </c>
      <c r="AB192" s="3">
        <f t="shared" si="128"/>
        <v>4.4495454548070814E-4</v>
      </c>
      <c r="AC192" s="3">
        <f t="shared" si="128"/>
        <v>4.4495454548065339E-4</v>
      </c>
      <c r="AD192" s="3">
        <f t="shared" si="128"/>
        <v>4.4495454548010624E-4</v>
      </c>
      <c r="AE192" s="3">
        <f t="shared" si="128"/>
        <v>4.4495454547463433E-4</v>
      </c>
      <c r="AF192" s="3">
        <f t="shared" si="128"/>
        <v>4.4495454541991557E-4</v>
      </c>
      <c r="AG192" s="3"/>
      <c r="AH192" s="3"/>
    </row>
    <row r="193" spans="1:34" x14ac:dyDescent="0.25">
      <c r="B193" s="3">
        <f t="shared" ref="B193:AF193" si="129">$C40*EXP(-B$168/$A40/EXP(-$C$126))</f>
        <v>1.5289773047840316E-5</v>
      </c>
      <c r="C193" s="3">
        <f t="shared" si="129"/>
        <v>1.5289773047840316E-5</v>
      </c>
      <c r="D193" s="3">
        <f t="shared" si="129"/>
        <v>1.5289773047840316E-5</v>
      </c>
      <c r="E193" s="3">
        <f t="shared" si="129"/>
        <v>1.5289773047840316E-5</v>
      </c>
      <c r="F193" s="3">
        <f t="shared" si="129"/>
        <v>1.5289773047840316E-5</v>
      </c>
      <c r="G193" s="3">
        <f t="shared" si="129"/>
        <v>1.5289773047840316E-5</v>
      </c>
      <c r="H193" s="3">
        <f t="shared" si="129"/>
        <v>1.5289773047840316E-5</v>
      </c>
      <c r="I193" s="3">
        <f t="shared" si="129"/>
        <v>1.5289773047840316E-5</v>
      </c>
      <c r="J193" s="3">
        <f t="shared" si="129"/>
        <v>1.5289773047840316E-5</v>
      </c>
      <c r="K193" s="3">
        <f t="shared" si="129"/>
        <v>1.5289773047840316E-5</v>
      </c>
      <c r="L193" s="3">
        <f t="shared" si="129"/>
        <v>1.5289773047840316E-5</v>
      </c>
      <c r="M193" s="3">
        <f t="shared" si="129"/>
        <v>1.5289773047840316E-5</v>
      </c>
      <c r="N193" s="3">
        <f t="shared" si="129"/>
        <v>1.5289773047840316E-5</v>
      </c>
      <c r="O193" s="3">
        <f t="shared" si="129"/>
        <v>1.5289773047840316E-5</v>
      </c>
      <c r="P193" s="3">
        <f t="shared" si="129"/>
        <v>1.5289773047840316E-5</v>
      </c>
      <c r="Q193" s="3">
        <f t="shared" si="129"/>
        <v>1.5289773047840316E-5</v>
      </c>
      <c r="R193" s="3">
        <f t="shared" si="129"/>
        <v>1.5289773047840316E-5</v>
      </c>
      <c r="S193" s="3">
        <f t="shared" si="129"/>
        <v>1.5289773047840316E-5</v>
      </c>
      <c r="T193" s="3">
        <f t="shared" si="129"/>
        <v>1.5289773047840316E-5</v>
      </c>
      <c r="U193" s="3">
        <f t="shared" si="129"/>
        <v>1.5289773047840316E-5</v>
      </c>
      <c r="V193" s="3">
        <f t="shared" si="129"/>
        <v>1.5289773047840316E-5</v>
      </c>
      <c r="W193" s="3">
        <f t="shared" si="129"/>
        <v>1.5289773047840316E-5</v>
      </c>
      <c r="X193" s="3">
        <f t="shared" si="129"/>
        <v>1.5289773047840316E-5</v>
      </c>
      <c r="Y193" s="3">
        <f t="shared" si="129"/>
        <v>1.5289773047840316E-5</v>
      </c>
      <c r="Z193" s="3">
        <f t="shared" si="129"/>
        <v>1.5289773047840316E-5</v>
      </c>
      <c r="AA193" s="3">
        <f t="shared" si="129"/>
        <v>1.5289773047840312E-5</v>
      </c>
      <c r="AB193" s="3">
        <f t="shared" si="129"/>
        <v>1.5289773047840296E-5</v>
      </c>
      <c r="AC193" s="3">
        <f t="shared" si="129"/>
        <v>1.5289773047840106E-5</v>
      </c>
      <c r="AD193" s="3">
        <f t="shared" si="129"/>
        <v>1.5289773047838225E-5</v>
      </c>
      <c r="AE193" s="3">
        <f t="shared" si="129"/>
        <v>1.5289773047819425E-5</v>
      </c>
      <c r="AF193" s="3">
        <f t="shared" si="129"/>
        <v>1.5289773047631397E-5</v>
      </c>
      <c r="AG193" s="3"/>
      <c r="AH193" s="3"/>
    </row>
    <row r="194" spans="1:34" x14ac:dyDescent="0.25">
      <c r="B194" s="3">
        <f t="shared" ref="B194:AF194" si="130">$C41*EXP(-B$168/$A41/EXP(-$C$126))</f>
        <v>2.5082649304706281E-4</v>
      </c>
      <c r="C194" s="3">
        <f t="shared" si="130"/>
        <v>2.5082649304706281E-4</v>
      </c>
      <c r="D194" s="3">
        <f t="shared" si="130"/>
        <v>2.5082649304706281E-4</v>
      </c>
      <c r="E194" s="3">
        <f t="shared" si="130"/>
        <v>2.5082649304706281E-4</v>
      </c>
      <c r="F194" s="3">
        <f t="shared" si="130"/>
        <v>2.5082649304706281E-4</v>
      </c>
      <c r="G194" s="3">
        <f t="shared" si="130"/>
        <v>2.5082649304706281E-4</v>
      </c>
      <c r="H194" s="3">
        <f t="shared" si="130"/>
        <v>2.5082649304706281E-4</v>
      </c>
      <c r="I194" s="3">
        <f t="shared" si="130"/>
        <v>2.5082649304706281E-4</v>
      </c>
      <c r="J194" s="3">
        <f t="shared" si="130"/>
        <v>2.5082649304706281E-4</v>
      </c>
      <c r="K194" s="3">
        <f t="shared" si="130"/>
        <v>2.5082649304706281E-4</v>
      </c>
      <c r="L194" s="3">
        <f t="shared" si="130"/>
        <v>2.5082649304706281E-4</v>
      </c>
      <c r="M194" s="3">
        <f t="shared" si="130"/>
        <v>2.5082649304706281E-4</v>
      </c>
      <c r="N194" s="3">
        <f t="shared" si="130"/>
        <v>2.5082649304706281E-4</v>
      </c>
      <c r="O194" s="3">
        <f t="shared" si="130"/>
        <v>2.5082649304706281E-4</v>
      </c>
      <c r="P194" s="3">
        <f t="shared" si="130"/>
        <v>2.5082649304706281E-4</v>
      </c>
      <c r="Q194" s="3">
        <f t="shared" si="130"/>
        <v>2.5082649304706281E-4</v>
      </c>
      <c r="R194" s="3">
        <f t="shared" si="130"/>
        <v>2.5082649304706281E-4</v>
      </c>
      <c r="S194" s="3">
        <f t="shared" si="130"/>
        <v>2.5082649304706281E-4</v>
      </c>
      <c r="T194" s="3">
        <f t="shared" si="130"/>
        <v>2.5082649304706281E-4</v>
      </c>
      <c r="U194" s="3">
        <f t="shared" si="130"/>
        <v>2.5082649304706281E-4</v>
      </c>
      <c r="V194" s="3">
        <f t="shared" si="130"/>
        <v>2.5082649304706281E-4</v>
      </c>
      <c r="W194" s="3">
        <f t="shared" si="130"/>
        <v>2.5082649304706281E-4</v>
      </c>
      <c r="X194" s="3">
        <f t="shared" si="130"/>
        <v>2.5082649304706281E-4</v>
      </c>
      <c r="Y194" s="3">
        <f t="shared" si="130"/>
        <v>2.5082649304706281E-4</v>
      </c>
      <c r="Z194" s="3">
        <f t="shared" si="130"/>
        <v>2.5082649304706281E-4</v>
      </c>
      <c r="AA194" s="3">
        <f t="shared" si="130"/>
        <v>2.5082649304706281E-4</v>
      </c>
      <c r="AB194" s="3">
        <f t="shared" si="130"/>
        <v>2.5082649304706276E-4</v>
      </c>
      <c r="AC194" s="3">
        <f t="shared" si="130"/>
        <v>2.5082649304706249E-4</v>
      </c>
      <c r="AD194" s="3">
        <f t="shared" si="130"/>
        <v>2.508264930470594E-4</v>
      </c>
      <c r="AE194" s="3">
        <f t="shared" si="130"/>
        <v>2.5082649304702855E-4</v>
      </c>
      <c r="AF194" s="3">
        <f t="shared" si="130"/>
        <v>2.508264930467201E-4</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5.6673676320409674E-5</v>
      </c>
      <c r="C196" s="3">
        <f t="shared" si="132"/>
        <v>5.6673676320409674E-5</v>
      </c>
      <c r="D196" s="3">
        <f t="shared" si="132"/>
        <v>5.6673676320409674E-5</v>
      </c>
      <c r="E196" s="3">
        <f t="shared" si="132"/>
        <v>5.6673676320409674E-5</v>
      </c>
      <c r="F196" s="3">
        <f t="shared" si="132"/>
        <v>5.6673676320409674E-5</v>
      </c>
      <c r="G196" s="3">
        <f t="shared" si="132"/>
        <v>5.6673676320409674E-5</v>
      </c>
      <c r="H196" s="3">
        <f t="shared" si="132"/>
        <v>5.6673676320409674E-5</v>
      </c>
      <c r="I196" s="3">
        <f t="shared" si="132"/>
        <v>5.6673676320409674E-5</v>
      </c>
      <c r="J196" s="3">
        <f t="shared" si="132"/>
        <v>5.6673676320409674E-5</v>
      </c>
      <c r="K196" s="3">
        <f t="shared" si="132"/>
        <v>5.6673676320409674E-5</v>
      </c>
      <c r="L196" s="3">
        <f t="shared" si="132"/>
        <v>5.6673676320409674E-5</v>
      </c>
      <c r="M196" s="3">
        <f t="shared" si="132"/>
        <v>5.6673676320409674E-5</v>
      </c>
      <c r="N196" s="3">
        <f t="shared" si="132"/>
        <v>5.6673676320409674E-5</v>
      </c>
      <c r="O196" s="3">
        <f t="shared" si="132"/>
        <v>5.6673676320409674E-5</v>
      </c>
      <c r="P196" s="3">
        <f t="shared" si="132"/>
        <v>5.6673676320409674E-5</v>
      </c>
      <c r="Q196" s="3">
        <f t="shared" si="132"/>
        <v>5.6673676320409674E-5</v>
      </c>
      <c r="R196" s="3">
        <f t="shared" si="132"/>
        <v>5.6673676320409674E-5</v>
      </c>
      <c r="S196" s="3">
        <f t="shared" si="132"/>
        <v>5.6673676320409674E-5</v>
      </c>
      <c r="T196" s="3">
        <f t="shared" si="132"/>
        <v>5.6673676320409674E-5</v>
      </c>
      <c r="U196" s="3">
        <f t="shared" si="132"/>
        <v>5.6673676320409674E-5</v>
      </c>
      <c r="V196" s="3">
        <f t="shared" si="132"/>
        <v>5.6673676320409674E-5</v>
      </c>
      <c r="W196" s="3">
        <f t="shared" si="132"/>
        <v>5.6673676320409674E-5</v>
      </c>
      <c r="X196" s="3">
        <f t="shared" si="132"/>
        <v>5.6673676320409674E-5</v>
      </c>
      <c r="Y196" s="3">
        <f t="shared" si="132"/>
        <v>5.6673676320409674E-5</v>
      </c>
      <c r="Z196" s="3">
        <f t="shared" si="132"/>
        <v>5.6673676320409674E-5</v>
      </c>
      <c r="AA196" s="3">
        <f t="shared" si="132"/>
        <v>5.6673676320409674E-5</v>
      </c>
      <c r="AB196" s="3">
        <f t="shared" si="132"/>
        <v>5.6673676320409674E-5</v>
      </c>
      <c r="AC196" s="3">
        <f t="shared" si="132"/>
        <v>5.6673676320409674E-5</v>
      </c>
      <c r="AD196" s="3">
        <f t="shared" si="132"/>
        <v>5.6673676320409667E-5</v>
      </c>
      <c r="AE196" s="3">
        <f t="shared" si="132"/>
        <v>5.6673676320409599E-5</v>
      </c>
      <c r="AF196" s="3">
        <f t="shared" si="132"/>
        <v>5.6673676320408901E-5</v>
      </c>
      <c r="AG196" s="3"/>
      <c r="AH196" s="3"/>
    </row>
    <row r="197" spans="1:34" x14ac:dyDescent="0.25">
      <c r="B197" s="3">
        <f t="shared" ref="B197:AF197" si="133">$C44*EXP(-B$168/$A44/EXP(-$C$126))</f>
        <v>1.228688753482083E-4</v>
      </c>
      <c r="C197" s="3">
        <f t="shared" si="133"/>
        <v>1.228688753482083E-4</v>
      </c>
      <c r="D197" s="3">
        <f t="shared" si="133"/>
        <v>1.228688753482083E-4</v>
      </c>
      <c r="E197" s="3">
        <f t="shared" si="133"/>
        <v>1.228688753482083E-4</v>
      </c>
      <c r="F197" s="3">
        <f t="shared" si="133"/>
        <v>1.228688753482083E-4</v>
      </c>
      <c r="G197" s="3">
        <f t="shared" si="133"/>
        <v>1.228688753482083E-4</v>
      </c>
      <c r="H197" s="3">
        <f t="shared" si="133"/>
        <v>1.228688753482083E-4</v>
      </c>
      <c r="I197" s="3">
        <f t="shared" si="133"/>
        <v>1.228688753482083E-4</v>
      </c>
      <c r="J197" s="3">
        <f t="shared" si="133"/>
        <v>1.228688753482083E-4</v>
      </c>
      <c r="K197" s="3">
        <f t="shared" si="133"/>
        <v>1.228688753482083E-4</v>
      </c>
      <c r="L197" s="3">
        <f t="shared" si="133"/>
        <v>1.228688753482083E-4</v>
      </c>
      <c r="M197" s="3">
        <f t="shared" si="133"/>
        <v>1.228688753482083E-4</v>
      </c>
      <c r="N197" s="3">
        <f t="shared" si="133"/>
        <v>1.228688753482083E-4</v>
      </c>
      <c r="O197" s="3">
        <f t="shared" si="133"/>
        <v>1.228688753482083E-4</v>
      </c>
      <c r="P197" s="3">
        <f t="shared" si="133"/>
        <v>1.228688753482083E-4</v>
      </c>
      <c r="Q197" s="3">
        <f t="shared" si="133"/>
        <v>1.228688753482083E-4</v>
      </c>
      <c r="R197" s="3">
        <f t="shared" si="133"/>
        <v>1.228688753482083E-4</v>
      </c>
      <c r="S197" s="3">
        <f t="shared" si="133"/>
        <v>1.228688753482083E-4</v>
      </c>
      <c r="T197" s="3">
        <f t="shared" si="133"/>
        <v>1.228688753482083E-4</v>
      </c>
      <c r="U197" s="3">
        <f t="shared" si="133"/>
        <v>1.228688753482083E-4</v>
      </c>
      <c r="V197" s="3">
        <f t="shared" si="133"/>
        <v>1.228688753482083E-4</v>
      </c>
      <c r="W197" s="3">
        <f t="shared" si="133"/>
        <v>1.228688753482083E-4</v>
      </c>
      <c r="X197" s="3">
        <f t="shared" si="133"/>
        <v>1.228688753482083E-4</v>
      </c>
      <c r="Y197" s="3">
        <f t="shared" si="133"/>
        <v>1.228688753482083E-4</v>
      </c>
      <c r="Z197" s="3">
        <f t="shared" si="133"/>
        <v>1.228688753482083E-4</v>
      </c>
      <c r="AA197" s="3">
        <f t="shared" si="133"/>
        <v>1.228688753482083E-4</v>
      </c>
      <c r="AB197" s="3">
        <f t="shared" si="133"/>
        <v>1.228688753482083E-4</v>
      </c>
      <c r="AC197" s="3">
        <f t="shared" si="133"/>
        <v>1.228688753482083E-4</v>
      </c>
      <c r="AD197" s="3">
        <f t="shared" si="133"/>
        <v>1.228688753482083E-4</v>
      </c>
      <c r="AE197" s="3">
        <f t="shared" si="133"/>
        <v>1.2286887534820827E-4</v>
      </c>
      <c r="AF197" s="3">
        <f t="shared" si="133"/>
        <v>1.2286887534820813E-4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1.663721654170598E-4</v>
      </c>
      <c r="C201" s="3">
        <f t="shared" si="137"/>
        <v>1.663721654170598E-4</v>
      </c>
      <c r="D201" s="3">
        <f t="shared" si="137"/>
        <v>1.663721654170598E-4</v>
      </c>
      <c r="E201" s="3">
        <f t="shared" si="137"/>
        <v>1.663721654170598E-4</v>
      </c>
      <c r="F201" s="3">
        <f t="shared" si="137"/>
        <v>1.663721654170598E-4</v>
      </c>
      <c r="G201" s="3">
        <f t="shared" si="137"/>
        <v>1.663721654170598E-4</v>
      </c>
      <c r="H201" s="3">
        <f t="shared" si="137"/>
        <v>1.663721654170598E-4</v>
      </c>
      <c r="I201" s="3">
        <f t="shared" si="137"/>
        <v>1.663721654170598E-4</v>
      </c>
      <c r="J201" s="3">
        <f t="shared" si="137"/>
        <v>1.663721654170598E-4</v>
      </c>
      <c r="K201" s="3">
        <f t="shared" si="137"/>
        <v>1.663721654170598E-4</v>
      </c>
      <c r="L201" s="3">
        <f t="shared" si="137"/>
        <v>1.663721654170598E-4</v>
      </c>
      <c r="M201" s="3">
        <f t="shared" si="137"/>
        <v>1.663721654170598E-4</v>
      </c>
      <c r="N201" s="3">
        <f t="shared" si="137"/>
        <v>1.663721654170598E-4</v>
      </c>
      <c r="O201" s="3">
        <f t="shared" si="137"/>
        <v>1.663721654170598E-4</v>
      </c>
      <c r="P201" s="3">
        <f t="shared" si="137"/>
        <v>1.663721654170598E-4</v>
      </c>
      <c r="Q201" s="3">
        <f t="shared" si="137"/>
        <v>1.663721654170598E-4</v>
      </c>
      <c r="R201" s="3">
        <f t="shared" si="137"/>
        <v>1.663721654170598E-4</v>
      </c>
      <c r="S201" s="3">
        <f t="shared" si="137"/>
        <v>1.663721654170598E-4</v>
      </c>
      <c r="T201" s="3">
        <f t="shared" si="137"/>
        <v>1.663721654170598E-4</v>
      </c>
      <c r="U201" s="3">
        <f t="shared" si="137"/>
        <v>1.663721654170598E-4</v>
      </c>
      <c r="V201" s="3">
        <f t="shared" si="137"/>
        <v>1.663721654170598E-4</v>
      </c>
      <c r="W201" s="3">
        <f t="shared" si="137"/>
        <v>1.663721654170598E-4</v>
      </c>
      <c r="X201" s="3">
        <f t="shared" si="137"/>
        <v>1.663721654170598E-4</v>
      </c>
      <c r="Y201" s="3">
        <f t="shared" si="137"/>
        <v>1.663721654170598E-4</v>
      </c>
      <c r="Z201" s="3">
        <f t="shared" si="137"/>
        <v>1.663721654170598E-4</v>
      </c>
      <c r="AA201" s="3">
        <f t="shared" si="137"/>
        <v>1.663721654170598E-4</v>
      </c>
      <c r="AB201" s="3">
        <f t="shared" si="137"/>
        <v>1.663721654170598E-4</v>
      </c>
      <c r="AC201" s="3">
        <f t="shared" si="137"/>
        <v>1.663721654170598E-4</v>
      </c>
      <c r="AD201" s="3">
        <f t="shared" si="137"/>
        <v>1.663721654170598E-4</v>
      </c>
      <c r="AE201" s="3">
        <f t="shared" si="137"/>
        <v>1.663721654170598E-4</v>
      </c>
      <c r="AF201" s="3">
        <f t="shared" si="137"/>
        <v>1.663721654170598E-4</v>
      </c>
      <c r="AG201" s="3"/>
      <c r="AH201" s="3"/>
    </row>
    <row r="202" spans="1:34" x14ac:dyDescent="0.25">
      <c r="A202" s="79">
        <f>AVERAGE(B202:AF202)</f>
        <v>6.2519615687146479E-2</v>
      </c>
      <c r="B202" s="80">
        <f>IF($A$64&lt;=B168,IF($B$64&gt;=B168,ABS((B170-B169)/B169),0),0)</f>
        <v>3.0002675085325616E-3</v>
      </c>
      <c r="C202" s="80">
        <f t="shared" ref="C202:AF202" si="138">IF($A$64&lt;=C168,IF($B$64&gt;=C168,ABS((C170-C169)/C169),0),0)</f>
        <v>3.0086034346007585E-3</v>
      </c>
      <c r="D202" s="80">
        <f t="shared" si="138"/>
        <v>3.0034773634303184E-3</v>
      </c>
      <c r="E202" s="80">
        <f t="shared" si="138"/>
        <v>3.0019600594749039E-3</v>
      </c>
      <c r="F202" s="80">
        <f t="shared" si="138"/>
        <v>3.0014830038339823E-3</v>
      </c>
      <c r="G202" s="80">
        <f t="shared" si="138"/>
        <v>3.0013240486657447E-3</v>
      </c>
      <c r="H202" s="80">
        <f t="shared" si="138"/>
        <v>3.0012853669233249E-3</v>
      </c>
      <c r="I202" s="80">
        <f t="shared" si="138"/>
        <v>3.0014130206866196E-3</v>
      </c>
      <c r="J202" s="80">
        <f t="shared" si="138"/>
        <v>3.0027268297652052E-3</v>
      </c>
      <c r="K202" s="80">
        <f t="shared" si="138"/>
        <v>3.0162330839760068E-3</v>
      </c>
      <c r="L202" s="80">
        <f t="shared" si="138"/>
        <v>3.1512266586119909E-3</v>
      </c>
      <c r="M202" s="80">
        <f t="shared" si="138"/>
        <v>4.49180223317834E-3</v>
      </c>
      <c r="N202" s="80">
        <f t="shared" si="138"/>
        <v>1.7028585444014071E-2</v>
      </c>
      <c r="O202" s="80">
        <f t="shared" si="138"/>
        <v>8.4808626256521844E-2</v>
      </c>
      <c r="P202" s="80">
        <f t="shared" si="138"/>
        <v>0.11247457956293529</v>
      </c>
      <c r="Q202" s="80">
        <f t="shared" si="138"/>
        <v>0.10920316535438478</v>
      </c>
      <c r="R202" s="80">
        <f t="shared" si="138"/>
        <v>9.1666318924282328E-2</v>
      </c>
      <c r="S202" s="80">
        <f t="shared" si="138"/>
        <v>6.9967858011077425E-2</v>
      </c>
      <c r="T202" s="80">
        <f t="shared" si="138"/>
        <v>4.2219137055823482E-2</v>
      </c>
      <c r="U202" s="80">
        <f t="shared" si="138"/>
        <v>5.3555061522618354E-3</v>
      </c>
      <c r="V202" s="80">
        <f t="shared" si="138"/>
        <v>1.6668142942640667E-2</v>
      </c>
      <c r="W202" s="80">
        <f t="shared" si="138"/>
        <v>6.9115103829753416E-2</v>
      </c>
      <c r="X202" s="80">
        <f t="shared" si="138"/>
        <v>0.10921153590960306</v>
      </c>
      <c r="Y202" s="80">
        <f t="shared" si="138"/>
        <v>0.13728040617269924</v>
      </c>
      <c r="Z202" s="80">
        <f t="shared" si="138"/>
        <v>0.14908235647456378</v>
      </c>
      <c r="AA202" s="80">
        <f t="shared" si="138"/>
        <v>0.13976774805007755</v>
      </c>
      <c r="AB202" s="80">
        <f t="shared" si="138"/>
        <v>9.5209162206751796E-2</v>
      </c>
      <c r="AC202" s="80">
        <f t="shared" si="138"/>
        <v>2.9571675419954872E-2</v>
      </c>
      <c r="AD202" s="80">
        <f t="shared" si="138"/>
        <v>7.4224130461925608E-2</v>
      </c>
      <c r="AE202" s="80">
        <f t="shared" si="138"/>
        <v>0.22817675783403588</v>
      </c>
      <c r="AF202" s="80">
        <f t="shared" si="138"/>
        <v>0.31939548762655401</v>
      </c>
    </row>
    <row r="203" spans="1:34" x14ac:dyDescent="0.25">
      <c r="B203" s="21">
        <f>(B170-B169)^2</f>
        <v>385.45179042368994</v>
      </c>
      <c r="C203" s="21">
        <f t="shared" ref="C203:AF203" si="139">(C170-C169)^2</f>
        <v>387.60312148538998</v>
      </c>
      <c r="D203" s="21">
        <f t="shared" si="139"/>
        <v>386.27947487010152</v>
      </c>
      <c r="E203" s="21">
        <f t="shared" si="139"/>
        <v>385.88811569609635</v>
      </c>
      <c r="F203" s="21">
        <f t="shared" si="139"/>
        <v>385.76510956218857</v>
      </c>
      <c r="G203" s="21">
        <f t="shared" si="139"/>
        <v>385.72412723009205</v>
      </c>
      <c r="H203" s="21">
        <f t="shared" si="139"/>
        <v>385.7141443106068</v>
      </c>
      <c r="I203" s="21">
        <f t="shared" si="139"/>
        <v>385.7469504219784</v>
      </c>
      <c r="J203" s="21">
        <f t="shared" si="139"/>
        <v>386.08470162893013</v>
      </c>
      <c r="K203" s="21">
        <f t="shared" si="139"/>
        <v>389.56572509923649</v>
      </c>
      <c r="L203" s="21">
        <f t="shared" si="139"/>
        <v>425.21660122482172</v>
      </c>
      <c r="M203" s="21">
        <f t="shared" si="139"/>
        <v>863.95638345353075</v>
      </c>
      <c r="N203" s="21">
        <f t="shared" si="139"/>
        <v>12416.643593115654</v>
      </c>
      <c r="O203" s="21">
        <f t="shared" si="139"/>
        <v>307958.51669049734</v>
      </c>
      <c r="P203" s="21">
        <f t="shared" si="139"/>
        <v>541220.76820351079</v>
      </c>
      <c r="Q203" s="21">
        <f t="shared" si="139"/>
        <v>506451.79821330967</v>
      </c>
      <c r="R203" s="21">
        <f t="shared" si="139"/>
        <v>343187.88616211875</v>
      </c>
      <c r="S203" s="21">
        <f t="shared" si="139"/>
        <v>190628.07602140048</v>
      </c>
      <c r="T203" s="21">
        <f t="shared" si="139"/>
        <v>65122.176556148479</v>
      </c>
      <c r="U203" s="21">
        <f t="shared" si="139"/>
        <v>931.19865651045313</v>
      </c>
      <c r="V203" s="21">
        <f t="shared" si="139"/>
        <v>7576.6195817385824</v>
      </c>
      <c r="W203" s="21">
        <f t="shared" si="139"/>
        <v>107381.01101942419</v>
      </c>
      <c r="X203" s="21">
        <f t="shared" si="139"/>
        <v>221680.48128953236</v>
      </c>
      <c r="Y203" s="21">
        <f t="shared" si="139"/>
        <v>294379.78040463105</v>
      </c>
      <c r="Z203" s="21">
        <f t="shared" si="139"/>
        <v>294352.99509362358</v>
      </c>
      <c r="AA203" s="21">
        <f t="shared" si="139"/>
        <v>218538.94747995411</v>
      </c>
      <c r="AB203" s="21">
        <f t="shared" si="139"/>
        <v>83443.450023550991</v>
      </c>
      <c r="AC203" s="21">
        <f t="shared" si="139"/>
        <v>6157.5787589951105</v>
      </c>
      <c r="AD203" s="21">
        <f t="shared" si="139"/>
        <v>26745.605486719622</v>
      </c>
      <c r="AE203" s="21">
        <f t="shared" si="139"/>
        <v>147552.98890501083</v>
      </c>
      <c r="AF203" s="21">
        <f t="shared" si="139"/>
        <v>127541.36633081845</v>
      </c>
      <c r="AG203" s="3"/>
      <c r="AH203" s="3"/>
    </row>
    <row r="204" spans="1:34" x14ac:dyDescent="0.25">
      <c r="A204" s="71">
        <f>SUM(B204:AF204)</f>
        <v>3508420.8847160167</v>
      </c>
      <c r="B204" s="60">
        <f>IF($A$64&lt;=B168,IF($B$64&gt;=B168,ABS(B203),0),0)</f>
        <v>385.45179042368994</v>
      </c>
      <c r="C204" s="60">
        <f t="shared" ref="C204" si="140">IF($A$64&lt;=C168,IF($B$64&gt;=C168,ABS(C203),0),0)</f>
        <v>387.60312148538998</v>
      </c>
      <c r="D204" s="60">
        <f t="shared" ref="D204" si="141">IF($A$64&lt;=D168,IF($B$64&gt;=D168,ABS(D203),0),0)</f>
        <v>386.27947487010152</v>
      </c>
      <c r="E204" s="60">
        <f t="shared" ref="E204" si="142">IF($A$64&lt;=E168,IF($B$64&gt;=E168,ABS(E203),0),0)</f>
        <v>385.88811569609635</v>
      </c>
      <c r="F204" s="60">
        <f t="shared" ref="F204" si="143">IF($A$64&lt;=F168,IF($B$64&gt;=F168,ABS(F203),0),0)</f>
        <v>385.76510956218857</v>
      </c>
      <c r="G204" s="60">
        <f t="shared" ref="G204" si="144">IF($A$64&lt;=G168,IF($B$64&gt;=G168,ABS(G203),0),0)</f>
        <v>385.72412723009205</v>
      </c>
      <c r="H204" s="60">
        <f t="shared" ref="H204" si="145">IF($A$64&lt;=H168,IF($B$64&gt;=H168,ABS(H203),0),0)</f>
        <v>385.7141443106068</v>
      </c>
      <c r="I204" s="60">
        <f t="shared" ref="I204" si="146">IF($A$64&lt;=I168,IF($B$64&gt;=I168,ABS(I203),0),0)</f>
        <v>385.7469504219784</v>
      </c>
      <c r="J204" s="60">
        <f t="shared" ref="J204" si="147">IF($A$64&lt;=J168,IF($B$64&gt;=J168,ABS(J203),0),0)</f>
        <v>386.08470162893013</v>
      </c>
      <c r="K204" s="60">
        <f t="shared" ref="K204" si="148">IF($A$64&lt;=K168,IF($B$64&gt;=K168,ABS(K203),0),0)</f>
        <v>389.56572509923649</v>
      </c>
      <c r="L204" s="60">
        <f t="shared" ref="L204" si="149">IF($A$64&lt;=L168,IF($B$64&gt;=L168,ABS(L203),0),0)</f>
        <v>425.21660122482172</v>
      </c>
      <c r="M204" s="60">
        <f t="shared" ref="M204" si="150">IF($A$64&lt;=M168,IF($B$64&gt;=M168,ABS(M203),0),0)</f>
        <v>863.95638345353075</v>
      </c>
      <c r="N204" s="60">
        <f t="shared" ref="N204" si="151">IF($A$64&lt;=N168,IF($B$64&gt;=N168,ABS(N203),0),0)</f>
        <v>12416.643593115654</v>
      </c>
      <c r="O204" s="60">
        <f t="shared" ref="O204" si="152">IF($A$64&lt;=O168,IF($B$64&gt;=O168,ABS(O203),0),0)</f>
        <v>307958.51669049734</v>
      </c>
      <c r="P204" s="60">
        <f t="shared" ref="P204" si="153">IF($A$64&lt;=P168,IF($B$64&gt;=P168,ABS(P203),0),0)</f>
        <v>541220.76820351079</v>
      </c>
      <c r="Q204" s="60">
        <f t="shared" ref="Q204" si="154">IF($A$64&lt;=Q168,IF($B$64&gt;=Q168,ABS(Q203),0),0)</f>
        <v>506451.79821330967</v>
      </c>
      <c r="R204" s="60">
        <f t="shared" ref="R204" si="155">IF($A$64&lt;=R168,IF($B$64&gt;=R168,ABS(R203),0),0)</f>
        <v>343187.88616211875</v>
      </c>
      <c r="S204" s="60">
        <f t="shared" ref="S204" si="156">IF($A$64&lt;=S168,IF($B$64&gt;=S168,ABS(S203),0),0)</f>
        <v>190628.07602140048</v>
      </c>
      <c r="T204" s="60">
        <f t="shared" ref="T204" si="157">IF($A$64&lt;=T168,IF($B$64&gt;=T168,ABS(T203),0),0)</f>
        <v>65122.176556148479</v>
      </c>
      <c r="U204" s="60">
        <f t="shared" ref="U204" si="158">IF($A$64&lt;=U168,IF($B$64&gt;=U168,ABS(U203),0),0)</f>
        <v>931.19865651045313</v>
      </c>
      <c r="V204" s="60">
        <f t="shared" ref="V204" si="159">IF($A$64&lt;=V168,IF($B$64&gt;=V168,ABS(V203),0),0)</f>
        <v>7576.6195817385824</v>
      </c>
      <c r="W204" s="60">
        <f t="shared" ref="W204" si="160">IF($A$64&lt;=W168,IF($B$64&gt;=W168,ABS(W203),0),0)</f>
        <v>107381.01101942419</v>
      </c>
      <c r="X204" s="60">
        <f t="shared" ref="X204" si="161">IF($A$64&lt;=X168,IF($B$64&gt;=X168,ABS(X203),0),0)</f>
        <v>221680.48128953236</v>
      </c>
      <c r="Y204" s="60">
        <f t="shared" ref="Y204" si="162">IF($A$64&lt;=Y168,IF($B$64&gt;=Y168,ABS(Y203),0),0)</f>
        <v>294379.78040463105</v>
      </c>
      <c r="Z204" s="60">
        <f t="shared" ref="Z204" si="163">IF($A$64&lt;=Z168,IF($B$64&gt;=Z168,ABS(Z203),0),0)</f>
        <v>294352.99509362358</v>
      </c>
      <c r="AA204" s="60">
        <f t="shared" ref="AA204" si="164">IF($A$64&lt;=AA168,IF($B$64&gt;=AA168,ABS(AA203),0),0)</f>
        <v>218538.94747995411</v>
      </c>
      <c r="AB204" s="60">
        <f t="shared" ref="AB204" si="165">IF($A$64&lt;=AB168,IF($B$64&gt;=AB168,ABS(AB203),0),0)</f>
        <v>83443.450023550991</v>
      </c>
      <c r="AC204" s="60">
        <f t="shared" ref="AC204" si="166">IF($A$64&lt;=AC168,IF($B$64&gt;=AC168,ABS(AC203),0),0)</f>
        <v>6157.5787589951105</v>
      </c>
      <c r="AD204" s="60">
        <f t="shared" ref="AD204" si="167">IF($A$64&lt;=AD168,IF($B$64&gt;=AD168,ABS(AD203),0),0)</f>
        <v>26745.605486719622</v>
      </c>
      <c r="AE204" s="60">
        <f t="shared" ref="AE204" si="168">IF($A$64&lt;=AE168,IF($B$64&gt;=AE168,ABS(AE203),0),0)</f>
        <v>147552.98890501083</v>
      </c>
      <c r="AF204" s="60">
        <f t="shared" ref="AF204" si="169">IF($A$64&lt;=AF168,IF($B$64&gt;=AF168,ABS(AF203),0),0)</f>
        <v>127541.36633081845</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6524.092299992848</v>
      </c>
      <c r="C209" s="27">
        <f t="shared" ref="C209:AF209" si="170">($C$17+SUM(C210:C240))*$B$51</f>
        <v>6524.0922999284785</v>
      </c>
      <c r="D209" s="27">
        <f t="shared" si="170"/>
        <v>6524.0922992847873</v>
      </c>
      <c r="E209" s="27">
        <f t="shared" si="170"/>
        <v>6524.0922928478712</v>
      </c>
      <c r="F209" s="27">
        <f t="shared" si="170"/>
        <v>6524.0922284787166</v>
      </c>
      <c r="G209" s="27">
        <f t="shared" si="170"/>
        <v>6524.0915847874867</v>
      </c>
      <c r="H209" s="27">
        <f t="shared" si="170"/>
        <v>6524.0851479068815</v>
      </c>
      <c r="I209" s="27">
        <f t="shared" si="170"/>
        <v>6524.0207822704824</v>
      </c>
      <c r="J209" s="27">
        <f t="shared" si="170"/>
        <v>6523.3774427657627</v>
      </c>
      <c r="K209" s="27">
        <f t="shared" si="170"/>
        <v>6516.9756289306379</v>
      </c>
      <c r="L209" s="27">
        <f t="shared" si="170"/>
        <v>6456.0134499202677</v>
      </c>
      <c r="M209" s="27">
        <f t="shared" si="170"/>
        <v>6071.0104804841794</v>
      </c>
      <c r="N209" s="27">
        <f t="shared" si="170"/>
        <v>5805.1866956737194</v>
      </c>
      <c r="O209" s="27">
        <f t="shared" si="170"/>
        <v>5805.1417147438624</v>
      </c>
      <c r="P209" s="27">
        <f t="shared" si="170"/>
        <v>5805.0356782015833</v>
      </c>
      <c r="Q209" s="27">
        <f t="shared" si="170"/>
        <v>5803.9765887051244</v>
      </c>
      <c r="R209" s="27">
        <f t="shared" si="170"/>
        <v>5793.5122143285225</v>
      </c>
      <c r="S209" s="27">
        <f t="shared" si="170"/>
        <v>5700.513503824367</v>
      </c>
      <c r="T209" s="27">
        <f t="shared" si="170"/>
        <v>5347.3859053910219</v>
      </c>
      <c r="U209" s="27">
        <f t="shared" si="170"/>
        <v>5102.444381483203</v>
      </c>
      <c r="V209" s="27">
        <f t="shared" si="170"/>
        <v>4821.1784805697071</v>
      </c>
      <c r="W209" s="27">
        <f t="shared" si="170"/>
        <v>4536.1151866548635</v>
      </c>
      <c r="X209" s="27">
        <f t="shared" si="170"/>
        <v>4229.2842391276154</v>
      </c>
      <c r="Y209" s="27">
        <f t="shared" si="170"/>
        <v>3872.0032212357642</v>
      </c>
      <c r="Z209" s="27">
        <f t="shared" si="170"/>
        <v>3403.0674520896582</v>
      </c>
      <c r="AA209" s="27">
        <f t="shared" si="170"/>
        <v>2828.656075204588</v>
      </c>
      <c r="AB209" s="27">
        <f t="shared" si="170"/>
        <v>2152.5933862945158</v>
      </c>
      <c r="AC209" s="27">
        <f t="shared" si="170"/>
        <v>1412.4271995076883</v>
      </c>
      <c r="AD209" s="27">
        <f t="shared" si="170"/>
        <v>827.67529117042955</v>
      </c>
      <c r="AE209" s="27">
        <f t="shared" si="170"/>
        <v>463.8550728746506</v>
      </c>
      <c r="AF209" s="27">
        <f t="shared" si="170"/>
        <v>257.46116269597644</v>
      </c>
      <c r="AG209" s="27"/>
      <c r="AH209" s="27"/>
    </row>
    <row r="210" spans="1:34" x14ac:dyDescent="0.25">
      <c r="B210" s="3">
        <f t="shared" ref="B210:AF210" si="171">$C18*EXP(-B$207/$A18/EXP(-$D$126))</f>
        <v>0.11019752157364891</v>
      </c>
      <c r="C210" s="3">
        <f t="shared" si="171"/>
        <v>0.11019752156378253</v>
      </c>
      <c r="D210" s="3">
        <f t="shared" si="171"/>
        <v>0.11019752146511877</v>
      </c>
      <c r="E210" s="3">
        <f t="shared" si="171"/>
        <v>0.11019752047848118</v>
      </c>
      <c r="F210" s="3">
        <f t="shared" si="171"/>
        <v>0.11019751061210573</v>
      </c>
      <c r="G210" s="3">
        <f t="shared" si="171"/>
        <v>0.1101974119483998</v>
      </c>
      <c r="H210" s="3">
        <f t="shared" si="171"/>
        <v>0.11019642531619907</v>
      </c>
      <c r="I210" s="3">
        <f t="shared" si="171"/>
        <v>0.11018655948002821</v>
      </c>
      <c r="J210" s="3">
        <f t="shared" si="171"/>
        <v>0.11008794968588595</v>
      </c>
      <c r="K210" s="3">
        <f t="shared" si="171"/>
        <v>0.1091066924503595</v>
      </c>
      <c r="L210" s="3">
        <f t="shared" si="171"/>
        <v>9.9762531515466282E-2</v>
      </c>
      <c r="M210" s="3">
        <f t="shared" si="171"/>
        <v>4.0750051973236133E-2</v>
      </c>
      <c r="N210" s="3">
        <f t="shared" si="171"/>
        <v>5.2690852679511249E-6</v>
      </c>
      <c r="O210" s="3">
        <f t="shared" si="171"/>
        <v>6.8834446353987664E-45</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6.7386263954763354E-2</v>
      </c>
      <c r="C211" s="3">
        <f t="shared" si="172"/>
        <v>6.7386263954763354E-2</v>
      </c>
      <c r="D211" s="3">
        <f t="shared" si="172"/>
        <v>6.738626395476334E-2</v>
      </c>
      <c r="E211" s="3">
        <f t="shared" si="172"/>
        <v>6.7386263954763187E-2</v>
      </c>
      <c r="F211" s="3">
        <f t="shared" si="172"/>
        <v>6.7386263954761633E-2</v>
      </c>
      <c r="G211" s="3">
        <f t="shared" si="172"/>
        <v>6.7386263954746187E-2</v>
      </c>
      <c r="H211" s="3">
        <f t="shared" si="172"/>
        <v>6.738626395459163E-2</v>
      </c>
      <c r="I211" s="3">
        <f t="shared" si="172"/>
        <v>6.7386263953046172E-2</v>
      </c>
      <c r="J211" s="3">
        <f t="shared" si="172"/>
        <v>6.738626393759152E-2</v>
      </c>
      <c r="K211" s="3">
        <f t="shared" si="172"/>
        <v>6.7386263783045033E-2</v>
      </c>
      <c r="L211" s="3">
        <f t="shared" si="172"/>
        <v>6.7386262237580236E-2</v>
      </c>
      <c r="M211" s="3">
        <f t="shared" si="172"/>
        <v>6.7386246782934187E-2</v>
      </c>
      <c r="N211" s="3">
        <f t="shared" si="172"/>
        <v>6.738609223666861E-2</v>
      </c>
      <c r="O211" s="3">
        <f t="shared" si="172"/>
        <v>6.7384546793506958E-2</v>
      </c>
      <c r="P211" s="3">
        <f t="shared" si="172"/>
        <v>6.7369094311145239E-2</v>
      </c>
      <c r="Q211" s="3">
        <f t="shared" si="172"/>
        <v>6.7214764247700592E-2</v>
      </c>
      <c r="R211" s="3">
        <f t="shared" si="172"/>
        <v>6.569077537115095E-2</v>
      </c>
      <c r="S211" s="3">
        <f t="shared" si="172"/>
        <v>5.222776859735271E-2</v>
      </c>
      <c r="T211" s="3">
        <f t="shared" si="172"/>
        <v>5.27074861579212E-3</v>
      </c>
      <c r="U211" s="3">
        <f t="shared" si="172"/>
        <v>5.7753807998034499E-13</v>
      </c>
      <c r="V211" s="3">
        <f t="shared" si="172"/>
        <v>1.4409995267012426E-112</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3.4082747841508325E-2</v>
      </c>
      <c r="C212" s="3">
        <f t="shared" si="173"/>
        <v>3.4082747841508325E-2</v>
      </c>
      <c r="D212" s="3">
        <f t="shared" si="173"/>
        <v>3.4082747841508325E-2</v>
      </c>
      <c r="E212" s="3">
        <f t="shared" si="173"/>
        <v>3.4082747841508318E-2</v>
      </c>
      <c r="F212" s="3">
        <f t="shared" si="173"/>
        <v>3.4082747841508249E-2</v>
      </c>
      <c r="G212" s="3">
        <f t="shared" si="173"/>
        <v>3.4082747841507541E-2</v>
      </c>
      <c r="H212" s="3">
        <f t="shared" si="173"/>
        <v>3.4082747841500491E-2</v>
      </c>
      <c r="I212" s="3">
        <f t="shared" si="173"/>
        <v>3.4082747841429978E-2</v>
      </c>
      <c r="J212" s="3">
        <f t="shared" si="173"/>
        <v>3.4082747840724847E-2</v>
      </c>
      <c r="K212" s="3">
        <f t="shared" si="173"/>
        <v>3.408274783367355E-2</v>
      </c>
      <c r="L212" s="3">
        <f t="shared" si="173"/>
        <v>3.4082747763160594E-2</v>
      </c>
      <c r="M212" s="3">
        <f t="shared" si="173"/>
        <v>3.4082747058031014E-2</v>
      </c>
      <c r="N212" s="3">
        <f t="shared" si="173"/>
        <v>3.4082740006736043E-2</v>
      </c>
      <c r="O212" s="3">
        <f t="shared" si="173"/>
        <v>3.4082669493866534E-2</v>
      </c>
      <c r="P212" s="3">
        <f t="shared" si="173"/>
        <v>3.4081964373194912E-2</v>
      </c>
      <c r="Q212" s="3">
        <f t="shared" si="173"/>
        <v>3.4074913968764352E-2</v>
      </c>
      <c r="R212" s="3">
        <f t="shared" si="173"/>
        <v>3.4004490091644274E-2</v>
      </c>
      <c r="S212" s="3">
        <f t="shared" si="173"/>
        <v>3.330820701042931E-2</v>
      </c>
      <c r="T212" s="3">
        <f t="shared" si="173"/>
        <v>2.7083272412068832E-2</v>
      </c>
      <c r="U212" s="3">
        <f t="shared" si="173"/>
        <v>3.4213694011322E-3</v>
      </c>
      <c r="V212" s="3">
        <f t="shared" si="173"/>
        <v>3.5415082381233918E-12</v>
      </c>
      <c r="W212" s="3">
        <f t="shared" si="173"/>
        <v>5.0011646231738573E-102</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4.6674257676140619E-2</v>
      </c>
      <c r="C213" s="3">
        <f t="shared" si="174"/>
        <v>4.6674257676140619E-2</v>
      </c>
      <c r="D213" s="3">
        <f t="shared" si="174"/>
        <v>4.6674257676140619E-2</v>
      </c>
      <c r="E213" s="3">
        <f t="shared" si="174"/>
        <v>4.6674257676140619E-2</v>
      </c>
      <c r="F213" s="3">
        <f t="shared" si="174"/>
        <v>4.6674257676140612E-2</v>
      </c>
      <c r="G213" s="3">
        <f t="shared" si="174"/>
        <v>4.6674257676140522E-2</v>
      </c>
      <c r="H213" s="3">
        <f t="shared" si="174"/>
        <v>4.6674257676139648E-2</v>
      </c>
      <c r="I213" s="3">
        <f t="shared" si="174"/>
        <v>4.667425767613094E-2</v>
      </c>
      <c r="J213" s="3">
        <f t="shared" si="174"/>
        <v>4.6674257676043829E-2</v>
      </c>
      <c r="K213" s="3">
        <f t="shared" si="174"/>
        <v>4.6674257675172755E-2</v>
      </c>
      <c r="L213" s="3">
        <f t="shared" si="174"/>
        <v>4.6674257666461945E-2</v>
      </c>
      <c r="M213" s="3">
        <f t="shared" si="174"/>
        <v>4.6674257579353888E-2</v>
      </c>
      <c r="N213" s="3">
        <f t="shared" si="174"/>
        <v>4.6674256708273285E-2</v>
      </c>
      <c r="O213" s="3">
        <f t="shared" si="174"/>
        <v>4.667424799746818E-2</v>
      </c>
      <c r="P213" s="3">
        <f t="shared" si="174"/>
        <v>4.6674160889506516E-2</v>
      </c>
      <c r="Q213" s="3">
        <f t="shared" si="174"/>
        <v>4.6673289818831183E-2</v>
      </c>
      <c r="R213" s="3">
        <f t="shared" si="174"/>
        <v>4.6664580006141945E-2</v>
      </c>
      <c r="S213" s="3">
        <f t="shared" si="174"/>
        <v>4.6577571223949538E-2</v>
      </c>
      <c r="T213" s="3">
        <f t="shared" si="174"/>
        <v>4.5716356483596364E-2</v>
      </c>
      <c r="U213" s="3">
        <f t="shared" si="174"/>
        <v>3.7933186837909097E-2</v>
      </c>
      <c r="V213" s="3">
        <f t="shared" si="174"/>
        <v>5.868086752520256E-3</v>
      </c>
      <c r="W213" s="3">
        <f t="shared" si="174"/>
        <v>4.605411931806361E-11</v>
      </c>
      <c r="X213" s="3">
        <f t="shared" si="174"/>
        <v>4.0830814422541954E-92</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4.4764266498867597E-2</v>
      </c>
      <c r="C214" s="3">
        <f t="shared" si="175"/>
        <v>4.4764266498867597E-2</v>
      </c>
      <c r="D214" s="3">
        <f t="shared" si="175"/>
        <v>4.4764266498867597E-2</v>
      </c>
      <c r="E214" s="3">
        <f t="shared" si="175"/>
        <v>4.4764266498867597E-2</v>
      </c>
      <c r="F214" s="3">
        <f t="shared" si="175"/>
        <v>4.4764266498867597E-2</v>
      </c>
      <c r="G214" s="3">
        <f t="shared" si="175"/>
        <v>4.476426649886759E-2</v>
      </c>
      <c r="H214" s="3">
        <f t="shared" si="175"/>
        <v>4.4764266498867514E-2</v>
      </c>
      <c r="I214" s="3">
        <f t="shared" si="175"/>
        <v>4.4764266498866764E-2</v>
      </c>
      <c r="J214" s="3">
        <f t="shared" si="175"/>
        <v>4.4764266498859222E-2</v>
      </c>
      <c r="K214" s="3">
        <f t="shared" si="175"/>
        <v>4.4764266498783858E-2</v>
      </c>
      <c r="L214" s="3">
        <f t="shared" si="175"/>
        <v>4.4764266498030232E-2</v>
      </c>
      <c r="M214" s="3">
        <f t="shared" si="175"/>
        <v>4.4764266490493913E-2</v>
      </c>
      <c r="N214" s="3">
        <f t="shared" si="175"/>
        <v>4.4764266415130774E-2</v>
      </c>
      <c r="O214" s="3">
        <f t="shared" si="175"/>
        <v>4.4764265661499374E-2</v>
      </c>
      <c r="P214" s="3">
        <f t="shared" si="175"/>
        <v>4.476425812518605E-2</v>
      </c>
      <c r="Q214" s="3">
        <f t="shared" si="175"/>
        <v>4.4764182762122615E-2</v>
      </c>
      <c r="R214" s="3">
        <f t="shared" si="175"/>
        <v>4.4763429138466461E-2</v>
      </c>
      <c r="S214" s="3">
        <f t="shared" si="175"/>
        <v>4.4755893599685966E-2</v>
      </c>
      <c r="T214" s="3">
        <f t="shared" si="175"/>
        <v>4.4680607946534709E-2</v>
      </c>
      <c r="U214" s="3">
        <f t="shared" si="175"/>
        <v>4.3934681636510646E-2</v>
      </c>
      <c r="V214" s="3">
        <f t="shared" si="175"/>
        <v>3.7127147538802849E-2</v>
      </c>
      <c r="W214" s="3">
        <f t="shared" si="175"/>
        <v>6.8949732451494637E-3</v>
      </c>
      <c r="X214" s="3">
        <f t="shared" si="175"/>
        <v>3.3646709586525466E-10</v>
      </c>
      <c r="Y214" s="3">
        <f t="shared" si="175"/>
        <v>2.5765747311241679E-83</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4.8577269491505953E-2</v>
      </c>
      <c r="C215" s="3">
        <f t="shared" si="176"/>
        <v>4.8577269491505953E-2</v>
      </c>
      <c r="D215" s="3">
        <f t="shared" si="176"/>
        <v>4.8577269491505953E-2</v>
      </c>
      <c r="E215" s="3">
        <f t="shared" si="176"/>
        <v>4.8577269491505953E-2</v>
      </c>
      <c r="F215" s="3">
        <f t="shared" si="176"/>
        <v>4.8577269491505953E-2</v>
      </c>
      <c r="G215" s="3">
        <f t="shared" si="176"/>
        <v>4.8577269491505953E-2</v>
      </c>
      <c r="H215" s="3">
        <f t="shared" si="176"/>
        <v>4.8577269491505939E-2</v>
      </c>
      <c r="I215" s="3">
        <f t="shared" si="176"/>
        <v>4.857726949150587E-2</v>
      </c>
      <c r="J215" s="3">
        <f t="shared" si="176"/>
        <v>4.8577269491505135E-2</v>
      </c>
      <c r="K215" s="3">
        <f t="shared" si="176"/>
        <v>4.8577269491497758E-2</v>
      </c>
      <c r="L215" s="3">
        <f t="shared" si="176"/>
        <v>4.8577269491423984E-2</v>
      </c>
      <c r="M215" s="3">
        <f t="shared" si="176"/>
        <v>4.8577269490686234E-2</v>
      </c>
      <c r="N215" s="3">
        <f t="shared" si="176"/>
        <v>4.8577269483308767E-2</v>
      </c>
      <c r="O215" s="3">
        <f t="shared" si="176"/>
        <v>4.8577269409534114E-2</v>
      </c>
      <c r="P215" s="3">
        <f t="shared" si="176"/>
        <v>4.8577268671787528E-2</v>
      </c>
      <c r="Q215" s="3">
        <f t="shared" si="176"/>
        <v>4.8577261294322348E-2</v>
      </c>
      <c r="R215" s="3">
        <f t="shared" si="176"/>
        <v>4.8577187519732189E-2</v>
      </c>
      <c r="S215" s="3">
        <f t="shared" si="176"/>
        <v>4.8576449779992883E-2</v>
      </c>
      <c r="T215" s="3">
        <f t="shared" si="176"/>
        <v>4.8569072998792928E-2</v>
      </c>
      <c r="U215" s="3">
        <f t="shared" si="176"/>
        <v>4.849536677150091E-2</v>
      </c>
      <c r="V215" s="3">
        <f t="shared" si="176"/>
        <v>4.7764428503675932E-2</v>
      </c>
      <c r="W215" s="3">
        <f t="shared" si="176"/>
        <v>4.1034388084792546E-2</v>
      </c>
      <c r="X215" s="3">
        <f t="shared" si="176"/>
        <v>8.9863166604189238E-3</v>
      </c>
      <c r="Y215" s="3">
        <f t="shared" si="176"/>
        <v>2.2799183051631332E-9</v>
      </c>
      <c r="Z215" s="3">
        <f t="shared" si="176"/>
        <v>2.5193874294651505E-75</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5.5549505588396574E-2</v>
      </c>
      <c r="C216" s="3">
        <f t="shared" si="177"/>
        <v>5.5549505588396574E-2</v>
      </c>
      <c r="D216" s="3">
        <f t="shared" si="177"/>
        <v>5.5549505588396574E-2</v>
      </c>
      <c r="E216" s="3">
        <f t="shared" si="177"/>
        <v>5.5549505588396574E-2</v>
      </c>
      <c r="F216" s="3">
        <f t="shared" si="177"/>
        <v>5.5549505588396574E-2</v>
      </c>
      <c r="G216" s="3">
        <f t="shared" si="177"/>
        <v>5.5549505588396574E-2</v>
      </c>
      <c r="H216" s="3">
        <f t="shared" si="177"/>
        <v>5.5549505588396574E-2</v>
      </c>
      <c r="I216" s="3">
        <f t="shared" si="177"/>
        <v>5.5549505588396567E-2</v>
      </c>
      <c r="J216" s="3">
        <f t="shared" si="177"/>
        <v>5.554950558839649E-2</v>
      </c>
      <c r="K216" s="3">
        <f t="shared" si="177"/>
        <v>5.5549505588395727E-2</v>
      </c>
      <c r="L216" s="3">
        <f t="shared" si="177"/>
        <v>5.5549505588388115E-2</v>
      </c>
      <c r="M216" s="3">
        <f t="shared" si="177"/>
        <v>5.5549505588312016E-2</v>
      </c>
      <c r="N216" s="3">
        <f t="shared" si="177"/>
        <v>5.5549505587550986E-2</v>
      </c>
      <c r="O216" s="3">
        <f t="shared" si="177"/>
        <v>5.5549505579940706E-2</v>
      </c>
      <c r="P216" s="3">
        <f t="shared" si="177"/>
        <v>5.5549505503837859E-2</v>
      </c>
      <c r="Q216" s="3">
        <f t="shared" si="177"/>
        <v>5.5549504742809397E-2</v>
      </c>
      <c r="R216" s="3">
        <f t="shared" si="177"/>
        <v>5.5549497132525452E-2</v>
      </c>
      <c r="S216" s="3">
        <f t="shared" si="177"/>
        <v>5.5549421029743244E-2</v>
      </c>
      <c r="T216" s="3">
        <f t="shared" si="177"/>
        <v>5.5548660007655556E-2</v>
      </c>
      <c r="U216" s="3">
        <f t="shared" si="177"/>
        <v>5.5541050360181442E-2</v>
      </c>
      <c r="V216" s="3">
        <f t="shared" si="177"/>
        <v>5.5465011196667496E-2</v>
      </c>
      <c r="W216" s="3">
        <f t="shared" si="177"/>
        <v>5.4710321739330756E-2</v>
      </c>
      <c r="X216" s="3">
        <f t="shared" si="177"/>
        <v>4.7705769621230715E-2</v>
      </c>
      <c r="Y216" s="3">
        <f t="shared" si="177"/>
        <v>1.212236299560392E-2</v>
      </c>
      <c r="Z216" s="3">
        <f t="shared" si="177"/>
        <v>1.3606645307519661E-8</v>
      </c>
      <c r="AA216" s="3">
        <f t="shared" si="177"/>
        <v>4.3190562286957583E-68</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7.866276737132312E-2</v>
      </c>
      <c r="C217" s="3">
        <f t="shared" si="178"/>
        <v>7.866276737132312E-2</v>
      </c>
      <c r="D217" s="3">
        <f t="shared" si="178"/>
        <v>7.866276737132312E-2</v>
      </c>
      <c r="E217" s="3">
        <f t="shared" si="178"/>
        <v>7.866276737132312E-2</v>
      </c>
      <c r="F217" s="3">
        <f t="shared" si="178"/>
        <v>7.866276737132312E-2</v>
      </c>
      <c r="G217" s="3">
        <f t="shared" si="178"/>
        <v>7.866276737132312E-2</v>
      </c>
      <c r="H217" s="3">
        <f t="shared" si="178"/>
        <v>7.866276737132312E-2</v>
      </c>
      <c r="I217" s="3">
        <f t="shared" si="178"/>
        <v>7.866276737132312E-2</v>
      </c>
      <c r="J217" s="3">
        <f t="shared" si="178"/>
        <v>7.8662767371323106E-2</v>
      </c>
      <c r="K217" s="3">
        <f t="shared" si="178"/>
        <v>7.8662767371323009E-2</v>
      </c>
      <c r="L217" s="3">
        <f t="shared" si="178"/>
        <v>7.8662767371322037E-2</v>
      </c>
      <c r="M217" s="3">
        <f t="shared" si="178"/>
        <v>7.8662767371312323E-2</v>
      </c>
      <c r="N217" s="3">
        <f t="shared" si="178"/>
        <v>7.8662767371215109E-2</v>
      </c>
      <c r="O217" s="3">
        <f t="shared" si="178"/>
        <v>7.8662767370242942E-2</v>
      </c>
      <c r="P217" s="3">
        <f t="shared" si="178"/>
        <v>7.8662767360521371E-2</v>
      </c>
      <c r="Q217" s="3">
        <f t="shared" si="178"/>
        <v>7.866276726330565E-2</v>
      </c>
      <c r="R217" s="3">
        <f t="shared" si="178"/>
        <v>7.866276629114842E-2</v>
      </c>
      <c r="S217" s="3">
        <f t="shared" si="178"/>
        <v>7.866275656957683E-2</v>
      </c>
      <c r="T217" s="3">
        <f t="shared" si="178"/>
        <v>7.8662659353926953E-2</v>
      </c>
      <c r="U217" s="3">
        <f t="shared" si="178"/>
        <v>7.8661687204036101E-2</v>
      </c>
      <c r="V217" s="3">
        <f t="shared" si="178"/>
        <v>7.8651966365888643E-2</v>
      </c>
      <c r="W217" s="3">
        <f t="shared" si="178"/>
        <v>7.8554824030313566E-2</v>
      </c>
      <c r="X217" s="3">
        <f t="shared" si="178"/>
        <v>7.758997516353329E-2</v>
      </c>
      <c r="Y217" s="3">
        <f t="shared" si="178"/>
        <v>6.8569840673393792E-2</v>
      </c>
      <c r="Z217" s="3">
        <f t="shared" si="178"/>
        <v>1.9925462709849691E-2</v>
      </c>
      <c r="AA217" s="3">
        <f t="shared" si="178"/>
        <v>8.5538408514499398E-8</v>
      </c>
      <c r="AB217" s="3">
        <f t="shared" si="178"/>
        <v>1.8183968446449089E-61</v>
      </c>
      <c r="AC217" s="3">
        <f t="shared" si="178"/>
        <v>0</v>
      </c>
      <c r="AD217" s="3">
        <f t="shared" si="178"/>
        <v>0</v>
      </c>
      <c r="AE217" s="3">
        <f t="shared" si="178"/>
        <v>0</v>
      </c>
      <c r="AF217" s="3">
        <f t="shared" si="178"/>
        <v>0</v>
      </c>
      <c r="AG217" s="3"/>
      <c r="AH217" s="3"/>
    </row>
    <row r="218" spans="1:34" x14ac:dyDescent="0.25">
      <c r="B218" s="3">
        <f t="shared" ref="B218:AF218" si="179">$C26*EXP(-B$207/$A26/EXP(-$D$126))</f>
        <v>9.4543741847587029E-2</v>
      </c>
      <c r="C218" s="3">
        <f t="shared" si="179"/>
        <v>9.4543741847587029E-2</v>
      </c>
      <c r="D218" s="3">
        <f t="shared" si="179"/>
        <v>9.4543741847587029E-2</v>
      </c>
      <c r="E218" s="3">
        <f t="shared" si="179"/>
        <v>9.4543741847587029E-2</v>
      </c>
      <c r="F218" s="3">
        <f t="shared" si="179"/>
        <v>9.4543741847587029E-2</v>
      </c>
      <c r="G218" s="3">
        <f t="shared" si="179"/>
        <v>9.4543741847587029E-2</v>
      </c>
      <c r="H218" s="3">
        <f t="shared" si="179"/>
        <v>9.4543741847587029E-2</v>
      </c>
      <c r="I218" s="3">
        <f t="shared" si="179"/>
        <v>9.4543741847587029E-2</v>
      </c>
      <c r="J218" s="3">
        <f t="shared" si="179"/>
        <v>9.4543741847587029E-2</v>
      </c>
      <c r="K218" s="3">
        <f t="shared" si="179"/>
        <v>9.4543741847587015E-2</v>
      </c>
      <c r="L218" s="3">
        <f t="shared" si="179"/>
        <v>9.4543741847586918E-2</v>
      </c>
      <c r="M218" s="3">
        <f t="shared" si="179"/>
        <v>9.4543741847585849E-2</v>
      </c>
      <c r="N218" s="3">
        <f t="shared" si="179"/>
        <v>9.4543741847575316E-2</v>
      </c>
      <c r="O218" s="3">
        <f t="shared" si="179"/>
        <v>9.4543741847469914E-2</v>
      </c>
      <c r="P218" s="3">
        <f t="shared" si="179"/>
        <v>9.4543741846415896E-2</v>
      </c>
      <c r="Q218" s="3">
        <f t="shared" si="179"/>
        <v>9.4543741835875758E-2</v>
      </c>
      <c r="R218" s="3">
        <f t="shared" si="179"/>
        <v>9.4543741730474293E-2</v>
      </c>
      <c r="S218" s="3">
        <f t="shared" si="179"/>
        <v>9.4543740676459598E-2</v>
      </c>
      <c r="T218" s="3">
        <f t="shared" si="179"/>
        <v>9.4543730136313286E-2</v>
      </c>
      <c r="U218" s="3">
        <f t="shared" si="179"/>
        <v>9.4543624734914941E-2</v>
      </c>
      <c r="V218" s="3">
        <f t="shared" si="179"/>
        <v>9.4542570727394235E-2</v>
      </c>
      <c r="W218" s="3">
        <f t="shared" si="179"/>
        <v>9.453203129844133E-2</v>
      </c>
      <c r="X218" s="3">
        <f t="shared" si="179"/>
        <v>9.4426701607676286E-2</v>
      </c>
      <c r="Y218" s="3">
        <f t="shared" si="179"/>
        <v>9.3379838009226043E-2</v>
      </c>
      <c r="Z218" s="3">
        <f t="shared" si="179"/>
        <v>8.3528768966493902E-2</v>
      </c>
      <c r="AA218" s="3">
        <f t="shared" si="179"/>
        <v>2.7394648209217796E-2</v>
      </c>
      <c r="AB218" s="3">
        <f t="shared" si="179"/>
        <v>3.9442296783929564E-7</v>
      </c>
      <c r="AC218" s="3">
        <f t="shared" si="179"/>
        <v>1.5098259485899898E-55</v>
      </c>
      <c r="AD218" s="3">
        <f t="shared" si="179"/>
        <v>0</v>
      </c>
      <c r="AE218" s="3">
        <f t="shared" si="179"/>
        <v>0</v>
      </c>
      <c r="AF218" s="3">
        <f t="shared" si="179"/>
        <v>0</v>
      </c>
      <c r="AG218" s="3"/>
      <c r="AH218" s="3"/>
    </row>
    <row r="219" spans="1:34" x14ac:dyDescent="0.25">
      <c r="B219" s="3">
        <f t="shared" ref="B219:AF219" si="180">$C27*EXP(-B$207/$A27/EXP(-$D$126))</f>
        <v>0.11359632384203742</v>
      </c>
      <c r="C219" s="3">
        <f t="shared" si="180"/>
        <v>0.11359632384203742</v>
      </c>
      <c r="D219" s="3">
        <f t="shared" si="180"/>
        <v>0.11359632384203742</v>
      </c>
      <c r="E219" s="3">
        <f t="shared" si="180"/>
        <v>0.11359632384203742</v>
      </c>
      <c r="F219" s="3">
        <f t="shared" si="180"/>
        <v>0.11359632384203742</v>
      </c>
      <c r="G219" s="3">
        <f t="shared" si="180"/>
        <v>0.11359632384203742</v>
      </c>
      <c r="H219" s="3">
        <f t="shared" si="180"/>
        <v>0.11359632384203742</v>
      </c>
      <c r="I219" s="3">
        <f t="shared" si="180"/>
        <v>0.11359632384203742</v>
      </c>
      <c r="J219" s="3">
        <f t="shared" si="180"/>
        <v>0.11359632384203742</v>
      </c>
      <c r="K219" s="3">
        <f t="shared" si="180"/>
        <v>0.11359632384203742</v>
      </c>
      <c r="L219" s="3">
        <f t="shared" si="180"/>
        <v>0.11359632384203741</v>
      </c>
      <c r="M219" s="3">
        <f t="shared" si="180"/>
        <v>0.1135963238420373</v>
      </c>
      <c r="N219" s="3">
        <f t="shared" si="180"/>
        <v>0.11359632384203615</v>
      </c>
      <c r="O219" s="3">
        <f t="shared" si="180"/>
        <v>0.11359632384202474</v>
      </c>
      <c r="P219" s="3">
        <f t="shared" si="180"/>
        <v>0.11359632384191048</v>
      </c>
      <c r="Q219" s="3">
        <f t="shared" si="180"/>
        <v>0.11359632384076807</v>
      </c>
      <c r="R219" s="3">
        <f t="shared" si="180"/>
        <v>0.1135963238293439</v>
      </c>
      <c r="S219" s="3">
        <f t="shared" si="180"/>
        <v>0.11359632371510217</v>
      </c>
      <c r="T219" s="3">
        <f t="shared" si="180"/>
        <v>0.11359632257268494</v>
      </c>
      <c r="U219" s="3">
        <f t="shared" si="180"/>
        <v>0.11359631114851321</v>
      </c>
      <c r="V219" s="3">
        <f t="shared" si="180"/>
        <v>0.11359619690685903</v>
      </c>
      <c r="W219" s="3">
        <f t="shared" si="180"/>
        <v>0.11359505449663619</v>
      </c>
      <c r="X219" s="3">
        <f t="shared" si="180"/>
        <v>0.11358363102628116</v>
      </c>
      <c r="Y219" s="3">
        <f t="shared" si="180"/>
        <v>0.11346945948654802</v>
      </c>
      <c r="Z219" s="3">
        <f t="shared" si="180"/>
        <v>0.11233403703063455</v>
      </c>
      <c r="AA219" s="3">
        <f t="shared" si="180"/>
        <v>0.10158630709361115</v>
      </c>
      <c r="AB219" s="3">
        <f t="shared" si="180"/>
        <v>3.7159788660640999E-2</v>
      </c>
      <c r="AC219" s="3">
        <f t="shared" si="180"/>
        <v>1.5938735340884762E-6</v>
      </c>
      <c r="AD219" s="3">
        <f t="shared" si="180"/>
        <v>3.3593874774992646E-50</v>
      </c>
      <c r="AE219" s="3">
        <f t="shared" si="180"/>
        <v>0</v>
      </c>
      <c r="AF219" s="3">
        <f t="shared" si="180"/>
        <v>0</v>
      </c>
      <c r="AG219" s="3"/>
      <c r="AH219" s="3"/>
    </row>
    <row r="220" spans="1:34" x14ac:dyDescent="0.25">
      <c r="B220" s="3">
        <f t="shared" ref="B220:AF220" si="181">$C28*EXP(-B$207/$A28/EXP(-$D$126))</f>
        <v>0.12987660327805553</v>
      </c>
      <c r="C220" s="3">
        <f t="shared" si="181"/>
        <v>0.12987660327805553</v>
      </c>
      <c r="D220" s="3">
        <f t="shared" si="181"/>
        <v>0.12987660327805553</v>
      </c>
      <c r="E220" s="3">
        <f t="shared" si="181"/>
        <v>0.12987660327805553</v>
      </c>
      <c r="F220" s="3">
        <f t="shared" si="181"/>
        <v>0.12987660327805553</v>
      </c>
      <c r="G220" s="3">
        <f t="shared" si="181"/>
        <v>0.12987660327805553</v>
      </c>
      <c r="H220" s="3">
        <f t="shared" si="181"/>
        <v>0.12987660327805553</v>
      </c>
      <c r="I220" s="3">
        <f t="shared" si="181"/>
        <v>0.12987660327805553</v>
      </c>
      <c r="J220" s="3">
        <f t="shared" si="181"/>
        <v>0.12987660327805553</v>
      </c>
      <c r="K220" s="3">
        <f t="shared" si="181"/>
        <v>0.12987660327805553</v>
      </c>
      <c r="L220" s="3">
        <f t="shared" si="181"/>
        <v>0.12987660327805553</v>
      </c>
      <c r="M220" s="3">
        <f t="shared" si="181"/>
        <v>0.1298766032780555</v>
      </c>
      <c r="N220" s="3">
        <f t="shared" si="181"/>
        <v>0.12987660327805539</v>
      </c>
      <c r="O220" s="3">
        <f t="shared" si="181"/>
        <v>0.12987660327805423</v>
      </c>
      <c r="P220" s="3">
        <f t="shared" si="181"/>
        <v>0.12987660327804243</v>
      </c>
      <c r="Q220" s="3">
        <f t="shared" si="181"/>
        <v>0.12987660327792461</v>
      </c>
      <c r="R220" s="3">
        <f t="shared" si="181"/>
        <v>0.12987660327674636</v>
      </c>
      <c r="S220" s="3">
        <f t="shared" si="181"/>
        <v>0.12987660326496384</v>
      </c>
      <c r="T220" s="3">
        <f t="shared" si="181"/>
        <v>0.1298766031471387</v>
      </c>
      <c r="U220" s="3">
        <f t="shared" si="181"/>
        <v>0.12987660196888726</v>
      </c>
      <c r="V220" s="3">
        <f t="shared" si="181"/>
        <v>0.12987659018637332</v>
      </c>
      <c r="W220" s="3">
        <f t="shared" si="181"/>
        <v>0.12987647236129299</v>
      </c>
      <c r="X220" s="3">
        <f t="shared" si="181"/>
        <v>0.12987529411636842</v>
      </c>
      <c r="Y220" s="3">
        <f t="shared" si="181"/>
        <v>0.12986351225500661</v>
      </c>
      <c r="Z220" s="3">
        <f t="shared" si="181"/>
        <v>0.12974575241004663</v>
      </c>
      <c r="AA220" s="3">
        <f t="shared" si="181"/>
        <v>0.12857401114732084</v>
      </c>
      <c r="AB220" s="3">
        <f t="shared" si="181"/>
        <v>0.11742312458293261</v>
      </c>
      <c r="AC220" s="3">
        <f t="shared" si="181"/>
        <v>4.7397783161214208E-2</v>
      </c>
      <c r="AD220" s="3">
        <f t="shared" si="181"/>
        <v>5.4425446631329951E-6</v>
      </c>
      <c r="AE220" s="3">
        <f t="shared" si="181"/>
        <v>2.1689109460620177E-45</v>
      </c>
      <c r="AF220" s="3">
        <f t="shared" si="181"/>
        <v>0</v>
      </c>
      <c r="AG220" s="3"/>
      <c r="AH220" s="3"/>
    </row>
    <row r="221" spans="1:34" x14ac:dyDescent="0.25">
      <c r="B221" s="3">
        <f t="shared" ref="B221:AF221" si="182">$C29*EXP(-B$207/$A29/EXP(-$D$126))</f>
        <v>7.5604381501705717E-2</v>
      </c>
      <c r="C221" s="3">
        <f t="shared" si="182"/>
        <v>7.5604381501705717E-2</v>
      </c>
      <c r="D221" s="3">
        <f t="shared" si="182"/>
        <v>7.5604381501705717E-2</v>
      </c>
      <c r="E221" s="3">
        <f t="shared" si="182"/>
        <v>7.5604381501705717E-2</v>
      </c>
      <c r="F221" s="3">
        <f t="shared" si="182"/>
        <v>7.5604381501705717E-2</v>
      </c>
      <c r="G221" s="3">
        <f t="shared" si="182"/>
        <v>7.5604381501705717E-2</v>
      </c>
      <c r="H221" s="3">
        <f t="shared" si="182"/>
        <v>7.5604381501705717E-2</v>
      </c>
      <c r="I221" s="3">
        <f t="shared" si="182"/>
        <v>7.5604381501705717E-2</v>
      </c>
      <c r="J221" s="3">
        <f t="shared" si="182"/>
        <v>7.5604381501705717E-2</v>
      </c>
      <c r="K221" s="3">
        <f t="shared" si="182"/>
        <v>7.5604381501705717E-2</v>
      </c>
      <c r="L221" s="3">
        <f t="shared" si="182"/>
        <v>7.5604381501705717E-2</v>
      </c>
      <c r="M221" s="3">
        <f t="shared" si="182"/>
        <v>7.5604381501705717E-2</v>
      </c>
      <c r="N221" s="3">
        <f t="shared" si="182"/>
        <v>7.5604381501705703E-2</v>
      </c>
      <c r="O221" s="3">
        <f t="shared" si="182"/>
        <v>7.5604381501705648E-2</v>
      </c>
      <c r="P221" s="3">
        <f t="shared" si="182"/>
        <v>7.5604381501705023E-2</v>
      </c>
      <c r="Q221" s="3">
        <f t="shared" si="182"/>
        <v>7.5604381501698847E-2</v>
      </c>
      <c r="R221" s="3">
        <f t="shared" si="182"/>
        <v>7.5604381501636966E-2</v>
      </c>
      <c r="S221" s="3">
        <f t="shared" si="182"/>
        <v>7.5604381501018239E-2</v>
      </c>
      <c r="T221" s="3">
        <f t="shared" si="182"/>
        <v>7.5604381494830952E-2</v>
      </c>
      <c r="U221" s="3">
        <f t="shared" si="182"/>
        <v>7.5604381432958029E-2</v>
      </c>
      <c r="V221" s="3">
        <f t="shared" si="182"/>
        <v>7.5604380814228822E-2</v>
      </c>
      <c r="W221" s="3">
        <f t="shared" si="182"/>
        <v>7.5604374626937032E-2</v>
      </c>
      <c r="X221" s="3">
        <f t="shared" si="182"/>
        <v>7.5604312754046957E-2</v>
      </c>
      <c r="Y221" s="3">
        <f t="shared" si="182"/>
        <v>7.5603694027931281E-2</v>
      </c>
      <c r="Z221" s="3">
        <f t="shared" si="182"/>
        <v>7.559750704525986E-2</v>
      </c>
      <c r="AA221" s="3">
        <f t="shared" si="182"/>
        <v>7.553566505864974E-2</v>
      </c>
      <c r="AB221" s="3">
        <f t="shared" si="182"/>
        <v>7.4920020791418379E-2</v>
      </c>
      <c r="AC221" s="3">
        <f t="shared" si="182"/>
        <v>6.9032914321165109E-2</v>
      </c>
      <c r="AD221" s="3">
        <f t="shared" si="182"/>
        <v>3.045365315381517E-2</v>
      </c>
      <c r="AE221" s="3">
        <f t="shared" si="182"/>
        <v>8.5010248752478174E-6</v>
      </c>
      <c r="AF221" s="3">
        <f t="shared" si="182"/>
        <v>2.4422503794404149E-41</v>
      </c>
      <c r="AG221" s="3"/>
      <c r="AH221" s="3"/>
    </row>
    <row r="222" spans="1:34" x14ac:dyDescent="0.25">
      <c r="B222" s="3">
        <f t="shared" ref="B222:AF222" si="183">$C30*EXP(-B$207/$A30/EXP(-$D$126))</f>
        <v>4.9796050081425132E-2</v>
      </c>
      <c r="C222" s="3">
        <f t="shared" si="183"/>
        <v>4.9796050081425132E-2</v>
      </c>
      <c r="D222" s="3">
        <f t="shared" si="183"/>
        <v>4.9796050081425132E-2</v>
      </c>
      <c r="E222" s="3">
        <f t="shared" si="183"/>
        <v>4.9796050081425132E-2</v>
      </c>
      <c r="F222" s="3">
        <f t="shared" si="183"/>
        <v>4.9796050081425132E-2</v>
      </c>
      <c r="G222" s="3">
        <f t="shared" si="183"/>
        <v>4.9796050081425132E-2</v>
      </c>
      <c r="H222" s="3">
        <f t="shared" si="183"/>
        <v>4.9796050081425132E-2</v>
      </c>
      <c r="I222" s="3">
        <f t="shared" si="183"/>
        <v>4.9796050081425132E-2</v>
      </c>
      <c r="J222" s="3">
        <f t="shared" si="183"/>
        <v>4.9796050081425132E-2</v>
      </c>
      <c r="K222" s="3">
        <f t="shared" si="183"/>
        <v>4.9796050081425132E-2</v>
      </c>
      <c r="L222" s="3">
        <f t="shared" si="183"/>
        <v>4.9796050081425132E-2</v>
      </c>
      <c r="M222" s="3">
        <f t="shared" si="183"/>
        <v>4.9796050081425132E-2</v>
      </c>
      <c r="N222" s="3">
        <f t="shared" si="183"/>
        <v>4.9796050081425132E-2</v>
      </c>
      <c r="O222" s="3">
        <f t="shared" si="183"/>
        <v>4.9796050081425125E-2</v>
      </c>
      <c r="P222" s="3">
        <f t="shared" si="183"/>
        <v>4.979605008142509E-2</v>
      </c>
      <c r="Q222" s="3">
        <f t="shared" si="183"/>
        <v>4.9796050081424723E-2</v>
      </c>
      <c r="R222" s="3">
        <f t="shared" si="183"/>
        <v>4.9796050081421045E-2</v>
      </c>
      <c r="S222" s="3">
        <f t="shared" si="183"/>
        <v>4.979605008138429E-2</v>
      </c>
      <c r="T222" s="3">
        <f t="shared" si="183"/>
        <v>4.9796050081016667E-2</v>
      </c>
      <c r="U222" s="3">
        <f t="shared" si="183"/>
        <v>4.9796050077340503E-2</v>
      </c>
      <c r="V222" s="3">
        <f t="shared" si="183"/>
        <v>4.979605004057884E-2</v>
      </c>
      <c r="W222" s="3">
        <f t="shared" si="183"/>
        <v>4.9796049672962223E-2</v>
      </c>
      <c r="X222" s="3">
        <f t="shared" si="183"/>
        <v>4.9796045996796164E-2</v>
      </c>
      <c r="Y222" s="3">
        <f t="shared" si="183"/>
        <v>4.9796009235150505E-2</v>
      </c>
      <c r="Z222" s="3">
        <f t="shared" si="183"/>
        <v>4.9795641620186598E-2</v>
      </c>
      <c r="AA222" s="3">
        <f t="shared" si="183"/>
        <v>4.9791965619807997E-2</v>
      </c>
      <c r="AB222" s="3">
        <f t="shared" si="183"/>
        <v>4.9755220537995866E-2</v>
      </c>
      <c r="AC222" s="3">
        <f t="shared" si="183"/>
        <v>4.9389257849350332E-2</v>
      </c>
      <c r="AD222" s="3">
        <f t="shared" si="183"/>
        <v>4.5874458101121514E-2</v>
      </c>
      <c r="AE222" s="3">
        <f t="shared" si="183"/>
        <v>2.192579835721583E-2</v>
      </c>
      <c r="AF222" s="3">
        <f t="shared" si="183"/>
        <v>1.3639551882358734E-5</v>
      </c>
      <c r="AG222" s="3"/>
      <c r="AH222" s="3"/>
    </row>
    <row r="223" spans="1:34" x14ac:dyDescent="0.25">
      <c r="B223" s="3">
        <f t="shared" ref="B223:AF223" si="184">$C31*EXP(-B$207/$A31/EXP(-$D$126))</f>
        <v>2.0966447401353387E-2</v>
      </c>
      <c r="C223" s="3">
        <f t="shared" si="184"/>
        <v>2.0966447401353387E-2</v>
      </c>
      <c r="D223" s="3">
        <f t="shared" si="184"/>
        <v>2.0966447401353387E-2</v>
      </c>
      <c r="E223" s="3">
        <f t="shared" si="184"/>
        <v>2.0966447401353387E-2</v>
      </c>
      <c r="F223" s="3">
        <f t="shared" si="184"/>
        <v>2.0966447401353387E-2</v>
      </c>
      <c r="G223" s="3">
        <f t="shared" si="184"/>
        <v>2.0966447401353387E-2</v>
      </c>
      <c r="H223" s="3">
        <f t="shared" si="184"/>
        <v>2.0966447401353387E-2</v>
      </c>
      <c r="I223" s="3">
        <f t="shared" si="184"/>
        <v>2.0966447401353387E-2</v>
      </c>
      <c r="J223" s="3">
        <f t="shared" si="184"/>
        <v>2.0966447401353387E-2</v>
      </c>
      <c r="K223" s="3">
        <f t="shared" si="184"/>
        <v>2.0966447401353387E-2</v>
      </c>
      <c r="L223" s="3">
        <f t="shared" si="184"/>
        <v>2.0966447401353387E-2</v>
      </c>
      <c r="M223" s="3">
        <f t="shared" si="184"/>
        <v>2.0966447401353387E-2</v>
      </c>
      <c r="N223" s="3">
        <f t="shared" si="184"/>
        <v>2.0966447401353387E-2</v>
      </c>
      <c r="O223" s="3">
        <f t="shared" si="184"/>
        <v>2.0966447401353387E-2</v>
      </c>
      <c r="P223" s="3">
        <f t="shared" si="184"/>
        <v>2.0966447401353384E-2</v>
      </c>
      <c r="Q223" s="3">
        <f t="shared" si="184"/>
        <v>2.096644740135337E-2</v>
      </c>
      <c r="R223" s="3">
        <f t="shared" si="184"/>
        <v>2.0966447401353231E-2</v>
      </c>
      <c r="S223" s="3">
        <f t="shared" si="184"/>
        <v>2.0966447401351836E-2</v>
      </c>
      <c r="T223" s="3">
        <f t="shared" si="184"/>
        <v>2.0966447401337872E-2</v>
      </c>
      <c r="U223" s="3">
        <f t="shared" si="184"/>
        <v>2.0966447401198244E-2</v>
      </c>
      <c r="V223" s="3">
        <f t="shared" si="184"/>
        <v>2.0966447399801968E-2</v>
      </c>
      <c r="W223" s="3">
        <f t="shared" si="184"/>
        <v>2.0966447385839193E-2</v>
      </c>
      <c r="X223" s="3">
        <f t="shared" si="184"/>
        <v>2.0966447246211464E-2</v>
      </c>
      <c r="Y223" s="3">
        <f t="shared" si="184"/>
        <v>2.0966445849934196E-2</v>
      </c>
      <c r="Z223" s="3">
        <f t="shared" si="184"/>
        <v>2.0966431887166626E-2</v>
      </c>
      <c r="AA223" s="3">
        <f t="shared" si="184"/>
        <v>2.0966292260002368E-2</v>
      </c>
      <c r="AB223" s="3">
        <f t="shared" si="184"/>
        <v>2.0964896039500781E-2</v>
      </c>
      <c r="AC223" s="3">
        <f t="shared" si="184"/>
        <v>2.0950938947326248E-2</v>
      </c>
      <c r="AD223" s="3">
        <f t="shared" si="184"/>
        <v>2.0811878052127707E-2</v>
      </c>
      <c r="AE223" s="3">
        <f t="shared" si="184"/>
        <v>1.9471037099860755E-2</v>
      </c>
      <c r="AF223" s="3">
        <f t="shared" si="184"/>
        <v>1.0003850717432809E-2</v>
      </c>
      <c r="AG223" s="3"/>
      <c r="AH223" s="3"/>
    </row>
    <row r="224" spans="1:34" x14ac:dyDescent="0.25">
      <c r="B224" s="3">
        <f t="shared" ref="B224:AF224" si="185">$C32*EXP(-B$207/$A32/EXP(-$D$126))</f>
        <v>3.9443248072899657E-3</v>
      </c>
      <c r="C224" s="3">
        <f t="shared" si="185"/>
        <v>3.9443248072899657E-3</v>
      </c>
      <c r="D224" s="3">
        <f t="shared" si="185"/>
        <v>3.9443248072899657E-3</v>
      </c>
      <c r="E224" s="3">
        <f t="shared" si="185"/>
        <v>3.9443248072899657E-3</v>
      </c>
      <c r="F224" s="3">
        <f t="shared" si="185"/>
        <v>3.9443248072899657E-3</v>
      </c>
      <c r="G224" s="3">
        <f t="shared" si="185"/>
        <v>3.9443248072899657E-3</v>
      </c>
      <c r="H224" s="3">
        <f t="shared" si="185"/>
        <v>3.9443248072899657E-3</v>
      </c>
      <c r="I224" s="3">
        <f t="shared" si="185"/>
        <v>3.9443248072899657E-3</v>
      </c>
      <c r="J224" s="3">
        <f t="shared" si="185"/>
        <v>3.9443248072899657E-3</v>
      </c>
      <c r="K224" s="3">
        <f t="shared" si="185"/>
        <v>3.9443248072899657E-3</v>
      </c>
      <c r="L224" s="3">
        <f t="shared" si="185"/>
        <v>3.9443248072899657E-3</v>
      </c>
      <c r="M224" s="3">
        <f t="shared" si="185"/>
        <v>3.9443248072899657E-3</v>
      </c>
      <c r="N224" s="3">
        <f t="shared" si="185"/>
        <v>3.9443248072899657E-3</v>
      </c>
      <c r="O224" s="3">
        <f t="shared" si="185"/>
        <v>3.9443248072899657E-3</v>
      </c>
      <c r="P224" s="3">
        <f t="shared" si="185"/>
        <v>3.9443248072899657E-3</v>
      </c>
      <c r="Q224" s="3">
        <f t="shared" si="185"/>
        <v>3.9443248072899648E-3</v>
      </c>
      <c r="R224" s="3">
        <f t="shared" si="185"/>
        <v>3.9443248072899631E-3</v>
      </c>
      <c r="S224" s="3">
        <f t="shared" si="185"/>
        <v>3.9443248072899397E-3</v>
      </c>
      <c r="T224" s="3">
        <f t="shared" si="185"/>
        <v>3.9443248072897029E-3</v>
      </c>
      <c r="U224" s="3">
        <f t="shared" si="185"/>
        <v>3.9443248072873333E-3</v>
      </c>
      <c r="V224" s="3">
        <f t="shared" si="185"/>
        <v>3.9443248072636369E-3</v>
      </c>
      <c r="W224" s="3">
        <f t="shared" si="185"/>
        <v>3.9443248070266824E-3</v>
      </c>
      <c r="X224" s="3">
        <f t="shared" si="185"/>
        <v>3.9443248046571308E-3</v>
      </c>
      <c r="Y224" s="3">
        <f t="shared" si="185"/>
        <v>3.9443247809616191E-3</v>
      </c>
      <c r="Z224" s="3">
        <f t="shared" si="185"/>
        <v>3.9443245440065073E-3</v>
      </c>
      <c r="AA224" s="3">
        <f t="shared" si="185"/>
        <v>3.9443221744561701E-3</v>
      </c>
      <c r="AB224" s="3">
        <f t="shared" si="185"/>
        <v>3.9442984790310966E-3</v>
      </c>
      <c r="AC224" s="3">
        <f t="shared" si="185"/>
        <v>3.94406153260945E-3</v>
      </c>
      <c r="AD224" s="3">
        <f t="shared" si="185"/>
        <v>3.9416928511283615E-3</v>
      </c>
      <c r="AE224" s="3">
        <f t="shared" si="185"/>
        <v>3.918084136149599E-3</v>
      </c>
      <c r="AF224" s="3">
        <f t="shared" si="185"/>
        <v>3.6896361256841814E-3</v>
      </c>
      <c r="AG224" s="3"/>
      <c r="AH224" s="3"/>
    </row>
    <row r="225" spans="2:34" x14ac:dyDescent="0.25">
      <c r="B225" s="3">
        <f t="shared" ref="B225:AF225" si="186">$C33*EXP(-B$207/$A33/EXP(-$D$126))</f>
        <v>3.51380910541953E-3</v>
      </c>
      <c r="C225" s="3">
        <f t="shared" si="186"/>
        <v>3.51380910541953E-3</v>
      </c>
      <c r="D225" s="3">
        <f t="shared" si="186"/>
        <v>3.51380910541953E-3</v>
      </c>
      <c r="E225" s="3">
        <f t="shared" si="186"/>
        <v>3.51380910541953E-3</v>
      </c>
      <c r="F225" s="3">
        <f t="shared" si="186"/>
        <v>3.51380910541953E-3</v>
      </c>
      <c r="G225" s="3">
        <f t="shared" si="186"/>
        <v>3.51380910541953E-3</v>
      </c>
      <c r="H225" s="3">
        <f t="shared" si="186"/>
        <v>3.51380910541953E-3</v>
      </c>
      <c r="I225" s="3">
        <f t="shared" si="186"/>
        <v>3.51380910541953E-3</v>
      </c>
      <c r="J225" s="3">
        <f t="shared" si="186"/>
        <v>3.51380910541953E-3</v>
      </c>
      <c r="K225" s="3">
        <f t="shared" si="186"/>
        <v>3.51380910541953E-3</v>
      </c>
      <c r="L225" s="3">
        <f t="shared" si="186"/>
        <v>3.51380910541953E-3</v>
      </c>
      <c r="M225" s="3">
        <f t="shared" si="186"/>
        <v>3.51380910541953E-3</v>
      </c>
      <c r="N225" s="3">
        <f t="shared" si="186"/>
        <v>3.51380910541953E-3</v>
      </c>
      <c r="O225" s="3">
        <f t="shared" si="186"/>
        <v>3.51380910541953E-3</v>
      </c>
      <c r="P225" s="3">
        <f t="shared" si="186"/>
        <v>3.51380910541953E-3</v>
      </c>
      <c r="Q225" s="3">
        <f t="shared" si="186"/>
        <v>3.51380910541953E-3</v>
      </c>
      <c r="R225" s="3">
        <f t="shared" si="186"/>
        <v>3.5138091054195296E-3</v>
      </c>
      <c r="S225" s="3">
        <f t="shared" si="186"/>
        <v>3.5138091054195283E-3</v>
      </c>
      <c r="T225" s="3">
        <f t="shared" si="186"/>
        <v>3.5138091054195087E-3</v>
      </c>
      <c r="U225" s="3">
        <f t="shared" si="186"/>
        <v>3.5138091054193184E-3</v>
      </c>
      <c r="V225" s="3">
        <f t="shared" si="186"/>
        <v>3.5138091054174141E-3</v>
      </c>
      <c r="W225" s="3">
        <f t="shared" si="186"/>
        <v>3.513809105398372E-3</v>
      </c>
      <c r="X225" s="3">
        <f t="shared" si="186"/>
        <v>3.5138091052079492E-3</v>
      </c>
      <c r="Y225" s="3">
        <f t="shared" si="186"/>
        <v>3.5138091033037251E-3</v>
      </c>
      <c r="Z225" s="3">
        <f t="shared" si="186"/>
        <v>3.5138090842614786E-3</v>
      </c>
      <c r="AA225" s="3">
        <f t="shared" si="186"/>
        <v>3.5138088938390199E-3</v>
      </c>
      <c r="AB225" s="3">
        <f t="shared" si="186"/>
        <v>3.5138069896150032E-3</v>
      </c>
      <c r="AC225" s="3">
        <f t="shared" si="186"/>
        <v>3.5137879474315937E-3</v>
      </c>
      <c r="AD225" s="3">
        <f t="shared" si="186"/>
        <v>3.5135975312730865E-3</v>
      </c>
      <c r="AE225" s="3">
        <f t="shared" si="186"/>
        <v>3.5116939371334951E-3</v>
      </c>
      <c r="AF225" s="3">
        <f t="shared" si="186"/>
        <v>3.4927146266697687E-3</v>
      </c>
      <c r="AG225" s="3"/>
      <c r="AH225" s="3"/>
    </row>
    <row r="226" spans="2:34" x14ac:dyDescent="0.25">
      <c r="B226" s="3">
        <f t="shared" ref="B226:AF226" si="187">$C34*EXP(-B$207/$A34/EXP(-$D$126))</f>
        <v>7.1978944921583432E-4</v>
      </c>
      <c r="C226" s="3">
        <f t="shared" si="187"/>
        <v>7.1978944921583432E-4</v>
      </c>
      <c r="D226" s="3">
        <f t="shared" si="187"/>
        <v>7.1978944921583432E-4</v>
      </c>
      <c r="E226" s="3">
        <f t="shared" si="187"/>
        <v>7.1978944921583432E-4</v>
      </c>
      <c r="F226" s="3">
        <f t="shared" si="187"/>
        <v>7.1978944921583432E-4</v>
      </c>
      <c r="G226" s="3">
        <f t="shared" si="187"/>
        <v>7.1978944921583432E-4</v>
      </c>
      <c r="H226" s="3">
        <f t="shared" si="187"/>
        <v>7.1978944921583432E-4</v>
      </c>
      <c r="I226" s="3">
        <f t="shared" si="187"/>
        <v>7.1978944921583432E-4</v>
      </c>
      <c r="J226" s="3">
        <f t="shared" si="187"/>
        <v>7.1978944921583432E-4</v>
      </c>
      <c r="K226" s="3">
        <f t="shared" si="187"/>
        <v>7.1978944921583432E-4</v>
      </c>
      <c r="L226" s="3">
        <f t="shared" si="187"/>
        <v>7.1978944921583432E-4</v>
      </c>
      <c r="M226" s="3">
        <f t="shared" si="187"/>
        <v>7.1978944921583432E-4</v>
      </c>
      <c r="N226" s="3">
        <f t="shared" si="187"/>
        <v>7.1978944921583432E-4</v>
      </c>
      <c r="O226" s="3">
        <f t="shared" si="187"/>
        <v>7.1978944921583432E-4</v>
      </c>
      <c r="P226" s="3">
        <f t="shared" si="187"/>
        <v>7.1978944921583432E-4</v>
      </c>
      <c r="Q226" s="3">
        <f t="shared" si="187"/>
        <v>7.1978944921583432E-4</v>
      </c>
      <c r="R226" s="3">
        <f t="shared" si="187"/>
        <v>7.1978944921583432E-4</v>
      </c>
      <c r="S226" s="3">
        <f t="shared" si="187"/>
        <v>7.1978944921583432E-4</v>
      </c>
      <c r="T226" s="3">
        <f t="shared" si="187"/>
        <v>7.1978944921583389E-4</v>
      </c>
      <c r="U226" s="3">
        <f t="shared" si="187"/>
        <v>7.1978944921583042E-4</v>
      </c>
      <c r="V226" s="3">
        <f t="shared" si="187"/>
        <v>7.1978944921579529E-4</v>
      </c>
      <c r="W226" s="3">
        <f t="shared" si="187"/>
        <v>7.1978944921544336E-4</v>
      </c>
      <c r="X226" s="3">
        <f t="shared" si="187"/>
        <v>7.1978944921192458E-4</v>
      </c>
      <c r="Y226" s="3">
        <f t="shared" si="187"/>
        <v>7.197894491767368E-4</v>
      </c>
      <c r="Z226" s="3">
        <f t="shared" si="187"/>
        <v>7.1978944882485876E-4</v>
      </c>
      <c r="AA226" s="3">
        <f t="shared" si="187"/>
        <v>7.1978944530607899E-4</v>
      </c>
      <c r="AB226" s="3">
        <f t="shared" si="187"/>
        <v>7.1978941011828252E-4</v>
      </c>
      <c r="AC226" s="3">
        <f t="shared" si="187"/>
        <v>7.1978905824041128E-4</v>
      </c>
      <c r="AD226" s="3">
        <f t="shared" si="187"/>
        <v>7.1978553947116091E-4</v>
      </c>
      <c r="AE226" s="3">
        <f t="shared" si="187"/>
        <v>7.1975035272474699E-4</v>
      </c>
      <c r="AF226" s="3">
        <f t="shared" si="187"/>
        <v>7.1939857985254152E-4</v>
      </c>
      <c r="AG226" s="3"/>
      <c r="AH226" s="3"/>
    </row>
    <row r="227" spans="2:34" x14ac:dyDescent="0.25">
      <c r="B227" s="3">
        <f t="shared" ref="B227:AF227" si="188">$C35*EXP(-B$207/$A35/EXP(-$D$126))</f>
        <v>5.3803230598076777E-4</v>
      </c>
      <c r="C227" s="3">
        <f t="shared" si="188"/>
        <v>5.3803230598076777E-4</v>
      </c>
      <c r="D227" s="3">
        <f t="shared" si="188"/>
        <v>5.3803230598076777E-4</v>
      </c>
      <c r="E227" s="3">
        <f t="shared" si="188"/>
        <v>5.3803230598076777E-4</v>
      </c>
      <c r="F227" s="3">
        <f t="shared" si="188"/>
        <v>5.3803230598076777E-4</v>
      </c>
      <c r="G227" s="3">
        <f t="shared" si="188"/>
        <v>5.3803230598076777E-4</v>
      </c>
      <c r="H227" s="3">
        <f t="shared" si="188"/>
        <v>5.3803230598076777E-4</v>
      </c>
      <c r="I227" s="3">
        <f t="shared" si="188"/>
        <v>5.3803230598076777E-4</v>
      </c>
      <c r="J227" s="3">
        <f t="shared" si="188"/>
        <v>5.3803230598076777E-4</v>
      </c>
      <c r="K227" s="3">
        <f t="shared" si="188"/>
        <v>5.3803230598076777E-4</v>
      </c>
      <c r="L227" s="3">
        <f t="shared" si="188"/>
        <v>5.3803230598076777E-4</v>
      </c>
      <c r="M227" s="3">
        <f t="shared" si="188"/>
        <v>5.3803230598076777E-4</v>
      </c>
      <c r="N227" s="3">
        <f t="shared" si="188"/>
        <v>5.3803230598076777E-4</v>
      </c>
      <c r="O227" s="3">
        <f t="shared" si="188"/>
        <v>5.3803230598076777E-4</v>
      </c>
      <c r="P227" s="3">
        <f t="shared" si="188"/>
        <v>5.3803230598076777E-4</v>
      </c>
      <c r="Q227" s="3">
        <f t="shared" si="188"/>
        <v>5.3803230598076777E-4</v>
      </c>
      <c r="R227" s="3">
        <f t="shared" si="188"/>
        <v>5.3803230598076777E-4</v>
      </c>
      <c r="S227" s="3">
        <f t="shared" si="188"/>
        <v>5.3803230598076777E-4</v>
      </c>
      <c r="T227" s="3">
        <f t="shared" si="188"/>
        <v>5.3803230598076777E-4</v>
      </c>
      <c r="U227" s="3">
        <f t="shared" si="188"/>
        <v>5.3803230598076755E-4</v>
      </c>
      <c r="V227" s="3">
        <f t="shared" si="188"/>
        <v>5.3803230598076517E-4</v>
      </c>
      <c r="W227" s="3">
        <f t="shared" si="188"/>
        <v>5.3803230598074142E-4</v>
      </c>
      <c r="X227" s="3">
        <f t="shared" si="188"/>
        <v>5.380323059805042E-4</v>
      </c>
      <c r="Y227" s="3">
        <f t="shared" si="188"/>
        <v>5.3803230597813142E-4</v>
      </c>
      <c r="Z227" s="3">
        <f t="shared" si="188"/>
        <v>5.3803230595440453E-4</v>
      </c>
      <c r="AA227" s="3">
        <f t="shared" si="188"/>
        <v>5.3803230571713523E-4</v>
      </c>
      <c r="AB227" s="3">
        <f t="shared" si="188"/>
        <v>5.3803230334444215E-4</v>
      </c>
      <c r="AC227" s="3">
        <f t="shared" si="188"/>
        <v>5.3803227961751255E-4</v>
      </c>
      <c r="AD227" s="3">
        <f t="shared" si="188"/>
        <v>5.38032042348274E-4</v>
      </c>
      <c r="AE227" s="3">
        <f t="shared" si="188"/>
        <v>5.3802966966164296E-4</v>
      </c>
      <c r="AF227" s="3">
        <f t="shared" si="188"/>
        <v>5.3800594337081184E-4</v>
      </c>
      <c r="AG227" s="3"/>
      <c r="AH227" s="3"/>
    </row>
    <row r="228" spans="2:34" x14ac:dyDescent="0.25">
      <c r="B228" s="3">
        <f t="shared" ref="B228:AF228" si="189">$C36*EXP(-B$207/$A36/EXP(-$D$126))</f>
        <v>5.6418757759686938E-4</v>
      </c>
      <c r="C228" s="3">
        <f t="shared" si="189"/>
        <v>5.6418757759686938E-4</v>
      </c>
      <c r="D228" s="3">
        <f t="shared" si="189"/>
        <v>5.6418757759686938E-4</v>
      </c>
      <c r="E228" s="3">
        <f t="shared" si="189"/>
        <v>5.6418757759686938E-4</v>
      </c>
      <c r="F228" s="3">
        <f t="shared" si="189"/>
        <v>5.6418757759686938E-4</v>
      </c>
      <c r="G228" s="3">
        <f t="shared" si="189"/>
        <v>5.6418757759686938E-4</v>
      </c>
      <c r="H228" s="3">
        <f t="shared" si="189"/>
        <v>5.6418757759686938E-4</v>
      </c>
      <c r="I228" s="3">
        <f t="shared" si="189"/>
        <v>5.6418757759686938E-4</v>
      </c>
      <c r="J228" s="3">
        <f t="shared" si="189"/>
        <v>5.6418757759686938E-4</v>
      </c>
      <c r="K228" s="3">
        <f t="shared" si="189"/>
        <v>5.6418757759686938E-4</v>
      </c>
      <c r="L228" s="3">
        <f t="shared" si="189"/>
        <v>5.6418757759686938E-4</v>
      </c>
      <c r="M228" s="3">
        <f t="shared" si="189"/>
        <v>5.6418757759686938E-4</v>
      </c>
      <c r="N228" s="3">
        <f t="shared" si="189"/>
        <v>5.6418757759686938E-4</v>
      </c>
      <c r="O228" s="3">
        <f t="shared" si="189"/>
        <v>5.6418757759686938E-4</v>
      </c>
      <c r="P228" s="3">
        <f t="shared" si="189"/>
        <v>5.6418757759686938E-4</v>
      </c>
      <c r="Q228" s="3">
        <f t="shared" si="189"/>
        <v>5.6418757759686938E-4</v>
      </c>
      <c r="R228" s="3">
        <f t="shared" si="189"/>
        <v>5.6418757759686938E-4</v>
      </c>
      <c r="S228" s="3">
        <f t="shared" si="189"/>
        <v>5.6418757759686938E-4</v>
      </c>
      <c r="T228" s="3">
        <f t="shared" si="189"/>
        <v>5.6418757759686938E-4</v>
      </c>
      <c r="U228" s="3">
        <f t="shared" si="189"/>
        <v>5.6418757759686938E-4</v>
      </c>
      <c r="V228" s="3">
        <f t="shared" si="189"/>
        <v>5.6418757759686916E-4</v>
      </c>
      <c r="W228" s="3">
        <f t="shared" si="189"/>
        <v>5.6418757759686688E-4</v>
      </c>
      <c r="X228" s="3">
        <f t="shared" si="189"/>
        <v>5.6418757759684444E-4</v>
      </c>
      <c r="Y228" s="3">
        <f t="shared" si="189"/>
        <v>5.6418757759662001E-4</v>
      </c>
      <c r="Z228" s="3">
        <f t="shared" si="189"/>
        <v>5.6418757759437561E-4</v>
      </c>
      <c r="AA228" s="3">
        <f t="shared" si="189"/>
        <v>5.6418757757193143E-4</v>
      </c>
      <c r="AB228" s="3">
        <f t="shared" si="189"/>
        <v>5.6418757734748987E-4</v>
      </c>
      <c r="AC228" s="3">
        <f t="shared" si="189"/>
        <v>5.6418757510307406E-4</v>
      </c>
      <c r="AD228" s="3">
        <f t="shared" si="189"/>
        <v>5.6418755265891696E-4</v>
      </c>
      <c r="AE228" s="3">
        <f t="shared" si="189"/>
        <v>5.6418732821739506E-4</v>
      </c>
      <c r="AF228" s="3">
        <f t="shared" si="189"/>
        <v>5.6418508380708641E-4</v>
      </c>
      <c r="AG228" s="3"/>
      <c r="AH228" s="3"/>
    </row>
    <row r="229" spans="2:34" x14ac:dyDescent="0.25">
      <c r="B229" s="3">
        <f t="shared" ref="B229:AF229" si="190">$C37*EXP(-B$207/$A37/EXP(-$D$126))</f>
        <v>5.289794145093928E-4</v>
      </c>
      <c r="C229" s="3">
        <f t="shared" si="190"/>
        <v>5.289794145093928E-4</v>
      </c>
      <c r="D229" s="3">
        <f t="shared" si="190"/>
        <v>5.289794145093928E-4</v>
      </c>
      <c r="E229" s="3">
        <f t="shared" si="190"/>
        <v>5.289794145093928E-4</v>
      </c>
      <c r="F229" s="3">
        <f t="shared" si="190"/>
        <v>5.289794145093928E-4</v>
      </c>
      <c r="G229" s="3">
        <f t="shared" si="190"/>
        <v>5.289794145093928E-4</v>
      </c>
      <c r="H229" s="3">
        <f t="shared" si="190"/>
        <v>5.289794145093928E-4</v>
      </c>
      <c r="I229" s="3">
        <f t="shared" si="190"/>
        <v>5.289794145093928E-4</v>
      </c>
      <c r="J229" s="3">
        <f t="shared" si="190"/>
        <v>5.289794145093928E-4</v>
      </c>
      <c r="K229" s="3">
        <f t="shared" si="190"/>
        <v>5.289794145093928E-4</v>
      </c>
      <c r="L229" s="3">
        <f t="shared" si="190"/>
        <v>5.289794145093928E-4</v>
      </c>
      <c r="M229" s="3">
        <f t="shared" si="190"/>
        <v>5.289794145093928E-4</v>
      </c>
      <c r="N229" s="3">
        <f t="shared" si="190"/>
        <v>5.289794145093928E-4</v>
      </c>
      <c r="O229" s="3">
        <f t="shared" si="190"/>
        <v>5.289794145093928E-4</v>
      </c>
      <c r="P229" s="3">
        <f t="shared" si="190"/>
        <v>5.289794145093928E-4</v>
      </c>
      <c r="Q229" s="3">
        <f t="shared" si="190"/>
        <v>5.289794145093928E-4</v>
      </c>
      <c r="R229" s="3">
        <f t="shared" si="190"/>
        <v>5.289794145093928E-4</v>
      </c>
      <c r="S229" s="3">
        <f t="shared" si="190"/>
        <v>5.289794145093928E-4</v>
      </c>
      <c r="T229" s="3">
        <f t="shared" si="190"/>
        <v>5.289794145093928E-4</v>
      </c>
      <c r="U229" s="3">
        <f t="shared" si="190"/>
        <v>5.289794145093928E-4</v>
      </c>
      <c r="V229" s="3">
        <f t="shared" si="190"/>
        <v>5.289794145093928E-4</v>
      </c>
      <c r="W229" s="3">
        <f t="shared" si="190"/>
        <v>5.2897941450939258E-4</v>
      </c>
      <c r="X229" s="3">
        <f t="shared" si="190"/>
        <v>5.2897941450939063E-4</v>
      </c>
      <c r="Y229" s="3">
        <f t="shared" si="190"/>
        <v>5.2897941450937176E-4</v>
      </c>
      <c r="Z229" s="3">
        <f t="shared" si="190"/>
        <v>5.2897941450918192E-4</v>
      </c>
      <c r="AA229" s="3">
        <f t="shared" si="190"/>
        <v>5.2897941450728359E-4</v>
      </c>
      <c r="AB229" s="3">
        <f t="shared" si="190"/>
        <v>5.2897941448830062E-4</v>
      </c>
      <c r="AC229" s="3">
        <f t="shared" si="190"/>
        <v>5.2897941429847037E-4</v>
      </c>
      <c r="AD229" s="3">
        <f t="shared" si="190"/>
        <v>5.2897941240016909E-4</v>
      </c>
      <c r="AE229" s="3">
        <f t="shared" si="190"/>
        <v>5.2897939341715612E-4</v>
      </c>
      <c r="AF229" s="3">
        <f t="shared" si="190"/>
        <v>5.2897920358706404E-4</v>
      </c>
      <c r="AG229" s="3"/>
      <c r="AH229" s="3"/>
    </row>
    <row r="230" spans="2:34" x14ac:dyDescent="0.25">
      <c r="B230" s="3">
        <f t="shared" ref="B230:AF230" si="191">$C38*EXP(-B$207/$A38/EXP(-$D$126))</f>
        <v>5.3547450135887617E-5</v>
      </c>
      <c r="C230" s="3">
        <f t="shared" si="191"/>
        <v>5.3547450135887617E-5</v>
      </c>
      <c r="D230" s="3">
        <f t="shared" si="191"/>
        <v>5.3547450135887617E-5</v>
      </c>
      <c r="E230" s="3">
        <f t="shared" si="191"/>
        <v>5.3547450135887617E-5</v>
      </c>
      <c r="F230" s="3">
        <f t="shared" si="191"/>
        <v>5.3547450135887617E-5</v>
      </c>
      <c r="G230" s="3">
        <f t="shared" si="191"/>
        <v>5.3547450135887617E-5</v>
      </c>
      <c r="H230" s="3">
        <f t="shared" si="191"/>
        <v>5.3547450135887617E-5</v>
      </c>
      <c r="I230" s="3">
        <f t="shared" si="191"/>
        <v>5.3547450135887617E-5</v>
      </c>
      <c r="J230" s="3">
        <f t="shared" si="191"/>
        <v>5.3547450135887617E-5</v>
      </c>
      <c r="K230" s="3">
        <f t="shared" si="191"/>
        <v>5.3547450135887617E-5</v>
      </c>
      <c r="L230" s="3">
        <f t="shared" si="191"/>
        <v>5.3547450135887617E-5</v>
      </c>
      <c r="M230" s="3">
        <f t="shared" si="191"/>
        <v>5.3547450135887617E-5</v>
      </c>
      <c r="N230" s="3">
        <f t="shared" si="191"/>
        <v>5.3547450135887617E-5</v>
      </c>
      <c r="O230" s="3">
        <f t="shared" si="191"/>
        <v>5.3547450135887617E-5</v>
      </c>
      <c r="P230" s="3">
        <f t="shared" si="191"/>
        <v>5.3547450135887617E-5</v>
      </c>
      <c r="Q230" s="3">
        <f t="shared" si="191"/>
        <v>5.3547450135887617E-5</v>
      </c>
      <c r="R230" s="3">
        <f t="shared" si="191"/>
        <v>5.3547450135887617E-5</v>
      </c>
      <c r="S230" s="3">
        <f t="shared" si="191"/>
        <v>5.3547450135887617E-5</v>
      </c>
      <c r="T230" s="3">
        <f t="shared" si="191"/>
        <v>5.3547450135887617E-5</v>
      </c>
      <c r="U230" s="3">
        <f t="shared" si="191"/>
        <v>5.3547450135887617E-5</v>
      </c>
      <c r="V230" s="3">
        <f t="shared" si="191"/>
        <v>5.3547450135887617E-5</v>
      </c>
      <c r="W230" s="3">
        <f t="shared" si="191"/>
        <v>5.3547450135887617E-5</v>
      </c>
      <c r="X230" s="3">
        <f t="shared" si="191"/>
        <v>5.3547450135887597E-5</v>
      </c>
      <c r="Y230" s="3">
        <f t="shared" si="191"/>
        <v>5.3547450135887427E-5</v>
      </c>
      <c r="Z230" s="3">
        <f t="shared" si="191"/>
        <v>5.3547450135885693E-5</v>
      </c>
      <c r="AA230" s="3">
        <f t="shared" si="191"/>
        <v>5.3547450135868352E-5</v>
      </c>
      <c r="AB230" s="3">
        <f t="shared" si="191"/>
        <v>5.3547450135695015E-5</v>
      </c>
      <c r="AC230" s="3">
        <f t="shared" si="191"/>
        <v>5.3547450133961559E-5</v>
      </c>
      <c r="AD230" s="3">
        <f t="shared" si="191"/>
        <v>5.3547450116627043E-5</v>
      </c>
      <c r="AE230" s="3">
        <f t="shared" si="191"/>
        <v>5.3547449943281859E-5</v>
      </c>
      <c r="AF230" s="3">
        <f t="shared" si="191"/>
        <v>5.3547448209830112E-5</v>
      </c>
      <c r="AG230" s="3"/>
      <c r="AH230" s="3"/>
    </row>
    <row r="231" spans="2:34" x14ac:dyDescent="0.25">
      <c r="B231" s="3">
        <f t="shared" ref="B231:AF231" si="192">$C39*EXP(-B$207/$A39/EXP(-$D$126))</f>
        <v>4.4495454548071421E-4</v>
      </c>
      <c r="C231" s="3">
        <f t="shared" si="192"/>
        <v>4.4495454548071421E-4</v>
      </c>
      <c r="D231" s="3">
        <f t="shared" si="192"/>
        <v>4.4495454548071421E-4</v>
      </c>
      <c r="E231" s="3">
        <f t="shared" si="192"/>
        <v>4.4495454548071421E-4</v>
      </c>
      <c r="F231" s="3">
        <f t="shared" si="192"/>
        <v>4.4495454548071421E-4</v>
      </c>
      <c r="G231" s="3">
        <f t="shared" si="192"/>
        <v>4.4495454548071421E-4</v>
      </c>
      <c r="H231" s="3">
        <f t="shared" si="192"/>
        <v>4.4495454548071421E-4</v>
      </c>
      <c r="I231" s="3">
        <f t="shared" si="192"/>
        <v>4.4495454548071421E-4</v>
      </c>
      <c r="J231" s="3">
        <f t="shared" si="192"/>
        <v>4.4495454548071421E-4</v>
      </c>
      <c r="K231" s="3">
        <f t="shared" si="192"/>
        <v>4.4495454548071421E-4</v>
      </c>
      <c r="L231" s="3">
        <f t="shared" si="192"/>
        <v>4.4495454548071421E-4</v>
      </c>
      <c r="M231" s="3">
        <f t="shared" si="192"/>
        <v>4.4495454548071421E-4</v>
      </c>
      <c r="N231" s="3">
        <f t="shared" si="192"/>
        <v>4.4495454548071421E-4</v>
      </c>
      <c r="O231" s="3">
        <f t="shared" si="192"/>
        <v>4.4495454548071421E-4</v>
      </c>
      <c r="P231" s="3">
        <f t="shared" si="192"/>
        <v>4.4495454548071421E-4</v>
      </c>
      <c r="Q231" s="3">
        <f t="shared" si="192"/>
        <v>4.4495454548071421E-4</v>
      </c>
      <c r="R231" s="3">
        <f t="shared" si="192"/>
        <v>4.4495454548071421E-4</v>
      </c>
      <c r="S231" s="3">
        <f t="shared" si="192"/>
        <v>4.4495454548071421E-4</v>
      </c>
      <c r="T231" s="3">
        <f t="shared" si="192"/>
        <v>4.4495454548071421E-4</v>
      </c>
      <c r="U231" s="3">
        <f t="shared" si="192"/>
        <v>4.4495454548071421E-4</v>
      </c>
      <c r="V231" s="3">
        <f t="shared" si="192"/>
        <v>4.4495454548071421E-4</v>
      </c>
      <c r="W231" s="3">
        <f t="shared" si="192"/>
        <v>4.4495454548071421E-4</v>
      </c>
      <c r="X231" s="3">
        <f t="shared" si="192"/>
        <v>4.4495454548071416E-4</v>
      </c>
      <c r="Y231" s="3">
        <f t="shared" si="192"/>
        <v>4.4495454548071378E-4</v>
      </c>
      <c r="Z231" s="3">
        <f t="shared" si="192"/>
        <v>4.4495454548070976E-4</v>
      </c>
      <c r="AA231" s="3">
        <f t="shared" si="192"/>
        <v>4.4495454548066997E-4</v>
      </c>
      <c r="AB231" s="3">
        <f t="shared" si="192"/>
        <v>4.4495454548027153E-4</v>
      </c>
      <c r="AC231" s="3">
        <f t="shared" si="192"/>
        <v>4.4495454547628774E-4</v>
      </c>
      <c r="AD231" s="3">
        <f t="shared" si="192"/>
        <v>4.4495454543644932E-4</v>
      </c>
      <c r="AE231" s="3">
        <f t="shared" si="192"/>
        <v>4.4495454503806569E-4</v>
      </c>
      <c r="AF231" s="3">
        <f t="shared" si="192"/>
        <v>4.4495454105422948E-4</v>
      </c>
      <c r="AG231" s="3"/>
      <c r="AH231" s="3"/>
    </row>
    <row r="232" spans="2:34" x14ac:dyDescent="0.25">
      <c r="B232" s="3">
        <f t="shared" ref="B232:AF232" si="193">$C40*EXP(-B$207/$A40/EXP(-$D$126))</f>
        <v>1.5289773047840316E-5</v>
      </c>
      <c r="C232" s="3">
        <f t="shared" si="193"/>
        <v>1.5289773047840316E-5</v>
      </c>
      <c r="D232" s="3">
        <f t="shared" si="193"/>
        <v>1.5289773047840316E-5</v>
      </c>
      <c r="E232" s="3">
        <f t="shared" si="193"/>
        <v>1.5289773047840316E-5</v>
      </c>
      <c r="F232" s="3">
        <f t="shared" si="193"/>
        <v>1.5289773047840316E-5</v>
      </c>
      <c r="G232" s="3">
        <f t="shared" si="193"/>
        <v>1.5289773047840316E-5</v>
      </c>
      <c r="H232" s="3">
        <f t="shared" si="193"/>
        <v>1.5289773047840316E-5</v>
      </c>
      <c r="I232" s="3">
        <f t="shared" si="193"/>
        <v>1.5289773047840316E-5</v>
      </c>
      <c r="J232" s="3">
        <f t="shared" si="193"/>
        <v>1.5289773047840316E-5</v>
      </c>
      <c r="K232" s="3">
        <f t="shared" si="193"/>
        <v>1.5289773047840316E-5</v>
      </c>
      <c r="L232" s="3">
        <f t="shared" si="193"/>
        <v>1.5289773047840316E-5</v>
      </c>
      <c r="M232" s="3">
        <f t="shared" si="193"/>
        <v>1.5289773047840316E-5</v>
      </c>
      <c r="N232" s="3">
        <f t="shared" si="193"/>
        <v>1.5289773047840316E-5</v>
      </c>
      <c r="O232" s="3">
        <f t="shared" si="193"/>
        <v>1.5289773047840316E-5</v>
      </c>
      <c r="P232" s="3">
        <f t="shared" si="193"/>
        <v>1.5289773047840316E-5</v>
      </c>
      <c r="Q232" s="3">
        <f t="shared" si="193"/>
        <v>1.5289773047840316E-5</v>
      </c>
      <c r="R232" s="3">
        <f t="shared" si="193"/>
        <v>1.5289773047840316E-5</v>
      </c>
      <c r="S232" s="3">
        <f t="shared" si="193"/>
        <v>1.5289773047840316E-5</v>
      </c>
      <c r="T232" s="3">
        <f t="shared" si="193"/>
        <v>1.5289773047840316E-5</v>
      </c>
      <c r="U232" s="3">
        <f t="shared" si="193"/>
        <v>1.5289773047840316E-5</v>
      </c>
      <c r="V232" s="3">
        <f t="shared" si="193"/>
        <v>1.5289773047840316E-5</v>
      </c>
      <c r="W232" s="3">
        <f t="shared" si="193"/>
        <v>1.5289773047840316E-5</v>
      </c>
      <c r="X232" s="3">
        <f t="shared" si="193"/>
        <v>1.5289773047840316E-5</v>
      </c>
      <c r="Y232" s="3">
        <f t="shared" si="193"/>
        <v>1.5289773047840312E-5</v>
      </c>
      <c r="Z232" s="3">
        <f t="shared" si="193"/>
        <v>1.5289773047840299E-5</v>
      </c>
      <c r="AA232" s="3">
        <f t="shared" si="193"/>
        <v>1.5289773047840163E-5</v>
      </c>
      <c r="AB232" s="3">
        <f t="shared" si="193"/>
        <v>1.5289773047838795E-5</v>
      </c>
      <c r="AC232" s="3">
        <f t="shared" si="193"/>
        <v>1.5289773047825103E-5</v>
      </c>
      <c r="AD232" s="3">
        <f t="shared" si="193"/>
        <v>1.5289773047688212E-5</v>
      </c>
      <c r="AE232" s="3">
        <f t="shared" si="193"/>
        <v>1.5289773046319262E-5</v>
      </c>
      <c r="AF232" s="3">
        <f t="shared" si="193"/>
        <v>1.5289773032629786E-5</v>
      </c>
      <c r="AG232" s="3"/>
      <c r="AH232" s="3"/>
    </row>
    <row r="233" spans="2:34" x14ac:dyDescent="0.25">
      <c r="B233" s="3">
        <f t="shared" ref="B233:AF233" si="194">$C41*EXP(-B$207/$A41/EXP(-$D$126))</f>
        <v>2.5082649304706281E-4</v>
      </c>
      <c r="C233" s="3">
        <f t="shared" si="194"/>
        <v>2.5082649304706281E-4</v>
      </c>
      <c r="D233" s="3">
        <f t="shared" si="194"/>
        <v>2.5082649304706281E-4</v>
      </c>
      <c r="E233" s="3">
        <f t="shared" si="194"/>
        <v>2.5082649304706281E-4</v>
      </c>
      <c r="F233" s="3">
        <f t="shared" si="194"/>
        <v>2.5082649304706281E-4</v>
      </c>
      <c r="G233" s="3">
        <f t="shared" si="194"/>
        <v>2.5082649304706281E-4</v>
      </c>
      <c r="H233" s="3">
        <f t="shared" si="194"/>
        <v>2.5082649304706281E-4</v>
      </c>
      <c r="I233" s="3">
        <f t="shared" si="194"/>
        <v>2.5082649304706281E-4</v>
      </c>
      <c r="J233" s="3">
        <f t="shared" si="194"/>
        <v>2.5082649304706281E-4</v>
      </c>
      <c r="K233" s="3">
        <f t="shared" si="194"/>
        <v>2.5082649304706281E-4</v>
      </c>
      <c r="L233" s="3">
        <f t="shared" si="194"/>
        <v>2.5082649304706281E-4</v>
      </c>
      <c r="M233" s="3">
        <f t="shared" si="194"/>
        <v>2.5082649304706281E-4</v>
      </c>
      <c r="N233" s="3">
        <f t="shared" si="194"/>
        <v>2.5082649304706281E-4</v>
      </c>
      <c r="O233" s="3">
        <f t="shared" si="194"/>
        <v>2.5082649304706281E-4</v>
      </c>
      <c r="P233" s="3">
        <f t="shared" si="194"/>
        <v>2.5082649304706281E-4</v>
      </c>
      <c r="Q233" s="3">
        <f t="shared" si="194"/>
        <v>2.5082649304706281E-4</v>
      </c>
      <c r="R233" s="3">
        <f t="shared" si="194"/>
        <v>2.5082649304706281E-4</v>
      </c>
      <c r="S233" s="3">
        <f t="shared" si="194"/>
        <v>2.5082649304706281E-4</v>
      </c>
      <c r="T233" s="3">
        <f t="shared" si="194"/>
        <v>2.5082649304706281E-4</v>
      </c>
      <c r="U233" s="3">
        <f t="shared" si="194"/>
        <v>2.5082649304706281E-4</v>
      </c>
      <c r="V233" s="3">
        <f t="shared" si="194"/>
        <v>2.5082649304706281E-4</v>
      </c>
      <c r="W233" s="3">
        <f t="shared" si="194"/>
        <v>2.5082649304706281E-4</v>
      </c>
      <c r="X233" s="3">
        <f t="shared" si="194"/>
        <v>2.5082649304706281E-4</v>
      </c>
      <c r="Y233" s="3">
        <f t="shared" si="194"/>
        <v>2.5082649304706281E-4</v>
      </c>
      <c r="Z233" s="3">
        <f t="shared" si="194"/>
        <v>2.5082649304706276E-4</v>
      </c>
      <c r="AA233" s="3">
        <f t="shared" si="194"/>
        <v>2.5082649304706254E-4</v>
      </c>
      <c r="AB233" s="3">
        <f t="shared" si="194"/>
        <v>2.5082649304706032E-4</v>
      </c>
      <c r="AC233" s="3">
        <f t="shared" si="194"/>
        <v>2.5082649304703788E-4</v>
      </c>
      <c r="AD233" s="3">
        <f t="shared" si="194"/>
        <v>2.5082649304681328E-4</v>
      </c>
      <c r="AE233" s="3">
        <f t="shared" si="194"/>
        <v>2.5082649304456758E-4</v>
      </c>
      <c r="AF233" s="3">
        <f t="shared" si="194"/>
        <v>2.5082649302211017E-4</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5.6673676320409674E-5</v>
      </c>
      <c r="C235" s="3">
        <f t="shared" si="196"/>
        <v>5.6673676320409674E-5</v>
      </c>
      <c r="D235" s="3">
        <f t="shared" si="196"/>
        <v>5.6673676320409674E-5</v>
      </c>
      <c r="E235" s="3">
        <f t="shared" si="196"/>
        <v>5.6673676320409674E-5</v>
      </c>
      <c r="F235" s="3">
        <f t="shared" si="196"/>
        <v>5.6673676320409674E-5</v>
      </c>
      <c r="G235" s="3">
        <f t="shared" si="196"/>
        <v>5.6673676320409674E-5</v>
      </c>
      <c r="H235" s="3">
        <f t="shared" si="196"/>
        <v>5.6673676320409674E-5</v>
      </c>
      <c r="I235" s="3">
        <f t="shared" si="196"/>
        <v>5.6673676320409674E-5</v>
      </c>
      <c r="J235" s="3">
        <f t="shared" si="196"/>
        <v>5.6673676320409674E-5</v>
      </c>
      <c r="K235" s="3">
        <f t="shared" si="196"/>
        <v>5.6673676320409674E-5</v>
      </c>
      <c r="L235" s="3">
        <f t="shared" si="196"/>
        <v>5.6673676320409674E-5</v>
      </c>
      <c r="M235" s="3">
        <f t="shared" si="196"/>
        <v>5.6673676320409674E-5</v>
      </c>
      <c r="N235" s="3">
        <f t="shared" si="196"/>
        <v>5.6673676320409674E-5</v>
      </c>
      <c r="O235" s="3">
        <f t="shared" si="196"/>
        <v>5.6673676320409674E-5</v>
      </c>
      <c r="P235" s="3">
        <f t="shared" si="196"/>
        <v>5.6673676320409674E-5</v>
      </c>
      <c r="Q235" s="3">
        <f t="shared" si="196"/>
        <v>5.6673676320409674E-5</v>
      </c>
      <c r="R235" s="3">
        <f t="shared" si="196"/>
        <v>5.6673676320409674E-5</v>
      </c>
      <c r="S235" s="3">
        <f t="shared" si="196"/>
        <v>5.6673676320409674E-5</v>
      </c>
      <c r="T235" s="3">
        <f t="shared" si="196"/>
        <v>5.6673676320409674E-5</v>
      </c>
      <c r="U235" s="3">
        <f t="shared" si="196"/>
        <v>5.6673676320409674E-5</v>
      </c>
      <c r="V235" s="3">
        <f t="shared" si="196"/>
        <v>5.6673676320409674E-5</v>
      </c>
      <c r="W235" s="3">
        <f t="shared" si="196"/>
        <v>5.6673676320409674E-5</v>
      </c>
      <c r="X235" s="3">
        <f t="shared" si="196"/>
        <v>5.6673676320409674E-5</v>
      </c>
      <c r="Y235" s="3">
        <f t="shared" si="196"/>
        <v>5.6673676320409674E-5</v>
      </c>
      <c r="Z235" s="3">
        <f t="shared" si="196"/>
        <v>5.6673676320409674E-5</v>
      </c>
      <c r="AA235" s="3">
        <f t="shared" si="196"/>
        <v>5.6673676320409674E-5</v>
      </c>
      <c r="AB235" s="3">
        <f t="shared" si="196"/>
        <v>5.6673676320409667E-5</v>
      </c>
      <c r="AC235" s="3">
        <f t="shared" si="196"/>
        <v>5.667367632040962E-5</v>
      </c>
      <c r="AD235" s="3">
        <f t="shared" si="196"/>
        <v>5.6673676320409105E-5</v>
      </c>
      <c r="AE235" s="3">
        <f t="shared" si="196"/>
        <v>5.6673676320404036E-5</v>
      </c>
      <c r="AF235" s="3">
        <f t="shared" si="196"/>
        <v>5.6673676320353289E-5</v>
      </c>
      <c r="AG235" s="3"/>
      <c r="AH235" s="3"/>
    </row>
    <row r="236" spans="2:34" x14ac:dyDescent="0.25">
      <c r="B236" s="3">
        <f t="shared" ref="B236:AF236" si="197">$C44*EXP(-B$207/$A44/EXP(-$D$126))</f>
        <v>1.228688753482083E-4</v>
      </c>
      <c r="C236" s="3">
        <f t="shared" si="197"/>
        <v>1.228688753482083E-4</v>
      </c>
      <c r="D236" s="3">
        <f t="shared" si="197"/>
        <v>1.228688753482083E-4</v>
      </c>
      <c r="E236" s="3">
        <f t="shared" si="197"/>
        <v>1.228688753482083E-4</v>
      </c>
      <c r="F236" s="3">
        <f t="shared" si="197"/>
        <v>1.228688753482083E-4</v>
      </c>
      <c r="G236" s="3">
        <f t="shared" si="197"/>
        <v>1.228688753482083E-4</v>
      </c>
      <c r="H236" s="3">
        <f t="shared" si="197"/>
        <v>1.228688753482083E-4</v>
      </c>
      <c r="I236" s="3">
        <f t="shared" si="197"/>
        <v>1.228688753482083E-4</v>
      </c>
      <c r="J236" s="3">
        <f t="shared" si="197"/>
        <v>1.228688753482083E-4</v>
      </c>
      <c r="K236" s="3">
        <f t="shared" si="197"/>
        <v>1.228688753482083E-4</v>
      </c>
      <c r="L236" s="3">
        <f t="shared" si="197"/>
        <v>1.228688753482083E-4</v>
      </c>
      <c r="M236" s="3">
        <f t="shared" si="197"/>
        <v>1.228688753482083E-4</v>
      </c>
      <c r="N236" s="3">
        <f t="shared" si="197"/>
        <v>1.228688753482083E-4</v>
      </c>
      <c r="O236" s="3">
        <f t="shared" si="197"/>
        <v>1.228688753482083E-4</v>
      </c>
      <c r="P236" s="3">
        <f t="shared" si="197"/>
        <v>1.228688753482083E-4</v>
      </c>
      <c r="Q236" s="3">
        <f t="shared" si="197"/>
        <v>1.228688753482083E-4</v>
      </c>
      <c r="R236" s="3">
        <f t="shared" si="197"/>
        <v>1.228688753482083E-4</v>
      </c>
      <c r="S236" s="3">
        <f t="shared" si="197"/>
        <v>1.228688753482083E-4</v>
      </c>
      <c r="T236" s="3">
        <f t="shared" si="197"/>
        <v>1.228688753482083E-4</v>
      </c>
      <c r="U236" s="3">
        <f t="shared" si="197"/>
        <v>1.228688753482083E-4</v>
      </c>
      <c r="V236" s="3">
        <f t="shared" si="197"/>
        <v>1.228688753482083E-4</v>
      </c>
      <c r="W236" s="3">
        <f t="shared" si="197"/>
        <v>1.228688753482083E-4</v>
      </c>
      <c r="X236" s="3">
        <f t="shared" si="197"/>
        <v>1.228688753482083E-4</v>
      </c>
      <c r="Y236" s="3">
        <f t="shared" si="197"/>
        <v>1.228688753482083E-4</v>
      </c>
      <c r="Z236" s="3">
        <f t="shared" si="197"/>
        <v>1.228688753482083E-4</v>
      </c>
      <c r="AA236" s="3">
        <f t="shared" si="197"/>
        <v>1.228688753482083E-4</v>
      </c>
      <c r="AB236" s="3">
        <f t="shared" si="197"/>
        <v>1.228688753482083E-4</v>
      </c>
      <c r="AC236" s="3">
        <f t="shared" si="197"/>
        <v>1.2286887534820827E-4</v>
      </c>
      <c r="AD236" s="3">
        <f t="shared" si="197"/>
        <v>1.2286887534820816E-4</v>
      </c>
      <c r="AE236" s="3">
        <f t="shared" si="197"/>
        <v>1.2286887534820708E-4</v>
      </c>
      <c r="AF236" s="3">
        <f t="shared" si="197"/>
        <v>1.2286887534819607E-4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1.663721654170598E-4</v>
      </c>
      <c r="C240" s="3">
        <f t="shared" si="201"/>
        <v>1.663721654170598E-4</v>
      </c>
      <c r="D240" s="3">
        <f t="shared" si="201"/>
        <v>1.663721654170598E-4</v>
      </c>
      <c r="E240" s="3">
        <f t="shared" si="201"/>
        <v>1.663721654170598E-4</v>
      </c>
      <c r="F240" s="3">
        <f t="shared" si="201"/>
        <v>1.663721654170598E-4</v>
      </c>
      <c r="G240" s="3">
        <f t="shared" si="201"/>
        <v>1.663721654170598E-4</v>
      </c>
      <c r="H240" s="3">
        <f t="shared" si="201"/>
        <v>1.663721654170598E-4</v>
      </c>
      <c r="I240" s="3">
        <f t="shared" si="201"/>
        <v>1.663721654170598E-4</v>
      </c>
      <c r="J240" s="3">
        <f t="shared" si="201"/>
        <v>1.663721654170598E-4</v>
      </c>
      <c r="K240" s="3">
        <f t="shared" si="201"/>
        <v>1.663721654170598E-4</v>
      </c>
      <c r="L240" s="3">
        <f t="shared" si="201"/>
        <v>1.663721654170598E-4</v>
      </c>
      <c r="M240" s="3">
        <f t="shared" si="201"/>
        <v>1.663721654170598E-4</v>
      </c>
      <c r="N240" s="3">
        <f t="shared" si="201"/>
        <v>1.663721654170598E-4</v>
      </c>
      <c r="O240" s="3">
        <f t="shared" si="201"/>
        <v>1.663721654170598E-4</v>
      </c>
      <c r="P240" s="3">
        <f t="shared" si="201"/>
        <v>1.663721654170598E-4</v>
      </c>
      <c r="Q240" s="3">
        <f t="shared" si="201"/>
        <v>1.663721654170598E-4</v>
      </c>
      <c r="R240" s="3">
        <f t="shared" si="201"/>
        <v>1.663721654170598E-4</v>
      </c>
      <c r="S240" s="3">
        <f t="shared" si="201"/>
        <v>1.663721654170598E-4</v>
      </c>
      <c r="T240" s="3">
        <f t="shared" si="201"/>
        <v>1.663721654170598E-4</v>
      </c>
      <c r="U240" s="3">
        <f t="shared" si="201"/>
        <v>1.663721654170598E-4</v>
      </c>
      <c r="V240" s="3">
        <f t="shared" si="201"/>
        <v>1.663721654170598E-4</v>
      </c>
      <c r="W240" s="3">
        <f t="shared" si="201"/>
        <v>1.663721654170598E-4</v>
      </c>
      <c r="X240" s="3">
        <f t="shared" si="201"/>
        <v>1.663721654170598E-4</v>
      </c>
      <c r="Y240" s="3">
        <f t="shared" si="201"/>
        <v>1.663721654170598E-4</v>
      </c>
      <c r="Z240" s="3">
        <f t="shared" si="201"/>
        <v>1.663721654170598E-4</v>
      </c>
      <c r="AA240" s="3">
        <f t="shared" si="201"/>
        <v>1.663721654170598E-4</v>
      </c>
      <c r="AB240" s="3">
        <f t="shared" si="201"/>
        <v>1.663721654170598E-4</v>
      </c>
      <c r="AC240" s="3">
        <f t="shared" si="201"/>
        <v>1.663721654170598E-4</v>
      </c>
      <c r="AD240" s="3">
        <f t="shared" si="201"/>
        <v>1.663721654170598E-4</v>
      </c>
      <c r="AE240" s="3">
        <f t="shared" si="201"/>
        <v>1.663721654170598E-4</v>
      </c>
      <c r="AF240" s="3">
        <f t="shared" si="201"/>
        <v>1.663721654170598E-4</v>
      </c>
      <c r="AG240" s="3"/>
      <c r="AH240" s="3"/>
    </row>
    <row r="241" spans="1:34" x14ac:dyDescent="0.25">
      <c r="A241" s="79">
        <f>AVERAGE(B241:AF241)</f>
        <v>7.4249024643419315E-2</v>
      </c>
      <c r="B241" s="80">
        <f>IF($A$64&lt;=B207,IF($B$64&gt;=B207,ABS((B209-B208)/B208),0),0)</f>
        <v>2.8929294944786181E-7</v>
      </c>
      <c r="C241" s="80">
        <f t="shared" ref="C241:AF241" si="202">IF($A$64&lt;=C207,IF($B$64&gt;=C207,ABS((C209-C208)/C208),0),0)</f>
        <v>7.9795379004091943E-6</v>
      </c>
      <c r="D241" s="80">
        <f t="shared" si="202"/>
        <v>2.8871165173474025E-6</v>
      </c>
      <c r="E241" s="80">
        <f t="shared" si="202"/>
        <v>1.3745137402672349E-6</v>
      </c>
      <c r="F241" s="80">
        <f t="shared" si="202"/>
        <v>9.0718935794570478E-7</v>
      </c>
      <c r="G241" s="80">
        <f t="shared" si="202"/>
        <v>8.4554674122701185E-7</v>
      </c>
      <c r="H241" s="80">
        <f t="shared" si="202"/>
        <v>1.7799856974941891E-6</v>
      </c>
      <c r="I241" s="80">
        <f t="shared" si="202"/>
        <v>1.1638360724321952E-5</v>
      </c>
      <c r="J241" s="80">
        <f t="shared" si="202"/>
        <v>1.1019591741528102E-4</v>
      </c>
      <c r="K241" s="80">
        <f t="shared" si="202"/>
        <v>1.0910803045051779E-3</v>
      </c>
      <c r="L241" s="80">
        <f t="shared" si="202"/>
        <v>1.0431518164083862E-2</v>
      </c>
      <c r="M241" s="80">
        <f t="shared" si="202"/>
        <v>6.9409252094620691E-2</v>
      </c>
      <c r="N241" s="80">
        <f t="shared" si="202"/>
        <v>0.10982406714008405</v>
      </c>
      <c r="O241" s="80">
        <f t="shared" si="202"/>
        <v>0.10674689514015359</v>
      </c>
      <c r="P241" s="80">
        <f t="shared" si="202"/>
        <v>8.965048357236971E-2</v>
      </c>
      <c r="Q241" s="80">
        <f t="shared" si="202"/>
        <v>6.8436989457304823E-2</v>
      </c>
      <c r="R241" s="80">
        <f t="shared" si="202"/>
        <v>4.4970134318218745E-2</v>
      </c>
      <c r="S241" s="80">
        <f t="shared" si="202"/>
        <v>2.5686502886477926E-2</v>
      </c>
      <c r="T241" s="80">
        <f t="shared" si="202"/>
        <v>3.1996387521776339E-2</v>
      </c>
      <c r="U241" s="80">
        <f t="shared" si="202"/>
        <v>1.2821004519257771E-2</v>
      </c>
      <c r="V241" s="80">
        <f t="shared" si="202"/>
        <v>6.4008028748348128E-2</v>
      </c>
      <c r="W241" s="80">
        <f t="shared" si="202"/>
        <v>0.10628661603990644</v>
      </c>
      <c r="X241" s="80">
        <f t="shared" si="202"/>
        <v>0.13176219004977663</v>
      </c>
      <c r="Y241" s="80">
        <f t="shared" si="202"/>
        <v>0.13588444851924278</v>
      </c>
      <c r="Z241" s="80">
        <f t="shared" si="202"/>
        <v>0.1055270458214541</v>
      </c>
      <c r="AA241" s="80">
        <f t="shared" si="202"/>
        <v>5.3405164610345675E-2</v>
      </c>
      <c r="AB241" s="80">
        <f t="shared" si="202"/>
        <v>3.3886505447626718E-2</v>
      </c>
      <c r="AC241" s="80">
        <f t="shared" si="202"/>
        <v>0.171576774418746</v>
      </c>
      <c r="AD241" s="80">
        <f t="shared" si="202"/>
        <v>0.27108544543448421</v>
      </c>
      <c r="AE241" s="80">
        <f t="shared" si="202"/>
        <v>0.31837183811637981</v>
      </c>
      <c r="AF241" s="80">
        <f t="shared" si="202"/>
        <v>0.33872349415979186</v>
      </c>
    </row>
    <row r="242" spans="1:34" x14ac:dyDescent="0.25">
      <c r="B242" s="21">
        <f>(B209-B208)^2</f>
        <v>3.5621781922285321E-6</v>
      </c>
      <c r="C242" s="21">
        <f t="shared" ref="C242:AF242" si="203">(C209-C208)^2</f>
        <v>2.7102079062254147E-3</v>
      </c>
      <c r="D242" s="21">
        <f t="shared" si="203"/>
        <v>3.5478996171270274E-4</v>
      </c>
      <c r="E242" s="21">
        <f t="shared" si="203"/>
        <v>8.0415461261014757E-5</v>
      </c>
      <c r="F242" s="21">
        <f t="shared" si="203"/>
        <v>3.5029736106431824E-5</v>
      </c>
      <c r="G242" s="21">
        <f t="shared" si="203"/>
        <v>3.0430989390671003E-5</v>
      </c>
      <c r="H242" s="21">
        <f t="shared" si="203"/>
        <v>1.3485709882892158E-4</v>
      </c>
      <c r="I242" s="21">
        <f t="shared" si="203"/>
        <v>5.7653331514834665E-3</v>
      </c>
      <c r="J242" s="21">
        <f t="shared" si="203"/>
        <v>0.51685859785662724</v>
      </c>
      <c r="K242" s="21">
        <f t="shared" si="203"/>
        <v>50.670342978472313</v>
      </c>
      <c r="L242" s="21">
        <f t="shared" si="203"/>
        <v>4631.6121170691849</v>
      </c>
      <c r="M242" s="21">
        <f t="shared" si="203"/>
        <v>205040.30253845706</v>
      </c>
      <c r="N242" s="21">
        <f t="shared" si="203"/>
        <v>512950.82405230228</v>
      </c>
      <c r="O242" s="21">
        <f t="shared" si="203"/>
        <v>481268.11229015572</v>
      </c>
      <c r="P242" s="21">
        <f t="shared" si="203"/>
        <v>326812.55166724656</v>
      </c>
      <c r="Q242" s="21">
        <f t="shared" si="203"/>
        <v>181806.1733278521</v>
      </c>
      <c r="R242" s="21">
        <f t="shared" si="203"/>
        <v>74421.482524834093</v>
      </c>
      <c r="S242" s="21">
        <f t="shared" si="203"/>
        <v>22586.060213021403</v>
      </c>
      <c r="T242" s="21">
        <f t="shared" si="203"/>
        <v>31241.436448283377</v>
      </c>
      <c r="U242" s="21">
        <f t="shared" si="203"/>
        <v>4171.9132244793291</v>
      </c>
      <c r="V242" s="21">
        <f t="shared" si="203"/>
        <v>84117.336683569665</v>
      </c>
      <c r="W242" s="21">
        <f t="shared" si="203"/>
        <v>189928.43605980396</v>
      </c>
      <c r="X242" s="21">
        <f t="shared" si="203"/>
        <v>242440.40200861622</v>
      </c>
      <c r="Y242" s="21">
        <f t="shared" si="203"/>
        <v>214556.96878560938</v>
      </c>
      <c r="Z242" s="21">
        <f t="shared" si="203"/>
        <v>105518.82150513132</v>
      </c>
      <c r="AA242" s="21">
        <f t="shared" si="203"/>
        <v>20565.341358210539</v>
      </c>
      <c r="AB242" s="21">
        <f t="shared" si="203"/>
        <v>5700.6092797504652</v>
      </c>
      <c r="AC242" s="21">
        <f t="shared" si="203"/>
        <v>85574.547258459308</v>
      </c>
      <c r="AD242" s="21">
        <f t="shared" si="203"/>
        <v>94749.982476504389</v>
      </c>
      <c r="AE242" s="21">
        <f t="shared" si="203"/>
        <v>46939.543345905106</v>
      </c>
      <c r="AF242" s="21">
        <f t="shared" si="203"/>
        <v>17391.935157898843</v>
      </c>
      <c r="AG242" s="3"/>
      <c r="AH242" s="3"/>
    </row>
    <row r="243" spans="1:34" x14ac:dyDescent="0.25">
      <c r="A243" s="71">
        <f>SUM(B243:AF243)</f>
        <v>2952465.5886393636</v>
      </c>
      <c r="B243" s="60">
        <f>IF($A$64&lt;=B207,IF($B$64&gt;=B207,ABS(B242),0),0)</f>
        <v>3.5621781922285321E-6</v>
      </c>
      <c r="C243" s="60">
        <f t="shared" ref="C243" si="204">IF($A$64&lt;=C207,IF($B$64&gt;=C207,ABS(C242),0),0)</f>
        <v>2.7102079062254147E-3</v>
      </c>
      <c r="D243" s="60">
        <f t="shared" ref="D243" si="205">IF($A$64&lt;=D207,IF($B$64&gt;=D207,ABS(D242),0),0)</f>
        <v>3.5478996171270274E-4</v>
      </c>
      <c r="E243" s="60">
        <f t="shared" ref="E243" si="206">IF($A$64&lt;=E207,IF($B$64&gt;=E207,ABS(E242),0),0)</f>
        <v>8.0415461261014757E-5</v>
      </c>
      <c r="F243" s="60">
        <f t="shared" ref="F243" si="207">IF($A$64&lt;=F207,IF($B$64&gt;=F207,ABS(F242),0),0)</f>
        <v>3.5029736106431824E-5</v>
      </c>
      <c r="G243" s="60">
        <f t="shared" ref="G243" si="208">IF($A$64&lt;=G207,IF($B$64&gt;=G207,ABS(G242),0),0)</f>
        <v>3.0430989390671003E-5</v>
      </c>
      <c r="H243" s="60">
        <f t="shared" ref="H243" si="209">IF($A$64&lt;=H207,IF($B$64&gt;=H207,ABS(H242),0),0)</f>
        <v>1.3485709882892158E-4</v>
      </c>
      <c r="I243" s="60">
        <f t="shared" ref="I243" si="210">IF($A$64&lt;=I207,IF($B$64&gt;=I207,ABS(I242),0),0)</f>
        <v>5.7653331514834665E-3</v>
      </c>
      <c r="J243" s="60">
        <f t="shared" ref="J243" si="211">IF($A$64&lt;=J207,IF($B$64&gt;=J207,ABS(J242),0),0)</f>
        <v>0.51685859785662724</v>
      </c>
      <c r="K243" s="60">
        <f t="shared" ref="K243" si="212">IF($A$64&lt;=K207,IF($B$64&gt;=K207,ABS(K242),0),0)</f>
        <v>50.670342978472313</v>
      </c>
      <c r="L243" s="60">
        <f t="shared" ref="L243" si="213">IF($A$64&lt;=L207,IF($B$64&gt;=L207,ABS(L242),0),0)</f>
        <v>4631.6121170691849</v>
      </c>
      <c r="M243" s="60">
        <f t="shared" ref="M243" si="214">IF($A$64&lt;=M207,IF($B$64&gt;=M207,ABS(M242),0),0)</f>
        <v>205040.30253845706</v>
      </c>
      <c r="N243" s="60">
        <f t="shared" ref="N243" si="215">IF($A$64&lt;=N207,IF($B$64&gt;=N207,ABS(N242),0),0)</f>
        <v>512950.82405230228</v>
      </c>
      <c r="O243" s="60">
        <f t="shared" ref="O243" si="216">IF($A$64&lt;=O207,IF($B$64&gt;=O207,ABS(O242),0),0)</f>
        <v>481268.11229015572</v>
      </c>
      <c r="P243" s="60">
        <f t="shared" ref="P243" si="217">IF($A$64&lt;=P207,IF($B$64&gt;=P207,ABS(P242),0),0)</f>
        <v>326812.55166724656</v>
      </c>
      <c r="Q243" s="60">
        <f t="shared" ref="Q243" si="218">IF($A$64&lt;=Q207,IF($B$64&gt;=Q207,ABS(Q242),0),0)</f>
        <v>181806.1733278521</v>
      </c>
      <c r="R243" s="60">
        <f t="shared" ref="R243" si="219">IF($A$64&lt;=R207,IF($B$64&gt;=R207,ABS(R242),0),0)</f>
        <v>74421.482524834093</v>
      </c>
      <c r="S243" s="60">
        <f t="shared" ref="S243" si="220">IF($A$64&lt;=S207,IF($B$64&gt;=S207,ABS(S242),0),0)</f>
        <v>22586.060213021403</v>
      </c>
      <c r="T243" s="60">
        <f t="shared" ref="T243" si="221">IF($A$64&lt;=T207,IF($B$64&gt;=T207,ABS(T242),0),0)</f>
        <v>31241.436448283377</v>
      </c>
      <c r="U243" s="60">
        <f t="shared" ref="U243" si="222">IF($A$64&lt;=U207,IF($B$64&gt;=U207,ABS(U242),0),0)</f>
        <v>4171.9132244793291</v>
      </c>
      <c r="V243" s="60">
        <f t="shared" ref="V243" si="223">IF($A$64&lt;=V207,IF($B$64&gt;=V207,ABS(V242),0),0)</f>
        <v>84117.336683569665</v>
      </c>
      <c r="W243" s="60">
        <f t="shared" ref="W243" si="224">IF($A$64&lt;=W207,IF($B$64&gt;=W207,ABS(W242),0),0)</f>
        <v>189928.43605980396</v>
      </c>
      <c r="X243" s="60">
        <f t="shared" ref="X243" si="225">IF($A$64&lt;=X207,IF($B$64&gt;=X207,ABS(X242),0),0)</f>
        <v>242440.40200861622</v>
      </c>
      <c r="Y243" s="60">
        <f t="shared" ref="Y243" si="226">IF($A$64&lt;=Y207,IF($B$64&gt;=Y207,ABS(Y242),0),0)</f>
        <v>214556.96878560938</v>
      </c>
      <c r="Z243" s="60">
        <f t="shared" ref="Z243" si="227">IF($A$64&lt;=Z207,IF($B$64&gt;=Z207,ABS(Z242),0),0)</f>
        <v>105518.82150513132</v>
      </c>
      <c r="AA243" s="60">
        <f t="shared" ref="AA243" si="228">IF($A$64&lt;=AA207,IF($B$64&gt;=AA207,ABS(AA242),0),0)</f>
        <v>20565.341358210539</v>
      </c>
      <c r="AB243" s="60">
        <f t="shared" ref="AB243" si="229">IF($A$64&lt;=AB207,IF($B$64&gt;=AB207,ABS(AB242),0),0)</f>
        <v>5700.6092797504652</v>
      </c>
      <c r="AC243" s="60">
        <f t="shared" ref="AC243" si="230">IF($A$64&lt;=AC207,IF($B$64&gt;=AC207,ABS(AC242),0),0)</f>
        <v>85574.547258459308</v>
      </c>
      <c r="AD243" s="60">
        <f t="shared" ref="AD243" si="231">IF($A$64&lt;=AD207,IF($B$64&gt;=AD207,ABS(AD242),0),0)</f>
        <v>94749.982476504389</v>
      </c>
      <c r="AE243" s="60">
        <f t="shared" ref="AE243" si="232">IF($A$64&lt;=AE207,IF($B$64&gt;=AE207,ABS(AE242),0),0)</f>
        <v>46939.543345905106</v>
      </c>
      <c r="AF243" s="60">
        <f t="shared" ref="AF243" si="233">IF($A$64&lt;=AF207,IF($B$64&gt;=AF207,ABS(AF242),0),0)</f>
        <v>17391.935157898843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6524.0922952433284</v>
      </c>
      <c r="C248" s="27">
        <f t="shared" ref="C248:AF248" si="234">($C$17+SUM(C249:C279))*$B$51</f>
        <v>6524.0922524332809</v>
      </c>
      <c r="D248" s="27">
        <f t="shared" si="234"/>
        <v>6524.0918243329525</v>
      </c>
      <c r="E248" s="27">
        <f t="shared" si="234"/>
        <v>6524.0875433436895</v>
      </c>
      <c r="F248" s="27">
        <f t="shared" si="234"/>
        <v>6524.0447348530715</v>
      </c>
      <c r="G248" s="27">
        <f t="shared" si="234"/>
        <v>6523.6167901171002</v>
      </c>
      <c r="H248" s="27">
        <f t="shared" si="234"/>
        <v>6519.351328945947</v>
      </c>
      <c r="I248" s="27">
        <f t="shared" si="234"/>
        <v>6478.0650062663462</v>
      </c>
      <c r="J248" s="27">
        <f t="shared" si="234"/>
        <v>6176.1349559066402</v>
      </c>
      <c r="K248" s="27">
        <f t="shared" si="234"/>
        <v>5806.1149814420914</v>
      </c>
      <c r="L248" s="27">
        <f t="shared" si="234"/>
        <v>5805.1456612733955</v>
      </c>
      <c r="M248" s="27">
        <f t="shared" si="234"/>
        <v>5805.075136303537</v>
      </c>
      <c r="N248" s="27">
        <f t="shared" si="234"/>
        <v>5804.3704511491769</v>
      </c>
      <c r="O248" s="27">
        <f t="shared" si="234"/>
        <v>5797.379737914117</v>
      </c>
      <c r="P248" s="27">
        <f t="shared" si="234"/>
        <v>5732.7832814741032</v>
      </c>
      <c r="Q248" s="27">
        <f t="shared" si="234"/>
        <v>5410.1561760741597</v>
      </c>
      <c r="R248" s="27">
        <f t="shared" si="234"/>
        <v>5148.1286254456472</v>
      </c>
      <c r="S248" s="27">
        <f t="shared" si="234"/>
        <v>4877.2068823826803</v>
      </c>
      <c r="T248" s="27">
        <f t="shared" si="234"/>
        <v>4592.9554759889888</v>
      </c>
      <c r="U248" s="27">
        <f t="shared" si="234"/>
        <v>4292.7275701592525</v>
      </c>
      <c r="V248" s="27">
        <f t="shared" si="234"/>
        <v>3948.4972557538845</v>
      </c>
      <c r="W248" s="27">
        <f t="shared" si="234"/>
        <v>3505.1257458348191</v>
      </c>
      <c r="X248" s="27">
        <f t="shared" si="234"/>
        <v>2948.8804244399294</v>
      </c>
      <c r="Y248" s="27">
        <f t="shared" si="234"/>
        <v>2290.6863299748102</v>
      </c>
      <c r="Z248" s="27">
        <f t="shared" si="234"/>
        <v>1551.8886707882741</v>
      </c>
      <c r="AA248" s="27">
        <f t="shared" si="234"/>
        <v>908.09313042219151</v>
      </c>
      <c r="AB248" s="27">
        <f t="shared" si="234"/>
        <v>513.44311511415674</v>
      </c>
      <c r="AC248" s="27">
        <f t="shared" si="234"/>
        <v>277.70729411439362</v>
      </c>
      <c r="AD248" s="27">
        <f t="shared" si="234"/>
        <v>184.76208407056572</v>
      </c>
      <c r="AE248" s="27">
        <f t="shared" si="234"/>
        <v>160.73462447203801</v>
      </c>
      <c r="AF248" s="27">
        <f t="shared" si="234"/>
        <v>144.12037511032199</v>
      </c>
      <c r="AG248" s="27"/>
      <c r="AH248" s="27"/>
    </row>
    <row r="249" spans="1:34" x14ac:dyDescent="0.25">
      <c r="B249" s="3">
        <f t="shared" ref="B249:AF249" si="235">$C18*EXP(-B$246/$A18/EXP(-$E$126))</f>
        <v>0.11019752084565199</v>
      </c>
      <c r="C249" s="3">
        <f t="shared" si="235"/>
        <v>0.11019751428381351</v>
      </c>
      <c r="D249" s="3">
        <f t="shared" si="235"/>
        <v>0.11019744866545036</v>
      </c>
      <c r="E249" s="3">
        <f t="shared" si="235"/>
        <v>0.11019679248396783</v>
      </c>
      <c r="F249" s="3">
        <f t="shared" si="235"/>
        <v>0.11019023088403986</v>
      </c>
      <c r="G249" s="3">
        <f t="shared" si="235"/>
        <v>0.11012463636977476</v>
      </c>
      <c r="H249" s="3">
        <f t="shared" si="235"/>
        <v>0.10947083500251928</v>
      </c>
      <c r="I249" s="3">
        <f t="shared" si="235"/>
        <v>0.10314254997404487</v>
      </c>
      <c r="J249" s="3">
        <f t="shared" si="235"/>
        <v>5.686331817524469E-2</v>
      </c>
      <c r="K249" s="3">
        <f t="shared" si="235"/>
        <v>1.4749440421760464E-4</v>
      </c>
      <c r="L249" s="3">
        <f t="shared" si="235"/>
        <v>2.0333352813979074E-30</v>
      </c>
      <c r="M249" s="3">
        <f t="shared" si="235"/>
        <v>5.0413113548281275E-289</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6.7386263954763242E-2</v>
      </c>
      <c r="C250" s="3">
        <f t="shared" si="236"/>
        <v>6.7386263954762216E-2</v>
      </c>
      <c r="D250" s="3">
        <f t="shared" si="236"/>
        <v>6.7386263954751932E-2</v>
      </c>
      <c r="E250" s="3">
        <f t="shared" si="236"/>
        <v>6.7386263954649153E-2</v>
      </c>
      <c r="F250" s="3">
        <f t="shared" si="236"/>
        <v>6.7386263953621309E-2</v>
      </c>
      <c r="G250" s="3">
        <f t="shared" si="236"/>
        <v>6.7386263943342878E-2</v>
      </c>
      <c r="H250" s="3">
        <f t="shared" si="236"/>
        <v>6.7386263840558513E-2</v>
      </c>
      <c r="I250" s="3">
        <f t="shared" si="236"/>
        <v>6.7386262812714981E-2</v>
      </c>
      <c r="J250" s="3">
        <f t="shared" si="236"/>
        <v>6.7386252534280475E-2</v>
      </c>
      <c r="K250" s="3">
        <f t="shared" si="236"/>
        <v>6.7386149750021704E-2</v>
      </c>
      <c r="L250" s="3">
        <f t="shared" si="236"/>
        <v>6.7385121916056639E-2</v>
      </c>
      <c r="M250" s="3">
        <f t="shared" si="236"/>
        <v>6.7374844438626014E-2</v>
      </c>
      <c r="N250" s="3">
        <f t="shared" si="236"/>
        <v>6.7272155837681508E-2</v>
      </c>
      <c r="O250" s="3">
        <f t="shared" si="236"/>
        <v>6.6253838729274969E-2</v>
      </c>
      <c r="P250" s="3">
        <f t="shared" si="236"/>
        <v>5.6881108766769939E-2</v>
      </c>
      <c r="Q250" s="3">
        <f t="shared" si="236"/>
        <v>1.2374798179536683E-2</v>
      </c>
      <c r="R250" s="3">
        <f t="shared" si="236"/>
        <v>2.9392656452399133E-9</v>
      </c>
      <c r="S250" s="3">
        <f t="shared" si="236"/>
        <v>1.679755131622503E-75</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3.4082747841508318E-2</v>
      </c>
      <c r="C251" s="3">
        <f t="shared" si="237"/>
        <v>3.4082747841508269E-2</v>
      </c>
      <c r="D251" s="3">
        <f t="shared" si="237"/>
        <v>3.4082747841507804E-2</v>
      </c>
      <c r="E251" s="3">
        <f t="shared" si="237"/>
        <v>3.4082747841503114E-2</v>
      </c>
      <c r="F251" s="3">
        <f t="shared" si="237"/>
        <v>3.4082747841456221E-2</v>
      </c>
      <c r="G251" s="3">
        <f t="shared" si="237"/>
        <v>3.4082747840987256E-2</v>
      </c>
      <c r="H251" s="3">
        <f t="shared" si="237"/>
        <v>3.4082747836297646E-2</v>
      </c>
      <c r="I251" s="3">
        <f t="shared" si="237"/>
        <v>3.4082747789401534E-2</v>
      </c>
      <c r="J251" s="3">
        <f t="shared" si="237"/>
        <v>3.4082747320440435E-2</v>
      </c>
      <c r="K251" s="3">
        <f t="shared" si="237"/>
        <v>3.4082742630829749E-2</v>
      </c>
      <c r="L251" s="3">
        <f t="shared" si="237"/>
        <v>3.4082695734758424E-2</v>
      </c>
      <c r="M251" s="3">
        <f t="shared" si="237"/>
        <v>3.4082226777594149E-2</v>
      </c>
      <c r="N251" s="3">
        <f t="shared" si="237"/>
        <v>3.407753756082782E-2</v>
      </c>
      <c r="O251" s="3">
        <f t="shared" si="237"/>
        <v>3.4030680862748949E-2</v>
      </c>
      <c r="P251" s="3">
        <f t="shared" si="237"/>
        <v>3.3565642849074109E-2</v>
      </c>
      <c r="Q251" s="3">
        <f t="shared" si="237"/>
        <v>2.9250835721329776E-2</v>
      </c>
      <c r="R251" s="3">
        <f t="shared" si="237"/>
        <v>7.3887568380514319E-3</v>
      </c>
      <c r="S251" s="3">
        <f t="shared" si="237"/>
        <v>7.8145204047564624E-9</v>
      </c>
      <c r="T251" s="3">
        <f t="shared" si="237"/>
        <v>1.368396270366197E-68</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4.6674257676140619E-2</v>
      </c>
      <c r="C252" s="3">
        <f t="shared" si="238"/>
        <v>4.6674257676140612E-2</v>
      </c>
      <c r="D252" s="3">
        <f t="shared" si="238"/>
        <v>4.6674257676140557E-2</v>
      </c>
      <c r="E252" s="3">
        <f t="shared" si="238"/>
        <v>4.6674257676139974E-2</v>
      </c>
      <c r="F252" s="3">
        <f t="shared" si="238"/>
        <v>4.667425767613418E-2</v>
      </c>
      <c r="G252" s="3">
        <f t="shared" si="238"/>
        <v>4.6674257676076247E-2</v>
      </c>
      <c r="H252" s="3">
        <f t="shared" si="238"/>
        <v>4.6674257675496919E-2</v>
      </c>
      <c r="I252" s="3">
        <f t="shared" si="238"/>
        <v>4.6674257669703616E-2</v>
      </c>
      <c r="J252" s="3">
        <f t="shared" si="238"/>
        <v>4.6674257611770589E-2</v>
      </c>
      <c r="K252" s="3">
        <f t="shared" si="238"/>
        <v>4.6674257032440304E-2</v>
      </c>
      <c r="L252" s="3">
        <f t="shared" si="238"/>
        <v>4.6674251239137841E-2</v>
      </c>
      <c r="M252" s="3">
        <f t="shared" si="238"/>
        <v>4.6674193306152821E-2</v>
      </c>
      <c r="N252" s="3">
        <f t="shared" si="238"/>
        <v>4.6673613980257475E-2</v>
      </c>
      <c r="O252" s="3">
        <f t="shared" si="238"/>
        <v>4.6667821116775865E-2</v>
      </c>
      <c r="P252" s="3">
        <f t="shared" si="238"/>
        <v>4.6609932010989202E-2</v>
      </c>
      <c r="Q252" s="3">
        <f t="shared" si="238"/>
        <v>4.6034975762412285E-2</v>
      </c>
      <c r="R252" s="3">
        <f t="shared" si="238"/>
        <v>4.0661407972359065E-2</v>
      </c>
      <c r="S252" s="3">
        <f t="shared" si="238"/>
        <v>1.175242131440238E-2</v>
      </c>
      <c r="T252" s="3">
        <f t="shared" si="238"/>
        <v>4.781638570192583E-8</v>
      </c>
      <c r="U252" s="3">
        <f t="shared" si="238"/>
        <v>5.9438889162986894E-62</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4.4764266498867597E-2</v>
      </c>
      <c r="C253" s="3">
        <f t="shared" si="239"/>
        <v>4.4764266498867597E-2</v>
      </c>
      <c r="D253" s="3">
        <f t="shared" si="239"/>
        <v>4.476426649886759E-2</v>
      </c>
      <c r="E253" s="3">
        <f t="shared" si="239"/>
        <v>4.4764266498867541E-2</v>
      </c>
      <c r="F253" s="3">
        <f t="shared" si="239"/>
        <v>4.4764266498867042E-2</v>
      </c>
      <c r="G253" s="3">
        <f t="shared" si="239"/>
        <v>4.4764266498862025E-2</v>
      </c>
      <c r="H253" s="3">
        <f t="shared" si="239"/>
        <v>4.4764266498811905E-2</v>
      </c>
      <c r="I253" s="3">
        <f t="shared" si="239"/>
        <v>4.4764266498310688E-2</v>
      </c>
      <c r="J253" s="3">
        <f t="shared" si="239"/>
        <v>4.476426649329851E-2</v>
      </c>
      <c r="K253" s="3">
        <f t="shared" si="239"/>
        <v>4.476426644317668E-2</v>
      </c>
      <c r="L253" s="3">
        <f t="shared" si="239"/>
        <v>4.4764265941958425E-2</v>
      </c>
      <c r="M253" s="3">
        <f t="shared" si="239"/>
        <v>4.4764260929776228E-2</v>
      </c>
      <c r="N253" s="3">
        <f t="shared" si="239"/>
        <v>4.4764210807985073E-2</v>
      </c>
      <c r="O253" s="3">
        <f t="shared" si="239"/>
        <v>4.4763709593160124E-2</v>
      </c>
      <c r="P253" s="3">
        <f t="shared" si="239"/>
        <v>4.4758697753559736E-2</v>
      </c>
      <c r="Q253" s="3">
        <f t="shared" si="239"/>
        <v>4.4708610209680762E-2</v>
      </c>
      <c r="R253" s="3">
        <f t="shared" si="239"/>
        <v>4.4210807240062905E-2</v>
      </c>
      <c r="S253" s="3">
        <f t="shared" si="239"/>
        <v>3.9527668050846614E-2</v>
      </c>
      <c r="T253" s="3">
        <f t="shared" si="239"/>
        <v>1.290115770136801E-2</v>
      </c>
      <c r="U253" s="3">
        <f t="shared" si="239"/>
        <v>1.769716037789834E-7</v>
      </c>
      <c r="V253" s="3">
        <f t="shared" si="239"/>
        <v>4.1749628271506569E-56</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4.8577269491505953E-2</v>
      </c>
      <c r="C254" s="3">
        <f t="shared" si="240"/>
        <v>4.8577269491505953E-2</v>
      </c>
      <c r="D254" s="3">
        <f t="shared" si="240"/>
        <v>4.8577269491505953E-2</v>
      </c>
      <c r="E254" s="3">
        <f t="shared" si="240"/>
        <v>4.8577269491505946E-2</v>
      </c>
      <c r="F254" s="3">
        <f t="shared" si="240"/>
        <v>4.8577269491505898E-2</v>
      </c>
      <c r="G254" s="3">
        <f t="shared" si="240"/>
        <v>4.8577269491505405E-2</v>
      </c>
      <c r="H254" s="3">
        <f t="shared" si="240"/>
        <v>4.8577269491500499E-2</v>
      </c>
      <c r="I254" s="3">
        <f t="shared" si="240"/>
        <v>4.8577269491451434E-2</v>
      </c>
      <c r="J254" s="3">
        <f t="shared" si="240"/>
        <v>4.8577269490960778E-2</v>
      </c>
      <c r="K254" s="3">
        <f t="shared" si="240"/>
        <v>4.8577269486054245E-2</v>
      </c>
      <c r="L254" s="3">
        <f t="shared" si="240"/>
        <v>4.8577269436988875E-2</v>
      </c>
      <c r="M254" s="3">
        <f t="shared" si="240"/>
        <v>4.8577268946335156E-2</v>
      </c>
      <c r="N254" s="3">
        <f t="shared" si="240"/>
        <v>4.8577264039798236E-2</v>
      </c>
      <c r="O254" s="3">
        <f t="shared" si="240"/>
        <v>4.8577214974456315E-2</v>
      </c>
      <c r="P254" s="3">
        <f t="shared" si="240"/>
        <v>4.857672432376281E-2</v>
      </c>
      <c r="Q254" s="3">
        <f t="shared" si="240"/>
        <v>4.8571818089387493E-2</v>
      </c>
      <c r="R254" s="3">
        <f t="shared" si="240"/>
        <v>4.8522782991427899E-2</v>
      </c>
      <c r="S254" s="3">
        <f t="shared" si="240"/>
        <v>4.8035146436403324E-2</v>
      </c>
      <c r="T254" s="3">
        <f t="shared" si="240"/>
        <v>4.342034733616857E-2</v>
      </c>
      <c r="U254" s="3">
        <f t="shared" si="240"/>
        <v>1.5813756070738472E-2</v>
      </c>
      <c r="V254" s="3">
        <f t="shared" si="240"/>
        <v>6.4931054780760579E-7</v>
      </c>
      <c r="W254" s="3">
        <f t="shared" si="240"/>
        <v>8.8435509462717731E-51</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5.5549505588396574E-2</v>
      </c>
      <c r="C255" s="3">
        <f t="shared" si="241"/>
        <v>5.5549505588396574E-2</v>
      </c>
      <c r="D255" s="3">
        <f t="shared" si="241"/>
        <v>5.5549505588396574E-2</v>
      </c>
      <c r="E255" s="3">
        <f t="shared" si="241"/>
        <v>5.5549505588396574E-2</v>
      </c>
      <c r="F255" s="3">
        <f t="shared" si="241"/>
        <v>5.5549505588396567E-2</v>
      </c>
      <c r="G255" s="3">
        <f t="shared" si="241"/>
        <v>5.5549505588396518E-2</v>
      </c>
      <c r="H255" s="3">
        <f t="shared" si="241"/>
        <v>5.5549505588396011E-2</v>
      </c>
      <c r="I255" s="3">
        <f t="shared" si="241"/>
        <v>5.5549505588390946E-2</v>
      </c>
      <c r="J255" s="3">
        <f t="shared" si="241"/>
        <v>5.5549505588340334E-2</v>
      </c>
      <c r="K255" s="3">
        <f t="shared" si="241"/>
        <v>5.5549505587834197E-2</v>
      </c>
      <c r="L255" s="3">
        <f t="shared" si="241"/>
        <v>5.5549505582772822E-2</v>
      </c>
      <c r="M255" s="3">
        <f t="shared" si="241"/>
        <v>5.5549505532159038E-2</v>
      </c>
      <c r="N255" s="3">
        <f t="shared" si="241"/>
        <v>5.5549505026021226E-2</v>
      </c>
      <c r="O255" s="3">
        <f t="shared" si="241"/>
        <v>5.5549499964643347E-2</v>
      </c>
      <c r="P255" s="3">
        <f t="shared" si="241"/>
        <v>5.5549449350889908E-2</v>
      </c>
      <c r="Q255" s="3">
        <f t="shared" si="241"/>
        <v>5.5548943215891954E-2</v>
      </c>
      <c r="R255" s="3">
        <f t="shared" si="241"/>
        <v>5.5543882119544224E-2</v>
      </c>
      <c r="S255" s="3">
        <f t="shared" si="241"/>
        <v>5.5493296510703956E-2</v>
      </c>
      <c r="T255" s="3">
        <f t="shared" si="241"/>
        <v>5.4989967359125688E-2</v>
      </c>
      <c r="U255" s="3">
        <f t="shared" si="241"/>
        <v>5.0201054260762108E-2</v>
      </c>
      <c r="V255" s="3">
        <f t="shared" si="241"/>
        <v>2.0183970204655632E-2</v>
      </c>
      <c r="W255" s="3">
        <f t="shared" si="241"/>
        <v>2.2281487611881087E-6</v>
      </c>
      <c r="X255" s="3">
        <f t="shared" si="241"/>
        <v>5.9885274963087817E-46</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7.866276737132312E-2</v>
      </c>
      <c r="C256" s="3">
        <f t="shared" si="242"/>
        <v>7.866276737132312E-2</v>
      </c>
      <c r="D256" s="3">
        <f t="shared" si="242"/>
        <v>7.866276737132312E-2</v>
      </c>
      <c r="E256" s="3">
        <f t="shared" si="242"/>
        <v>7.866276737132312E-2</v>
      </c>
      <c r="F256" s="3">
        <f t="shared" si="242"/>
        <v>7.866276737132312E-2</v>
      </c>
      <c r="G256" s="3">
        <f t="shared" si="242"/>
        <v>7.8662767371323106E-2</v>
      </c>
      <c r="H256" s="3">
        <f t="shared" si="242"/>
        <v>7.866276737132305E-2</v>
      </c>
      <c r="I256" s="3">
        <f t="shared" si="242"/>
        <v>7.8662767371322398E-2</v>
      </c>
      <c r="J256" s="3">
        <f t="shared" si="242"/>
        <v>7.8662767371315931E-2</v>
      </c>
      <c r="K256" s="3">
        <f t="shared" si="242"/>
        <v>7.8662767371251274E-2</v>
      </c>
      <c r="L256" s="3">
        <f t="shared" si="242"/>
        <v>7.8662767370604722E-2</v>
      </c>
      <c r="M256" s="3">
        <f t="shared" si="242"/>
        <v>7.8662767364139199E-2</v>
      </c>
      <c r="N256" s="3">
        <f t="shared" si="242"/>
        <v>7.8662767299483849E-2</v>
      </c>
      <c r="O256" s="3">
        <f t="shared" si="242"/>
        <v>7.8662766652930455E-2</v>
      </c>
      <c r="P256" s="3">
        <f t="shared" si="242"/>
        <v>7.8662760187396763E-2</v>
      </c>
      <c r="Q256" s="3">
        <f t="shared" si="242"/>
        <v>7.8662695532089086E-2</v>
      </c>
      <c r="R256" s="3">
        <f t="shared" si="242"/>
        <v>7.8662048981935184E-2</v>
      </c>
      <c r="S256" s="3">
        <f t="shared" si="242"/>
        <v>7.8655583772668416E-2</v>
      </c>
      <c r="T256" s="3">
        <f t="shared" si="242"/>
        <v>7.8590960898340084E-2</v>
      </c>
      <c r="U256" s="3">
        <f t="shared" si="242"/>
        <v>7.7947645122780254E-2</v>
      </c>
      <c r="V256" s="3">
        <f t="shared" si="242"/>
        <v>7.1797116791909699E-2</v>
      </c>
      <c r="W256" s="3">
        <f t="shared" si="242"/>
        <v>3.1560731100544206E-2</v>
      </c>
      <c r="X256" s="3">
        <f t="shared" si="242"/>
        <v>8.502518042354288E-6</v>
      </c>
      <c r="Y256" s="3">
        <f t="shared" si="242"/>
        <v>1.7121926706284099E-41</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9.4543741847587029E-2</v>
      </c>
      <c r="C257" s="3">
        <f t="shared" si="243"/>
        <v>9.4543741847587029E-2</v>
      </c>
      <c r="D257" s="3">
        <f t="shared" si="243"/>
        <v>9.4543741847587029E-2</v>
      </c>
      <c r="E257" s="3">
        <f t="shared" si="243"/>
        <v>9.4543741847587029E-2</v>
      </c>
      <c r="F257" s="3">
        <f t="shared" si="243"/>
        <v>9.4543741847587029E-2</v>
      </c>
      <c r="G257" s="3">
        <f t="shared" si="243"/>
        <v>9.4543741847587029E-2</v>
      </c>
      <c r="H257" s="3">
        <f t="shared" si="243"/>
        <v>9.4543741847587015E-2</v>
      </c>
      <c r="I257" s="3">
        <f t="shared" si="243"/>
        <v>9.454374184758696E-2</v>
      </c>
      <c r="J257" s="3">
        <f t="shared" si="243"/>
        <v>9.4543741847586252E-2</v>
      </c>
      <c r="K257" s="3">
        <f t="shared" si="243"/>
        <v>9.4543741847579243E-2</v>
      </c>
      <c r="L257" s="3">
        <f t="shared" si="243"/>
        <v>9.4543741847509147E-2</v>
      </c>
      <c r="M257" s="3">
        <f t="shared" si="243"/>
        <v>9.4543741846808152E-2</v>
      </c>
      <c r="N257" s="3">
        <f t="shared" si="243"/>
        <v>9.4543741839798204E-2</v>
      </c>
      <c r="O257" s="3">
        <f t="shared" si="243"/>
        <v>9.4543741769698764E-2</v>
      </c>
      <c r="P257" s="3">
        <f t="shared" si="243"/>
        <v>9.4543741068704348E-2</v>
      </c>
      <c r="Q257" s="3">
        <f t="shared" si="243"/>
        <v>9.4543734058760528E-2</v>
      </c>
      <c r="R257" s="3">
        <f t="shared" si="243"/>
        <v>9.4543663959350807E-2</v>
      </c>
      <c r="S257" s="3">
        <f t="shared" si="243"/>
        <v>9.4542962968112362E-2</v>
      </c>
      <c r="T257" s="3">
        <f t="shared" si="243"/>
        <v>9.4535953341582935E-2</v>
      </c>
      <c r="U257" s="3">
        <f t="shared" si="243"/>
        <v>9.4465885653947285E-2</v>
      </c>
      <c r="V257" s="3">
        <f t="shared" si="243"/>
        <v>9.3768058719087916E-2</v>
      </c>
      <c r="W257" s="3">
        <f t="shared" si="243"/>
        <v>8.7067117738066566E-2</v>
      </c>
      <c r="X257" s="3">
        <f t="shared" si="243"/>
        <v>4.1480749738688823E-2</v>
      </c>
      <c r="Y257" s="3">
        <f t="shared" si="243"/>
        <v>2.4990266800981372E-5</v>
      </c>
      <c r="Z257" s="3">
        <f t="shared" si="243"/>
        <v>1.57403304818177E-37</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0.11359632384203742</v>
      </c>
      <c r="C258" s="3">
        <f t="shared" si="244"/>
        <v>0.11359632384203742</v>
      </c>
      <c r="D258" s="3">
        <f t="shared" si="244"/>
        <v>0.11359632384203742</v>
      </c>
      <c r="E258" s="3">
        <f t="shared" si="244"/>
        <v>0.11359632384203742</v>
      </c>
      <c r="F258" s="3">
        <f t="shared" si="244"/>
        <v>0.11359632384203742</v>
      </c>
      <c r="G258" s="3">
        <f t="shared" si="244"/>
        <v>0.11359632384203742</v>
      </c>
      <c r="H258" s="3">
        <f t="shared" si="244"/>
        <v>0.11359632384203742</v>
      </c>
      <c r="I258" s="3">
        <f t="shared" si="244"/>
        <v>0.11359632384203741</v>
      </c>
      <c r="J258" s="3">
        <f t="shared" si="244"/>
        <v>0.11359632384203734</v>
      </c>
      <c r="K258" s="3">
        <f t="shared" si="244"/>
        <v>0.11359632384203658</v>
      </c>
      <c r="L258" s="3">
        <f t="shared" si="244"/>
        <v>0.11359632384202899</v>
      </c>
      <c r="M258" s="3">
        <f t="shared" si="244"/>
        <v>0.11359632384195301</v>
      </c>
      <c r="N258" s="3">
        <f t="shared" si="244"/>
        <v>0.11359632384119323</v>
      </c>
      <c r="O258" s="3">
        <f t="shared" si="244"/>
        <v>0.11359632383359534</v>
      </c>
      <c r="P258" s="3">
        <f t="shared" si="244"/>
        <v>0.1135963237576165</v>
      </c>
      <c r="Q258" s="3">
        <f t="shared" si="244"/>
        <v>0.11359632299782814</v>
      </c>
      <c r="R258" s="3">
        <f t="shared" si="244"/>
        <v>0.11359631539994479</v>
      </c>
      <c r="S258" s="3">
        <f t="shared" si="244"/>
        <v>0.11359623942113931</v>
      </c>
      <c r="T258" s="3">
        <f t="shared" si="244"/>
        <v>0.11359547963587949</v>
      </c>
      <c r="U258" s="3">
        <f t="shared" si="244"/>
        <v>0.1135878820627747</v>
      </c>
      <c r="V258" s="3">
        <f t="shared" si="244"/>
        <v>0.11351193427416383</v>
      </c>
      <c r="W258" s="3">
        <f t="shared" si="244"/>
        <v>0.11275524372905692</v>
      </c>
      <c r="X258" s="3">
        <f t="shared" si="244"/>
        <v>0.10546029610014444</v>
      </c>
      <c r="Y258" s="3">
        <f t="shared" si="244"/>
        <v>5.4027064261139554E-2</v>
      </c>
      <c r="Z258" s="3">
        <f t="shared" si="244"/>
        <v>6.7272133185620168E-5</v>
      </c>
      <c r="AA258" s="3">
        <f t="shared" si="244"/>
        <v>6.0266156999591247E-34</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0.12987660327805553</v>
      </c>
      <c r="C259" s="3">
        <f t="shared" si="245"/>
        <v>0.12987660327805553</v>
      </c>
      <c r="D259" s="3">
        <f t="shared" si="245"/>
        <v>0.12987660327805553</v>
      </c>
      <c r="E259" s="3">
        <f t="shared" si="245"/>
        <v>0.12987660327805553</v>
      </c>
      <c r="F259" s="3">
        <f t="shared" si="245"/>
        <v>0.12987660327805553</v>
      </c>
      <c r="G259" s="3">
        <f t="shared" si="245"/>
        <v>0.12987660327805553</v>
      </c>
      <c r="H259" s="3">
        <f t="shared" si="245"/>
        <v>0.12987660327805553</v>
      </c>
      <c r="I259" s="3">
        <f t="shared" si="245"/>
        <v>0.12987660327805553</v>
      </c>
      <c r="J259" s="3">
        <f t="shared" si="245"/>
        <v>0.1298766032780555</v>
      </c>
      <c r="K259" s="3">
        <f t="shared" si="245"/>
        <v>0.12987660327805545</v>
      </c>
      <c r="L259" s="3">
        <f t="shared" si="245"/>
        <v>0.12987660327805467</v>
      </c>
      <c r="M259" s="3">
        <f t="shared" si="245"/>
        <v>0.12987660327804681</v>
      </c>
      <c r="N259" s="3">
        <f t="shared" si="245"/>
        <v>0.12987660327796846</v>
      </c>
      <c r="O259" s="3">
        <f t="shared" si="245"/>
        <v>0.12987660327718484</v>
      </c>
      <c r="P259" s="3">
        <f t="shared" si="245"/>
        <v>0.12987660326934863</v>
      </c>
      <c r="Q259" s="3">
        <f t="shared" si="245"/>
        <v>0.12987660319098657</v>
      </c>
      <c r="R259" s="3">
        <f t="shared" si="245"/>
        <v>0.12987660240736593</v>
      </c>
      <c r="S259" s="3">
        <f t="shared" si="245"/>
        <v>0.12987659457115966</v>
      </c>
      <c r="T259" s="3">
        <f t="shared" si="245"/>
        <v>0.12987651620912311</v>
      </c>
      <c r="U259" s="3">
        <f t="shared" si="245"/>
        <v>0.12987573259135793</v>
      </c>
      <c r="V259" s="3">
        <f t="shared" si="245"/>
        <v>0.12986789667374177</v>
      </c>
      <c r="W259" s="3">
        <f t="shared" si="245"/>
        <v>0.12978956349533213</v>
      </c>
      <c r="X259" s="3">
        <f t="shared" si="245"/>
        <v>0.12900882569198777</v>
      </c>
      <c r="Y259" s="3">
        <f t="shared" si="245"/>
        <v>0.12145514714107973</v>
      </c>
      <c r="Z259" s="3">
        <f t="shared" si="245"/>
        <v>6.6432553893952806E-2</v>
      </c>
      <c r="AA259" s="3">
        <f t="shared" si="245"/>
        <v>1.5923230762410027E-4</v>
      </c>
      <c r="AB259" s="3">
        <f t="shared" si="245"/>
        <v>9.9662916956053171E-31</v>
      </c>
      <c r="AC259" s="3">
        <f t="shared" si="245"/>
        <v>9.1951251434701565E-293</v>
      </c>
      <c r="AD259" s="3">
        <f t="shared" si="245"/>
        <v>0</v>
      </c>
      <c r="AE259" s="3">
        <f t="shared" si="245"/>
        <v>0</v>
      </c>
      <c r="AF259" s="3">
        <f t="shared" si="245"/>
        <v>0</v>
      </c>
      <c r="AG259" s="3"/>
      <c r="AH259" s="3"/>
    </row>
    <row r="260" spans="2:34" x14ac:dyDescent="0.25">
      <c r="B260" s="3">
        <f t="shared" ref="B260:AF260" si="246">$C29*EXP(-B$246/$A29/EXP(-$E$126))</f>
        <v>7.5604381501705717E-2</v>
      </c>
      <c r="C260" s="3">
        <f t="shared" si="246"/>
        <v>7.5604381501705717E-2</v>
      </c>
      <c r="D260" s="3">
        <f t="shared" si="246"/>
        <v>7.5604381501705717E-2</v>
      </c>
      <c r="E260" s="3">
        <f t="shared" si="246"/>
        <v>7.5604381501705717E-2</v>
      </c>
      <c r="F260" s="3">
        <f t="shared" si="246"/>
        <v>7.5604381501705717E-2</v>
      </c>
      <c r="G260" s="3">
        <f t="shared" si="246"/>
        <v>7.5604381501705717E-2</v>
      </c>
      <c r="H260" s="3">
        <f t="shared" si="246"/>
        <v>7.5604381501705717E-2</v>
      </c>
      <c r="I260" s="3">
        <f t="shared" si="246"/>
        <v>7.5604381501705717E-2</v>
      </c>
      <c r="J260" s="3">
        <f t="shared" si="246"/>
        <v>7.5604381501705717E-2</v>
      </c>
      <c r="K260" s="3">
        <f t="shared" si="246"/>
        <v>7.5604381501705703E-2</v>
      </c>
      <c r="L260" s="3">
        <f t="shared" si="246"/>
        <v>7.5604381501705675E-2</v>
      </c>
      <c r="M260" s="3">
        <f t="shared" si="246"/>
        <v>7.5604381501705259E-2</v>
      </c>
      <c r="N260" s="3">
        <f t="shared" si="246"/>
        <v>7.5604381501701137E-2</v>
      </c>
      <c r="O260" s="3">
        <f t="shared" si="246"/>
        <v>7.560438150165999E-2</v>
      </c>
      <c r="P260" s="3">
        <f t="shared" si="246"/>
        <v>7.5604381501248499E-2</v>
      </c>
      <c r="Q260" s="3">
        <f t="shared" si="246"/>
        <v>7.5604381497133513E-2</v>
      </c>
      <c r="R260" s="3">
        <f t="shared" si="246"/>
        <v>7.5604381455983638E-2</v>
      </c>
      <c r="S260" s="3">
        <f t="shared" si="246"/>
        <v>7.56043810444849E-2</v>
      </c>
      <c r="T260" s="3">
        <f t="shared" si="246"/>
        <v>7.5604376929497646E-2</v>
      </c>
      <c r="U260" s="3">
        <f t="shared" si="246"/>
        <v>7.5604335779637447E-2</v>
      </c>
      <c r="V260" s="3">
        <f t="shared" si="246"/>
        <v>7.5603924282267282E-2</v>
      </c>
      <c r="W260" s="3">
        <f t="shared" si="246"/>
        <v>7.5599809431746448E-2</v>
      </c>
      <c r="X260" s="3">
        <f t="shared" si="246"/>
        <v>7.5558673242137886E-2</v>
      </c>
      <c r="Y260" s="3">
        <f t="shared" si="246"/>
        <v>7.5148540429485128E-2</v>
      </c>
      <c r="Z260" s="3">
        <f t="shared" si="246"/>
        <v>7.1167681100816615E-2</v>
      </c>
      <c r="AA260" s="3">
        <f t="shared" si="246"/>
        <v>4.1295760424145234E-2</v>
      </c>
      <c r="AB260" s="3">
        <f t="shared" si="246"/>
        <v>1.7870306137345626E-4</v>
      </c>
      <c r="AC260" s="3">
        <f t="shared" si="246"/>
        <v>4.1152596389896104E-28</v>
      </c>
      <c r="AD260" s="3">
        <f t="shared" si="246"/>
        <v>1.7260355010884056E-264</v>
      </c>
      <c r="AE260" s="3">
        <f t="shared" si="246"/>
        <v>0</v>
      </c>
      <c r="AF260" s="3">
        <f t="shared" si="246"/>
        <v>0</v>
      </c>
      <c r="AG260" s="3"/>
      <c r="AH260" s="3"/>
    </row>
    <row r="261" spans="2:34" x14ac:dyDescent="0.25">
      <c r="B261" s="3">
        <f t="shared" ref="B261:AF261" si="247">$C30*EXP(-B$246/$A30/EXP(-$E$126))</f>
        <v>4.9796050081425132E-2</v>
      </c>
      <c r="C261" s="3">
        <f t="shared" si="247"/>
        <v>4.9796050081425132E-2</v>
      </c>
      <c r="D261" s="3">
        <f t="shared" si="247"/>
        <v>4.9796050081425132E-2</v>
      </c>
      <c r="E261" s="3">
        <f t="shared" si="247"/>
        <v>4.9796050081425132E-2</v>
      </c>
      <c r="F261" s="3">
        <f t="shared" si="247"/>
        <v>4.9796050081425132E-2</v>
      </c>
      <c r="G261" s="3">
        <f t="shared" si="247"/>
        <v>4.9796050081425132E-2</v>
      </c>
      <c r="H261" s="3">
        <f t="shared" si="247"/>
        <v>4.9796050081425132E-2</v>
      </c>
      <c r="I261" s="3">
        <f t="shared" si="247"/>
        <v>4.9796050081425132E-2</v>
      </c>
      <c r="J261" s="3">
        <f t="shared" si="247"/>
        <v>4.9796050081425132E-2</v>
      </c>
      <c r="K261" s="3">
        <f t="shared" si="247"/>
        <v>4.9796050081425132E-2</v>
      </c>
      <c r="L261" s="3">
        <f t="shared" si="247"/>
        <v>4.9796050081425132E-2</v>
      </c>
      <c r="M261" s="3">
        <f t="shared" si="247"/>
        <v>4.9796050081425104E-2</v>
      </c>
      <c r="N261" s="3">
        <f t="shared" si="247"/>
        <v>4.9796050081424861E-2</v>
      </c>
      <c r="O261" s="3">
        <f t="shared" si="247"/>
        <v>4.9796050081422419E-2</v>
      </c>
      <c r="P261" s="3">
        <f t="shared" si="247"/>
        <v>4.9796050081397966E-2</v>
      </c>
      <c r="Q261" s="3">
        <f t="shared" si="247"/>
        <v>4.9796050081153474E-2</v>
      </c>
      <c r="R261" s="3">
        <f t="shared" si="247"/>
        <v>4.9796050078708562E-2</v>
      </c>
      <c r="S261" s="3">
        <f t="shared" si="247"/>
        <v>4.9796050054259459E-2</v>
      </c>
      <c r="T261" s="3">
        <f t="shared" si="247"/>
        <v>4.9796049809768372E-2</v>
      </c>
      <c r="U261" s="3">
        <f t="shared" si="247"/>
        <v>4.9796047364857585E-2</v>
      </c>
      <c r="V261" s="3">
        <f t="shared" si="247"/>
        <v>4.979602291575632E-2</v>
      </c>
      <c r="W261" s="3">
        <f t="shared" si="247"/>
        <v>4.9795778425403905E-2</v>
      </c>
      <c r="X261" s="3">
        <f t="shared" si="247"/>
        <v>4.9793333587901202E-2</v>
      </c>
      <c r="Y261" s="3">
        <f t="shared" si="247"/>
        <v>4.976889181382043E-2</v>
      </c>
      <c r="Z261" s="3">
        <f t="shared" si="247"/>
        <v>4.9525132970051663E-2</v>
      </c>
      <c r="AA261" s="3">
        <f t="shared" si="247"/>
        <v>4.7152252812397953E-2</v>
      </c>
      <c r="AB261" s="3">
        <f t="shared" si="247"/>
        <v>2.885827813907977E-2</v>
      </c>
      <c r="AC261" s="3">
        <f t="shared" si="247"/>
        <v>2.1278945059707857E-4</v>
      </c>
      <c r="AD261" s="3">
        <f t="shared" si="247"/>
        <v>1.0109900402017306E-25</v>
      </c>
      <c r="AE261" s="3">
        <f t="shared" si="247"/>
        <v>5.9253596536646637E-239</v>
      </c>
      <c r="AF261" s="3">
        <f t="shared" si="247"/>
        <v>0</v>
      </c>
      <c r="AG261" s="3"/>
      <c r="AH261" s="3"/>
    </row>
    <row r="262" spans="2:34" x14ac:dyDescent="0.25">
      <c r="B262" s="3">
        <f t="shared" ref="B262:AF262" si="248">$C31*EXP(-B$246/$A31/EXP(-$E$126))</f>
        <v>2.0966447401353387E-2</v>
      </c>
      <c r="C262" s="3">
        <f t="shared" si="248"/>
        <v>2.0966447401353387E-2</v>
      </c>
      <c r="D262" s="3">
        <f t="shared" si="248"/>
        <v>2.0966447401353387E-2</v>
      </c>
      <c r="E262" s="3">
        <f t="shared" si="248"/>
        <v>2.0966447401353387E-2</v>
      </c>
      <c r="F262" s="3">
        <f t="shared" si="248"/>
        <v>2.0966447401353387E-2</v>
      </c>
      <c r="G262" s="3">
        <f t="shared" si="248"/>
        <v>2.0966447401353387E-2</v>
      </c>
      <c r="H262" s="3">
        <f t="shared" si="248"/>
        <v>2.0966447401353387E-2</v>
      </c>
      <c r="I262" s="3">
        <f t="shared" si="248"/>
        <v>2.0966447401353387E-2</v>
      </c>
      <c r="J262" s="3">
        <f t="shared" si="248"/>
        <v>2.0966447401353387E-2</v>
      </c>
      <c r="K262" s="3">
        <f t="shared" si="248"/>
        <v>2.0966447401353387E-2</v>
      </c>
      <c r="L262" s="3">
        <f t="shared" si="248"/>
        <v>2.0966447401353387E-2</v>
      </c>
      <c r="M262" s="3">
        <f t="shared" si="248"/>
        <v>2.0966447401353387E-2</v>
      </c>
      <c r="N262" s="3">
        <f t="shared" si="248"/>
        <v>2.0966447401353377E-2</v>
      </c>
      <c r="O262" s="3">
        <f t="shared" si="248"/>
        <v>2.0966447401353283E-2</v>
      </c>
      <c r="P262" s="3">
        <f t="shared" si="248"/>
        <v>2.0966447401352357E-2</v>
      </c>
      <c r="Q262" s="3">
        <f t="shared" si="248"/>
        <v>2.0966447401343069E-2</v>
      </c>
      <c r="R262" s="3">
        <f t="shared" si="248"/>
        <v>2.0966447401250209E-2</v>
      </c>
      <c r="S262" s="3">
        <f t="shared" si="248"/>
        <v>2.0966447400321584E-2</v>
      </c>
      <c r="T262" s="3">
        <f t="shared" si="248"/>
        <v>2.0966447391035353E-2</v>
      </c>
      <c r="U262" s="3">
        <f t="shared" si="248"/>
        <v>2.0966447298173024E-2</v>
      </c>
      <c r="V262" s="3">
        <f t="shared" si="248"/>
        <v>2.0966446369549752E-2</v>
      </c>
      <c r="W262" s="3">
        <f t="shared" si="248"/>
        <v>2.0966437083319304E-2</v>
      </c>
      <c r="X262" s="3">
        <f t="shared" si="248"/>
        <v>2.0966344221241048E-2</v>
      </c>
      <c r="Y262" s="3">
        <f t="shared" si="248"/>
        <v>2.096541562307937E-2</v>
      </c>
      <c r="Z262" s="3">
        <f t="shared" si="248"/>
        <v>2.0956131903177765E-2</v>
      </c>
      <c r="AA262" s="3">
        <f t="shared" si="248"/>
        <v>2.0863520505477014E-2</v>
      </c>
      <c r="AB262" s="3">
        <f t="shared" si="248"/>
        <v>1.9959620967873917E-2</v>
      </c>
      <c r="AC262" s="3">
        <f t="shared" si="248"/>
        <v>1.2817379924851102E-2</v>
      </c>
      <c r="AD262" s="3">
        <f t="shared" si="248"/>
        <v>1.5285122918275097E-4</v>
      </c>
      <c r="AE262" s="3">
        <f t="shared" si="248"/>
        <v>8.89130923378568E-24</v>
      </c>
      <c r="AF262" s="3">
        <f t="shared" si="248"/>
        <v>3.9439691516592022E-216</v>
      </c>
      <c r="AG262" s="3"/>
      <c r="AH262" s="3"/>
    </row>
    <row r="263" spans="2:34" x14ac:dyDescent="0.25">
      <c r="B263" s="3">
        <f t="shared" ref="B263:AF263" si="249">$C32*EXP(-B$246/$A32/EXP(-$E$126))</f>
        <v>3.9443248072899657E-3</v>
      </c>
      <c r="C263" s="3">
        <f t="shared" si="249"/>
        <v>3.9443248072899657E-3</v>
      </c>
      <c r="D263" s="3">
        <f t="shared" si="249"/>
        <v>3.9443248072899657E-3</v>
      </c>
      <c r="E263" s="3">
        <f t="shared" si="249"/>
        <v>3.9443248072899657E-3</v>
      </c>
      <c r="F263" s="3">
        <f t="shared" si="249"/>
        <v>3.9443248072899657E-3</v>
      </c>
      <c r="G263" s="3">
        <f t="shared" si="249"/>
        <v>3.9443248072899657E-3</v>
      </c>
      <c r="H263" s="3">
        <f t="shared" si="249"/>
        <v>3.9443248072899657E-3</v>
      </c>
      <c r="I263" s="3">
        <f t="shared" si="249"/>
        <v>3.9443248072899657E-3</v>
      </c>
      <c r="J263" s="3">
        <f t="shared" si="249"/>
        <v>3.9443248072899657E-3</v>
      </c>
      <c r="K263" s="3">
        <f t="shared" si="249"/>
        <v>3.9443248072899657E-3</v>
      </c>
      <c r="L263" s="3">
        <f t="shared" si="249"/>
        <v>3.9443248072899657E-3</v>
      </c>
      <c r="M263" s="3">
        <f t="shared" si="249"/>
        <v>3.9443248072899657E-3</v>
      </c>
      <c r="N263" s="3">
        <f t="shared" si="249"/>
        <v>3.9443248072899657E-3</v>
      </c>
      <c r="O263" s="3">
        <f t="shared" si="249"/>
        <v>3.944324807289964E-3</v>
      </c>
      <c r="P263" s="3">
        <f t="shared" si="249"/>
        <v>3.9443248072899484E-3</v>
      </c>
      <c r="Q263" s="3">
        <f t="shared" si="249"/>
        <v>3.9443248072897905E-3</v>
      </c>
      <c r="R263" s="3">
        <f t="shared" si="249"/>
        <v>3.9443248072882145E-3</v>
      </c>
      <c r="S263" s="3">
        <f t="shared" si="249"/>
        <v>3.9443248072724554E-3</v>
      </c>
      <c r="T263" s="3">
        <f t="shared" si="249"/>
        <v>3.9443248071148636E-3</v>
      </c>
      <c r="U263" s="3">
        <f t="shared" si="249"/>
        <v>3.9443248055389436E-3</v>
      </c>
      <c r="V263" s="3">
        <f t="shared" si="249"/>
        <v>3.9443247897797502E-3</v>
      </c>
      <c r="W263" s="3">
        <f t="shared" si="249"/>
        <v>3.9443246321878194E-3</v>
      </c>
      <c r="X263" s="3">
        <f t="shared" si="249"/>
        <v>3.9443230562688563E-3</v>
      </c>
      <c r="Y263" s="3">
        <f t="shared" si="249"/>
        <v>3.9443072971138571E-3</v>
      </c>
      <c r="Z263" s="3">
        <f t="shared" si="249"/>
        <v>3.9441497090268434E-3</v>
      </c>
      <c r="AA263" s="3">
        <f t="shared" si="249"/>
        <v>3.9425741744042158E-3</v>
      </c>
      <c r="AB263" s="3">
        <f t="shared" si="249"/>
        <v>3.9268534017978815E-3</v>
      </c>
      <c r="AC263" s="3">
        <f t="shared" si="249"/>
        <v>3.773052469115629E-3</v>
      </c>
      <c r="AD263" s="3">
        <f t="shared" si="249"/>
        <v>2.5303139357434009E-3</v>
      </c>
      <c r="AE263" s="3">
        <f t="shared" si="249"/>
        <v>4.6557541020133277E-5</v>
      </c>
      <c r="AF263" s="3">
        <f t="shared" si="249"/>
        <v>2.0708388623221994E-22</v>
      </c>
      <c r="AG263" s="3"/>
      <c r="AH263" s="3"/>
    </row>
    <row r="264" spans="2:34" x14ac:dyDescent="0.25">
      <c r="B264" s="3">
        <f t="shared" ref="B264:AF264" si="250">$C33*EXP(-B$246/$A33/EXP(-$E$126))</f>
        <v>3.51380910541953E-3</v>
      </c>
      <c r="C264" s="3">
        <f t="shared" si="250"/>
        <v>3.51380910541953E-3</v>
      </c>
      <c r="D264" s="3">
        <f t="shared" si="250"/>
        <v>3.51380910541953E-3</v>
      </c>
      <c r="E264" s="3">
        <f t="shared" si="250"/>
        <v>3.51380910541953E-3</v>
      </c>
      <c r="F264" s="3">
        <f t="shared" si="250"/>
        <v>3.51380910541953E-3</v>
      </c>
      <c r="G264" s="3">
        <f t="shared" si="250"/>
        <v>3.51380910541953E-3</v>
      </c>
      <c r="H264" s="3">
        <f t="shared" si="250"/>
        <v>3.51380910541953E-3</v>
      </c>
      <c r="I264" s="3">
        <f t="shared" si="250"/>
        <v>3.51380910541953E-3</v>
      </c>
      <c r="J264" s="3">
        <f t="shared" si="250"/>
        <v>3.51380910541953E-3</v>
      </c>
      <c r="K264" s="3">
        <f t="shared" si="250"/>
        <v>3.51380910541953E-3</v>
      </c>
      <c r="L264" s="3">
        <f t="shared" si="250"/>
        <v>3.51380910541953E-3</v>
      </c>
      <c r="M264" s="3">
        <f t="shared" si="250"/>
        <v>3.51380910541953E-3</v>
      </c>
      <c r="N264" s="3">
        <f t="shared" si="250"/>
        <v>3.51380910541953E-3</v>
      </c>
      <c r="O264" s="3">
        <f t="shared" si="250"/>
        <v>3.51380910541953E-3</v>
      </c>
      <c r="P264" s="3">
        <f t="shared" si="250"/>
        <v>3.5138091054195283E-3</v>
      </c>
      <c r="Q264" s="3">
        <f t="shared" si="250"/>
        <v>3.5138091054195161E-3</v>
      </c>
      <c r="R264" s="3">
        <f t="shared" si="250"/>
        <v>3.513809105419389E-3</v>
      </c>
      <c r="S264" s="3">
        <f t="shared" si="250"/>
        <v>3.5138091054181227E-3</v>
      </c>
      <c r="T264" s="3">
        <f t="shared" si="250"/>
        <v>3.5138091054054583E-3</v>
      </c>
      <c r="U264" s="3">
        <f t="shared" si="250"/>
        <v>3.513809105278814E-3</v>
      </c>
      <c r="V264" s="3">
        <f t="shared" si="250"/>
        <v>3.5138091040123696E-3</v>
      </c>
      <c r="W264" s="3">
        <f t="shared" si="250"/>
        <v>3.5138090913479272E-3</v>
      </c>
      <c r="X264" s="3">
        <f t="shared" si="250"/>
        <v>3.513808964703507E-3</v>
      </c>
      <c r="Y264" s="3">
        <f t="shared" si="250"/>
        <v>3.5138076982595507E-3</v>
      </c>
      <c r="Z264" s="3">
        <f t="shared" si="250"/>
        <v>3.5137950338450983E-3</v>
      </c>
      <c r="AA264" s="3">
        <f t="shared" si="250"/>
        <v>3.5136683922110151E-3</v>
      </c>
      <c r="AB264" s="3">
        <f t="shared" si="250"/>
        <v>3.5124022268809307E-3</v>
      </c>
      <c r="AC264" s="3">
        <f t="shared" si="250"/>
        <v>3.4997656412136583E-3</v>
      </c>
      <c r="AD264" s="3">
        <f t="shared" si="250"/>
        <v>3.375873438761444E-3</v>
      </c>
      <c r="AE264" s="3">
        <f t="shared" si="250"/>
        <v>2.3542798785103503E-3</v>
      </c>
      <c r="AF264" s="3">
        <f t="shared" si="250"/>
        <v>6.4058598552923387E-5</v>
      </c>
      <c r="AG264" s="3"/>
      <c r="AH264" s="3"/>
    </row>
    <row r="265" spans="2:34" x14ac:dyDescent="0.25">
      <c r="B265" s="3">
        <f t="shared" ref="B265:AF265" si="251">$C34*EXP(-B$246/$A34/EXP(-$E$126))</f>
        <v>7.1978944921583432E-4</v>
      </c>
      <c r="C265" s="3">
        <f t="shared" si="251"/>
        <v>7.1978944921583432E-4</v>
      </c>
      <c r="D265" s="3">
        <f t="shared" si="251"/>
        <v>7.1978944921583432E-4</v>
      </c>
      <c r="E265" s="3">
        <f t="shared" si="251"/>
        <v>7.1978944921583432E-4</v>
      </c>
      <c r="F265" s="3">
        <f t="shared" si="251"/>
        <v>7.1978944921583432E-4</v>
      </c>
      <c r="G265" s="3">
        <f t="shared" si="251"/>
        <v>7.1978944921583432E-4</v>
      </c>
      <c r="H265" s="3">
        <f t="shared" si="251"/>
        <v>7.1978944921583432E-4</v>
      </c>
      <c r="I265" s="3">
        <f t="shared" si="251"/>
        <v>7.1978944921583432E-4</v>
      </c>
      <c r="J265" s="3">
        <f t="shared" si="251"/>
        <v>7.1978944921583432E-4</v>
      </c>
      <c r="K265" s="3">
        <f t="shared" si="251"/>
        <v>7.1978944921583432E-4</v>
      </c>
      <c r="L265" s="3">
        <f t="shared" si="251"/>
        <v>7.1978944921583432E-4</v>
      </c>
      <c r="M265" s="3">
        <f t="shared" si="251"/>
        <v>7.1978944921583432E-4</v>
      </c>
      <c r="N265" s="3">
        <f t="shared" si="251"/>
        <v>7.1978944921583432E-4</v>
      </c>
      <c r="O265" s="3">
        <f t="shared" si="251"/>
        <v>7.1978944921583432E-4</v>
      </c>
      <c r="P265" s="3">
        <f t="shared" si="251"/>
        <v>7.1978944921583432E-4</v>
      </c>
      <c r="Q265" s="3">
        <f t="shared" si="251"/>
        <v>7.197894492158341E-4</v>
      </c>
      <c r="R265" s="3">
        <f t="shared" si="251"/>
        <v>7.1978944921583172E-4</v>
      </c>
      <c r="S265" s="3">
        <f t="shared" si="251"/>
        <v>7.197894492158083E-4</v>
      </c>
      <c r="T265" s="3">
        <f t="shared" si="251"/>
        <v>7.1978944921557433E-4</v>
      </c>
      <c r="U265" s="3">
        <f t="shared" si="251"/>
        <v>7.1978944921323408E-4</v>
      </c>
      <c r="V265" s="3">
        <f t="shared" si="251"/>
        <v>7.1978944918983168E-4</v>
      </c>
      <c r="W265" s="3">
        <f t="shared" si="251"/>
        <v>7.1978944895580784E-4</v>
      </c>
      <c r="X265" s="3">
        <f t="shared" si="251"/>
        <v>7.1978944661557024E-4</v>
      </c>
      <c r="Y265" s="3">
        <f t="shared" si="251"/>
        <v>7.1978942321319342E-4</v>
      </c>
      <c r="Z265" s="3">
        <f t="shared" si="251"/>
        <v>7.1978918918946821E-4</v>
      </c>
      <c r="AA265" s="3">
        <f t="shared" si="251"/>
        <v>7.1978684895639968E-4</v>
      </c>
      <c r="AB265" s="3">
        <f t="shared" si="251"/>
        <v>7.1976344704419246E-4</v>
      </c>
      <c r="AC265" s="3">
        <f t="shared" si="251"/>
        <v>7.1952946976476366E-4</v>
      </c>
      <c r="AD265" s="3">
        <f t="shared" si="251"/>
        <v>7.17193876205641E-4</v>
      </c>
      <c r="AE265" s="3">
        <f t="shared" si="251"/>
        <v>6.942508800433136E-4</v>
      </c>
      <c r="AF265" s="3">
        <f t="shared" si="251"/>
        <v>5.0155100125228965E-4</v>
      </c>
      <c r="AG265" s="3"/>
      <c r="AH265" s="3"/>
    </row>
    <row r="266" spans="2:34" x14ac:dyDescent="0.25">
      <c r="B266" s="3">
        <f t="shared" ref="B266:AF266" si="252">$C35*EXP(-B$246/$A35/EXP(-$E$126))</f>
        <v>5.3803230598076777E-4</v>
      </c>
      <c r="C266" s="3">
        <f t="shared" si="252"/>
        <v>5.3803230598076777E-4</v>
      </c>
      <c r="D266" s="3">
        <f t="shared" si="252"/>
        <v>5.3803230598076777E-4</v>
      </c>
      <c r="E266" s="3">
        <f t="shared" si="252"/>
        <v>5.3803230598076777E-4</v>
      </c>
      <c r="F266" s="3">
        <f t="shared" si="252"/>
        <v>5.3803230598076777E-4</v>
      </c>
      <c r="G266" s="3">
        <f t="shared" si="252"/>
        <v>5.3803230598076777E-4</v>
      </c>
      <c r="H266" s="3">
        <f t="shared" si="252"/>
        <v>5.3803230598076777E-4</v>
      </c>
      <c r="I266" s="3">
        <f t="shared" si="252"/>
        <v>5.3803230598076777E-4</v>
      </c>
      <c r="J266" s="3">
        <f t="shared" si="252"/>
        <v>5.3803230598076777E-4</v>
      </c>
      <c r="K266" s="3">
        <f t="shared" si="252"/>
        <v>5.3803230598076777E-4</v>
      </c>
      <c r="L266" s="3">
        <f t="shared" si="252"/>
        <v>5.3803230598076777E-4</v>
      </c>
      <c r="M266" s="3">
        <f t="shared" si="252"/>
        <v>5.3803230598076777E-4</v>
      </c>
      <c r="N266" s="3">
        <f t="shared" si="252"/>
        <v>5.3803230598076777E-4</v>
      </c>
      <c r="O266" s="3">
        <f t="shared" si="252"/>
        <v>5.3803230598076777E-4</v>
      </c>
      <c r="P266" s="3">
        <f t="shared" si="252"/>
        <v>5.3803230598076777E-4</v>
      </c>
      <c r="Q266" s="3">
        <f t="shared" si="252"/>
        <v>5.3803230598076777E-4</v>
      </c>
      <c r="R266" s="3">
        <f t="shared" si="252"/>
        <v>5.3803230598076755E-4</v>
      </c>
      <c r="S266" s="3">
        <f t="shared" si="252"/>
        <v>5.3803230598076603E-4</v>
      </c>
      <c r="T266" s="3">
        <f t="shared" si="252"/>
        <v>5.3803230598075021E-4</v>
      </c>
      <c r="U266" s="3">
        <f t="shared" si="252"/>
        <v>5.3803230598059245E-4</v>
      </c>
      <c r="V266" s="3">
        <f t="shared" si="252"/>
        <v>5.380323059790144E-4</v>
      </c>
      <c r="W266" s="3">
        <f t="shared" si="252"/>
        <v>5.3803230596323438E-4</v>
      </c>
      <c r="X266" s="3">
        <f t="shared" si="252"/>
        <v>5.3803230580543341E-4</v>
      </c>
      <c r="Y266" s="3">
        <f t="shared" si="252"/>
        <v>5.3803230422742453E-4</v>
      </c>
      <c r="Z266" s="3">
        <f t="shared" si="252"/>
        <v>5.3803228844733603E-4</v>
      </c>
      <c r="AA266" s="3">
        <f t="shared" si="252"/>
        <v>5.3803213064647641E-4</v>
      </c>
      <c r="AB266" s="3">
        <f t="shared" si="252"/>
        <v>5.3803055264042485E-4</v>
      </c>
      <c r="AC266" s="3">
        <f t="shared" si="252"/>
        <v>5.3801477283445742E-4</v>
      </c>
      <c r="AD266" s="3">
        <f t="shared" si="252"/>
        <v>5.3785700022672032E-4</v>
      </c>
      <c r="AE266" s="3">
        <f t="shared" si="252"/>
        <v>5.3628181658331876E-4</v>
      </c>
      <c r="AF266" s="3">
        <f t="shared" si="252"/>
        <v>5.2078148605225563E-4</v>
      </c>
      <c r="AG266" s="3"/>
      <c r="AH266" s="3"/>
    </row>
    <row r="267" spans="2:34" x14ac:dyDescent="0.25">
      <c r="B267" s="3">
        <f t="shared" ref="B267:AF267" si="253">$C36*EXP(-B$246/$A36/EXP(-$E$126))</f>
        <v>5.6418757759686938E-4</v>
      </c>
      <c r="C267" s="3">
        <f t="shared" si="253"/>
        <v>5.6418757759686938E-4</v>
      </c>
      <c r="D267" s="3">
        <f t="shared" si="253"/>
        <v>5.6418757759686938E-4</v>
      </c>
      <c r="E267" s="3">
        <f t="shared" si="253"/>
        <v>5.6418757759686938E-4</v>
      </c>
      <c r="F267" s="3">
        <f t="shared" si="253"/>
        <v>5.6418757759686938E-4</v>
      </c>
      <c r="G267" s="3">
        <f t="shared" si="253"/>
        <v>5.6418757759686938E-4</v>
      </c>
      <c r="H267" s="3">
        <f t="shared" si="253"/>
        <v>5.6418757759686938E-4</v>
      </c>
      <c r="I267" s="3">
        <f t="shared" si="253"/>
        <v>5.6418757759686938E-4</v>
      </c>
      <c r="J267" s="3">
        <f t="shared" si="253"/>
        <v>5.6418757759686938E-4</v>
      </c>
      <c r="K267" s="3">
        <f t="shared" si="253"/>
        <v>5.6418757759686938E-4</v>
      </c>
      <c r="L267" s="3">
        <f t="shared" si="253"/>
        <v>5.6418757759686938E-4</v>
      </c>
      <c r="M267" s="3">
        <f t="shared" si="253"/>
        <v>5.6418757759686938E-4</v>
      </c>
      <c r="N267" s="3">
        <f t="shared" si="253"/>
        <v>5.6418757759686938E-4</v>
      </c>
      <c r="O267" s="3">
        <f t="shared" si="253"/>
        <v>5.6418757759686938E-4</v>
      </c>
      <c r="P267" s="3">
        <f t="shared" si="253"/>
        <v>5.6418757759686938E-4</v>
      </c>
      <c r="Q267" s="3">
        <f t="shared" si="253"/>
        <v>5.6418757759686938E-4</v>
      </c>
      <c r="R267" s="3">
        <f t="shared" si="253"/>
        <v>5.6418757759686938E-4</v>
      </c>
      <c r="S267" s="3">
        <f t="shared" si="253"/>
        <v>5.6418757759686916E-4</v>
      </c>
      <c r="T267" s="3">
        <f t="shared" si="253"/>
        <v>5.6418757759686775E-4</v>
      </c>
      <c r="U267" s="3">
        <f t="shared" si="253"/>
        <v>5.6418757759685279E-4</v>
      </c>
      <c r="V267" s="3">
        <f t="shared" si="253"/>
        <v>5.641875775967035E-4</v>
      </c>
      <c r="W267" s="3">
        <f t="shared" si="253"/>
        <v>5.6418757759521077E-4</v>
      </c>
      <c r="X267" s="3">
        <f t="shared" si="253"/>
        <v>5.641875775802839E-4</v>
      </c>
      <c r="Y267" s="3">
        <f t="shared" si="253"/>
        <v>5.6418757743101431E-4</v>
      </c>
      <c r="Z267" s="3">
        <f t="shared" si="253"/>
        <v>5.6418757593831891E-4</v>
      </c>
      <c r="AA267" s="3">
        <f t="shared" si="253"/>
        <v>5.6418756101136492E-4</v>
      </c>
      <c r="AB267" s="3">
        <f t="shared" si="253"/>
        <v>5.6418741174184728E-4</v>
      </c>
      <c r="AC267" s="3">
        <f t="shared" si="253"/>
        <v>5.6418591904884281E-4</v>
      </c>
      <c r="AD267" s="3">
        <f t="shared" si="253"/>
        <v>5.6417099233600646E-4</v>
      </c>
      <c r="AE267" s="3">
        <f t="shared" si="253"/>
        <v>5.6402174692636879E-4</v>
      </c>
      <c r="AF267" s="3">
        <f t="shared" si="253"/>
        <v>5.6253146257792509E-4</v>
      </c>
      <c r="AG267" s="3"/>
      <c r="AH267" s="3"/>
    </row>
    <row r="268" spans="2:34" x14ac:dyDescent="0.25">
      <c r="B268" s="3">
        <f t="shared" ref="B268:AF268" si="254">$C37*EXP(-B$246/$A37/EXP(-$E$126))</f>
        <v>5.289794145093928E-4</v>
      </c>
      <c r="C268" s="3">
        <f t="shared" si="254"/>
        <v>5.289794145093928E-4</v>
      </c>
      <c r="D268" s="3">
        <f t="shared" si="254"/>
        <v>5.289794145093928E-4</v>
      </c>
      <c r="E268" s="3">
        <f t="shared" si="254"/>
        <v>5.289794145093928E-4</v>
      </c>
      <c r="F268" s="3">
        <f t="shared" si="254"/>
        <v>5.289794145093928E-4</v>
      </c>
      <c r="G268" s="3">
        <f t="shared" si="254"/>
        <v>5.289794145093928E-4</v>
      </c>
      <c r="H268" s="3">
        <f t="shared" si="254"/>
        <v>5.289794145093928E-4</v>
      </c>
      <c r="I268" s="3">
        <f t="shared" si="254"/>
        <v>5.289794145093928E-4</v>
      </c>
      <c r="J268" s="3">
        <f t="shared" si="254"/>
        <v>5.289794145093928E-4</v>
      </c>
      <c r="K268" s="3">
        <f t="shared" si="254"/>
        <v>5.289794145093928E-4</v>
      </c>
      <c r="L268" s="3">
        <f t="shared" si="254"/>
        <v>5.289794145093928E-4</v>
      </c>
      <c r="M268" s="3">
        <f t="shared" si="254"/>
        <v>5.289794145093928E-4</v>
      </c>
      <c r="N268" s="3">
        <f t="shared" si="254"/>
        <v>5.289794145093928E-4</v>
      </c>
      <c r="O268" s="3">
        <f t="shared" si="254"/>
        <v>5.289794145093928E-4</v>
      </c>
      <c r="P268" s="3">
        <f t="shared" si="254"/>
        <v>5.289794145093928E-4</v>
      </c>
      <c r="Q268" s="3">
        <f t="shared" si="254"/>
        <v>5.289794145093928E-4</v>
      </c>
      <c r="R268" s="3">
        <f t="shared" si="254"/>
        <v>5.289794145093928E-4</v>
      </c>
      <c r="S268" s="3">
        <f t="shared" si="254"/>
        <v>5.289794145093928E-4</v>
      </c>
      <c r="T268" s="3">
        <f t="shared" si="254"/>
        <v>5.2897941450939269E-4</v>
      </c>
      <c r="U268" s="3">
        <f t="shared" si="254"/>
        <v>5.2897941450939139E-4</v>
      </c>
      <c r="V268" s="3">
        <f t="shared" si="254"/>
        <v>5.2897941450937881E-4</v>
      </c>
      <c r="W268" s="3">
        <f t="shared" si="254"/>
        <v>5.289794145092525E-4</v>
      </c>
      <c r="X268" s="3">
        <f t="shared" si="254"/>
        <v>5.2897941450799006E-4</v>
      </c>
      <c r="Y268" s="3">
        <f t="shared" si="254"/>
        <v>5.2897941449536496E-4</v>
      </c>
      <c r="Z268" s="3">
        <f t="shared" si="254"/>
        <v>5.2897941436911449E-4</v>
      </c>
      <c r="AA268" s="3">
        <f t="shared" si="254"/>
        <v>5.2897941310660964E-4</v>
      </c>
      <c r="AB268" s="3">
        <f t="shared" si="254"/>
        <v>5.2897940048156171E-4</v>
      </c>
      <c r="AC268" s="3">
        <f t="shared" si="254"/>
        <v>5.2897927423109872E-4</v>
      </c>
      <c r="AD268" s="3">
        <f t="shared" si="254"/>
        <v>5.2897801172812654E-4</v>
      </c>
      <c r="AE268" s="3">
        <f t="shared" si="254"/>
        <v>5.2896538686412814E-4</v>
      </c>
      <c r="AF268" s="3">
        <f t="shared" si="254"/>
        <v>5.2883915479509408E-4</v>
      </c>
      <c r="AG268" s="3"/>
      <c r="AH268" s="3"/>
    </row>
    <row r="269" spans="2:34" x14ac:dyDescent="0.25">
      <c r="B269" s="3">
        <f t="shared" ref="B269:AF269" si="255">$C38*EXP(-B$246/$A38/EXP(-$E$126))</f>
        <v>5.3547450135887617E-5</v>
      </c>
      <c r="C269" s="3">
        <f t="shared" si="255"/>
        <v>5.3547450135887617E-5</v>
      </c>
      <c r="D269" s="3">
        <f t="shared" si="255"/>
        <v>5.3547450135887617E-5</v>
      </c>
      <c r="E269" s="3">
        <f t="shared" si="255"/>
        <v>5.3547450135887617E-5</v>
      </c>
      <c r="F269" s="3">
        <f t="shared" si="255"/>
        <v>5.3547450135887617E-5</v>
      </c>
      <c r="G269" s="3">
        <f t="shared" si="255"/>
        <v>5.3547450135887617E-5</v>
      </c>
      <c r="H269" s="3">
        <f t="shared" si="255"/>
        <v>5.3547450135887617E-5</v>
      </c>
      <c r="I269" s="3">
        <f t="shared" si="255"/>
        <v>5.3547450135887617E-5</v>
      </c>
      <c r="J269" s="3">
        <f t="shared" si="255"/>
        <v>5.3547450135887617E-5</v>
      </c>
      <c r="K269" s="3">
        <f t="shared" si="255"/>
        <v>5.3547450135887617E-5</v>
      </c>
      <c r="L269" s="3">
        <f t="shared" si="255"/>
        <v>5.3547450135887617E-5</v>
      </c>
      <c r="M269" s="3">
        <f t="shared" si="255"/>
        <v>5.3547450135887617E-5</v>
      </c>
      <c r="N269" s="3">
        <f t="shared" si="255"/>
        <v>5.3547450135887617E-5</v>
      </c>
      <c r="O269" s="3">
        <f t="shared" si="255"/>
        <v>5.3547450135887617E-5</v>
      </c>
      <c r="P269" s="3">
        <f t="shared" si="255"/>
        <v>5.3547450135887617E-5</v>
      </c>
      <c r="Q269" s="3">
        <f t="shared" si="255"/>
        <v>5.3547450135887617E-5</v>
      </c>
      <c r="R269" s="3">
        <f t="shared" si="255"/>
        <v>5.3547450135887617E-5</v>
      </c>
      <c r="S269" s="3">
        <f t="shared" si="255"/>
        <v>5.3547450135887617E-5</v>
      </c>
      <c r="T269" s="3">
        <f t="shared" si="255"/>
        <v>5.3547450135887617E-5</v>
      </c>
      <c r="U269" s="3">
        <f t="shared" si="255"/>
        <v>5.3547450135887604E-5</v>
      </c>
      <c r="V269" s="3">
        <f t="shared" si="255"/>
        <v>5.3547450135887488E-5</v>
      </c>
      <c r="W269" s="3">
        <f t="shared" si="255"/>
        <v>5.3547450135886336E-5</v>
      </c>
      <c r="X269" s="3">
        <f t="shared" si="255"/>
        <v>5.3547450135874803E-5</v>
      </c>
      <c r="Y269" s="3">
        <f t="shared" si="255"/>
        <v>5.3547450135759519E-5</v>
      </c>
      <c r="Z269" s="3">
        <f t="shared" si="255"/>
        <v>5.3547450134606653E-5</v>
      </c>
      <c r="AA269" s="3">
        <f t="shared" si="255"/>
        <v>5.3547450123077965E-5</v>
      </c>
      <c r="AB269" s="3">
        <f t="shared" si="255"/>
        <v>5.354745000779115E-5</v>
      </c>
      <c r="AC269" s="3">
        <f t="shared" si="255"/>
        <v>5.3547448854922971E-5</v>
      </c>
      <c r="AD269" s="3">
        <f t="shared" si="255"/>
        <v>5.3547437326242569E-5</v>
      </c>
      <c r="AE269" s="3">
        <f t="shared" si="255"/>
        <v>5.3547322039575034E-5</v>
      </c>
      <c r="AF269" s="3">
        <f t="shared" si="255"/>
        <v>5.3546169186551167E-5</v>
      </c>
      <c r="AG269" s="3"/>
      <c r="AH269" s="3"/>
    </row>
    <row r="270" spans="2:34" x14ac:dyDescent="0.25">
      <c r="B270" s="3">
        <f t="shared" ref="B270:AF270" si="256">$C39*EXP(-B$246/$A39/EXP(-$E$126))</f>
        <v>4.4495454548071421E-4</v>
      </c>
      <c r="C270" s="3">
        <f t="shared" si="256"/>
        <v>4.4495454548071421E-4</v>
      </c>
      <c r="D270" s="3">
        <f t="shared" si="256"/>
        <v>4.4495454548071421E-4</v>
      </c>
      <c r="E270" s="3">
        <f t="shared" si="256"/>
        <v>4.4495454548071421E-4</v>
      </c>
      <c r="F270" s="3">
        <f t="shared" si="256"/>
        <v>4.4495454548071421E-4</v>
      </c>
      <c r="G270" s="3">
        <f t="shared" si="256"/>
        <v>4.4495454548071421E-4</v>
      </c>
      <c r="H270" s="3">
        <f t="shared" si="256"/>
        <v>4.4495454548071421E-4</v>
      </c>
      <c r="I270" s="3">
        <f t="shared" si="256"/>
        <v>4.4495454548071421E-4</v>
      </c>
      <c r="J270" s="3">
        <f t="shared" si="256"/>
        <v>4.4495454548071421E-4</v>
      </c>
      <c r="K270" s="3">
        <f t="shared" si="256"/>
        <v>4.4495454548071421E-4</v>
      </c>
      <c r="L270" s="3">
        <f t="shared" si="256"/>
        <v>4.4495454548071421E-4</v>
      </c>
      <c r="M270" s="3">
        <f t="shared" si="256"/>
        <v>4.4495454548071421E-4</v>
      </c>
      <c r="N270" s="3">
        <f t="shared" si="256"/>
        <v>4.4495454548071421E-4</v>
      </c>
      <c r="O270" s="3">
        <f t="shared" si="256"/>
        <v>4.4495454548071421E-4</v>
      </c>
      <c r="P270" s="3">
        <f t="shared" si="256"/>
        <v>4.4495454548071421E-4</v>
      </c>
      <c r="Q270" s="3">
        <f t="shared" si="256"/>
        <v>4.4495454548071421E-4</v>
      </c>
      <c r="R270" s="3">
        <f t="shared" si="256"/>
        <v>4.4495454548071421E-4</v>
      </c>
      <c r="S270" s="3">
        <f t="shared" si="256"/>
        <v>4.4495454548071421E-4</v>
      </c>
      <c r="T270" s="3">
        <f t="shared" si="256"/>
        <v>4.4495454548071421E-4</v>
      </c>
      <c r="U270" s="3">
        <f t="shared" si="256"/>
        <v>4.4495454548071416E-4</v>
      </c>
      <c r="V270" s="3">
        <f t="shared" si="256"/>
        <v>4.4495454548071394E-4</v>
      </c>
      <c r="W270" s="3">
        <f t="shared" si="256"/>
        <v>4.4495454548071123E-4</v>
      </c>
      <c r="X270" s="3">
        <f t="shared" si="256"/>
        <v>4.4495454548068477E-4</v>
      </c>
      <c r="Y270" s="3">
        <f t="shared" si="256"/>
        <v>4.4495454548041985E-4</v>
      </c>
      <c r="Z270" s="3">
        <f t="shared" si="256"/>
        <v>4.4495454547777028E-4</v>
      </c>
      <c r="AA270" s="3">
        <f t="shared" si="256"/>
        <v>4.4495454545127492E-4</v>
      </c>
      <c r="AB270" s="3">
        <f t="shared" si="256"/>
        <v>4.4495454518632161E-4</v>
      </c>
      <c r="AC270" s="3">
        <f t="shared" si="256"/>
        <v>4.449545425367884E-4</v>
      </c>
      <c r="AD270" s="3">
        <f t="shared" si="256"/>
        <v>4.4495451604145697E-4</v>
      </c>
      <c r="AE270" s="3">
        <f t="shared" si="256"/>
        <v>4.4495425108822997E-4</v>
      </c>
      <c r="AF270" s="3">
        <f t="shared" si="256"/>
        <v>4.4495160156463682E-4</v>
      </c>
      <c r="AG270" s="3"/>
      <c r="AH270" s="3"/>
    </row>
    <row r="271" spans="2:34" x14ac:dyDescent="0.25">
      <c r="B271" s="3">
        <f t="shared" ref="B271:AF271" si="257">$C40*EXP(-B$246/$A40/EXP(-$E$126))</f>
        <v>1.5289773047840316E-5</v>
      </c>
      <c r="C271" s="3">
        <f t="shared" si="257"/>
        <v>1.5289773047840316E-5</v>
      </c>
      <c r="D271" s="3">
        <f t="shared" si="257"/>
        <v>1.5289773047840316E-5</v>
      </c>
      <c r="E271" s="3">
        <f t="shared" si="257"/>
        <v>1.5289773047840316E-5</v>
      </c>
      <c r="F271" s="3">
        <f t="shared" si="257"/>
        <v>1.5289773047840316E-5</v>
      </c>
      <c r="G271" s="3">
        <f t="shared" si="257"/>
        <v>1.5289773047840316E-5</v>
      </c>
      <c r="H271" s="3">
        <f t="shared" si="257"/>
        <v>1.5289773047840316E-5</v>
      </c>
      <c r="I271" s="3">
        <f t="shared" si="257"/>
        <v>1.5289773047840316E-5</v>
      </c>
      <c r="J271" s="3">
        <f t="shared" si="257"/>
        <v>1.5289773047840316E-5</v>
      </c>
      <c r="K271" s="3">
        <f t="shared" si="257"/>
        <v>1.5289773047840316E-5</v>
      </c>
      <c r="L271" s="3">
        <f t="shared" si="257"/>
        <v>1.5289773047840316E-5</v>
      </c>
      <c r="M271" s="3">
        <f t="shared" si="257"/>
        <v>1.5289773047840316E-5</v>
      </c>
      <c r="N271" s="3">
        <f t="shared" si="257"/>
        <v>1.5289773047840316E-5</v>
      </c>
      <c r="O271" s="3">
        <f t="shared" si="257"/>
        <v>1.5289773047840316E-5</v>
      </c>
      <c r="P271" s="3">
        <f t="shared" si="257"/>
        <v>1.5289773047840316E-5</v>
      </c>
      <c r="Q271" s="3">
        <f t="shared" si="257"/>
        <v>1.5289773047840316E-5</v>
      </c>
      <c r="R271" s="3">
        <f t="shared" si="257"/>
        <v>1.5289773047840316E-5</v>
      </c>
      <c r="S271" s="3">
        <f t="shared" si="257"/>
        <v>1.5289773047840316E-5</v>
      </c>
      <c r="T271" s="3">
        <f t="shared" si="257"/>
        <v>1.5289773047840316E-5</v>
      </c>
      <c r="U271" s="3">
        <f t="shared" si="257"/>
        <v>1.5289773047840316E-5</v>
      </c>
      <c r="V271" s="3">
        <f t="shared" si="257"/>
        <v>1.5289773047840312E-5</v>
      </c>
      <c r="W271" s="3">
        <f t="shared" si="257"/>
        <v>1.5289773047840306E-5</v>
      </c>
      <c r="X271" s="3">
        <f t="shared" si="257"/>
        <v>1.5289773047840214E-5</v>
      </c>
      <c r="Y271" s="3">
        <f t="shared" si="257"/>
        <v>1.5289773047839303E-5</v>
      </c>
      <c r="Z271" s="3">
        <f t="shared" si="257"/>
        <v>1.5289773047830199E-5</v>
      </c>
      <c r="AA271" s="3">
        <f t="shared" si="257"/>
        <v>1.5289773047739153E-5</v>
      </c>
      <c r="AB271" s="3">
        <f t="shared" si="257"/>
        <v>1.5289773046828708E-5</v>
      </c>
      <c r="AC271" s="3">
        <f t="shared" si="257"/>
        <v>1.5289773037724235E-5</v>
      </c>
      <c r="AD271" s="3">
        <f t="shared" si="257"/>
        <v>1.5289772946679517E-5</v>
      </c>
      <c r="AE271" s="3">
        <f t="shared" si="257"/>
        <v>1.5289772036232353E-5</v>
      </c>
      <c r="AF271" s="3">
        <f t="shared" si="257"/>
        <v>1.5289762931763703E-5</v>
      </c>
      <c r="AG271" s="3"/>
      <c r="AH271" s="3"/>
    </row>
    <row r="272" spans="2:34" x14ac:dyDescent="0.25">
      <c r="B272" s="3">
        <f t="shared" ref="B272:AF272" si="258">$C41*EXP(-B$246/$A41/EXP(-$E$126))</f>
        <v>2.5082649304706281E-4</v>
      </c>
      <c r="C272" s="3">
        <f t="shared" si="258"/>
        <v>2.5082649304706281E-4</v>
      </c>
      <c r="D272" s="3">
        <f t="shared" si="258"/>
        <v>2.5082649304706281E-4</v>
      </c>
      <c r="E272" s="3">
        <f t="shared" si="258"/>
        <v>2.5082649304706281E-4</v>
      </c>
      <c r="F272" s="3">
        <f t="shared" si="258"/>
        <v>2.5082649304706281E-4</v>
      </c>
      <c r="G272" s="3">
        <f t="shared" si="258"/>
        <v>2.5082649304706281E-4</v>
      </c>
      <c r="H272" s="3">
        <f t="shared" si="258"/>
        <v>2.5082649304706281E-4</v>
      </c>
      <c r="I272" s="3">
        <f t="shared" si="258"/>
        <v>2.5082649304706281E-4</v>
      </c>
      <c r="J272" s="3">
        <f t="shared" si="258"/>
        <v>2.5082649304706281E-4</v>
      </c>
      <c r="K272" s="3">
        <f t="shared" si="258"/>
        <v>2.5082649304706281E-4</v>
      </c>
      <c r="L272" s="3">
        <f t="shared" si="258"/>
        <v>2.5082649304706281E-4</v>
      </c>
      <c r="M272" s="3">
        <f t="shared" si="258"/>
        <v>2.5082649304706281E-4</v>
      </c>
      <c r="N272" s="3">
        <f t="shared" si="258"/>
        <v>2.5082649304706281E-4</v>
      </c>
      <c r="O272" s="3">
        <f t="shared" si="258"/>
        <v>2.5082649304706281E-4</v>
      </c>
      <c r="P272" s="3">
        <f t="shared" si="258"/>
        <v>2.5082649304706281E-4</v>
      </c>
      <c r="Q272" s="3">
        <f t="shared" si="258"/>
        <v>2.5082649304706281E-4</v>
      </c>
      <c r="R272" s="3">
        <f t="shared" si="258"/>
        <v>2.5082649304706281E-4</v>
      </c>
      <c r="S272" s="3">
        <f t="shared" si="258"/>
        <v>2.5082649304706281E-4</v>
      </c>
      <c r="T272" s="3">
        <f t="shared" si="258"/>
        <v>2.5082649304706281E-4</v>
      </c>
      <c r="U272" s="3">
        <f t="shared" si="258"/>
        <v>2.5082649304706281E-4</v>
      </c>
      <c r="V272" s="3">
        <f t="shared" si="258"/>
        <v>2.5082649304706281E-4</v>
      </c>
      <c r="W272" s="3">
        <f t="shared" si="258"/>
        <v>2.5082649304706276E-4</v>
      </c>
      <c r="X272" s="3">
        <f t="shared" si="258"/>
        <v>2.5082649304706265E-4</v>
      </c>
      <c r="Y272" s="3">
        <f t="shared" si="258"/>
        <v>2.5082649304706113E-4</v>
      </c>
      <c r="Z272" s="3">
        <f t="shared" si="258"/>
        <v>2.5082649304704622E-4</v>
      </c>
      <c r="AA272" s="3">
        <f t="shared" si="258"/>
        <v>2.5082649304689688E-4</v>
      </c>
      <c r="AB272" s="3">
        <f t="shared" si="258"/>
        <v>2.5082649304540328E-4</v>
      </c>
      <c r="AC272" s="3">
        <f t="shared" si="258"/>
        <v>2.5082649303046753E-4</v>
      </c>
      <c r="AD272" s="3">
        <f t="shared" si="258"/>
        <v>2.5082649288111E-4</v>
      </c>
      <c r="AE272" s="3">
        <f t="shared" si="258"/>
        <v>2.5082649138753467E-4</v>
      </c>
      <c r="AF272" s="3">
        <f t="shared" si="258"/>
        <v>2.5082647645178195E-4</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5.6673676320409674E-5</v>
      </c>
      <c r="C274" s="3">
        <f t="shared" si="260"/>
        <v>5.6673676320409674E-5</v>
      </c>
      <c r="D274" s="3">
        <f t="shared" si="260"/>
        <v>5.6673676320409674E-5</v>
      </c>
      <c r="E274" s="3">
        <f t="shared" si="260"/>
        <v>5.6673676320409674E-5</v>
      </c>
      <c r="F274" s="3">
        <f t="shared" si="260"/>
        <v>5.6673676320409674E-5</v>
      </c>
      <c r="G274" s="3">
        <f t="shared" si="260"/>
        <v>5.6673676320409674E-5</v>
      </c>
      <c r="H274" s="3">
        <f t="shared" si="260"/>
        <v>5.6673676320409674E-5</v>
      </c>
      <c r="I274" s="3">
        <f t="shared" si="260"/>
        <v>5.6673676320409674E-5</v>
      </c>
      <c r="J274" s="3">
        <f t="shared" si="260"/>
        <v>5.6673676320409674E-5</v>
      </c>
      <c r="K274" s="3">
        <f t="shared" si="260"/>
        <v>5.6673676320409674E-5</v>
      </c>
      <c r="L274" s="3">
        <f t="shared" si="260"/>
        <v>5.6673676320409674E-5</v>
      </c>
      <c r="M274" s="3">
        <f t="shared" si="260"/>
        <v>5.6673676320409674E-5</v>
      </c>
      <c r="N274" s="3">
        <f t="shared" si="260"/>
        <v>5.6673676320409674E-5</v>
      </c>
      <c r="O274" s="3">
        <f t="shared" si="260"/>
        <v>5.6673676320409674E-5</v>
      </c>
      <c r="P274" s="3">
        <f t="shared" si="260"/>
        <v>5.6673676320409674E-5</v>
      </c>
      <c r="Q274" s="3">
        <f t="shared" si="260"/>
        <v>5.6673676320409674E-5</v>
      </c>
      <c r="R274" s="3">
        <f t="shared" si="260"/>
        <v>5.6673676320409674E-5</v>
      </c>
      <c r="S274" s="3">
        <f t="shared" si="260"/>
        <v>5.6673676320409674E-5</v>
      </c>
      <c r="T274" s="3">
        <f t="shared" si="260"/>
        <v>5.6673676320409674E-5</v>
      </c>
      <c r="U274" s="3">
        <f t="shared" si="260"/>
        <v>5.6673676320409674E-5</v>
      </c>
      <c r="V274" s="3">
        <f t="shared" si="260"/>
        <v>5.6673676320409674E-5</v>
      </c>
      <c r="W274" s="3">
        <f t="shared" si="260"/>
        <v>5.6673676320409674E-5</v>
      </c>
      <c r="X274" s="3">
        <f t="shared" si="260"/>
        <v>5.6673676320409674E-5</v>
      </c>
      <c r="Y274" s="3">
        <f t="shared" si="260"/>
        <v>5.6673676320409667E-5</v>
      </c>
      <c r="Z274" s="3">
        <f t="shared" si="260"/>
        <v>5.6673676320409633E-5</v>
      </c>
      <c r="AA274" s="3">
        <f t="shared" si="260"/>
        <v>5.6673676320409294E-5</v>
      </c>
      <c r="AB274" s="3">
        <f t="shared" si="260"/>
        <v>5.6673676320405927E-5</v>
      </c>
      <c r="AC274" s="3">
        <f t="shared" si="260"/>
        <v>5.6673676320372181E-5</v>
      </c>
      <c r="AD274" s="3">
        <f t="shared" si="260"/>
        <v>5.6673676320034703E-5</v>
      </c>
      <c r="AE274" s="3">
        <f t="shared" si="260"/>
        <v>5.6673676316660008E-5</v>
      </c>
      <c r="AF274" s="3">
        <f t="shared" si="260"/>
        <v>5.6673676282913009E-5</v>
      </c>
      <c r="AG274" s="3"/>
      <c r="AH274" s="3"/>
    </row>
    <row r="275" spans="1:34" x14ac:dyDescent="0.25">
      <c r="B275" s="3">
        <f t="shared" ref="B275:AF275" si="261">$C44*EXP(-B$246/$A44/EXP(-$E$126))</f>
        <v>1.228688753482083E-4</v>
      </c>
      <c r="C275" s="3">
        <f t="shared" si="261"/>
        <v>1.228688753482083E-4</v>
      </c>
      <c r="D275" s="3">
        <f t="shared" si="261"/>
        <v>1.228688753482083E-4</v>
      </c>
      <c r="E275" s="3">
        <f t="shared" si="261"/>
        <v>1.228688753482083E-4</v>
      </c>
      <c r="F275" s="3">
        <f t="shared" si="261"/>
        <v>1.228688753482083E-4</v>
      </c>
      <c r="G275" s="3">
        <f t="shared" si="261"/>
        <v>1.228688753482083E-4</v>
      </c>
      <c r="H275" s="3">
        <f t="shared" si="261"/>
        <v>1.228688753482083E-4</v>
      </c>
      <c r="I275" s="3">
        <f t="shared" si="261"/>
        <v>1.228688753482083E-4</v>
      </c>
      <c r="J275" s="3">
        <f t="shared" si="261"/>
        <v>1.228688753482083E-4</v>
      </c>
      <c r="K275" s="3">
        <f t="shared" si="261"/>
        <v>1.228688753482083E-4</v>
      </c>
      <c r="L275" s="3">
        <f t="shared" si="261"/>
        <v>1.228688753482083E-4</v>
      </c>
      <c r="M275" s="3">
        <f t="shared" si="261"/>
        <v>1.228688753482083E-4</v>
      </c>
      <c r="N275" s="3">
        <f t="shared" si="261"/>
        <v>1.228688753482083E-4</v>
      </c>
      <c r="O275" s="3">
        <f t="shared" si="261"/>
        <v>1.228688753482083E-4</v>
      </c>
      <c r="P275" s="3">
        <f t="shared" si="261"/>
        <v>1.228688753482083E-4</v>
      </c>
      <c r="Q275" s="3">
        <f t="shared" si="261"/>
        <v>1.228688753482083E-4</v>
      </c>
      <c r="R275" s="3">
        <f t="shared" si="261"/>
        <v>1.228688753482083E-4</v>
      </c>
      <c r="S275" s="3">
        <f t="shared" si="261"/>
        <v>1.228688753482083E-4</v>
      </c>
      <c r="T275" s="3">
        <f t="shared" si="261"/>
        <v>1.228688753482083E-4</v>
      </c>
      <c r="U275" s="3">
        <f t="shared" si="261"/>
        <v>1.228688753482083E-4</v>
      </c>
      <c r="V275" s="3">
        <f t="shared" si="261"/>
        <v>1.228688753482083E-4</v>
      </c>
      <c r="W275" s="3">
        <f t="shared" si="261"/>
        <v>1.228688753482083E-4</v>
      </c>
      <c r="X275" s="3">
        <f t="shared" si="261"/>
        <v>1.228688753482083E-4</v>
      </c>
      <c r="Y275" s="3">
        <f t="shared" si="261"/>
        <v>1.228688753482083E-4</v>
      </c>
      <c r="Z275" s="3">
        <f t="shared" si="261"/>
        <v>1.2286887534820827E-4</v>
      </c>
      <c r="AA275" s="3">
        <f t="shared" si="261"/>
        <v>1.2286887534820821E-4</v>
      </c>
      <c r="AB275" s="3">
        <f t="shared" si="261"/>
        <v>1.2286887534820748E-4</v>
      </c>
      <c r="AC275" s="3">
        <f t="shared" si="261"/>
        <v>1.2286887534820016E-4</v>
      </c>
      <c r="AD275" s="3">
        <f t="shared" si="261"/>
        <v>1.2286887534812701E-4</v>
      </c>
      <c r="AE275" s="3">
        <f t="shared" si="261"/>
        <v>1.2286887534739536E-4</v>
      </c>
      <c r="AF275" s="3">
        <f t="shared" si="261"/>
        <v>1.22868875340079E-4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1.663721654170598E-4</v>
      </c>
      <c r="C279" s="3">
        <f t="shared" si="265"/>
        <v>1.663721654170598E-4</v>
      </c>
      <c r="D279" s="3">
        <f t="shared" si="265"/>
        <v>1.663721654170598E-4</v>
      </c>
      <c r="E279" s="3">
        <f t="shared" si="265"/>
        <v>1.663721654170598E-4</v>
      </c>
      <c r="F279" s="3">
        <f t="shared" si="265"/>
        <v>1.663721654170598E-4</v>
      </c>
      <c r="G279" s="3">
        <f t="shared" si="265"/>
        <v>1.663721654170598E-4</v>
      </c>
      <c r="H279" s="3">
        <f t="shared" si="265"/>
        <v>1.663721654170598E-4</v>
      </c>
      <c r="I279" s="3">
        <f t="shared" si="265"/>
        <v>1.663721654170598E-4</v>
      </c>
      <c r="J279" s="3">
        <f t="shared" si="265"/>
        <v>1.663721654170598E-4</v>
      </c>
      <c r="K279" s="3">
        <f t="shared" si="265"/>
        <v>1.663721654170598E-4</v>
      </c>
      <c r="L279" s="3">
        <f t="shared" si="265"/>
        <v>1.663721654170598E-4</v>
      </c>
      <c r="M279" s="3">
        <f t="shared" si="265"/>
        <v>1.663721654170598E-4</v>
      </c>
      <c r="N279" s="3">
        <f t="shared" si="265"/>
        <v>1.663721654170598E-4</v>
      </c>
      <c r="O279" s="3">
        <f t="shared" si="265"/>
        <v>1.663721654170598E-4</v>
      </c>
      <c r="P279" s="3">
        <f t="shared" si="265"/>
        <v>1.663721654170598E-4</v>
      </c>
      <c r="Q279" s="3">
        <f t="shared" si="265"/>
        <v>1.663721654170598E-4</v>
      </c>
      <c r="R279" s="3">
        <f t="shared" si="265"/>
        <v>1.663721654170598E-4</v>
      </c>
      <c r="S279" s="3">
        <f t="shared" si="265"/>
        <v>1.663721654170598E-4</v>
      </c>
      <c r="T279" s="3">
        <f t="shared" si="265"/>
        <v>1.663721654170598E-4</v>
      </c>
      <c r="U279" s="3">
        <f t="shared" si="265"/>
        <v>1.663721654170598E-4</v>
      </c>
      <c r="V279" s="3">
        <f t="shared" si="265"/>
        <v>1.663721654170598E-4</v>
      </c>
      <c r="W279" s="3">
        <f t="shared" si="265"/>
        <v>1.663721654170598E-4</v>
      </c>
      <c r="X279" s="3">
        <f t="shared" si="265"/>
        <v>1.663721654170598E-4</v>
      </c>
      <c r="Y279" s="3">
        <f t="shared" si="265"/>
        <v>1.663721654170598E-4</v>
      </c>
      <c r="Z279" s="3">
        <f t="shared" si="265"/>
        <v>1.663721654170598E-4</v>
      </c>
      <c r="AA279" s="3">
        <f t="shared" si="265"/>
        <v>1.663721654170598E-4</v>
      </c>
      <c r="AB279" s="3">
        <f t="shared" si="265"/>
        <v>1.663721654170598E-4</v>
      </c>
      <c r="AC279" s="3">
        <f t="shared" si="265"/>
        <v>1.663721654170598E-4</v>
      </c>
      <c r="AD279" s="3">
        <f t="shared" si="265"/>
        <v>1.6637216541705977E-4</v>
      </c>
      <c r="AE279" s="3">
        <f t="shared" si="265"/>
        <v>1.6637216541705969E-4</v>
      </c>
      <c r="AF279" s="3">
        <f t="shared" si="265"/>
        <v>1.6637216541705868E-4</v>
      </c>
      <c r="AG279" s="3"/>
      <c r="AH279" s="3"/>
    </row>
    <row r="280" spans="1:34" x14ac:dyDescent="0.25">
      <c r="A280" s="79">
        <f>AVERAGE(B280:AF280)</f>
        <v>2.9815165112852853E-2</v>
      </c>
      <c r="B280" s="80">
        <f>IF($D$61&lt;=B246,IF($E$61&gt;=B246,ABS((B248-B247)/B247),0),0)</f>
        <v>3.0967830745424296E-3</v>
      </c>
      <c r="C280" s="80">
        <f t="shared" ref="C280:AF280" si="266">IF($D$61&lt;=C246,IF($E$61&gt;=C246,ABS((C248-C247)/C247),0),0)</f>
        <v>3.0885486800388889E-3</v>
      </c>
      <c r="D280" s="80">
        <f t="shared" si="266"/>
        <v>3.0935716506216853E-3</v>
      </c>
      <c r="E280" s="80">
        <f t="shared" si="266"/>
        <v>3.0944270273483053E-3</v>
      </c>
      <c r="F280" s="80">
        <f t="shared" si="266"/>
        <v>3.0883223044172116E-3</v>
      </c>
      <c r="G280" s="80">
        <f t="shared" si="266"/>
        <v>3.0226962005233875E-3</v>
      </c>
      <c r="H280" s="80">
        <f t="shared" si="266"/>
        <v>2.3672804697361183E-3</v>
      </c>
      <c r="I280" s="80">
        <f t="shared" si="266"/>
        <v>3.9772307939551785E-3</v>
      </c>
      <c r="J280" s="80">
        <f t="shared" si="266"/>
        <v>5.0367903907940596E-2</v>
      </c>
      <c r="K280" s="80">
        <f t="shared" si="266"/>
        <v>0.10696276854526779</v>
      </c>
      <c r="L280" s="80">
        <f t="shared" si="266"/>
        <v>0.10431463841389557</v>
      </c>
      <c r="M280" s="80">
        <f t="shared" si="266"/>
        <v>8.7926454575325899E-2</v>
      </c>
      <c r="N280" s="80">
        <f t="shared" si="266"/>
        <v>6.6754469585793133E-2</v>
      </c>
      <c r="O280" s="80">
        <f t="shared" si="266"/>
        <v>4.3333290870362869E-2</v>
      </c>
      <c r="P280" s="80">
        <f t="shared" si="266"/>
        <v>2.3481024123880527E-2</v>
      </c>
      <c r="Q280" s="80">
        <f t="shared" si="266"/>
        <v>4.5681832749883494E-2</v>
      </c>
      <c r="R280" s="80">
        <f t="shared" si="266"/>
        <v>5.0761912139428711E-2</v>
      </c>
      <c r="S280" s="80">
        <f t="shared" si="266"/>
        <v>3.7057792759841446E-2</v>
      </c>
      <c r="T280" s="80">
        <f t="shared" si="266"/>
        <v>2.7881839016129263E-3</v>
      </c>
      <c r="U280" s="80">
        <f t="shared" si="266"/>
        <v>5.0628490603120309E-2</v>
      </c>
      <c r="V280" s="80">
        <f t="shared" si="266"/>
        <v>8.4244936867213058E-2</v>
      </c>
      <c r="W280" s="80">
        <f t="shared" si="266"/>
        <v>8.462112349792239E-2</v>
      </c>
      <c r="X280" s="80">
        <f t="shared" si="266"/>
        <v>5.8570171378493796E-2</v>
      </c>
      <c r="Y280" s="80">
        <f t="shared" si="266"/>
        <v>1.9462643772728083E-3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405.67298409244449</v>
      </c>
      <c r="C281" s="21">
        <f t="shared" ref="C281:AF281" si="267">(C248-C247)^2</f>
        <v>403.52509049246038</v>
      </c>
      <c r="D281" s="21">
        <f t="shared" si="267"/>
        <v>404.83457261911059</v>
      </c>
      <c r="E281" s="21">
        <f t="shared" si="267"/>
        <v>405.05725577873068</v>
      </c>
      <c r="F281" s="21">
        <f t="shared" si="267"/>
        <v>403.46024471825723</v>
      </c>
      <c r="G281" s="21">
        <f t="shared" si="267"/>
        <v>386.49543022031986</v>
      </c>
      <c r="H281" s="21">
        <f t="shared" si="267"/>
        <v>237.05790298833921</v>
      </c>
      <c r="I281" s="21">
        <f t="shared" si="267"/>
        <v>669.13486163181847</v>
      </c>
      <c r="J281" s="21">
        <f t="shared" si="267"/>
        <v>107307.61460069583</v>
      </c>
      <c r="K281" s="21">
        <f t="shared" si="267"/>
        <v>483612.37379044341</v>
      </c>
      <c r="L281" s="21">
        <f t="shared" si="267"/>
        <v>457094.29813695094</v>
      </c>
      <c r="M281" s="21">
        <f t="shared" si="267"/>
        <v>313180.77557700174</v>
      </c>
      <c r="N281" s="21">
        <f t="shared" si="267"/>
        <v>172376.91609681875</v>
      </c>
      <c r="O281" s="21">
        <f t="shared" si="267"/>
        <v>68958.136706998092</v>
      </c>
      <c r="P281" s="21">
        <f t="shared" si="267"/>
        <v>19002.193843055993</v>
      </c>
      <c r="Q281" s="21">
        <f t="shared" si="267"/>
        <v>67068.757399721755</v>
      </c>
      <c r="R281" s="21">
        <f t="shared" si="267"/>
        <v>75792.182453722737</v>
      </c>
      <c r="S281" s="21">
        <f t="shared" si="267"/>
        <v>35229.056055083609</v>
      </c>
      <c r="T281" s="21">
        <f t="shared" si="267"/>
        <v>163.08307274115711</v>
      </c>
      <c r="U281" s="21">
        <f t="shared" si="267"/>
        <v>42791.57462346118</v>
      </c>
      <c r="V281" s="21">
        <f t="shared" si="267"/>
        <v>94123.158796845673</v>
      </c>
      <c r="W281" s="21">
        <f t="shared" si="267"/>
        <v>74783.995274983943</v>
      </c>
      <c r="X281" s="21">
        <f t="shared" si="267"/>
        <v>26621.223415487279</v>
      </c>
      <c r="Y281" s="21">
        <f t="shared" si="267"/>
        <v>19.953866705565893</v>
      </c>
      <c r="Z281" s="21">
        <f t="shared" si="267"/>
        <v>41057.43589848288</v>
      </c>
      <c r="AA281" s="21">
        <f t="shared" si="267"/>
        <v>69581.294238037444</v>
      </c>
      <c r="AB281" s="21">
        <f t="shared" si="267"/>
        <v>36488.250256038373</v>
      </c>
      <c r="AC281" s="21">
        <f t="shared" si="267"/>
        <v>15762.882263348985</v>
      </c>
      <c r="AD281" s="21">
        <f t="shared" si="267"/>
        <v>1800.1931746472294</v>
      </c>
      <c r="AE281" s="21">
        <f t="shared" si="267"/>
        <v>13.845190437061655</v>
      </c>
      <c r="AF281" s="21">
        <f t="shared" si="267"/>
        <v>51.1159976993643</v>
      </c>
      <c r="AG281" s="3"/>
      <c r="AH281" s="3"/>
    </row>
    <row r="282" spans="1:34" s="3" customFormat="1" x14ac:dyDescent="0.25">
      <c r="A282" s="71">
        <f>SUM(B282:AF282)</f>
        <v>2041440.532053259</v>
      </c>
      <c r="B282" s="21">
        <f>IF($D$61&lt;=B246,IF($E$61&gt;=B246,ABS(B281),0),0)</f>
        <v>405.67298409244449</v>
      </c>
      <c r="C282" s="21">
        <f t="shared" ref="C282:AF282" si="268">IF($D$61&lt;=C246,IF($E$61&gt;=C246,ABS(C281),0),0)</f>
        <v>403.52509049246038</v>
      </c>
      <c r="D282" s="21">
        <f t="shared" si="268"/>
        <v>404.83457261911059</v>
      </c>
      <c r="E282" s="21">
        <f t="shared" si="268"/>
        <v>405.05725577873068</v>
      </c>
      <c r="F282" s="21">
        <f t="shared" si="268"/>
        <v>403.46024471825723</v>
      </c>
      <c r="G282" s="21">
        <f t="shared" si="268"/>
        <v>386.49543022031986</v>
      </c>
      <c r="H282" s="21">
        <f t="shared" si="268"/>
        <v>237.05790298833921</v>
      </c>
      <c r="I282" s="21">
        <f t="shared" si="268"/>
        <v>669.13486163181847</v>
      </c>
      <c r="J282" s="21">
        <f t="shared" si="268"/>
        <v>107307.61460069583</v>
      </c>
      <c r="K282" s="21">
        <f t="shared" si="268"/>
        <v>483612.37379044341</v>
      </c>
      <c r="L282" s="21">
        <f t="shared" si="268"/>
        <v>457094.29813695094</v>
      </c>
      <c r="M282" s="21">
        <f t="shared" si="268"/>
        <v>313180.77557700174</v>
      </c>
      <c r="N282" s="21">
        <f t="shared" si="268"/>
        <v>172376.91609681875</v>
      </c>
      <c r="O282" s="21">
        <f t="shared" si="268"/>
        <v>68958.136706998092</v>
      </c>
      <c r="P282" s="21">
        <f t="shared" si="268"/>
        <v>19002.193843055993</v>
      </c>
      <c r="Q282" s="21">
        <f t="shared" si="268"/>
        <v>67068.757399721755</v>
      </c>
      <c r="R282" s="21">
        <f t="shared" si="268"/>
        <v>75792.182453722737</v>
      </c>
      <c r="S282" s="21">
        <f t="shared" si="268"/>
        <v>35229.056055083609</v>
      </c>
      <c r="T282" s="21">
        <f t="shared" si="268"/>
        <v>163.08307274115711</v>
      </c>
      <c r="U282" s="21">
        <f t="shared" si="268"/>
        <v>42791.57462346118</v>
      </c>
      <c r="V282" s="21">
        <f t="shared" si="268"/>
        <v>94123.158796845673</v>
      </c>
      <c r="W282" s="21">
        <f t="shared" si="268"/>
        <v>74783.995274983943</v>
      </c>
      <c r="X282" s="21">
        <f t="shared" si="268"/>
        <v>26621.223415487279</v>
      </c>
      <c r="Y282" s="21">
        <f t="shared" si="268"/>
        <v>19.953866705565893</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6523.8803391708916</v>
      </c>
      <c r="C287" s="27">
        <f t="shared" ref="C287:AF287" si="269">($C$17+SUM(C288:C318))*$B$51</f>
        <v>6521.975501605054</v>
      </c>
      <c r="D287" s="27">
        <f t="shared" si="269"/>
        <v>6503.2025907610168</v>
      </c>
      <c r="E287" s="27">
        <f t="shared" si="269"/>
        <v>6340.4967718095577</v>
      </c>
      <c r="F287" s="27">
        <f t="shared" si="269"/>
        <v>5842.8318977544204</v>
      </c>
      <c r="G287" s="27">
        <f t="shared" si="269"/>
        <v>5805.1500053745385</v>
      </c>
      <c r="H287" s="27">
        <f t="shared" si="269"/>
        <v>5805.1185727414959</v>
      </c>
      <c r="I287" s="27">
        <f t="shared" si="269"/>
        <v>5804.8043585833511</v>
      </c>
      <c r="J287" s="27">
        <f t="shared" si="269"/>
        <v>5801.6734060614426</v>
      </c>
      <c r="K287" s="27">
        <f t="shared" si="269"/>
        <v>5771.4552528290487</v>
      </c>
      <c r="L287" s="27">
        <f t="shared" si="269"/>
        <v>5555.3949339005476</v>
      </c>
      <c r="M287" s="27">
        <f t="shared" si="269"/>
        <v>5235.9440034762965</v>
      </c>
      <c r="N287" s="27">
        <f t="shared" si="269"/>
        <v>4986.0651808990533</v>
      </c>
      <c r="O287" s="27">
        <f t="shared" si="269"/>
        <v>4697.6780348791081</v>
      </c>
      <c r="P287" s="27">
        <f t="shared" si="269"/>
        <v>4404.6902875118803</v>
      </c>
      <c r="Q287" s="27">
        <f t="shared" si="269"/>
        <v>4077.2120040670129</v>
      </c>
      <c r="R287" s="27">
        <f t="shared" si="269"/>
        <v>3674.7013459578061</v>
      </c>
      <c r="S287" s="27">
        <f t="shared" si="269"/>
        <v>3146.4735654024885</v>
      </c>
      <c r="T287" s="27">
        <f t="shared" si="269"/>
        <v>2517.6434479649279</v>
      </c>
      <c r="U287" s="27">
        <f t="shared" si="269"/>
        <v>1790.3717612448299</v>
      </c>
      <c r="V287" s="27">
        <f t="shared" si="269"/>
        <v>1066.881674443835</v>
      </c>
      <c r="W287" s="27">
        <f t="shared" si="269"/>
        <v>615.73620134797079</v>
      </c>
      <c r="X287" s="27">
        <f t="shared" si="269"/>
        <v>331.77371687377382</v>
      </c>
      <c r="Y287" s="27">
        <f t="shared" si="269"/>
        <v>204.13424730098004</v>
      </c>
      <c r="Z287" s="27">
        <f t="shared" si="269"/>
        <v>167.90550395744526</v>
      </c>
      <c r="AA287" s="27">
        <f t="shared" si="269"/>
        <v>148.34390960197186</v>
      </c>
      <c r="AB287" s="27">
        <f t="shared" si="269"/>
        <v>140.96661571904897</v>
      </c>
      <c r="AC287" s="27">
        <f t="shared" si="269"/>
        <v>137.37207601611559</v>
      </c>
      <c r="AD287" s="27">
        <f t="shared" si="269"/>
        <v>133.95957872908994</v>
      </c>
      <c r="AE287" s="27">
        <f t="shared" si="269"/>
        <v>130.85051356959644</v>
      </c>
      <c r="AF287" s="27">
        <f t="shared" si="269"/>
        <v>128.93440414081962</v>
      </c>
      <c r="AG287" s="27"/>
      <c r="AH287" s="27"/>
    </row>
    <row r="288" spans="1:34" x14ac:dyDescent="0.25">
      <c r="B288" s="3">
        <f t="shared" ref="B288:AF288" si="270">$C18*EXP(-B$285/$A18/EXP(-$F$126))</f>
        <v>0.11016503264227233</v>
      </c>
      <c r="C288" s="3">
        <f t="shared" si="270"/>
        <v>0.10987306294535372</v>
      </c>
      <c r="D288" s="3">
        <f t="shared" si="270"/>
        <v>0.10699558867960052</v>
      </c>
      <c r="E288" s="3">
        <f t="shared" si="270"/>
        <v>8.2056366480432449E-2</v>
      </c>
      <c r="F288" s="3">
        <f t="shared" si="270"/>
        <v>5.7753243320149694E-3</v>
      </c>
      <c r="G288" s="3">
        <f t="shared" si="270"/>
        <v>1.7227304949617147E-14</v>
      </c>
      <c r="H288" s="3">
        <f t="shared" si="270"/>
        <v>9.6078667542996949E-130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6.738626394967355E-2</v>
      </c>
      <c r="C289" s="3">
        <f t="shared" si="271"/>
        <v>6.7386263903865332E-2</v>
      </c>
      <c r="D289" s="3">
        <f t="shared" si="271"/>
        <v>6.7386263445783107E-2</v>
      </c>
      <c r="E289" s="3">
        <f t="shared" si="271"/>
        <v>6.7386258864961038E-2</v>
      </c>
      <c r="F289" s="3">
        <f t="shared" si="271"/>
        <v>6.7386213056757419E-2</v>
      </c>
      <c r="G289" s="3">
        <f t="shared" si="271"/>
        <v>6.7385754976434023E-2</v>
      </c>
      <c r="H289" s="3">
        <f t="shared" si="271"/>
        <v>6.7381174344464015E-2</v>
      </c>
      <c r="I289" s="3">
        <f t="shared" si="271"/>
        <v>6.7335385146856039E-2</v>
      </c>
      <c r="J289" s="3">
        <f t="shared" si="271"/>
        <v>6.6879201081244205E-2</v>
      </c>
      <c r="K289" s="3">
        <f t="shared" si="271"/>
        <v>6.2483932717725871E-2</v>
      </c>
      <c r="L289" s="3">
        <f t="shared" si="271"/>
        <v>3.1662204657197691E-2</v>
      </c>
      <c r="M289" s="3">
        <f t="shared" si="271"/>
        <v>3.5340208584104054E-5</v>
      </c>
      <c r="N289" s="3">
        <f t="shared" si="271"/>
        <v>1.0605928025764385E-34</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3.4082747841276101E-2</v>
      </c>
      <c r="C290" s="3">
        <f t="shared" si="272"/>
        <v>3.4082747839186064E-2</v>
      </c>
      <c r="D290" s="3">
        <f t="shared" si="272"/>
        <v>3.4082747818285734E-2</v>
      </c>
      <c r="E290" s="3">
        <f t="shared" si="272"/>
        <v>3.4082747609282378E-2</v>
      </c>
      <c r="F290" s="3">
        <f t="shared" si="272"/>
        <v>3.4082745519248919E-2</v>
      </c>
      <c r="G290" s="3">
        <f t="shared" si="272"/>
        <v>3.4082724618921374E-2</v>
      </c>
      <c r="H290" s="3">
        <f t="shared" si="272"/>
        <v>3.4082515616350832E-2</v>
      </c>
      <c r="I290" s="3">
        <f t="shared" si="272"/>
        <v>3.4080425661134797E-2</v>
      </c>
      <c r="J290" s="3">
        <f t="shared" si="272"/>
        <v>3.4059533156312743E-2</v>
      </c>
      <c r="K290" s="3">
        <f t="shared" si="272"/>
        <v>3.3851311245546835E-2</v>
      </c>
      <c r="L290" s="3">
        <f t="shared" si="272"/>
        <v>3.1837836347309509E-2</v>
      </c>
      <c r="M290" s="3">
        <f t="shared" si="272"/>
        <v>1.7243445439439741E-2</v>
      </c>
      <c r="N290" s="3">
        <f t="shared" si="272"/>
        <v>3.7448037135425639E-5</v>
      </c>
      <c r="O290" s="3">
        <f t="shared" si="272"/>
        <v>8.7393508437878585E-32</v>
      </c>
      <c r="P290" s="3">
        <f t="shared" si="272"/>
        <v>4.1877459997367196E-298</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4.6674257676111934E-2</v>
      </c>
      <c r="C291" s="3">
        <f t="shared" si="273"/>
        <v>4.6674257675853738E-2</v>
      </c>
      <c r="D291" s="3">
        <f t="shared" si="273"/>
        <v>4.6674257673271817E-2</v>
      </c>
      <c r="E291" s="3">
        <f t="shared" si="273"/>
        <v>4.667425764745263E-2</v>
      </c>
      <c r="F291" s="3">
        <f t="shared" si="273"/>
        <v>4.6674257389260697E-2</v>
      </c>
      <c r="G291" s="3">
        <f t="shared" si="273"/>
        <v>4.6674254807341484E-2</v>
      </c>
      <c r="H291" s="3">
        <f t="shared" si="273"/>
        <v>4.6674228988157207E-2</v>
      </c>
      <c r="I291" s="3">
        <f t="shared" si="273"/>
        <v>4.6673970797099965E-2</v>
      </c>
      <c r="J291" s="3">
        <f t="shared" si="273"/>
        <v>4.6671388965080156E-2</v>
      </c>
      <c r="K291" s="3">
        <f t="shared" si="273"/>
        <v>4.6645578498537378E-2</v>
      </c>
      <c r="L291" s="3">
        <f t="shared" si="273"/>
        <v>4.638825759356021E-2</v>
      </c>
      <c r="M291" s="3">
        <f t="shared" si="273"/>
        <v>4.3891843879207311E-2</v>
      </c>
      <c r="N291" s="3">
        <f t="shared" si="273"/>
        <v>2.524302992660819E-2</v>
      </c>
      <c r="O291" s="3">
        <f t="shared" si="273"/>
        <v>9.9935098792070944E-5</v>
      </c>
      <c r="P291" s="3">
        <f t="shared" si="273"/>
        <v>9.4511288869104796E-29</v>
      </c>
      <c r="Q291" s="3">
        <f t="shared" si="273"/>
        <v>5.4092877193661297E-269</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4.476426649886512E-2</v>
      </c>
      <c r="C292" s="3">
        <f t="shared" si="274"/>
        <v>4.4764266498842777E-2</v>
      </c>
      <c r="D292" s="3">
        <f t="shared" si="274"/>
        <v>4.47642664986194E-2</v>
      </c>
      <c r="E292" s="3">
        <f t="shared" si="274"/>
        <v>4.4764266496385603E-2</v>
      </c>
      <c r="F292" s="3">
        <f t="shared" si="274"/>
        <v>4.4764266474047652E-2</v>
      </c>
      <c r="G292" s="3">
        <f t="shared" si="274"/>
        <v>4.4764266250668157E-2</v>
      </c>
      <c r="H292" s="3">
        <f t="shared" si="274"/>
        <v>4.4764264016873258E-2</v>
      </c>
      <c r="I292" s="3">
        <f t="shared" si="274"/>
        <v>4.4764241678930401E-2</v>
      </c>
      <c r="J292" s="3">
        <f t="shared" si="274"/>
        <v>4.4764018300114922E-2</v>
      </c>
      <c r="K292" s="3">
        <f t="shared" si="274"/>
        <v>4.476178457326694E-2</v>
      </c>
      <c r="L292" s="3">
        <f t="shared" si="274"/>
        <v>4.4739453434339278E-2</v>
      </c>
      <c r="M292" s="3">
        <f t="shared" si="274"/>
        <v>4.4516753870053216E-2</v>
      </c>
      <c r="N292" s="3">
        <f t="shared" si="274"/>
        <v>4.2349826004275608E-2</v>
      </c>
      <c r="O292" s="3">
        <f t="shared" si="274"/>
        <v>2.5711833682637561E-2</v>
      </c>
      <c r="P292" s="3">
        <f t="shared" si="274"/>
        <v>1.74963415674982E-4</v>
      </c>
      <c r="Q292" s="3">
        <f t="shared" si="274"/>
        <v>3.7246822703914905E-26</v>
      </c>
      <c r="R292" s="3">
        <f t="shared" si="274"/>
        <v>7.1204765991504156E-243</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4.857726949150571E-2</v>
      </c>
      <c r="C293" s="3">
        <f t="shared" si="275"/>
        <v>4.8577269491503518E-2</v>
      </c>
      <c r="D293" s="3">
        <f t="shared" si="275"/>
        <v>4.857726949148166E-2</v>
      </c>
      <c r="E293" s="3">
        <f t="shared" si="275"/>
        <v>4.8577269491262988E-2</v>
      </c>
      <c r="F293" s="3">
        <f t="shared" si="275"/>
        <v>4.8577269489076272E-2</v>
      </c>
      <c r="G293" s="3">
        <f t="shared" si="275"/>
        <v>4.857726946720916E-2</v>
      </c>
      <c r="H293" s="3">
        <f t="shared" si="275"/>
        <v>4.8577269248537988E-2</v>
      </c>
      <c r="I293" s="3">
        <f t="shared" si="275"/>
        <v>4.8577267061826364E-2</v>
      </c>
      <c r="J293" s="3">
        <f t="shared" si="275"/>
        <v>4.8577245194715513E-2</v>
      </c>
      <c r="K293" s="3">
        <f t="shared" si="275"/>
        <v>4.857702652414838E-2</v>
      </c>
      <c r="L293" s="3">
        <f t="shared" si="275"/>
        <v>4.857483987261537E-2</v>
      </c>
      <c r="M293" s="3">
        <f t="shared" si="275"/>
        <v>4.8552978770213515E-2</v>
      </c>
      <c r="N293" s="3">
        <f t="shared" si="275"/>
        <v>4.8334908138552533E-2</v>
      </c>
      <c r="O293" s="3">
        <f t="shared" si="275"/>
        <v>4.6207351736782476E-2</v>
      </c>
      <c r="P293" s="3">
        <f t="shared" si="275"/>
        <v>2.9458653361385052E-2</v>
      </c>
      <c r="Q293" s="3">
        <f t="shared" si="275"/>
        <v>3.2676159291850364E-4</v>
      </c>
      <c r="R293" s="3">
        <f t="shared" si="275"/>
        <v>9.2132349931962152E-24</v>
      </c>
      <c r="S293" s="3">
        <f t="shared" si="275"/>
        <v>2.9256582054974876E-219</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5.5549505588396546E-2</v>
      </c>
      <c r="C294" s="3">
        <f t="shared" si="276"/>
        <v>5.5549505588396324E-2</v>
      </c>
      <c r="D294" s="3">
        <f t="shared" si="276"/>
        <v>5.5549505588394069E-2</v>
      </c>
      <c r="E294" s="3">
        <f t="shared" si="276"/>
        <v>5.554950558837151E-2</v>
      </c>
      <c r="F294" s="3">
        <f t="shared" si="276"/>
        <v>5.5549505588145934E-2</v>
      </c>
      <c r="G294" s="3">
        <f t="shared" si="276"/>
        <v>5.5549505585890217E-2</v>
      </c>
      <c r="H294" s="3">
        <f t="shared" si="276"/>
        <v>5.5549505563333018E-2</v>
      </c>
      <c r="I294" s="3">
        <f t="shared" si="276"/>
        <v>5.5549505337761006E-2</v>
      </c>
      <c r="J294" s="3">
        <f t="shared" si="276"/>
        <v>5.554950308204093E-2</v>
      </c>
      <c r="K294" s="3">
        <f t="shared" si="276"/>
        <v>5.5549480524845228E-2</v>
      </c>
      <c r="L294" s="3">
        <f t="shared" si="276"/>
        <v>5.554925495339199E-2</v>
      </c>
      <c r="M294" s="3">
        <f t="shared" si="276"/>
        <v>5.5546999289238126E-2</v>
      </c>
      <c r="N294" s="3">
        <f t="shared" si="276"/>
        <v>5.5524447684797799E-2</v>
      </c>
      <c r="O294" s="3">
        <f t="shared" si="276"/>
        <v>5.5299434594230923E-2</v>
      </c>
      <c r="P294" s="3">
        <f t="shared" si="276"/>
        <v>5.3098851535362049E-2</v>
      </c>
      <c r="Q294" s="3">
        <f t="shared" si="276"/>
        <v>3.5377692107847164E-2</v>
      </c>
      <c r="R294" s="3">
        <f t="shared" si="276"/>
        <v>6.0978003136964362E-4</v>
      </c>
      <c r="S294" s="3">
        <f t="shared" si="276"/>
        <v>1.4112702996855891E-21</v>
      </c>
      <c r="T294" s="3">
        <f t="shared" si="276"/>
        <v>6.2227196804761691E-198</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7.866276737132312E-2</v>
      </c>
      <c r="C295" s="3">
        <f t="shared" si="277"/>
        <v>7.8662767371323078E-2</v>
      </c>
      <c r="D295" s="3">
        <f t="shared" si="277"/>
        <v>7.86627673713228E-2</v>
      </c>
      <c r="E295" s="3">
        <f t="shared" si="277"/>
        <v>7.8662767371319914E-2</v>
      </c>
      <c r="F295" s="3">
        <f t="shared" si="277"/>
        <v>7.8662767371291104E-2</v>
      </c>
      <c r="G295" s="3">
        <f t="shared" si="277"/>
        <v>7.8662767371002945E-2</v>
      </c>
      <c r="H295" s="3">
        <f t="shared" si="277"/>
        <v>7.8662767368121445E-2</v>
      </c>
      <c r="I295" s="3">
        <f t="shared" si="277"/>
        <v>7.8662767339306286E-2</v>
      </c>
      <c r="J295" s="3">
        <f t="shared" si="277"/>
        <v>7.8662767051154825E-2</v>
      </c>
      <c r="K295" s="3">
        <f t="shared" si="277"/>
        <v>7.8662764169640256E-2</v>
      </c>
      <c r="L295" s="3">
        <f t="shared" si="277"/>
        <v>7.8662735354500399E-2</v>
      </c>
      <c r="M295" s="3">
        <f t="shared" si="277"/>
        <v>7.866244720368229E-2</v>
      </c>
      <c r="N295" s="3">
        <f t="shared" si="277"/>
        <v>7.8659565753554803E-2</v>
      </c>
      <c r="O295" s="3">
        <f t="shared" si="277"/>
        <v>7.8630757056845524E-2</v>
      </c>
      <c r="P295" s="3">
        <f t="shared" si="277"/>
        <v>7.8343249760360875E-2</v>
      </c>
      <c r="Q295" s="3">
        <f t="shared" si="277"/>
        <v>7.5525365835131281E-2</v>
      </c>
      <c r="R295" s="3">
        <f t="shared" si="277"/>
        <v>5.2360693260174909E-2</v>
      </c>
      <c r="S295" s="3">
        <f t="shared" si="277"/>
        <v>1.3431697179675888E-3</v>
      </c>
      <c r="T295" s="3">
        <f t="shared" si="277"/>
        <v>1.6572420017370242E-19</v>
      </c>
      <c r="U295" s="3">
        <f t="shared" si="277"/>
        <v>1.3549907443772295E-178</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9.4543741847587029E-2</v>
      </c>
      <c r="C296" s="3">
        <f t="shared" si="278"/>
        <v>9.4543741847587029E-2</v>
      </c>
      <c r="D296" s="3">
        <f t="shared" si="278"/>
        <v>9.4543741847587001E-2</v>
      </c>
      <c r="E296" s="3">
        <f t="shared" si="278"/>
        <v>9.4543741847586682E-2</v>
      </c>
      <c r="F296" s="3">
        <f t="shared" si="278"/>
        <v>9.4543741847583559E-2</v>
      </c>
      <c r="G296" s="3">
        <f t="shared" si="278"/>
        <v>9.4543741847552321E-2</v>
      </c>
      <c r="H296" s="3">
        <f t="shared" si="278"/>
        <v>9.4543741847239904E-2</v>
      </c>
      <c r="I296" s="3">
        <f t="shared" si="278"/>
        <v>9.454374184411575E-2</v>
      </c>
      <c r="J296" s="3">
        <f t="shared" si="278"/>
        <v>9.4543741812874324E-2</v>
      </c>
      <c r="K296" s="3">
        <f t="shared" si="278"/>
        <v>9.4543741500459966E-2</v>
      </c>
      <c r="L296" s="3">
        <f t="shared" si="278"/>
        <v>9.4543738376316439E-2</v>
      </c>
      <c r="M296" s="3">
        <f t="shared" si="278"/>
        <v>9.4543707134886884E-2</v>
      </c>
      <c r="N296" s="3">
        <f t="shared" si="278"/>
        <v>9.4543394721159121E-2</v>
      </c>
      <c r="O296" s="3">
        <f t="shared" si="278"/>
        <v>9.4540270640660215E-2</v>
      </c>
      <c r="P296" s="3">
        <f t="shared" si="278"/>
        <v>9.4509035512853889E-2</v>
      </c>
      <c r="Q296" s="3">
        <f t="shared" si="278"/>
        <v>9.4197251259565587E-2</v>
      </c>
      <c r="R296" s="3">
        <f t="shared" si="278"/>
        <v>9.1135424019966729E-2</v>
      </c>
      <c r="S296" s="3">
        <f t="shared" si="278"/>
        <v>6.5490318748087459E-2</v>
      </c>
      <c r="T296" s="3">
        <f t="shared" si="278"/>
        <v>2.4047833745475945E-3</v>
      </c>
      <c r="U296" s="3">
        <f t="shared" si="278"/>
        <v>1.0716785209496297E-17</v>
      </c>
      <c r="V296" s="3">
        <f t="shared" si="278"/>
        <v>3.3109314081455819E-161</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0.11359632384203742</v>
      </c>
      <c r="C297" s="3">
        <f t="shared" si="279"/>
        <v>0.11359632384203742</v>
      </c>
      <c r="D297" s="3">
        <f t="shared" si="279"/>
        <v>0.11359632384203742</v>
      </c>
      <c r="E297" s="3">
        <f t="shared" si="279"/>
        <v>0.11359632384203738</v>
      </c>
      <c r="F297" s="3">
        <f t="shared" si="279"/>
        <v>0.11359632384203705</v>
      </c>
      <c r="G297" s="3">
        <f t="shared" si="279"/>
        <v>0.11359632384203366</v>
      </c>
      <c r="H297" s="3">
        <f t="shared" si="279"/>
        <v>0.1135963238419998</v>
      </c>
      <c r="I297" s="3">
        <f t="shared" si="279"/>
        <v>0.11359632384166118</v>
      </c>
      <c r="J297" s="3">
        <f t="shared" si="279"/>
        <v>0.113596323838275</v>
      </c>
      <c r="K297" s="3">
        <f t="shared" si="279"/>
        <v>0.1135963238044133</v>
      </c>
      <c r="L297" s="3">
        <f t="shared" si="279"/>
        <v>0.11359632346579604</v>
      </c>
      <c r="M297" s="3">
        <f t="shared" si="279"/>
        <v>0.1135963200796237</v>
      </c>
      <c r="N297" s="3">
        <f t="shared" si="279"/>
        <v>0.11359628621790573</v>
      </c>
      <c r="O297" s="3">
        <f t="shared" si="279"/>
        <v>0.11359594760128126</v>
      </c>
      <c r="P297" s="3">
        <f t="shared" si="279"/>
        <v>0.11359256149055159</v>
      </c>
      <c r="Q297" s="3">
        <f t="shared" si="279"/>
        <v>0.1135587059341541</v>
      </c>
      <c r="R297" s="3">
        <f t="shared" si="279"/>
        <v>0.1132207048483449</v>
      </c>
      <c r="S297" s="3">
        <f t="shared" si="279"/>
        <v>0.10989553510379158</v>
      </c>
      <c r="T297" s="3">
        <f t="shared" si="279"/>
        <v>8.1568407979393687E-2</v>
      </c>
      <c r="U297" s="3">
        <f t="shared" si="279"/>
        <v>4.1394378431527448E-3</v>
      </c>
      <c r="V297" s="3">
        <f t="shared" si="279"/>
        <v>4.6895931080710771E-16</v>
      </c>
      <c r="W297" s="3">
        <f t="shared" si="279"/>
        <v>1.6333269732345877E-145</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0.12987660327805553</v>
      </c>
      <c r="C298" s="3">
        <f t="shared" si="280"/>
        <v>0.12987660327805553</v>
      </c>
      <c r="D298" s="3">
        <f t="shared" si="280"/>
        <v>0.12987660327805553</v>
      </c>
      <c r="E298" s="3">
        <f t="shared" si="280"/>
        <v>0.12987660327805553</v>
      </c>
      <c r="F298" s="3">
        <f t="shared" si="280"/>
        <v>0.12987660327805547</v>
      </c>
      <c r="G298" s="3">
        <f t="shared" si="280"/>
        <v>0.12987660327805514</v>
      </c>
      <c r="H298" s="3">
        <f t="shared" si="280"/>
        <v>0.12987660327805164</v>
      </c>
      <c r="I298" s="3">
        <f t="shared" si="280"/>
        <v>0.12987660327801673</v>
      </c>
      <c r="J298" s="3">
        <f t="shared" si="280"/>
        <v>0.12987660327766748</v>
      </c>
      <c r="K298" s="3">
        <f t="shared" si="280"/>
        <v>0.12987660327417511</v>
      </c>
      <c r="L298" s="3">
        <f t="shared" si="280"/>
        <v>0.12987660323925124</v>
      </c>
      <c r="M298" s="3">
        <f t="shared" si="280"/>
        <v>0.12987660289001257</v>
      </c>
      <c r="N298" s="3">
        <f t="shared" si="280"/>
        <v>0.12987659939762614</v>
      </c>
      <c r="O298" s="3">
        <f t="shared" si="280"/>
        <v>0.12987656447376669</v>
      </c>
      <c r="P298" s="3">
        <f t="shared" si="280"/>
        <v>0.12987621523568893</v>
      </c>
      <c r="Q298" s="3">
        <f t="shared" si="280"/>
        <v>0.12987272290656146</v>
      </c>
      <c r="R298" s="3">
        <f t="shared" si="280"/>
        <v>0.12983780477978785</v>
      </c>
      <c r="S298" s="3">
        <f t="shared" si="280"/>
        <v>0.12948913944868631</v>
      </c>
      <c r="T298" s="3">
        <f t="shared" si="280"/>
        <v>0.12605357015089069</v>
      </c>
      <c r="U298" s="3">
        <f t="shared" si="280"/>
        <v>9.6332583738369365E-2</v>
      </c>
      <c r="V298" s="3">
        <f t="shared" si="280"/>
        <v>6.5456652352790107E-3</v>
      </c>
      <c r="W298" s="3">
        <f t="shared" si="280"/>
        <v>1.3732816219590324E-14</v>
      </c>
      <c r="X298" s="3">
        <f t="shared" si="280"/>
        <v>2.2689126944491425E-131</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7.5604381501705717E-2</v>
      </c>
      <c r="C299" s="3">
        <f t="shared" si="281"/>
        <v>7.5604381501705717E-2</v>
      </c>
      <c r="D299" s="3">
        <f t="shared" si="281"/>
        <v>7.5604381501705717E-2</v>
      </c>
      <c r="E299" s="3">
        <f t="shared" si="281"/>
        <v>7.5604381501705717E-2</v>
      </c>
      <c r="F299" s="3">
        <f t="shared" si="281"/>
        <v>7.5604381501705717E-2</v>
      </c>
      <c r="G299" s="3">
        <f t="shared" si="281"/>
        <v>7.5604381501705703E-2</v>
      </c>
      <c r="H299" s="3">
        <f t="shared" si="281"/>
        <v>7.5604381501705509E-2</v>
      </c>
      <c r="I299" s="3">
        <f t="shared" si="281"/>
        <v>7.5604381501703677E-2</v>
      </c>
      <c r="J299" s="3">
        <f t="shared" si="281"/>
        <v>7.560438150168533E-2</v>
      </c>
      <c r="K299" s="3">
        <f t="shared" si="281"/>
        <v>7.5604381501501949E-2</v>
      </c>
      <c r="L299" s="3">
        <f t="shared" si="281"/>
        <v>7.5604381499668E-2</v>
      </c>
      <c r="M299" s="3">
        <f t="shared" si="281"/>
        <v>7.5604381481328614E-2</v>
      </c>
      <c r="N299" s="3">
        <f t="shared" si="281"/>
        <v>7.5604381297934689E-2</v>
      </c>
      <c r="O299" s="3">
        <f t="shared" si="281"/>
        <v>7.5604379463995508E-2</v>
      </c>
      <c r="P299" s="3">
        <f t="shared" si="281"/>
        <v>7.5604361124606084E-2</v>
      </c>
      <c r="Q299" s="3">
        <f t="shared" si="281"/>
        <v>7.5604177730956554E-2</v>
      </c>
      <c r="R299" s="3">
        <f t="shared" si="281"/>
        <v>7.5602343818928178E-2</v>
      </c>
      <c r="S299" s="3">
        <f t="shared" si="281"/>
        <v>7.5584007145128085E-2</v>
      </c>
      <c r="T299" s="3">
        <f t="shared" si="281"/>
        <v>7.5400884836044221E-2</v>
      </c>
      <c r="U299" s="3">
        <f t="shared" si="281"/>
        <v>7.3593886675465708E-2</v>
      </c>
      <c r="V299" s="3">
        <f t="shared" si="281"/>
        <v>5.7742384305222771E-2</v>
      </c>
      <c r="W299" s="3">
        <f t="shared" si="281"/>
        <v>5.1053373470679696E-3</v>
      </c>
      <c r="X299" s="3">
        <f t="shared" si="281"/>
        <v>1.4904649233084171E-13</v>
      </c>
      <c r="Y299" s="3">
        <f t="shared" si="281"/>
        <v>6.7033965823460482E-119</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4.9796050081425132E-2</v>
      </c>
      <c r="C300" s="3">
        <f t="shared" si="282"/>
        <v>4.9796050081425132E-2</v>
      </c>
      <c r="D300" s="3">
        <f t="shared" si="282"/>
        <v>4.9796050081425132E-2</v>
      </c>
      <c r="E300" s="3">
        <f t="shared" si="282"/>
        <v>4.9796050081425132E-2</v>
      </c>
      <c r="F300" s="3">
        <f t="shared" si="282"/>
        <v>4.9796050081425132E-2</v>
      </c>
      <c r="G300" s="3">
        <f t="shared" si="282"/>
        <v>4.9796050081425132E-2</v>
      </c>
      <c r="H300" s="3">
        <f t="shared" si="282"/>
        <v>4.9796050081425118E-2</v>
      </c>
      <c r="I300" s="3">
        <f t="shared" si="282"/>
        <v>4.9796050081425007E-2</v>
      </c>
      <c r="J300" s="3">
        <f t="shared" si="282"/>
        <v>4.9796050081423925E-2</v>
      </c>
      <c r="K300" s="3">
        <f t="shared" si="282"/>
        <v>4.9796050081413024E-2</v>
      </c>
      <c r="L300" s="3">
        <f t="shared" si="282"/>
        <v>4.9796050081304062E-2</v>
      </c>
      <c r="M300" s="3">
        <f t="shared" si="282"/>
        <v>4.9796050080214427E-2</v>
      </c>
      <c r="N300" s="3">
        <f t="shared" si="282"/>
        <v>4.9796050069318122E-2</v>
      </c>
      <c r="O300" s="3">
        <f t="shared" si="282"/>
        <v>4.979604996035502E-2</v>
      </c>
      <c r="P300" s="3">
        <f t="shared" si="282"/>
        <v>4.9796048870724016E-2</v>
      </c>
      <c r="Q300" s="3">
        <f t="shared" si="282"/>
        <v>4.9796037974415286E-2</v>
      </c>
      <c r="R300" s="3">
        <f t="shared" si="282"/>
        <v>4.9795929011459107E-2</v>
      </c>
      <c r="S300" s="3">
        <f t="shared" si="282"/>
        <v>4.9794839395010976E-2</v>
      </c>
      <c r="T300" s="3">
        <f t="shared" si="282"/>
        <v>4.9783944541786113E-2</v>
      </c>
      <c r="U300" s="3">
        <f t="shared" si="282"/>
        <v>4.9675127029082888E-2</v>
      </c>
      <c r="V300" s="3">
        <f t="shared" si="282"/>
        <v>4.8599948397332858E-2</v>
      </c>
      <c r="W300" s="3">
        <f t="shared" si="282"/>
        <v>3.9048470350946204E-2</v>
      </c>
      <c r="X300" s="3">
        <f t="shared" si="282"/>
        <v>4.3781053066970265E-3</v>
      </c>
      <c r="Y300" s="3">
        <f t="shared" si="282"/>
        <v>1.3743836469870133E-12</v>
      </c>
      <c r="Z300" s="3">
        <f t="shared" si="282"/>
        <v>1.2773965399883572E-107</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2.0966447401353387E-2</v>
      </c>
      <c r="C301" s="3">
        <f t="shared" si="283"/>
        <v>2.0966447401353387E-2</v>
      </c>
      <c r="D301" s="3">
        <f t="shared" si="283"/>
        <v>2.0966447401353387E-2</v>
      </c>
      <c r="E301" s="3">
        <f t="shared" si="283"/>
        <v>2.0966447401353387E-2</v>
      </c>
      <c r="F301" s="3">
        <f t="shared" si="283"/>
        <v>2.0966447401353387E-2</v>
      </c>
      <c r="G301" s="3">
        <f t="shared" si="283"/>
        <v>2.0966447401353387E-2</v>
      </c>
      <c r="H301" s="3">
        <f t="shared" si="283"/>
        <v>2.0966447401353387E-2</v>
      </c>
      <c r="I301" s="3">
        <f t="shared" si="283"/>
        <v>2.0966447401353384E-2</v>
      </c>
      <c r="J301" s="3">
        <f t="shared" si="283"/>
        <v>2.0966447401353342E-2</v>
      </c>
      <c r="K301" s="3">
        <f t="shared" si="283"/>
        <v>2.0966447401352926E-2</v>
      </c>
      <c r="L301" s="3">
        <f t="shared" si="283"/>
        <v>2.0966447401348787E-2</v>
      </c>
      <c r="M301" s="3">
        <f t="shared" si="283"/>
        <v>2.0966447401307403E-2</v>
      </c>
      <c r="N301" s="3">
        <f t="shared" si="283"/>
        <v>2.096644740089354E-2</v>
      </c>
      <c r="O301" s="3">
        <f t="shared" si="283"/>
        <v>2.0966447396754916E-2</v>
      </c>
      <c r="P301" s="3">
        <f t="shared" si="283"/>
        <v>2.0966447355368671E-2</v>
      </c>
      <c r="Q301" s="3">
        <f t="shared" si="283"/>
        <v>2.0966446941506248E-2</v>
      </c>
      <c r="R301" s="3">
        <f t="shared" si="283"/>
        <v>2.0966442802882453E-2</v>
      </c>
      <c r="S301" s="3">
        <f t="shared" si="283"/>
        <v>2.0966401416689439E-2</v>
      </c>
      <c r="T301" s="3">
        <f t="shared" si="283"/>
        <v>2.0965987559252396E-2</v>
      </c>
      <c r="U301" s="3">
        <f t="shared" si="283"/>
        <v>2.0961849434159394E-2</v>
      </c>
      <c r="V301" s="3">
        <f t="shared" si="283"/>
        <v>2.0920513078176717E-2</v>
      </c>
      <c r="W301" s="3">
        <f t="shared" si="283"/>
        <v>2.0511606396330543E-2</v>
      </c>
      <c r="X301" s="3">
        <f t="shared" si="283"/>
        <v>1.683732522317697E-2</v>
      </c>
      <c r="Y301" s="3">
        <f t="shared" si="283"/>
        <v>2.3388769075055912E-3</v>
      </c>
      <c r="Z301" s="3">
        <f t="shared" si="283"/>
        <v>6.2567675335993822E-12</v>
      </c>
      <c r="AA301" s="3">
        <f t="shared" si="283"/>
        <v>1.1742932185706447E-97</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3.9443248072899657E-3</v>
      </c>
      <c r="C302" s="3">
        <f t="shared" si="284"/>
        <v>3.9443248072899657E-3</v>
      </c>
      <c r="D302" s="3">
        <f t="shared" si="284"/>
        <v>3.9443248072899657E-3</v>
      </c>
      <c r="E302" s="3">
        <f t="shared" si="284"/>
        <v>3.9443248072899657E-3</v>
      </c>
      <c r="F302" s="3">
        <f t="shared" si="284"/>
        <v>3.9443248072899657E-3</v>
      </c>
      <c r="G302" s="3">
        <f t="shared" si="284"/>
        <v>3.9443248072899657E-3</v>
      </c>
      <c r="H302" s="3">
        <f t="shared" si="284"/>
        <v>3.9443248072899657E-3</v>
      </c>
      <c r="I302" s="3">
        <f t="shared" si="284"/>
        <v>3.9443248072899657E-3</v>
      </c>
      <c r="J302" s="3">
        <f t="shared" si="284"/>
        <v>3.9443248072899648E-3</v>
      </c>
      <c r="K302" s="3">
        <f t="shared" si="284"/>
        <v>3.9443248072899579E-3</v>
      </c>
      <c r="L302" s="3">
        <f t="shared" si="284"/>
        <v>3.9443248072898876E-3</v>
      </c>
      <c r="M302" s="3">
        <f t="shared" si="284"/>
        <v>3.9443248072891851E-3</v>
      </c>
      <c r="N302" s="3">
        <f t="shared" si="284"/>
        <v>3.944324807282162E-3</v>
      </c>
      <c r="O302" s="3">
        <f t="shared" si="284"/>
        <v>3.9443248072119274E-3</v>
      </c>
      <c r="P302" s="3">
        <f t="shared" si="284"/>
        <v>3.9443248065095821E-3</v>
      </c>
      <c r="Q302" s="3">
        <f t="shared" si="284"/>
        <v>3.9443247994861335E-3</v>
      </c>
      <c r="R302" s="3">
        <f t="shared" si="284"/>
        <v>3.9443247292516477E-3</v>
      </c>
      <c r="S302" s="3">
        <f t="shared" si="284"/>
        <v>3.9443240269068525E-3</v>
      </c>
      <c r="T302" s="3">
        <f t="shared" si="284"/>
        <v>3.9443170034657764E-3</v>
      </c>
      <c r="U302" s="3">
        <f t="shared" si="284"/>
        <v>3.9442467697428617E-3</v>
      </c>
      <c r="V302" s="3">
        <f t="shared" si="284"/>
        <v>3.9435445012932242E-3</v>
      </c>
      <c r="W302" s="3">
        <f t="shared" si="284"/>
        <v>3.9365286902182306E-3</v>
      </c>
      <c r="X302" s="3">
        <f t="shared" si="284"/>
        <v>3.8670534146156557E-3</v>
      </c>
      <c r="Y302" s="3">
        <f t="shared" si="284"/>
        <v>3.2362917780015469E-3</v>
      </c>
      <c r="Z302" s="3">
        <f t="shared" si="284"/>
        <v>5.4540945142006253E-4</v>
      </c>
      <c r="AA302" s="3">
        <f t="shared" si="284"/>
        <v>1.0080279090923486E-11</v>
      </c>
      <c r="AB302" s="3">
        <f t="shared" si="284"/>
        <v>4.687826458205224E-89</v>
      </c>
      <c r="AC302" s="3">
        <f t="shared" si="284"/>
        <v>0</v>
      </c>
      <c r="AD302" s="3">
        <f t="shared" si="284"/>
        <v>0</v>
      </c>
      <c r="AE302" s="3">
        <f t="shared" si="284"/>
        <v>0</v>
      </c>
      <c r="AF302" s="3">
        <f t="shared" si="284"/>
        <v>0</v>
      </c>
      <c r="AG302" s="3"/>
      <c r="AH302" s="3"/>
    </row>
    <row r="303" spans="2:34" x14ac:dyDescent="0.25">
      <c r="B303" s="3">
        <f t="shared" ref="B303:AF303" si="285">$C33*EXP(-B$285/$A33/EXP(-$F$126))</f>
        <v>3.51380910541953E-3</v>
      </c>
      <c r="C303" s="3">
        <f t="shared" si="285"/>
        <v>3.51380910541953E-3</v>
      </c>
      <c r="D303" s="3">
        <f t="shared" si="285"/>
        <v>3.51380910541953E-3</v>
      </c>
      <c r="E303" s="3">
        <f t="shared" si="285"/>
        <v>3.51380910541953E-3</v>
      </c>
      <c r="F303" s="3">
        <f t="shared" si="285"/>
        <v>3.51380910541953E-3</v>
      </c>
      <c r="G303" s="3">
        <f t="shared" si="285"/>
        <v>3.51380910541953E-3</v>
      </c>
      <c r="H303" s="3">
        <f t="shared" si="285"/>
        <v>3.51380910541953E-3</v>
      </c>
      <c r="I303" s="3">
        <f t="shared" si="285"/>
        <v>3.51380910541953E-3</v>
      </c>
      <c r="J303" s="3">
        <f t="shared" si="285"/>
        <v>3.51380910541953E-3</v>
      </c>
      <c r="K303" s="3">
        <f t="shared" si="285"/>
        <v>3.5138091054195291E-3</v>
      </c>
      <c r="L303" s="3">
        <f t="shared" si="285"/>
        <v>3.5138091054195239E-3</v>
      </c>
      <c r="M303" s="3">
        <f t="shared" si="285"/>
        <v>3.5138091054194671E-3</v>
      </c>
      <c r="N303" s="3">
        <f t="shared" si="285"/>
        <v>3.5138091054189029E-3</v>
      </c>
      <c r="O303" s="3">
        <f t="shared" si="285"/>
        <v>3.5138091054132585E-3</v>
      </c>
      <c r="P303" s="3">
        <f t="shared" si="285"/>
        <v>3.5138091053568167E-3</v>
      </c>
      <c r="Q303" s="3">
        <f t="shared" si="285"/>
        <v>3.5138091047923967E-3</v>
      </c>
      <c r="R303" s="3">
        <f t="shared" si="285"/>
        <v>3.513809099148195E-3</v>
      </c>
      <c r="S303" s="3">
        <f t="shared" si="285"/>
        <v>3.513809042706182E-3</v>
      </c>
      <c r="T303" s="3">
        <f t="shared" si="285"/>
        <v>3.513808478286101E-3</v>
      </c>
      <c r="U303" s="3">
        <f t="shared" si="285"/>
        <v>3.5138028340902746E-3</v>
      </c>
      <c r="V303" s="3">
        <f t="shared" si="285"/>
        <v>3.5137463926306527E-3</v>
      </c>
      <c r="W303" s="3">
        <f t="shared" si="285"/>
        <v>3.5131820278954166E-3</v>
      </c>
      <c r="X303" s="3">
        <f t="shared" si="285"/>
        <v>3.5075433636793576E-3</v>
      </c>
      <c r="Y303" s="3">
        <f t="shared" si="285"/>
        <v>3.4516520862147944E-3</v>
      </c>
      <c r="Z303" s="3">
        <f t="shared" si="285"/>
        <v>2.939453975381489E-3</v>
      </c>
      <c r="AA303" s="3">
        <f t="shared" si="285"/>
        <v>5.8974351079881231E-4</v>
      </c>
      <c r="AB303" s="3">
        <f t="shared" si="285"/>
        <v>6.2320113189438169E-11</v>
      </c>
      <c r="AC303" s="3">
        <f t="shared" si="285"/>
        <v>1.0821285604791962E-80</v>
      </c>
      <c r="AD303" s="3">
        <f t="shared" si="285"/>
        <v>0</v>
      </c>
      <c r="AE303" s="3">
        <f t="shared" si="285"/>
        <v>0</v>
      </c>
      <c r="AF303" s="3">
        <f t="shared" si="285"/>
        <v>0</v>
      </c>
      <c r="AG303" s="3"/>
      <c r="AH303" s="3"/>
    </row>
    <row r="304" spans="2:34" x14ac:dyDescent="0.25">
      <c r="B304" s="3">
        <f t="shared" ref="B304:AF304" si="286">$C34*EXP(-B$285/$A34/EXP(-$F$126))</f>
        <v>7.1978944921583432E-4</v>
      </c>
      <c r="C304" s="3">
        <f t="shared" si="286"/>
        <v>7.1978944921583432E-4</v>
      </c>
      <c r="D304" s="3">
        <f t="shared" si="286"/>
        <v>7.1978944921583432E-4</v>
      </c>
      <c r="E304" s="3">
        <f t="shared" si="286"/>
        <v>7.1978944921583432E-4</v>
      </c>
      <c r="F304" s="3">
        <f t="shared" si="286"/>
        <v>7.1978944921583432E-4</v>
      </c>
      <c r="G304" s="3">
        <f t="shared" si="286"/>
        <v>7.1978944921583432E-4</v>
      </c>
      <c r="H304" s="3">
        <f t="shared" si="286"/>
        <v>7.1978944921583432E-4</v>
      </c>
      <c r="I304" s="3">
        <f t="shared" si="286"/>
        <v>7.1978944921583432E-4</v>
      </c>
      <c r="J304" s="3">
        <f t="shared" si="286"/>
        <v>7.1978944921583432E-4</v>
      </c>
      <c r="K304" s="3">
        <f t="shared" si="286"/>
        <v>7.1978944921583432E-4</v>
      </c>
      <c r="L304" s="3">
        <f t="shared" si="286"/>
        <v>7.1978944921583421E-4</v>
      </c>
      <c r="M304" s="3">
        <f t="shared" si="286"/>
        <v>7.1978944921583313E-4</v>
      </c>
      <c r="N304" s="3">
        <f t="shared" si="286"/>
        <v>7.1978944921582272E-4</v>
      </c>
      <c r="O304" s="3">
        <f t="shared" si="286"/>
        <v>7.1978944921571842E-4</v>
      </c>
      <c r="P304" s="3">
        <f t="shared" si="286"/>
        <v>7.1978944921467542E-4</v>
      </c>
      <c r="Q304" s="3">
        <f t="shared" si="286"/>
        <v>7.1978944920424561E-4</v>
      </c>
      <c r="R304" s="3">
        <f t="shared" si="286"/>
        <v>7.1978944909994753E-4</v>
      </c>
      <c r="S304" s="3">
        <f t="shared" si="286"/>
        <v>7.197894480569665E-4</v>
      </c>
      <c r="T304" s="3">
        <f t="shared" si="286"/>
        <v>7.1978943762715649E-4</v>
      </c>
      <c r="U304" s="3">
        <f t="shared" si="286"/>
        <v>7.197893333290643E-4</v>
      </c>
      <c r="V304" s="3">
        <f t="shared" si="286"/>
        <v>7.1978829034897334E-4</v>
      </c>
      <c r="W304" s="3">
        <f t="shared" si="286"/>
        <v>7.1977786063118394E-4</v>
      </c>
      <c r="X304" s="3">
        <f t="shared" si="286"/>
        <v>7.1967357176488153E-4</v>
      </c>
      <c r="Y304" s="3">
        <f t="shared" si="286"/>
        <v>7.186315138154874E-4</v>
      </c>
      <c r="Z304" s="3">
        <f t="shared" si="286"/>
        <v>7.0829356203246498E-4</v>
      </c>
      <c r="AA304" s="3">
        <f t="shared" si="286"/>
        <v>6.1275047374974724E-4</v>
      </c>
      <c r="AB304" s="3">
        <f t="shared" si="286"/>
        <v>1.4387564027115975E-4</v>
      </c>
      <c r="AC304" s="3">
        <f t="shared" si="286"/>
        <v>7.328640285841917E-11</v>
      </c>
      <c r="AD304" s="3">
        <f t="shared" si="286"/>
        <v>8.6175689760836895E-74</v>
      </c>
      <c r="AE304" s="3">
        <f t="shared" si="286"/>
        <v>0</v>
      </c>
      <c r="AF304" s="3">
        <f t="shared" si="286"/>
        <v>0</v>
      </c>
      <c r="AG304" s="3"/>
      <c r="AH304" s="3"/>
    </row>
    <row r="305" spans="1:34" x14ac:dyDescent="0.25">
      <c r="B305" s="3">
        <f t="shared" ref="B305:AF305" si="287">$C35*EXP(-B$285/$A35/EXP(-$F$126))</f>
        <v>5.3803230598076777E-4</v>
      </c>
      <c r="C305" s="3">
        <f t="shared" si="287"/>
        <v>5.3803230598076777E-4</v>
      </c>
      <c r="D305" s="3">
        <f t="shared" si="287"/>
        <v>5.3803230598076777E-4</v>
      </c>
      <c r="E305" s="3">
        <f t="shared" si="287"/>
        <v>5.3803230598076777E-4</v>
      </c>
      <c r="F305" s="3">
        <f t="shared" si="287"/>
        <v>5.3803230598076777E-4</v>
      </c>
      <c r="G305" s="3">
        <f t="shared" si="287"/>
        <v>5.3803230598076777E-4</v>
      </c>
      <c r="H305" s="3">
        <f t="shared" si="287"/>
        <v>5.3803230598076777E-4</v>
      </c>
      <c r="I305" s="3">
        <f t="shared" si="287"/>
        <v>5.3803230598076777E-4</v>
      </c>
      <c r="J305" s="3">
        <f t="shared" si="287"/>
        <v>5.3803230598076777E-4</v>
      </c>
      <c r="K305" s="3">
        <f t="shared" si="287"/>
        <v>5.3803230598076777E-4</v>
      </c>
      <c r="L305" s="3">
        <f t="shared" si="287"/>
        <v>5.3803230598076777E-4</v>
      </c>
      <c r="M305" s="3">
        <f t="shared" si="287"/>
        <v>5.3803230598076766E-4</v>
      </c>
      <c r="N305" s="3">
        <f t="shared" si="287"/>
        <v>5.3803230598076701E-4</v>
      </c>
      <c r="O305" s="3">
        <f t="shared" si="287"/>
        <v>5.3803230598075996E-4</v>
      </c>
      <c r="P305" s="3">
        <f t="shared" si="287"/>
        <v>5.380323059806896E-4</v>
      </c>
      <c r="Q305" s="3">
        <f t="shared" si="287"/>
        <v>5.3803230597998639E-4</v>
      </c>
      <c r="R305" s="3">
        <f t="shared" si="287"/>
        <v>5.380323059729536E-4</v>
      </c>
      <c r="S305" s="3">
        <f t="shared" si="287"/>
        <v>5.3803230590262596E-4</v>
      </c>
      <c r="T305" s="3">
        <f t="shared" si="287"/>
        <v>5.3803230519934987E-4</v>
      </c>
      <c r="U305" s="3">
        <f t="shared" si="287"/>
        <v>5.3803229816658867E-4</v>
      </c>
      <c r="V305" s="3">
        <f t="shared" si="287"/>
        <v>5.380322278389823E-4</v>
      </c>
      <c r="W305" s="3">
        <f t="shared" si="287"/>
        <v>5.3803152456342407E-4</v>
      </c>
      <c r="X305" s="3">
        <f t="shared" si="287"/>
        <v>5.3802449185840124E-4</v>
      </c>
      <c r="Y305" s="3">
        <f t="shared" si="287"/>
        <v>5.3795416986388998E-4</v>
      </c>
      <c r="Z305" s="3">
        <f t="shared" si="287"/>
        <v>5.3725145524603194E-4</v>
      </c>
      <c r="AA305" s="3">
        <f t="shared" si="287"/>
        <v>5.3027459825026949E-4</v>
      </c>
      <c r="AB305" s="3">
        <f t="shared" si="287"/>
        <v>4.6530000190478761E-4</v>
      </c>
      <c r="AC305" s="3">
        <f t="shared" si="287"/>
        <v>1.259085902661527E-4</v>
      </c>
      <c r="AD305" s="3">
        <f t="shared" si="287"/>
        <v>2.6501986727040161E-10</v>
      </c>
      <c r="AE305" s="3">
        <f t="shared" si="287"/>
        <v>4.5238598258714363E-67</v>
      </c>
      <c r="AF305" s="3">
        <f t="shared" si="287"/>
        <v>0</v>
      </c>
      <c r="AG305" s="3"/>
      <c r="AH305" s="3"/>
    </row>
    <row r="306" spans="1:34" x14ac:dyDescent="0.25">
      <c r="B306" s="3">
        <f t="shared" ref="B306:AF306" si="288">$C36*EXP(-B$285/$A36/EXP(-$F$126))</f>
        <v>5.6418757759686938E-4</v>
      </c>
      <c r="C306" s="3">
        <f t="shared" si="288"/>
        <v>5.6418757759686938E-4</v>
      </c>
      <c r="D306" s="3">
        <f t="shared" si="288"/>
        <v>5.6418757759686938E-4</v>
      </c>
      <c r="E306" s="3">
        <f t="shared" si="288"/>
        <v>5.6418757759686938E-4</v>
      </c>
      <c r="F306" s="3">
        <f t="shared" si="288"/>
        <v>5.6418757759686938E-4</v>
      </c>
      <c r="G306" s="3">
        <f t="shared" si="288"/>
        <v>5.6418757759686938E-4</v>
      </c>
      <c r="H306" s="3">
        <f t="shared" si="288"/>
        <v>5.6418757759686938E-4</v>
      </c>
      <c r="I306" s="3">
        <f t="shared" si="288"/>
        <v>5.6418757759686938E-4</v>
      </c>
      <c r="J306" s="3">
        <f t="shared" si="288"/>
        <v>5.6418757759686938E-4</v>
      </c>
      <c r="K306" s="3">
        <f t="shared" si="288"/>
        <v>5.6418757759686938E-4</v>
      </c>
      <c r="L306" s="3">
        <f t="shared" si="288"/>
        <v>5.6418757759686938E-4</v>
      </c>
      <c r="M306" s="3">
        <f t="shared" si="288"/>
        <v>5.6418757759686938E-4</v>
      </c>
      <c r="N306" s="3">
        <f t="shared" si="288"/>
        <v>5.6418757759686927E-4</v>
      </c>
      <c r="O306" s="3">
        <f t="shared" si="288"/>
        <v>5.6418757759686862E-4</v>
      </c>
      <c r="P306" s="3">
        <f t="shared" si="288"/>
        <v>5.6418757759686201E-4</v>
      </c>
      <c r="Q306" s="3">
        <f t="shared" si="288"/>
        <v>5.6418757759679544E-4</v>
      </c>
      <c r="R306" s="3">
        <f t="shared" si="288"/>
        <v>5.6418757759613017E-4</v>
      </c>
      <c r="S306" s="3">
        <f t="shared" si="288"/>
        <v>5.6418757758947761E-4</v>
      </c>
      <c r="T306" s="3">
        <f t="shared" si="288"/>
        <v>5.6418757752295227E-4</v>
      </c>
      <c r="U306" s="3">
        <f t="shared" si="288"/>
        <v>5.6418757685769807E-4</v>
      </c>
      <c r="V306" s="3">
        <f t="shared" si="288"/>
        <v>5.6418757020515605E-4</v>
      </c>
      <c r="W306" s="3">
        <f t="shared" si="288"/>
        <v>5.6418750367974045E-4</v>
      </c>
      <c r="X306" s="3">
        <f t="shared" si="288"/>
        <v>5.641868384260153E-4</v>
      </c>
      <c r="Y306" s="3">
        <f t="shared" si="288"/>
        <v>5.6418018593190806E-4</v>
      </c>
      <c r="Z306" s="3">
        <f t="shared" si="288"/>
        <v>5.6411366530496605E-4</v>
      </c>
      <c r="AA306" s="3">
        <f t="shared" si="288"/>
        <v>5.6344889026053405E-4</v>
      </c>
      <c r="AB306" s="3">
        <f t="shared" si="288"/>
        <v>5.5684407477175587E-4</v>
      </c>
      <c r="AC306" s="3">
        <f t="shared" si="288"/>
        <v>4.9490786121411732E-4</v>
      </c>
      <c r="AD306" s="3">
        <f t="shared" si="288"/>
        <v>1.5220602602531024E-4</v>
      </c>
      <c r="AE306" s="3">
        <f t="shared" si="288"/>
        <v>1.1521440848810918E-9</v>
      </c>
      <c r="AF306" s="3">
        <f t="shared" si="288"/>
        <v>7.1163331150669806E-61</v>
      </c>
      <c r="AG306" s="3"/>
      <c r="AH306" s="3"/>
    </row>
    <row r="307" spans="1:34" x14ac:dyDescent="0.25">
      <c r="B307" s="3">
        <f t="shared" ref="B307:AF307" si="289">$C37*EXP(-B$285/$A37/EXP(-$F$126))</f>
        <v>5.289794145093928E-4</v>
      </c>
      <c r="C307" s="3">
        <f t="shared" si="289"/>
        <v>5.289794145093928E-4</v>
      </c>
      <c r="D307" s="3">
        <f t="shared" si="289"/>
        <v>5.289794145093928E-4</v>
      </c>
      <c r="E307" s="3">
        <f t="shared" si="289"/>
        <v>5.289794145093928E-4</v>
      </c>
      <c r="F307" s="3">
        <f t="shared" si="289"/>
        <v>5.289794145093928E-4</v>
      </c>
      <c r="G307" s="3">
        <f t="shared" si="289"/>
        <v>5.289794145093928E-4</v>
      </c>
      <c r="H307" s="3">
        <f t="shared" si="289"/>
        <v>5.289794145093928E-4</v>
      </c>
      <c r="I307" s="3">
        <f t="shared" si="289"/>
        <v>5.289794145093928E-4</v>
      </c>
      <c r="J307" s="3">
        <f t="shared" si="289"/>
        <v>5.289794145093928E-4</v>
      </c>
      <c r="K307" s="3">
        <f t="shared" si="289"/>
        <v>5.289794145093928E-4</v>
      </c>
      <c r="L307" s="3">
        <f t="shared" si="289"/>
        <v>5.289794145093928E-4</v>
      </c>
      <c r="M307" s="3">
        <f t="shared" si="289"/>
        <v>5.289794145093928E-4</v>
      </c>
      <c r="N307" s="3">
        <f t="shared" si="289"/>
        <v>5.289794145093928E-4</v>
      </c>
      <c r="O307" s="3">
        <f t="shared" si="289"/>
        <v>5.2897941450939269E-4</v>
      </c>
      <c r="P307" s="3">
        <f t="shared" si="289"/>
        <v>5.2897941450939215E-4</v>
      </c>
      <c r="Q307" s="3">
        <f t="shared" si="289"/>
        <v>5.2897941450938662E-4</v>
      </c>
      <c r="R307" s="3">
        <f t="shared" si="289"/>
        <v>5.2897941450933024E-4</v>
      </c>
      <c r="S307" s="3">
        <f t="shared" si="289"/>
        <v>5.2897941450876765E-4</v>
      </c>
      <c r="T307" s="3">
        <f t="shared" si="289"/>
        <v>5.2897941450314096E-4</v>
      </c>
      <c r="U307" s="3">
        <f t="shared" si="289"/>
        <v>5.2897941444687456E-4</v>
      </c>
      <c r="V307" s="3">
        <f t="shared" si="289"/>
        <v>5.2897941388421006E-4</v>
      </c>
      <c r="W307" s="3">
        <f t="shared" si="289"/>
        <v>5.2897940825756573E-4</v>
      </c>
      <c r="X307" s="3">
        <f t="shared" si="289"/>
        <v>5.2897935199112511E-4</v>
      </c>
      <c r="Y307" s="3">
        <f t="shared" si="289"/>
        <v>5.2897878932704821E-4</v>
      </c>
      <c r="Z307" s="3">
        <f t="shared" si="289"/>
        <v>5.2897316271919616E-4</v>
      </c>
      <c r="AA307" s="3">
        <f t="shared" si="289"/>
        <v>5.2891689993225192E-4</v>
      </c>
      <c r="AB307" s="3">
        <f t="shared" si="289"/>
        <v>5.2835460109088852E-4</v>
      </c>
      <c r="AC307" s="3">
        <f t="shared" si="289"/>
        <v>5.2276438636006395E-4</v>
      </c>
      <c r="AD307" s="3">
        <f t="shared" si="289"/>
        <v>4.7001421103235418E-4</v>
      </c>
      <c r="AE307" s="3">
        <f t="shared" si="289"/>
        <v>1.6224112437343484E-4</v>
      </c>
      <c r="AF307" s="3">
        <f t="shared" si="289"/>
        <v>3.8963730439399718E-9</v>
      </c>
      <c r="AG307" s="3"/>
      <c r="AH307" s="3"/>
    </row>
    <row r="308" spans="1:34" x14ac:dyDescent="0.25">
      <c r="B308" s="3">
        <f t="shared" ref="B308:AF308" si="290">$C38*EXP(-B$285/$A38/EXP(-$F$126))</f>
        <v>5.3547450135887617E-5</v>
      </c>
      <c r="C308" s="3">
        <f t="shared" si="290"/>
        <v>5.3547450135887617E-5</v>
      </c>
      <c r="D308" s="3">
        <f t="shared" si="290"/>
        <v>5.3547450135887617E-5</v>
      </c>
      <c r="E308" s="3">
        <f t="shared" si="290"/>
        <v>5.3547450135887617E-5</v>
      </c>
      <c r="F308" s="3">
        <f t="shared" si="290"/>
        <v>5.3547450135887617E-5</v>
      </c>
      <c r="G308" s="3">
        <f t="shared" si="290"/>
        <v>5.3547450135887617E-5</v>
      </c>
      <c r="H308" s="3">
        <f t="shared" si="290"/>
        <v>5.3547450135887617E-5</v>
      </c>
      <c r="I308" s="3">
        <f t="shared" si="290"/>
        <v>5.3547450135887617E-5</v>
      </c>
      <c r="J308" s="3">
        <f t="shared" si="290"/>
        <v>5.3547450135887617E-5</v>
      </c>
      <c r="K308" s="3">
        <f t="shared" si="290"/>
        <v>5.3547450135887617E-5</v>
      </c>
      <c r="L308" s="3">
        <f t="shared" si="290"/>
        <v>5.3547450135887617E-5</v>
      </c>
      <c r="M308" s="3">
        <f t="shared" si="290"/>
        <v>5.3547450135887617E-5</v>
      </c>
      <c r="N308" s="3">
        <f t="shared" si="290"/>
        <v>5.3547450135887617E-5</v>
      </c>
      <c r="O308" s="3">
        <f t="shared" si="290"/>
        <v>5.3547450135887617E-5</v>
      </c>
      <c r="P308" s="3">
        <f t="shared" si="290"/>
        <v>5.354745013588761E-5</v>
      </c>
      <c r="Q308" s="3">
        <f t="shared" si="290"/>
        <v>5.3547450135887556E-5</v>
      </c>
      <c r="R308" s="3">
        <f t="shared" si="290"/>
        <v>5.3547450135887048E-5</v>
      </c>
      <c r="S308" s="3">
        <f t="shared" si="290"/>
        <v>5.3547450135881911E-5</v>
      </c>
      <c r="T308" s="3">
        <f t="shared" si="290"/>
        <v>5.3547450135830527E-5</v>
      </c>
      <c r="U308" s="3">
        <f t="shared" si="290"/>
        <v>5.354745013531673E-5</v>
      </c>
      <c r="V308" s="3">
        <f t="shared" si="290"/>
        <v>5.3547450130178703E-5</v>
      </c>
      <c r="W308" s="3">
        <f t="shared" si="290"/>
        <v>5.3547450078798471E-5</v>
      </c>
      <c r="X308" s="3">
        <f t="shared" si="290"/>
        <v>5.3547449564996118E-5</v>
      </c>
      <c r="Y308" s="3">
        <f t="shared" si="290"/>
        <v>5.3547444426972933E-5</v>
      </c>
      <c r="Z308" s="3">
        <f t="shared" si="290"/>
        <v>5.3547393046768168E-5</v>
      </c>
      <c r="AA308" s="3">
        <f t="shared" si="290"/>
        <v>5.3546879247432035E-5</v>
      </c>
      <c r="AB308" s="3">
        <f t="shared" si="290"/>
        <v>5.3541741525214049E-5</v>
      </c>
      <c r="AC308" s="3">
        <f t="shared" si="290"/>
        <v>5.3490391407743908E-5</v>
      </c>
      <c r="AD308" s="3">
        <f t="shared" si="290"/>
        <v>5.2979591105811009E-5</v>
      </c>
      <c r="AE308" s="3">
        <f t="shared" si="290"/>
        <v>4.8132327748470141E-5</v>
      </c>
      <c r="AF308" s="3">
        <f t="shared" si="290"/>
        <v>1.8438241420905564E-5</v>
      </c>
      <c r="AG308" s="3"/>
      <c r="AH308" s="3"/>
    </row>
    <row r="309" spans="1:34" x14ac:dyDescent="0.25">
      <c r="B309" s="3">
        <f t="shared" ref="B309:AF309" si="291">$C39*EXP(-B$285/$A39/EXP(-$F$126))</f>
        <v>4.4495454548071421E-4</v>
      </c>
      <c r="C309" s="3">
        <f t="shared" si="291"/>
        <v>4.4495454548071421E-4</v>
      </c>
      <c r="D309" s="3">
        <f t="shared" si="291"/>
        <v>4.4495454548071421E-4</v>
      </c>
      <c r="E309" s="3">
        <f t="shared" si="291"/>
        <v>4.4495454548071421E-4</v>
      </c>
      <c r="F309" s="3">
        <f t="shared" si="291"/>
        <v>4.4495454548071421E-4</v>
      </c>
      <c r="G309" s="3">
        <f t="shared" si="291"/>
        <v>4.4495454548071421E-4</v>
      </c>
      <c r="H309" s="3">
        <f t="shared" si="291"/>
        <v>4.4495454548071421E-4</v>
      </c>
      <c r="I309" s="3">
        <f t="shared" si="291"/>
        <v>4.4495454548071421E-4</v>
      </c>
      <c r="J309" s="3">
        <f t="shared" si="291"/>
        <v>4.4495454548071421E-4</v>
      </c>
      <c r="K309" s="3">
        <f t="shared" si="291"/>
        <v>4.4495454548071421E-4</v>
      </c>
      <c r="L309" s="3">
        <f t="shared" si="291"/>
        <v>4.4495454548071421E-4</v>
      </c>
      <c r="M309" s="3">
        <f t="shared" si="291"/>
        <v>4.4495454548071421E-4</v>
      </c>
      <c r="N309" s="3">
        <f t="shared" si="291"/>
        <v>4.4495454548071421E-4</v>
      </c>
      <c r="O309" s="3">
        <f t="shared" si="291"/>
        <v>4.4495454548071421E-4</v>
      </c>
      <c r="P309" s="3">
        <f t="shared" si="291"/>
        <v>4.4495454548071421E-4</v>
      </c>
      <c r="Q309" s="3">
        <f t="shared" si="291"/>
        <v>4.4495454548071405E-4</v>
      </c>
      <c r="R309" s="3">
        <f t="shared" si="291"/>
        <v>4.4495454548071285E-4</v>
      </c>
      <c r="S309" s="3">
        <f t="shared" si="291"/>
        <v>4.4495454548070109E-4</v>
      </c>
      <c r="T309" s="3">
        <f t="shared" si="291"/>
        <v>4.4495454548058302E-4</v>
      </c>
      <c r="U309" s="3">
        <f t="shared" si="291"/>
        <v>4.4495454547940222E-4</v>
      </c>
      <c r="V309" s="3">
        <f t="shared" si="291"/>
        <v>4.4495454546759395E-4</v>
      </c>
      <c r="W309" s="3">
        <f t="shared" si="291"/>
        <v>4.4495454534951133E-4</v>
      </c>
      <c r="X309" s="3">
        <f t="shared" si="291"/>
        <v>4.4495454416868565E-4</v>
      </c>
      <c r="Y309" s="3">
        <f t="shared" si="291"/>
        <v>4.4495453236042875E-4</v>
      </c>
      <c r="Z309" s="3">
        <f t="shared" si="291"/>
        <v>4.4495441427787709E-4</v>
      </c>
      <c r="AA309" s="3">
        <f t="shared" si="291"/>
        <v>4.4495323345408386E-4</v>
      </c>
      <c r="AB309" s="3">
        <f t="shared" si="291"/>
        <v>4.4494142538850271E-4</v>
      </c>
      <c r="AC309" s="3">
        <f t="shared" si="291"/>
        <v>4.4482336196610309E-4</v>
      </c>
      <c r="AD309" s="3">
        <f t="shared" si="291"/>
        <v>4.4364444939229858E-4</v>
      </c>
      <c r="AE309" s="3">
        <f t="shared" si="291"/>
        <v>4.320258101002866E-4</v>
      </c>
      <c r="AF309" s="3">
        <f t="shared" si="291"/>
        <v>3.3132644663278268E-4</v>
      </c>
      <c r="AG309" s="3"/>
      <c r="AH309" s="3"/>
    </row>
    <row r="310" spans="1:34" x14ac:dyDescent="0.25">
      <c r="B310" s="3">
        <f t="shared" ref="B310:AF310" si="292">$C40*EXP(-B$285/$A40/EXP(-$F$126))</f>
        <v>1.5289773047840316E-5</v>
      </c>
      <c r="C310" s="3">
        <f t="shared" si="292"/>
        <v>1.5289773047840316E-5</v>
      </c>
      <c r="D310" s="3">
        <f t="shared" si="292"/>
        <v>1.5289773047840316E-5</v>
      </c>
      <c r="E310" s="3">
        <f t="shared" si="292"/>
        <v>1.5289773047840316E-5</v>
      </c>
      <c r="F310" s="3">
        <f t="shared" si="292"/>
        <v>1.5289773047840316E-5</v>
      </c>
      <c r="G310" s="3">
        <f t="shared" si="292"/>
        <v>1.5289773047840316E-5</v>
      </c>
      <c r="H310" s="3">
        <f t="shared" si="292"/>
        <v>1.5289773047840316E-5</v>
      </c>
      <c r="I310" s="3">
        <f t="shared" si="292"/>
        <v>1.5289773047840316E-5</v>
      </c>
      <c r="J310" s="3">
        <f t="shared" si="292"/>
        <v>1.5289773047840316E-5</v>
      </c>
      <c r="K310" s="3">
        <f t="shared" si="292"/>
        <v>1.5289773047840316E-5</v>
      </c>
      <c r="L310" s="3">
        <f t="shared" si="292"/>
        <v>1.5289773047840316E-5</v>
      </c>
      <c r="M310" s="3">
        <f t="shared" si="292"/>
        <v>1.5289773047840316E-5</v>
      </c>
      <c r="N310" s="3">
        <f t="shared" si="292"/>
        <v>1.5289773047840316E-5</v>
      </c>
      <c r="O310" s="3">
        <f t="shared" si="292"/>
        <v>1.5289773047840316E-5</v>
      </c>
      <c r="P310" s="3">
        <f t="shared" si="292"/>
        <v>1.5289773047840316E-5</v>
      </c>
      <c r="Q310" s="3">
        <f t="shared" si="292"/>
        <v>1.5289773047840316E-5</v>
      </c>
      <c r="R310" s="3">
        <f t="shared" si="292"/>
        <v>1.5289773047840309E-5</v>
      </c>
      <c r="S310" s="3">
        <f t="shared" si="292"/>
        <v>1.5289773047840268E-5</v>
      </c>
      <c r="T310" s="3">
        <f t="shared" si="292"/>
        <v>1.5289773047839865E-5</v>
      </c>
      <c r="U310" s="3">
        <f t="shared" si="292"/>
        <v>1.5289773047835806E-5</v>
      </c>
      <c r="V310" s="3">
        <f t="shared" si="292"/>
        <v>1.5289773047795233E-5</v>
      </c>
      <c r="W310" s="3">
        <f t="shared" si="292"/>
        <v>1.5289773047389471E-5</v>
      </c>
      <c r="X310" s="3">
        <f t="shared" si="292"/>
        <v>1.5289773043331851E-5</v>
      </c>
      <c r="Y310" s="3">
        <f t="shared" si="292"/>
        <v>1.5289773002755669E-5</v>
      </c>
      <c r="Z310" s="3">
        <f t="shared" si="292"/>
        <v>1.5289772596993843E-5</v>
      </c>
      <c r="AA310" s="3">
        <f t="shared" si="292"/>
        <v>1.5289768539376198E-5</v>
      </c>
      <c r="AB310" s="3">
        <f t="shared" si="292"/>
        <v>1.5289727963258947E-5</v>
      </c>
      <c r="AC310" s="3">
        <f t="shared" si="292"/>
        <v>1.5289322208008882E-5</v>
      </c>
      <c r="AD310" s="3">
        <f t="shared" si="292"/>
        <v>1.5285265247692202E-5</v>
      </c>
      <c r="AE310" s="3">
        <f t="shared" si="292"/>
        <v>1.5244754804817094E-5</v>
      </c>
      <c r="AF310" s="3">
        <f t="shared" si="292"/>
        <v>1.4845508725180667E-5</v>
      </c>
      <c r="AG310" s="3"/>
      <c r="AH310" s="3"/>
    </row>
    <row r="311" spans="1:34" x14ac:dyDescent="0.25">
      <c r="B311" s="3">
        <f t="shared" ref="B311:AF311" si="293">$C41*EXP(-B$285/$A41/EXP(-$F$126))</f>
        <v>2.5082649304706281E-4</v>
      </c>
      <c r="C311" s="3">
        <f t="shared" si="293"/>
        <v>2.5082649304706281E-4</v>
      </c>
      <c r="D311" s="3">
        <f t="shared" si="293"/>
        <v>2.5082649304706281E-4</v>
      </c>
      <c r="E311" s="3">
        <f t="shared" si="293"/>
        <v>2.5082649304706281E-4</v>
      </c>
      <c r="F311" s="3">
        <f t="shared" si="293"/>
        <v>2.5082649304706281E-4</v>
      </c>
      <c r="G311" s="3">
        <f t="shared" si="293"/>
        <v>2.5082649304706281E-4</v>
      </c>
      <c r="H311" s="3">
        <f t="shared" si="293"/>
        <v>2.5082649304706281E-4</v>
      </c>
      <c r="I311" s="3">
        <f t="shared" si="293"/>
        <v>2.5082649304706281E-4</v>
      </c>
      <c r="J311" s="3">
        <f t="shared" si="293"/>
        <v>2.5082649304706281E-4</v>
      </c>
      <c r="K311" s="3">
        <f t="shared" si="293"/>
        <v>2.5082649304706281E-4</v>
      </c>
      <c r="L311" s="3">
        <f t="shared" si="293"/>
        <v>2.5082649304706281E-4</v>
      </c>
      <c r="M311" s="3">
        <f t="shared" si="293"/>
        <v>2.5082649304706281E-4</v>
      </c>
      <c r="N311" s="3">
        <f t="shared" si="293"/>
        <v>2.5082649304706281E-4</v>
      </c>
      <c r="O311" s="3">
        <f t="shared" si="293"/>
        <v>2.5082649304706281E-4</v>
      </c>
      <c r="P311" s="3">
        <f t="shared" si="293"/>
        <v>2.5082649304706281E-4</v>
      </c>
      <c r="Q311" s="3">
        <f t="shared" si="293"/>
        <v>2.5082649304706281E-4</v>
      </c>
      <c r="R311" s="3">
        <f t="shared" si="293"/>
        <v>2.5082649304706281E-4</v>
      </c>
      <c r="S311" s="3">
        <f t="shared" si="293"/>
        <v>2.508264930470627E-4</v>
      </c>
      <c r="T311" s="3">
        <f t="shared" si="293"/>
        <v>2.5082649304706205E-4</v>
      </c>
      <c r="U311" s="3">
        <f t="shared" si="293"/>
        <v>2.5082649304705539E-4</v>
      </c>
      <c r="V311" s="3">
        <f t="shared" si="293"/>
        <v>2.5082649304698887E-4</v>
      </c>
      <c r="W311" s="3">
        <f t="shared" si="293"/>
        <v>2.5082649304632322E-4</v>
      </c>
      <c r="X311" s="3">
        <f t="shared" si="293"/>
        <v>2.5082649303966677E-4</v>
      </c>
      <c r="Y311" s="3">
        <f t="shared" si="293"/>
        <v>2.5082649297310212E-4</v>
      </c>
      <c r="Z311" s="3">
        <f t="shared" si="293"/>
        <v>2.5082649230745576E-4</v>
      </c>
      <c r="AA311" s="3">
        <f t="shared" si="293"/>
        <v>2.5082648565099229E-4</v>
      </c>
      <c r="AB311" s="3">
        <f t="shared" si="293"/>
        <v>2.5082641908636761E-4</v>
      </c>
      <c r="AC311" s="3">
        <f t="shared" si="293"/>
        <v>2.5082575344109222E-4</v>
      </c>
      <c r="AD311" s="3">
        <f t="shared" si="293"/>
        <v>2.5081909708549486E-4</v>
      </c>
      <c r="AE311" s="3">
        <f t="shared" si="293"/>
        <v>2.5075254324421288E-4</v>
      </c>
      <c r="AF311" s="3">
        <f t="shared" si="293"/>
        <v>2.5008797534733476E-4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5.6673676320409674E-5</v>
      </c>
      <c r="C313" s="3">
        <f t="shared" si="295"/>
        <v>5.6673676320409674E-5</v>
      </c>
      <c r="D313" s="3">
        <f t="shared" si="295"/>
        <v>5.6673676320409674E-5</v>
      </c>
      <c r="E313" s="3">
        <f t="shared" si="295"/>
        <v>5.6673676320409674E-5</v>
      </c>
      <c r="F313" s="3">
        <f t="shared" si="295"/>
        <v>5.6673676320409674E-5</v>
      </c>
      <c r="G313" s="3">
        <f t="shared" si="295"/>
        <v>5.6673676320409674E-5</v>
      </c>
      <c r="H313" s="3">
        <f t="shared" si="295"/>
        <v>5.6673676320409674E-5</v>
      </c>
      <c r="I313" s="3">
        <f t="shared" si="295"/>
        <v>5.6673676320409674E-5</v>
      </c>
      <c r="J313" s="3">
        <f t="shared" si="295"/>
        <v>5.6673676320409674E-5</v>
      </c>
      <c r="K313" s="3">
        <f t="shared" si="295"/>
        <v>5.6673676320409674E-5</v>
      </c>
      <c r="L313" s="3">
        <f t="shared" si="295"/>
        <v>5.6673676320409674E-5</v>
      </c>
      <c r="M313" s="3">
        <f t="shared" si="295"/>
        <v>5.6673676320409674E-5</v>
      </c>
      <c r="N313" s="3">
        <f t="shared" si="295"/>
        <v>5.6673676320409674E-5</v>
      </c>
      <c r="O313" s="3">
        <f t="shared" si="295"/>
        <v>5.6673676320409674E-5</v>
      </c>
      <c r="P313" s="3">
        <f t="shared" si="295"/>
        <v>5.6673676320409674E-5</v>
      </c>
      <c r="Q313" s="3">
        <f t="shared" si="295"/>
        <v>5.6673676320409674E-5</v>
      </c>
      <c r="R313" s="3">
        <f t="shared" si="295"/>
        <v>5.6673676320409674E-5</v>
      </c>
      <c r="S313" s="3">
        <f t="shared" si="295"/>
        <v>5.6673676320409674E-5</v>
      </c>
      <c r="T313" s="3">
        <f t="shared" si="295"/>
        <v>5.6673676320409674E-5</v>
      </c>
      <c r="U313" s="3">
        <f t="shared" si="295"/>
        <v>5.6673676320409654E-5</v>
      </c>
      <c r="V313" s="3">
        <f t="shared" si="295"/>
        <v>5.6673676320409505E-5</v>
      </c>
      <c r="W313" s="3">
        <f t="shared" si="295"/>
        <v>5.6673676320408E-5</v>
      </c>
      <c r="X313" s="3">
        <f t="shared" si="295"/>
        <v>5.6673676320392964E-5</v>
      </c>
      <c r="Y313" s="3">
        <f t="shared" si="295"/>
        <v>5.6673676320242564E-5</v>
      </c>
      <c r="Z313" s="3">
        <f t="shared" si="295"/>
        <v>5.6673676318738552E-5</v>
      </c>
      <c r="AA313" s="3">
        <f t="shared" si="295"/>
        <v>5.6673676303698419E-5</v>
      </c>
      <c r="AB313" s="3">
        <f t="shared" si="295"/>
        <v>5.6673676153297141E-5</v>
      </c>
      <c r="AC313" s="3">
        <f t="shared" si="295"/>
        <v>5.6673674649284345E-5</v>
      </c>
      <c r="AD313" s="3">
        <f t="shared" si="295"/>
        <v>5.6673659609158605E-5</v>
      </c>
      <c r="AE313" s="3">
        <f t="shared" si="295"/>
        <v>5.6673509208120728E-5</v>
      </c>
      <c r="AF313" s="3">
        <f t="shared" si="295"/>
        <v>5.667200521969424E-5</v>
      </c>
      <c r="AG313" s="3"/>
      <c r="AH313" s="3"/>
    </row>
    <row r="314" spans="1:34" x14ac:dyDescent="0.25">
      <c r="B314" s="3">
        <f t="shared" ref="B314:AF314" si="296">$C44*EXP(-B$285/$A44/EXP(-$F$126))</f>
        <v>1.228688753482083E-4</v>
      </c>
      <c r="C314" s="3">
        <f t="shared" si="296"/>
        <v>1.228688753482083E-4</v>
      </c>
      <c r="D314" s="3">
        <f t="shared" si="296"/>
        <v>1.228688753482083E-4</v>
      </c>
      <c r="E314" s="3">
        <f t="shared" si="296"/>
        <v>1.228688753482083E-4</v>
      </c>
      <c r="F314" s="3">
        <f t="shared" si="296"/>
        <v>1.228688753482083E-4</v>
      </c>
      <c r="G314" s="3">
        <f t="shared" si="296"/>
        <v>1.228688753482083E-4</v>
      </c>
      <c r="H314" s="3">
        <f t="shared" si="296"/>
        <v>1.228688753482083E-4</v>
      </c>
      <c r="I314" s="3">
        <f t="shared" si="296"/>
        <v>1.228688753482083E-4</v>
      </c>
      <c r="J314" s="3">
        <f t="shared" si="296"/>
        <v>1.228688753482083E-4</v>
      </c>
      <c r="K314" s="3">
        <f t="shared" si="296"/>
        <v>1.228688753482083E-4</v>
      </c>
      <c r="L314" s="3">
        <f t="shared" si="296"/>
        <v>1.228688753482083E-4</v>
      </c>
      <c r="M314" s="3">
        <f t="shared" si="296"/>
        <v>1.228688753482083E-4</v>
      </c>
      <c r="N314" s="3">
        <f t="shared" si="296"/>
        <v>1.228688753482083E-4</v>
      </c>
      <c r="O314" s="3">
        <f t="shared" si="296"/>
        <v>1.228688753482083E-4</v>
      </c>
      <c r="P314" s="3">
        <f t="shared" si="296"/>
        <v>1.228688753482083E-4</v>
      </c>
      <c r="Q314" s="3">
        <f t="shared" si="296"/>
        <v>1.228688753482083E-4</v>
      </c>
      <c r="R314" s="3">
        <f t="shared" si="296"/>
        <v>1.228688753482083E-4</v>
      </c>
      <c r="S314" s="3">
        <f t="shared" si="296"/>
        <v>1.228688753482083E-4</v>
      </c>
      <c r="T314" s="3">
        <f t="shared" si="296"/>
        <v>1.228688753482083E-4</v>
      </c>
      <c r="U314" s="3">
        <f t="shared" si="296"/>
        <v>1.228688753482083E-4</v>
      </c>
      <c r="V314" s="3">
        <f t="shared" si="296"/>
        <v>1.2286887534820824E-4</v>
      </c>
      <c r="W314" s="3">
        <f t="shared" si="296"/>
        <v>1.2286887534820792E-4</v>
      </c>
      <c r="X314" s="3">
        <f t="shared" si="296"/>
        <v>1.2286887534820466E-4</v>
      </c>
      <c r="Y314" s="3">
        <f t="shared" si="296"/>
        <v>1.2286887534817206E-4</v>
      </c>
      <c r="Z314" s="3">
        <f t="shared" si="296"/>
        <v>1.2286887534784601E-4</v>
      </c>
      <c r="AA314" s="3">
        <f t="shared" si="296"/>
        <v>1.228688753445853E-4</v>
      </c>
      <c r="AB314" s="3">
        <f t="shared" si="296"/>
        <v>1.2286887531197819E-4</v>
      </c>
      <c r="AC314" s="3">
        <f t="shared" si="296"/>
        <v>1.2286887498590731E-4</v>
      </c>
      <c r="AD314" s="3">
        <f t="shared" si="296"/>
        <v>1.2286887172519842E-4</v>
      </c>
      <c r="AE314" s="3">
        <f t="shared" si="296"/>
        <v>1.2286883911811423E-4</v>
      </c>
      <c r="AF314" s="3">
        <f t="shared" si="296"/>
        <v>1.2286851304774832E-4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1.663721654170598E-4</v>
      </c>
      <c r="C318" s="3">
        <f t="shared" si="300"/>
        <v>1.663721654170598E-4</v>
      </c>
      <c r="D318" s="3">
        <f t="shared" si="300"/>
        <v>1.663721654170598E-4</v>
      </c>
      <c r="E318" s="3">
        <f t="shared" si="300"/>
        <v>1.663721654170598E-4</v>
      </c>
      <c r="F318" s="3">
        <f t="shared" si="300"/>
        <v>1.663721654170598E-4</v>
      </c>
      <c r="G318" s="3">
        <f t="shared" si="300"/>
        <v>1.663721654170598E-4</v>
      </c>
      <c r="H318" s="3">
        <f t="shared" si="300"/>
        <v>1.663721654170598E-4</v>
      </c>
      <c r="I318" s="3">
        <f t="shared" si="300"/>
        <v>1.663721654170598E-4</v>
      </c>
      <c r="J318" s="3">
        <f t="shared" si="300"/>
        <v>1.663721654170598E-4</v>
      </c>
      <c r="K318" s="3">
        <f t="shared" si="300"/>
        <v>1.663721654170598E-4</v>
      </c>
      <c r="L318" s="3">
        <f t="shared" si="300"/>
        <v>1.663721654170598E-4</v>
      </c>
      <c r="M318" s="3">
        <f t="shared" si="300"/>
        <v>1.663721654170598E-4</v>
      </c>
      <c r="N318" s="3">
        <f t="shared" si="300"/>
        <v>1.663721654170598E-4</v>
      </c>
      <c r="O318" s="3">
        <f t="shared" si="300"/>
        <v>1.663721654170598E-4</v>
      </c>
      <c r="P318" s="3">
        <f t="shared" si="300"/>
        <v>1.663721654170598E-4</v>
      </c>
      <c r="Q318" s="3">
        <f t="shared" si="300"/>
        <v>1.663721654170598E-4</v>
      </c>
      <c r="R318" s="3">
        <f t="shared" si="300"/>
        <v>1.663721654170598E-4</v>
      </c>
      <c r="S318" s="3">
        <f t="shared" si="300"/>
        <v>1.663721654170598E-4</v>
      </c>
      <c r="T318" s="3">
        <f t="shared" si="300"/>
        <v>1.663721654170598E-4</v>
      </c>
      <c r="U318" s="3">
        <f t="shared" si="300"/>
        <v>1.663721654170598E-4</v>
      </c>
      <c r="V318" s="3">
        <f t="shared" si="300"/>
        <v>1.663721654170598E-4</v>
      </c>
      <c r="W318" s="3">
        <f t="shared" si="300"/>
        <v>1.663721654170598E-4</v>
      </c>
      <c r="X318" s="3">
        <f t="shared" si="300"/>
        <v>1.663721654170598E-4</v>
      </c>
      <c r="Y318" s="3">
        <f t="shared" si="300"/>
        <v>1.663721654170598E-4</v>
      </c>
      <c r="Z318" s="3">
        <f t="shared" si="300"/>
        <v>1.6637216541705974E-4</v>
      </c>
      <c r="AA318" s="3">
        <f t="shared" si="300"/>
        <v>1.6637216541705931E-4</v>
      </c>
      <c r="AB318" s="3">
        <f t="shared" si="300"/>
        <v>1.6637216541705489E-4</v>
      </c>
      <c r="AC318" s="3">
        <f t="shared" si="300"/>
        <v>1.6637216541701074E-4</v>
      </c>
      <c r="AD318" s="3">
        <f t="shared" si="300"/>
        <v>1.6637216541656922E-4</v>
      </c>
      <c r="AE318" s="3">
        <f t="shared" si="300"/>
        <v>1.6637216541215402E-4</v>
      </c>
      <c r="AF318" s="3">
        <f t="shared" si="300"/>
        <v>1.6637216536800198E-4</v>
      </c>
      <c r="AG318" s="3"/>
      <c r="AH318" s="3"/>
    </row>
    <row r="319" spans="1:34" x14ac:dyDescent="0.25">
      <c r="A319" s="79">
        <f>AVERAGE(B319:AF319)</f>
        <v>4.4506392374985673E-2</v>
      </c>
      <c r="B319" s="80">
        <f>IF($A$64&lt;=B285,IF($B$64&gt;=B285,ABS((B287-B286)/B286),0),0)</f>
        <v>6.9136900015083569E-3</v>
      </c>
      <c r="C319" s="80">
        <f t="shared" ref="C319:AF319" si="301">IF($A$64&lt;=C285,IF($B$64&gt;=C285,ABS((C287-C286)/C286),0),0)</f>
        <v>6.6124620407234025E-3</v>
      </c>
      <c r="D319" s="80">
        <f t="shared" si="301"/>
        <v>3.7290409051737058E-3</v>
      </c>
      <c r="E319" s="80">
        <f t="shared" si="301"/>
        <v>2.1294769571567229E-2</v>
      </c>
      <c r="F319" s="80">
        <f t="shared" si="301"/>
        <v>9.7321625448179197E-2</v>
      </c>
      <c r="G319" s="80">
        <f t="shared" si="301"/>
        <v>9.6520043420052104E-2</v>
      </c>
      <c r="H319" s="80">
        <f t="shared" si="301"/>
        <v>7.5638264745723688E-2</v>
      </c>
      <c r="I319" s="80">
        <f t="shared" si="301"/>
        <v>5.3164950314885703E-2</v>
      </c>
      <c r="J319" s="80">
        <f t="shared" si="301"/>
        <v>2.6476643096107186E-2</v>
      </c>
      <c r="K319" s="80">
        <f t="shared" si="301"/>
        <v>2.2267791165191211E-3</v>
      </c>
      <c r="L319" s="80">
        <f t="shared" si="301"/>
        <v>3.0324992696364518E-4</v>
      </c>
      <c r="M319" s="80">
        <f t="shared" si="301"/>
        <v>1.1380208626410197E-2</v>
      </c>
      <c r="N319" s="80">
        <f t="shared" si="301"/>
        <v>5.6408735625316864E-3</v>
      </c>
      <c r="O319" s="80">
        <f t="shared" si="301"/>
        <v>8.4493127171675585E-3</v>
      </c>
      <c r="P319" s="80">
        <f t="shared" si="301"/>
        <v>7.6456037109161419E-3</v>
      </c>
      <c r="Q319" s="80">
        <f t="shared" si="301"/>
        <v>9.2703802879999346E-3</v>
      </c>
      <c r="R319" s="80">
        <f t="shared" si="301"/>
        <v>3.3071522069782885E-3</v>
      </c>
      <c r="S319" s="80">
        <f t="shared" si="301"/>
        <v>3.5101953475472493E-2</v>
      </c>
      <c r="T319" s="80">
        <f t="shared" si="301"/>
        <v>6.8374427109283292E-2</v>
      </c>
      <c r="U319" s="80">
        <f t="shared" si="301"/>
        <v>7.5550755522254209E-2</v>
      </c>
      <c r="V319" s="80">
        <f t="shared" si="301"/>
        <v>2.5925245290611455E-2</v>
      </c>
      <c r="W319" s="80">
        <f t="shared" si="301"/>
        <v>3.3296087785510922E-2</v>
      </c>
      <c r="X319" s="80">
        <f t="shared" si="301"/>
        <v>1.7094298059015602E-4</v>
      </c>
      <c r="Y319" s="80">
        <f t="shared" si="301"/>
        <v>5.9188371113363412E-2</v>
      </c>
      <c r="Z319" s="80">
        <f t="shared" si="301"/>
        <v>0.12769240500652257</v>
      </c>
      <c r="AA319" s="80">
        <f t="shared" si="301"/>
        <v>0.10604288247157427</v>
      </c>
      <c r="AB319" s="80">
        <f t="shared" si="301"/>
        <v>0.12861721336041496</v>
      </c>
      <c r="AC319" s="80">
        <f t="shared" si="301"/>
        <v>0.10215017782904892</v>
      </c>
      <c r="AD319" s="80">
        <f t="shared" si="301"/>
        <v>8.1234684049205391E-2</v>
      </c>
      <c r="AE319" s="80">
        <f t="shared" si="301"/>
        <v>5.6240972823688895E-2</v>
      </c>
      <c r="AF319" s="80">
        <f t="shared" si="301"/>
        <v>4.4216995107607709E-2</v>
      </c>
    </row>
    <row r="320" spans="1:34" x14ac:dyDescent="0.25">
      <c r="B320" s="21">
        <f>(B287-B286)^2</f>
        <v>2006.537530793044</v>
      </c>
      <c r="C320" s="21">
        <f t="shared" ref="C320:AF320" si="302">(C287-C286)^2</f>
        <v>1835.5241576954238</v>
      </c>
      <c r="D320" s="21">
        <f t="shared" si="302"/>
        <v>583.73519942122141</v>
      </c>
      <c r="E320" s="21">
        <f t="shared" si="302"/>
        <v>19032.184664846263</v>
      </c>
      <c r="F320" s="21">
        <f t="shared" si="302"/>
        <v>396825.35581848974</v>
      </c>
      <c r="G320" s="21">
        <f t="shared" si="302"/>
        <v>384613.80236456444</v>
      </c>
      <c r="H320" s="21">
        <f t="shared" si="302"/>
        <v>225642.75062690128</v>
      </c>
      <c r="I320" s="21">
        <f t="shared" si="302"/>
        <v>106237.3787696205</v>
      </c>
      <c r="J320" s="21">
        <f t="shared" si="302"/>
        <v>24896.577306142994</v>
      </c>
      <c r="K320" s="21">
        <f t="shared" si="302"/>
        <v>164.43449905403318</v>
      </c>
      <c r="L320" s="21">
        <f t="shared" si="302"/>
        <v>2.8364029418750638</v>
      </c>
      <c r="M320" s="21">
        <f t="shared" si="302"/>
        <v>3632.7192331688848</v>
      </c>
      <c r="N320" s="21">
        <f t="shared" si="302"/>
        <v>800.05916671486034</v>
      </c>
      <c r="O320" s="21">
        <f t="shared" si="302"/>
        <v>1602.4313197203167</v>
      </c>
      <c r="P320" s="21">
        <f t="shared" si="302"/>
        <v>1151.6505649918943</v>
      </c>
      <c r="Q320" s="21">
        <f t="shared" si="302"/>
        <v>1455.4972661389513</v>
      </c>
      <c r="R320" s="21">
        <f t="shared" si="302"/>
        <v>146.71842180983037</v>
      </c>
      <c r="S320" s="21">
        <f t="shared" si="302"/>
        <v>11385.300323999722</v>
      </c>
      <c r="T320" s="21">
        <f t="shared" si="302"/>
        <v>25961.446254942934</v>
      </c>
      <c r="U320" s="21">
        <f t="shared" si="302"/>
        <v>15816.203444776764</v>
      </c>
      <c r="V320" s="21">
        <f t="shared" si="302"/>
        <v>726.85339882320909</v>
      </c>
      <c r="W320" s="21">
        <f t="shared" si="302"/>
        <v>393.66447203628121</v>
      </c>
      <c r="X320" s="21">
        <f t="shared" si="302"/>
        <v>3.2154224094509782E-3</v>
      </c>
      <c r="Y320" s="21">
        <f t="shared" si="302"/>
        <v>130.12421182348243</v>
      </c>
      <c r="Z320" s="21">
        <f t="shared" si="302"/>
        <v>361.47535060713034</v>
      </c>
      <c r="AA320" s="21">
        <f t="shared" si="302"/>
        <v>202.28261491099153</v>
      </c>
      <c r="AB320" s="21">
        <f t="shared" si="302"/>
        <v>258.06992713899893</v>
      </c>
      <c r="AC320" s="21">
        <f t="shared" si="302"/>
        <v>162.10396099876161</v>
      </c>
      <c r="AD320" s="21">
        <f t="shared" si="302"/>
        <v>101.29560445915203</v>
      </c>
      <c r="AE320" s="21">
        <f t="shared" si="302"/>
        <v>48.543433507804309</v>
      </c>
      <c r="AF320" s="21">
        <f t="shared" si="302"/>
        <v>29.808119016733201</v>
      </c>
      <c r="AG320" s="3"/>
      <c r="AH320" s="3"/>
    </row>
    <row r="321" spans="1:34" x14ac:dyDescent="0.25">
      <c r="A321" s="71">
        <f>SUM(B321:AF321)</f>
        <v>1226207.3676454804</v>
      </c>
      <c r="B321" s="60">
        <f>IF($A$64&lt;=B285,IF($B$64&gt;=B285,ABS(B320),0),0)</f>
        <v>2006.537530793044</v>
      </c>
      <c r="C321" s="60">
        <f t="shared" ref="C321" si="303">IF($A$64&lt;=C285,IF($B$64&gt;=C285,ABS(C320),0),0)</f>
        <v>1835.5241576954238</v>
      </c>
      <c r="D321" s="60">
        <f t="shared" ref="D321" si="304">IF($A$64&lt;=D285,IF($B$64&gt;=D285,ABS(D320),0),0)</f>
        <v>583.73519942122141</v>
      </c>
      <c r="E321" s="60">
        <f t="shared" ref="E321" si="305">IF($A$64&lt;=E285,IF($B$64&gt;=E285,ABS(E320),0),0)</f>
        <v>19032.184664846263</v>
      </c>
      <c r="F321" s="60">
        <f t="shared" ref="F321" si="306">IF($A$64&lt;=F285,IF($B$64&gt;=F285,ABS(F320),0),0)</f>
        <v>396825.35581848974</v>
      </c>
      <c r="G321" s="60">
        <f t="shared" ref="G321" si="307">IF($A$64&lt;=G285,IF($B$64&gt;=G285,ABS(G320),0),0)</f>
        <v>384613.80236456444</v>
      </c>
      <c r="H321" s="60">
        <f t="shared" ref="H321" si="308">IF($A$64&lt;=H285,IF($B$64&gt;=H285,ABS(H320),0),0)</f>
        <v>225642.75062690128</v>
      </c>
      <c r="I321" s="60">
        <f t="shared" ref="I321" si="309">IF($A$64&lt;=I285,IF($B$64&gt;=I285,ABS(I320),0),0)</f>
        <v>106237.3787696205</v>
      </c>
      <c r="J321" s="60">
        <f t="shared" ref="J321" si="310">IF($A$64&lt;=J285,IF($B$64&gt;=J285,ABS(J320),0),0)</f>
        <v>24896.577306142994</v>
      </c>
      <c r="K321" s="60">
        <f t="shared" ref="K321" si="311">IF($A$64&lt;=K285,IF($B$64&gt;=K285,ABS(K320),0),0)</f>
        <v>164.43449905403318</v>
      </c>
      <c r="L321" s="60">
        <f t="shared" ref="L321" si="312">IF($A$64&lt;=L285,IF($B$64&gt;=L285,ABS(L320),0),0)</f>
        <v>2.8364029418750638</v>
      </c>
      <c r="M321" s="60">
        <f t="shared" ref="M321" si="313">IF($A$64&lt;=M285,IF($B$64&gt;=M285,ABS(M320),0),0)</f>
        <v>3632.7192331688848</v>
      </c>
      <c r="N321" s="60">
        <f t="shared" ref="N321" si="314">IF($A$64&lt;=N285,IF($B$64&gt;=N285,ABS(N320),0),0)</f>
        <v>800.05916671486034</v>
      </c>
      <c r="O321" s="60">
        <f t="shared" ref="O321" si="315">IF($A$64&lt;=O285,IF($B$64&gt;=O285,ABS(O320),0),0)</f>
        <v>1602.4313197203167</v>
      </c>
      <c r="P321" s="60">
        <f t="shared" ref="P321" si="316">IF($A$64&lt;=P285,IF($B$64&gt;=P285,ABS(P320),0),0)</f>
        <v>1151.6505649918943</v>
      </c>
      <c r="Q321" s="60">
        <f t="shared" ref="Q321" si="317">IF($A$64&lt;=Q285,IF($B$64&gt;=Q285,ABS(Q320),0),0)</f>
        <v>1455.4972661389513</v>
      </c>
      <c r="R321" s="60">
        <f t="shared" ref="R321" si="318">IF($A$64&lt;=R285,IF($B$64&gt;=R285,ABS(R320),0),0)</f>
        <v>146.71842180983037</v>
      </c>
      <c r="S321" s="60">
        <f t="shared" ref="S321" si="319">IF($A$64&lt;=S285,IF($B$64&gt;=S285,ABS(S320),0),0)</f>
        <v>11385.300323999722</v>
      </c>
      <c r="T321" s="60">
        <f t="shared" ref="T321" si="320">IF($A$64&lt;=T285,IF($B$64&gt;=T285,ABS(T320),0),0)</f>
        <v>25961.446254942934</v>
      </c>
      <c r="U321" s="60">
        <f t="shared" ref="U321" si="321">IF($A$64&lt;=U285,IF($B$64&gt;=U285,ABS(U320),0),0)</f>
        <v>15816.203444776764</v>
      </c>
      <c r="V321" s="60">
        <f t="shared" ref="V321" si="322">IF($A$64&lt;=V285,IF($B$64&gt;=V285,ABS(V320),0),0)</f>
        <v>726.85339882320909</v>
      </c>
      <c r="W321" s="60">
        <f t="shared" ref="W321" si="323">IF($A$64&lt;=W285,IF($B$64&gt;=W285,ABS(W320),0),0)</f>
        <v>393.66447203628121</v>
      </c>
      <c r="X321" s="60">
        <f t="shared" ref="X321" si="324">IF($A$64&lt;=X285,IF($B$64&gt;=X285,ABS(X320),0),0)</f>
        <v>3.2154224094509782E-3</v>
      </c>
      <c r="Y321" s="60">
        <f t="shared" ref="Y321" si="325">IF($A$64&lt;=Y285,IF($B$64&gt;=Y285,ABS(Y320),0),0)</f>
        <v>130.12421182348243</v>
      </c>
      <c r="Z321" s="60">
        <f t="shared" ref="Z321" si="326">IF($A$64&lt;=Z285,IF($B$64&gt;=Z285,ABS(Z320),0),0)</f>
        <v>361.47535060713034</v>
      </c>
      <c r="AA321" s="60">
        <f t="shared" ref="AA321" si="327">IF($A$64&lt;=AA285,IF($B$64&gt;=AA285,ABS(AA320),0),0)</f>
        <v>202.28261491099153</v>
      </c>
      <c r="AB321" s="60">
        <f t="shared" ref="AB321" si="328">IF($A$64&lt;=AB285,IF($B$64&gt;=AB285,ABS(AB320),0),0)</f>
        <v>258.06992713899893</v>
      </c>
      <c r="AC321" s="60">
        <f t="shared" ref="AC321" si="329">IF($A$64&lt;=AC285,IF($B$64&gt;=AC285,ABS(AC320),0),0)</f>
        <v>162.10396099876161</v>
      </c>
      <c r="AD321" s="60">
        <f t="shared" ref="AD321" si="330">IF($A$64&lt;=AD285,IF($B$64&gt;=AD285,ABS(AD320),0),0)</f>
        <v>101.29560445915203</v>
      </c>
      <c r="AE321" s="60">
        <f t="shared" ref="AE321" si="331">IF($A$64&lt;=AE285,IF($B$64&gt;=AE285,ABS(AE320),0),0)</f>
        <v>48.543433507804309</v>
      </c>
      <c r="AF321" s="60">
        <f t="shared" ref="AF321" si="332">IF($A$64&lt;=AF285,IF($B$64&gt;=AF285,ABS(AF320),0),0)</f>
        <v>29.808119016733201</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5793.3598637730165</v>
      </c>
      <c r="C326" s="27">
        <f t="shared" ref="C326:AF326" si="333">($C$17+SUM(C327:C357))*$B$51</f>
        <v>5699.2896608827841</v>
      </c>
      <c r="D326" s="27">
        <f t="shared" si="333"/>
        <v>5345.616965186915</v>
      </c>
      <c r="E326" s="27">
        <f t="shared" si="333"/>
        <v>5101.0168126819699</v>
      </c>
      <c r="F326" s="27">
        <f t="shared" si="333"/>
        <v>4819.4633298374793</v>
      </c>
      <c r="G326" s="27">
        <f t="shared" si="333"/>
        <v>4534.3336527473657</v>
      </c>
      <c r="H326" s="27">
        <f t="shared" si="333"/>
        <v>4227.2574699811448</v>
      </c>
      <c r="I326" s="27">
        <f t="shared" si="333"/>
        <v>3869.4987813319058</v>
      </c>
      <c r="J326" s="27">
        <f t="shared" si="333"/>
        <v>3399.7095879214626</v>
      </c>
      <c r="K326" s="27">
        <f t="shared" si="333"/>
        <v>2824.6477543892479</v>
      </c>
      <c r="L326" s="27">
        <f t="shared" si="333"/>
        <v>2147.9450793339965</v>
      </c>
      <c r="M326" s="27">
        <f t="shared" si="333"/>
        <v>1407.7445990423969</v>
      </c>
      <c r="N326" s="27">
        <f t="shared" si="333"/>
        <v>824.95283660326572</v>
      </c>
      <c r="O326" s="27">
        <f t="shared" si="333"/>
        <v>462.17560473236222</v>
      </c>
      <c r="P326" s="27">
        <f t="shared" si="333"/>
        <v>256.79211701912789</v>
      </c>
      <c r="Q326" s="27">
        <f t="shared" si="333"/>
        <v>179.95086317345482</v>
      </c>
      <c r="R326" s="27">
        <f t="shared" si="333"/>
        <v>157.46416129036558</v>
      </c>
      <c r="S326" s="27">
        <f t="shared" si="333"/>
        <v>143.12634906182058</v>
      </c>
      <c r="T326" s="27">
        <f t="shared" si="333"/>
        <v>139.02449382591303</v>
      </c>
      <c r="U326" s="27">
        <f t="shared" si="333"/>
        <v>135.5992075832724</v>
      </c>
      <c r="V326" s="27">
        <f t="shared" si="333"/>
        <v>132.21644381562837</v>
      </c>
      <c r="W326" s="27">
        <f t="shared" si="333"/>
        <v>129.58550077979473</v>
      </c>
      <c r="X326" s="27">
        <f t="shared" si="333"/>
        <v>127.7027372758383</v>
      </c>
      <c r="Y326" s="27">
        <f t="shared" si="333"/>
        <v>126.43962292842896</v>
      </c>
      <c r="Z326" s="27">
        <f t="shared" si="333"/>
        <v>125.51674029014947</v>
      </c>
      <c r="AA326" s="27">
        <f t="shared" si="333"/>
        <v>124.88061895577874</v>
      </c>
      <c r="AB326" s="27">
        <f t="shared" si="333"/>
        <v>124.61236389847504</v>
      </c>
      <c r="AC326" s="27">
        <f t="shared" si="333"/>
        <v>124.04514411742869</v>
      </c>
      <c r="AD326" s="27">
        <f t="shared" si="333"/>
        <v>123.75163223438631</v>
      </c>
      <c r="AE326" s="27">
        <f t="shared" si="333"/>
        <v>123.74180606609156</v>
      </c>
      <c r="AF326" s="27">
        <f t="shared" si="333"/>
        <v>123.64861490611287</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6.5668599576167858E-2</v>
      </c>
      <c r="C328" s="3">
        <f t="shared" si="335"/>
        <v>5.2051726458800386E-2</v>
      </c>
      <c r="D328" s="3">
        <f t="shared" si="335"/>
        <v>5.0957601618566977E-3</v>
      </c>
      <c r="E328" s="3">
        <f t="shared" si="335"/>
        <v>4.1204759446919731E-13</v>
      </c>
      <c r="F328" s="3">
        <f t="shared" si="335"/>
        <v>4.9241516750799756E-114</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3.4003454414556655E-2</v>
      </c>
      <c r="C329" s="3">
        <f t="shared" si="336"/>
        <v>3.3298063697256609E-2</v>
      </c>
      <c r="D329" s="3">
        <f t="shared" si="336"/>
        <v>2.700090894036131E-2</v>
      </c>
      <c r="E329" s="3">
        <f t="shared" si="336"/>
        <v>3.3187338781493565E-3</v>
      </c>
      <c r="F329" s="3">
        <f t="shared" si="336"/>
        <v>2.6116373663380458E-12</v>
      </c>
      <c r="G329" s="3">
        <f t="shared" si="336"/>
        <v>2.3785775948294711E-103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4.6664451794320203E-2</v>
      </c>
      <c r="C330" s="3">
        <f t="shared" si="337"/>
        <v>4.6576291512137206E-2</v>
      </c>
      <c r="D330" s="3">
        <f t="shared" si="337"/>
        <v>4.570379753576332E-2</v>
      </c>
      <c r="E330" s="3">
        <f t="shared" si="337"/>
        <v>3.7829107587438314E-2</v>
      </c>
      <c r="F330" s="3">
        <f t="shared" si="337"/>
        <v>5.7090544590666873E-3</v>
      </c>
      <c r="G330" s="3">
        <f t="shared" si="337"/>
        <v>3.4990091839199199E-11</v>
      </c>
      <c r="H330" s="3">
        <f t="shared" si="337"/>
        <v>2.6167006864127725E-93</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4.4763418043878136E-2</v>
      </c>
      <c r="C331" s="3">
        <f t="shared" si="338"/>
        <v>4.4755782672603224E-2</v>
      </c>
      <c r="D331" s="3">
        <f t="shared" si="338"/>
        <v>4.467950055400649E-2</v>
      </c>
      <c r="E331" s="3">
        <f t="shared" si="338"/>
        <v>4.3923793800721374E-2</v>
      </c>
      <c r="F331" s="3">
        <f t="shared" si="338"/>
        <v>3.7035242061673496E-2</v>
      </c>
      <c r="G331" s="3">
        <f t="shared" si="338"/>
        <v>6.7261821166507809E-3</v>
      </c>
      <c r="H331" s="3">
        <f t="shared" si="338"/>
        <v>2.6260498538795068E-10</v>
      </c>
      <c r="I331" s="3">
        <f t="shared" si="338"/>
        <v>2.1609584322994988E-84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4.8577186433639605E-2</v>
      </c>
      <c r="C332" s="3">
        <f t="shared" si="339"/>
        <v>4.8576438919233036E-2</v>
      </c>
      <c r="D332" s="3">
        <f t="shared" si="339"/>
        <v>4.8568964407796782E-2</v>
      </c>
      <c r="E332" s="3">
        <f t="shared" si="339"/>
        <v>4.8494282520376054E-2</v>
      </c>
      <c r="F332" s="3">
        <f t="shared" si="339"/>
        <v>4.7753750488718064E-2</v>
      </c>
      <c r="G332" s="3">
        <f t="shared" si="339"/>
        <v>4.0942745561085639E-2</v>
      </c>
      <c r="H332" s="3">
        <f t="shared" si="339"/>
        <v>8.7876292923852097E-3</v>
      </c>
      <c r="I332" s="3">
        <f t="shared" si="339"/>
        <v>1.8231373220203754E-9</v>
      </c>
      <c r="J332" s="3">
        <f t="shared" si="339"/>
        <v>2.6933693933497396E-76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5.5549497020488517E-2</v>
      </c>
      <c r="C333" s="3">
        <f t="shared" si="340"/>
        <v>5.5549419909375466E-2</v>
      </c>
      <c r="D333" s="3">
        <f t="shared" si="340"/>
        <v>5.5548648804132239E-2</v>
      </c>
      <c r="E333" s="3">
        <f t="shared" si="340"/>
        <v>5.5540938340397757E-2</v>
      </c>
      <c r="F333" s="3">
        <f t="shared" si="340"/>
        <v>5.5463892542604289E-2</v>
      </c>
      <c r="G333" s="3">
        <f t="shared" si="340"/>
        <v>5.469928841073813E-2</v>
      </c>
      <c r="H333" s="3">
        <f t="shared" si="340"/>
        <v>4.7609649546837329E-2</v>
      </c>
      <c r="I333" s="3">
        <f t="shared" si="340"/>
        <v>1.1880317996034166E-2</v>
      </c>
      <c r="J333" s="3">
        <f t="shared" si="340"/>
        <v>1.1121384933334586E-8</v>
      </c>
      <c r="K333" s="3">
        <f t="shared" si="340"/>
        <v>5.7473407556794913E-69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7.8662766276836535E-2</v>
      </c>
      <c r="C334" s="3">
        <f t="shared" si="341"/>
        <v>7.866275642645798E-2</v>
      </c>
      <c r="D334" s="3">
        <f t="shared" si="341"/>
        <v>7.8662657922740256E-2</v>
      </c>
      <c r="E334" s="3">
        <f t="shared" si="341"/>
        <v>7.8661672892347184E-2</v>
      </c>
      <c r="F334" s="3">
        <f t="shared" si="341"/>
        <v>7.8651823266802701E-2</v>
      </c>
      <c r="G334" s="3">
        <f t="shared" si="341"/>
        <v>7.8553394818559344E-2</v>
      </c>
      <c r="H334" s="3">
        <f t="shared" si="341"/>
        <v>7.7575859744484985E-2</v>
      </c>
      <c r="I334" s="3">
        <f t="shared" si="341"/>
        <v>6.8445198276201685E-2</v>
      </c>
      <c r="J334" s="3">
        <f t="shared" si="341"/>
        <v>1.9566217237616236E-2</v>
      </c>
      <c r="K334" s="3">
        <f t="shared" si="341"/>
        <v>7.1309225965567045E-8</v>
      </c>
      <c r="L334" s="3">
        <f t="shared" si="341"/>
        <v>2.9480458628312939E-62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9.454374172892259E-2</v>
      </c>
      <c r="C335" s="3">
        <f t="shared" si="342"/>
        <v>9.4543740660942621E-2</v>
      </c>
      <c r="D335" s="3">
        <f t="shared" si="342"/>
        <v>9.4543729981143562E-2</v>
      </c>
      <c r="E335" s="3">
        <f t="shared" si="342"/>
        <v>9.4543623183219419E-2</v>
      </c>
      <c r="F335" s="3">
        <f t="shared" si="342"/>
        <v>9.454255521061318E-2</v>
      </c>
      <c r="G335" s="3">
        <f t="shared" si="342"/>
        <v>9.453187614804312E-2</v>
      </c>
      <c r="H335" s="3">
        <f t="shared" si="342"/>
        <v>9.4425151843860383E-2</v>
      </c>
      <c r="I335" s="3">
        <f t="shared" si="342"/>
        <v>9.3364513317803793E-2</v>
      </c>
      <c r="J335" s="3">
        <f t="shared" si="342"/>
        <v>8.3391789964398139E-2</v>
      </c>
      <c r="K335" s="3">
        <f t="shared" si="342"/>
        <v>2.6948703579922864E-2</v>
      </c>
      <c r="L335" s="3">
        <f t="shared" si="342"/>
        <v>3.3472156488728637E-7</v>
      </c>
      <c r="M335" s="3">
        <f t="shared" si="342"/>
        <v>2.9251076356887408E-56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0.11359632382917571</v>
      </c>
      <c r="C336" s="3">
        <f t="shared" si="343"/>
        <v>0.11359632371342034</v>
      </c>
      <c r="D336" s="3">
        <f t="shared" si="343"/>
        <v>0.11359632255586652</v>
      </c>
      <c r="E336" s="3">
        <f t="shared" si="343"/>
        <v>0.11359631098032905</v>
      </c>
      <c r="F336" s="3">
        <f t="shared" si="343"/>
        <v>0.11359619522501917</v>
      </c>
      <c r="G336" s="3">
        <f t="shared" si="343"/>
        <v>0.11359503767840788</v>
      </c>
      <c r="H336" s="3">
        <f t="shared" si="343"/>
        <v>0.113583462861023</v>
      </c>
      <c r="I336" s="3">
        <f t="shared" si="343"/>
        <v>0.11346777953551571</v>
      </c>
      <c r="J336" s="3">
        <f t="shared" si="343"/>
        <v>0.11231740673118266</v>
      </c>
      <c r="K336" s="3">
        <f t="shared" si="343"/>
        <v>0.10143601554178623</v>
      </c>
      <c r="L336" s="3">
        <f t="shared" si="343"/>
        <v>3.6613674928935969E-2</v>
      </c>
      <c r="M336" s="3">
        <f t="shared" si="343"/>
        <v>1.3745315712824296E-6</v>
      </c>
      <c r="N336" s="3">
        <f t="shared" si="343"/>
        <v>7.6430851978773395E-51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0.12987660327672901</v>
      </c>
      <c r="C337" s="3">
        <f t="shared" si="344"/>
        <v>0.12987660326479039</v>
      </c>
      <c r="D337" s="3">
        <f t="shared" si="344"/>
        <v>0.12987660314540411</v>
      </c>
      <c r="E337" s="3">
        <f t="shared" si="344"/>
        <v>0.12987660195154127</v>
      </c>
      <c r="F337" s="3">
        <f t="shared" si="344"/>
        <v>0.12987659001291374</v>
      </c>
      <c r="G337" s="3">
        <f t="shared" si="344"/>
        <v>0.12987647062669863</v>
      </c>
      <c r="H337" s="3">
        <f t="shared" si="344"/>
        <v>0.12987527677058347</v>
      </c>
      <c r="I337" s="3">
        <f t="shared" si="344"/>
        <v>0.12986333881299686</v>
      </c>
      <c r="J337" s="3">
        <f t="shared" si="344"/>
        <v>0.12974401957313061</v>
      </c>
      <c r="K337" s="3">
        <f t="shared" si="344"/>
        <v>0.12855684030364636</v>
      </c>
      <c r="L337" s="3">
        <f t="shared" si="344"/>
        <v>0.11726640217641263</v>
      </c>
      <c r="M337" s="3">
        <f t="shared" si="344"/>
        <v>4.6768959982418958E-2</v>
      </c>
      <c r="N337" s="3">
        <f t="shared" si="344"/>
        <v>4.7621034803775222E-6</v>
      </c>
      <c r="O337" s="3">
        <f t="shared" si="344"/>
        <v>5.7044002149580671E-46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7.560438150163605E-2</v>
      </c>
      <c r="C338" s="3">
        <f t="shared" si="345"/>
        <v>7.5604381501009135E-2</v>
      </c>
      <c r="D338" s="3">
        <f t="shared" si="345"/>
        <v>7.5604381494739858E-2</v>
      </c>
      <c r="E338" s="3">
        <f t="shared" si="345"/>
        <v>7.5604381432047146E-2</v>
      </c>
      <c r="F338" s="3">
        <f t="shared" si="345"/>
        <v>7.5604380805120025E-2</v>
      </c>
      <c r="G338" s="3">
        <f t="shared" si="345"/>
        <v>7.5604374535849075E-2</v>
      </c>
      <c r="H338" s="3">
        <f t="shared" si="345"/>
        <v>7.5604311843168154E-2</v>
      </c>
      <c r="I338" s="3">
        <f t="shared" si="345"/>
        <v>7.5603684919218192E-2</v>
      </c>
      <c r="J338" s="3">
        <f t="shared" si="345"/>
        <v>7.559741596563227E-2</v>
      </c>
      <c r="K338" s="3">
        <f t="shared" si="345"/>
        <v>7.5534755012377927E-2</v>
      </c>
      <c r="L338" s="3">
        <f t="shared" si="345"/>
        <v>7.4910994990266308E-2</v>
      </c>
      <c r="M338" s="3">
        <f t="shared" si="345"/>
        <v>6.8949793724964764E-2</v>
      </c>
      <c r="N338" s="3">
        <f t="shared" si="345"/>
        <v>3.0088949702640418E-2</v>
      </c>
      <c r="O338" s="3">
        <f t="shared" si="345"/>
        <v>7.5361164258518995E-6</v>
      </c>
      <c r="P338" s="3">
        <f t="shared" si="345"/>
        <v>7.3207117766718085E-42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4.9796050081420989E-2</v>
      </c>
      <c r="C339" s="3">
        <f t="shared" si="346"/>
        <v>4.9796050081383748E-2</v>
      </c>
      <c r="D339" s="3">
        <f t="shared" si="346"/>
        <v>4.9796050081011262E-2</v>
      </c>
      <c r="E339" s="3">
        <f t="shared" si="346"/>
        <v>4.9796050077286387E-2</v>
      </c>
      <c r="F339" s="3">
        <f t="shared" si="346"/>
        <v>4.9796050040037648E-2</v>
      </c>
      <c r="G339" s="3">
        <f t="shared" si="346"/>
        <v>4.9796049667550246E-2</v>
      </c>
      <c r="H339" s="3">
        <f t="shared" si="346"/>
        <v>4.9796045942676448E-2</v>
      </c>
      <c r="I339" s="3">
        <f t="shared" si="346"/>
        <v>4.9796008693953779E-2</v>
      </c>
      <c r="J339" s="3">
        <f t="shared" si="346"/>
        <v>4.9795636208259553E-2</v>
      </c>
      <c r="K339" s="3">
        <f t="shared" si="346"/>
        <v>4.9791911504559173E-2</v>
      </c>
      <c r="L339" s="3">
        <f t="shared" si="346"/>
        <v>4.9754679787507715E-2</v>
      </c>
      <c r="M339" s="3">
        <f t="shared" si="346"/>
        <v>4.9383890380596457E-2</v>
      </c>
      <c r="N339" s="3">
        <f t="shared" si="346"/>
        <v>4.5824627561353422E-2</v>
      </c>
      <c r="O339" s="3">
        <f t="shared" si="346"/>
        <v>2.1688793000530979E-2</v>
      </c>
      <c r="P339" s="3">
        <f t="shared" si="346"/>
        <v>1.2234881936960443E-5</v>
      </c>
      <c r="Q339" s="3">
        <f t="shared" si="346"/>
        <v>3.9924894156396132E-38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2.0966447401353228E-2</v>
      </c>
      <c r="C340" s="3">
        <f t="shared" si="347"/>
        <v>2.0966447401351816E-2</v>
      </c>
      <c r="D340" s="3">
        <f t="shared" si="347"/>
        <v>2.0966447401337667E-2</v>
      </c>
      <c r="E340" s="3">
        <f t="shared" si="347"/>
        <v>2.096644740119619E-2</v>
      </c>
      <c r="F340" s="3">
        <f t="shared" si="347"/>
        <v>2.0966447399781412E-2</v>
      </c>
      <c r="G340" s="3">
        <f t="shared" si="347"/>
        <v>2.0966447385633639E-2</v>
      </c>
      <c r="H340" s="3">
        <f t="shared" si="347"/>
        <v>2.0966447244155893E-2</v>
      </c>
      <c r="I340" s="3">
        <f t="shared" si="347"/>
        <v>2.0966445829378504E-2</v>
      </c>
      <c r="J340" s="3">
        <f t="shared" si="347"/>
        <v>2.0966431681609877E-2</v>
      </c>
      <c r="K340" s="3">
        <f t="shared" si="347"/>
        <v>2.0966290204448654E-2</v>
      </c>
      <c r="L340" s="3">
        <f t="shared" si="347"/>
        <v>2.0964875485341591E-2</v>
      </c>
      <c r="M340" s="3">
        <f t="shared" si="347"/>
        <v>2.095073354347704E-2</v>
      </c>
      <c r="N340" s="3">
        <f t="shared" si="347"/>
        <v>2.0809837737238376E-2</v>
      </c>
      <c r="O340" s="3">
        <f t="shared" si="347"/>
        <v>1.9451956877830891E-2</v>
      </c>
      <c r="P340" s="3">
        <f t="shared" si="347"/>
        <v>9.906251299750788E-3</v>
      </c>
      <c r="Q340" s="3">
        <f t="shared" si="347"/>
        <v>1.1624379191924192E-5</v>
      </c>
      <c r="R340" s="3">
        <f t="shared" si="347"/>
        <v>5.7540554588967694E-35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3.9443248072899631E-3</v>
      </c>
      <c r="C341" s="3">
        <f t="shared" si="348"/>
        <v>3.9443248072899388E-3</v>
      </c>
      <c r="D341" s="3">
        <f t="shared" si="348"/>
        <v>3.9443248072896994E-3</v>
      </c>
      <c r="E341" s="3">
        <f t="shared" si="348"/>
        <v>3.9443248072872977E-3</v>
      </c>
      <c r="F341" s="3">
        <f t="shared" si="348"/>
        <v>3.9443248072632883E-3</v>
      </c>
      <c r="G341" s="3">
        <f t="shared" si="348"/>
        <v>3.9443248070231939E-3</v>
      </c>
      <c r="H341" s="3">
        <f t="shared" si="348"/>
        <v>3.9443248046222472E-3</v>
      </c>
      <c r="I341" s="3">
        <f t="shared" si="348"/>
        <v>3.9443247806127792E-3</v>
      </c>
      <c r="J341" s="3">
        <f t="shared" si="348"/>
        <v>3.9443245405181059E-3</v>
      </c>
      <c r="K341" s="3">
        <f t="shared" si="348"/>
        <v>3.9443221395721777E-3</v>
      </c>
      <c r="L341" s="3">
        <f t="shared" si="348"/>
        <v>3.9442981301932804E-3</v>
      </c>
      <c r="M341" s="3">
        <f t="shared" si="348"/>
        <v>3.9440580444422323E-3</v>
      </c>
      <c r="N341" s="3">
        <f t="shared" si="348"/>
        <v>3.9416579905437706E-3</v>
      </c>
      <c r="O341" s="3">
        <f t="shared" si="348"/>
        <v>3.917737632064093E-3</v>
      </c>
      <c r="P341" s="3">
        <f t="shared" si="348"/>
        <v>3.686374415938757E-3</v>
      </c>
      <c r="Q341" s="3">
        <f t="shared" si="348"/>
        <v>2.0055818659131855E-3</v>
      </c>
      <c r="R341" s="3">
        <f t="shared" si="348"/>
        <v>4.5566943922845615E-6</v>
      </c>
      <c r="S341" s="3">
        <f t="shared" si="348"/>
        <v>1.6701096459310814E-32</v>
      </c>
      <c r="T341" s="3">
        <f t="shared" si="348"/>
        <v>7.306271463476324E-297</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3.5138091054195296E-3</v>
      </c>
      <c r="C342" s="3">
        <f t="shared" si="349"/>
        <v>3.5138091054195283E-3</v>
      </c>
      <c r="D342" s="3">
        <f t="shared" si="349"/>
        <v>3.5138091054195087E-3</v>
      </c>
      <c r="E342" s="3">
        <f t="shared" si="349"/>
        <v>3.5138091054193153E-3</v>
      </c>
      <c r="F342" s="3">
        <f t="shared" si="349"/>
        <v>3.5138091054173863E-3</v>
      </c>
      <c r="G342" s="3">
        <f t="shared" si="349"/>
        <v>3.5138091053980914E-3</v>
      </c>
      <c r="H342" s="3">
        <f t="shared" si="349"/>
        <v>3.5138091052051459E-3</v>
      </c>
      <c r="I342" s="3">
        <f t="shared" si="349"/>
        <v>3.5138091032756911E-3</v>
      </c>
      <c r="J342" s="3">
        <f t="shared" si="349"/>
        <v>3.5138090839811425E-3</v>
      </c>
      <c r="K342" s="3">
        <f t="shared" si="349"/>
        <v>3.5138088910356621E-3</v>
      </c>
      <c r="L342" s="3">
        <f t="shared" si="349"/>
        <v>3.5138069615814403E-3</v>
      </c>
      <c r="M342" s="3">
        <f t="shared" si="349"/>
        <v>3.5137876670974931E-3</v>
      </c>
      <c r="N342" s="3">
        <f t="shared" si="349"/>
        <v>3.5135947280850086E-3</v>
      </c>
      <c r="O342" s="3">
        <f t="shared" si="349"/>
        <v>3.5116659205403893E-3</v>
      </c>
      <c r="P342" s="3">
        <f t="shared" si="349"/>
        <v>3.4924359849280219E-3</v>
      </c>
      <c r="Q342" s="3">
        <f t="shared" si="349"/>
        <v>3.3058342047695565E-3</v>
      </c>
      <c r="R342" s="3">
        <f t="shared" si="349"/>
        <v>1.9090056510391925E-3</v>
      </c>
      <c r="S342" s="3">
        <f t="shared" si="349"/>
        <v>7.8717023670838827E-6</v>
      </c>
      <c r="T342" s="3">
        <f t="shared" si="349"/>
        <v>1.1186215286549041E-29</v>
      </c>
      <c r="U342" s="3">
        <f t="shared" si="349"/>
        <v>3.756888091152619E-268</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7.1978944921583432E-4</v>
      </c>
      <c r="C343" s="3">
        <f t="shared" si="350"/>
        <v>7.1978944921583432E-4</v>
      </c>
      <c r="D343" s="3">
        <f t="shared" si="350"/>
        <v>7.1978944921583389E-4</v>
      </c>
      <c r="E343" s="3">
        <f t="shared" si="350"/>
        <v>7.1978944921583031E-4</v>
      </c>
      <c r="F343" s="3">
        <f t="shared" si="350"/>
        <v>7.1978944921579464E-4</v>
      </c>
      <c r="G343" s="3">
        <f t="shared" si="350"/>
        <v>7.1978944921543815E-4</v>
      </c>
      <c r="H343" s="3">
        <f t="shared" si="350"/>
        <v>7.1978944921187275E-4</v>
      </c>
      <c r="I343" s="3">
        <f t="shared" si="350"/>
        <v>7.1978944917621876E-4</v>
      </c>
      <c r="J343" s="3">
        <f t="shared" si="350"/>
        <v>7.1978944881967856E-4</v>
      </c>
      <c r="K343" s="3">
        <f t="shared" si="350"/>
        <v>7.1978944525427635E-4</v>
      </c>
      <c r="L343" s="3">
        <f t="shared" si="350"/>
        <v>7.1978940960025538E-4</v>
      </c>
      <c r="M343" s="3">
        <f t="shared" si="350"/>
        <v>7.1978905306014339E-4</v>
      </c>
      <c r="N343" s="3">
        <f t="shared" si="350"/>
        <v>7.1978548766873593E-4</v>
      </c>
      <c r="O343" s="3">
        <f t="shared" si="350"/>
        <v>7.1974983472598896E-4</v>
      </c>
      <c r="P343" s="3">
        <f t="shared" si="350"/>
        <v>7.1939340241341165E-4</v>
      </c>
      <c r="Q343" s="3">
        <f t="shared" si="350"/>
        <v>7.1583877300163742E-4</v>
      </c>
      <c r="R343" s="3">
        <f t="shared" si="350"/>
        <v>6.8124431700619279E-4</v>
      </c>
      <c r="S343" s="3">
        <f t="shared" si="350"/>
        <v>4.1512571453306842E-4</v>
      </c>
      <c r="T343" s="3">
        <f t="shared" si="350"/>
        <v>2.9305360867190975E-6</v>
      </c>
      <c r="U343" s="3">
        <f t="shared" si="350"/>
        <v>9.0078562921642428E-28</v>
      </c>
      <c r="V343" s="3">
        <f t="shared" si="350"/>
        <v>6.7821158235779625E-243</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5.3803230598076777E-4</v>
      </c>
      <c r="C344" s="3">
        <f t="shared" si="351"/>
        <v>5.3803230598076777E-4</v>
      </c>
      <c r="D344" s="3">
        <f t="shared" si="351"/>
        <v>5.3803230598076777E-4</v>
      </c>
      <c r="E344" s="3">
        <f t="shared" si="351"/>
        <v>5.3803230598076755E-4</v>
      </c>
      <c r="F344" s="3">
        <f t="shared" si="351"/>
        <v>5.3803230598076506E-4</v>
      </c>
      <c r="G344" s="3">
        <f t="shared" si="351"/>
        <v>5.380323059807411E-4</v>
      </c>
      <c r="H344" s="3">
        <f t="shared" si="351"/>
        <v>5.3803230598050062E-4</v>
      </c>
      <c r="I344" s="3">
        <f t="shared" si="351"/>
        <v>5.3803230597809651E-4</v>
      </c>
      <c r="J344" s="3">
        <f t="shared" si="351"/>
        <v>5.380323059540552E-4</v>
      </c>
      <c r="K344" s="3">
        <f t="shared" si="351"/>
        <v>5.3803230571364215E-4</v>
      </c>
      <c r="L344" s="3">
        <f t="shared" si="351"/>
        <v>5.3803230330951198E-4</v>
      </c>
      <c r="M344" s="3">
        <f t="shared" si="351"/>
        <v>5.3803227926820993E-4</v>
      </c>
      <c r="N344" s="3">
        <f t="shared" si="351"/>
        <v>5.380320388552488E-4</v>
      </c>
      <c r="O344" s="3">
        <f t="shared" si="351"/>
        <v>5.3802963473154606E-4</v>
      </c>
      <c r="P344" s="3">
        <f t="shared" si="351"/>
        <v>5.3800559408534834E-4</v>
      </c>
      <c r="Q344" s="3">
        <f t="shared" si="351"/>
        <v>5.377652466965788E-4</v>
      </c>
      <c r="R344" s="3">
        <f t="shared" si="351"/>
        <v>5.3536767037471302E-4</v>
      </c>
      <c r="S344" s="3">
        <f t="shared" si="351"/>
        <v>5.1197202874290429E-4</v>
      </c>
      <c r="T344" s="3">
        <f t="shared" si="351"/>
        <v>3.2748179377500082E-4</v>
      </c>
      <c r="U344" s="3">
        <f t="shared" si="351"/>
        <v>3.7548831273087585E-6</v>
      </c>
      <c r="V344" s="3">
        <f t="shared" si="351"/>
        <v>1.4746503470383743E-25</v>
      </c>
      <c r="W344" s="3">
        <f t="shared" si="351"/>
        <v>1.2871091920974239E-219</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5.6418757759686938E-4</v>
      </c>
      <c r="C345" s="3">
        <f t="shared" si="352"/>
        <v>5.6418757759686938E-4</v>
      </c>
      <c r="D345" s="3">
        <f t="shared" si="352"/>
        <v>5.6418757759686938E-4</v>
      </c>
      <c r="E345" s="3">
        <f t="shared" si="352"/>
        <v>5.6418757759686938E-4</v>
      </c>
      <c r="F345" s="3">
        <f t="shared" si="352"/>
        <v>5.6418757759686916E-4</v>
      </c>
      <c r="G345" s="3">
        <f t="shared" si="352"/>
        <v>5.6418757759686688E-4</v>
      </c>
      <c r="H345" s="3">
        <f t="shared" si="352"/>
        <v>5.6418757759684412E-4</v>
      </c>
      <c r="I345" s="3">
        <f t="shared" si="352"/>
        <v>5.6418757759661665E-4</v>
      </c>
      <c r="J345" s="3">
        <f t="shared" si="352"/>
        <v>5.6418757759434254E-4</v>
      </c>
      <c r="K345" s="3">
        <f t="shared" si="352"/>
        <v>5.6418757757160096E-4</v>
      </c>
      <c r="L345" s="3">
        <f t="shared" si="352"/>
        <v>5.6418757734418565E-4</v>
      </c>
      <c r="M345" s="3">
        <f t="shared" si="352"/>
        <v>5.6418757507003224E-4</v>
      </c>
      <c r="N345" s="3">
        <f t="shared" si="352"/>
        <v>5.6418755232849897E-4</v>
      </c>
      <c r="O345" s="3">
        <f t="shared" si="352"/>
        <v>5.6418732491321662E-4</v>
      </c>
      <c r="P345" s="3">
        <f t="shared" si="352"/>
        <v>5.6418505076543399E-4</v>
      </c>
      <c r="Q345" s="3">
        <f t="shared" si="352"/>
        <v>5.6416230979177242E-4</v>
      </c>
      <c r="R345" s="3">
        <f t="shared" si="352"/>
        <v>5.6393495046399731E-4</v>
      </c>
      <c r="S345" s="3">
        <f t="shared" si="352"/>
        <v>5.6166639056038183E-4</v>
      </c>
      <c r="T345" s="3">
        <f t="shared" si="352"/>
        <v>5.3947670234852916E-4</v>
      </c>
      <c r="U345" s="3">
        <f t="shared" si="352"/>
        <v>3.6050829798741523E-4</v>
      </c>
      <c r="V345" s="3">
        <f t="shared" si="352"/>
        <v>6.402373104371826E-6</v>
      </c>
      <c r="W345" s="3">
        <f t="shared" si="352"/>
        <v>1.9980121224297071E-23</v>
      </c>
      <c r="X345" s="3">
        <f t="shared" si="352"/>
        <v>1.7505298182633632E-198</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5.289794145093928E-4</v>
      </c>
      <c r="C346" s="3">
        <f t="shared" si="353"/>
        <v>5.289794145093928E-4</v>
      </c>
      <c r="D346" s="3">
        <f t="shared" si="353"/>
        <v>5.289794145093928E-4</v>
      </c>
      <c r="E346" s="3">
        <f t="shared" si="353"/>
        <v>5.289794145093928E-4</v>
      </c>
      <c r="F346" s="3">
        <f t="shared" si="353"/>
        <v>5.289794145093928E-4</v>
      </c>
      <c r="G346" s="3">
        <f t="shared" si="353"/>
        <v>5.2897941450939258E-4</v>
      </c>
      <c r="H346" s="3">
        <f t="shared" si="353"/>
        <v>5.2897941450939063E-4</v>
      </c>
      <c r="I346" s="3">
        <f t="shared" si="353"/>
        <v>5.2897941450937144E-4</v>
      </c>
      <c r="J346" s="3">
        <f t="shared" si="353"/>
        <v>5.289794145091791E-4</v>
      </c>
      <c r="K346" s="3">
        <f t="shared" si="353"/>
        <v>5.2897941450725562E-4</v>
      </c>
      <c r="L346" s="3">
        <f t="shared" si="353"/>
        <v>5.2897941448802111E-4</v>
      </c>
      <c r="M346" s="3">
        <f t="shared" si="353"/>
        <v>5.2897941429567584E-4</v>
      </c>
      <c r="N346" s="3">
        <f t="shared" si="353"/>
        <v>5.2897941237222269E-4</v>
      </c>
      <c r="O346" s="3">
        <f t="shared" si="353"/>
        <v>5.2897939313769238E-4</v>
      </c>
      <c r="P346" s="3">
        <f t="shared" si="353"/>
        <v>5.2897920079242745E-4</v>
      </c>
      <c r="Q346" s="3">
        <f t="shared" si="353"/>
        <v>5.2897727734362433E-4</v>
      </c>
      <c r="R346" s="3">
        <f t="shared" si="353"/>
        <v>5.2895804324025757E-4</v>
      </c>
      <c r="S346" s="3">
        <f t="shared" si="353"/>
        <v>5.2876574066773206E-4</v>
      </c>
      <c r="T346" s="3">
        <f t="shared" si="353"/>
        <v>5.2684655588736303E-4</v>
      </c>
      <c r="U346" s="3">
        <f t="shared" si="353"/>
        <v>5.0803368492208765E-4</v>
      </c>
      <c r="V346" s="3">
        <f t="shared" si="353"/>
        <v>3.5316377057294121E-4</v>
      </c>
      <c r="W346" s="3">
        <f t="shared" si="353"/>
        <v>9.3070598171455986E-6</v>
      </c>
      <c r="X346" s="3">
        <f t="shared" si="353"/>
        <v>1.5037516171281239E-21</v>
      </c>
      <c r="Y346" s="3">
        <f t="shared" si="353"/>
        <v>1.8231068783771286E-179</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5.3547450135887617E-5</v>
      </c>
      <c r="C347" s="3">
        <f t="shared" si="354"/>
        <v>5.3547450135887617E-5</v>
      </c>
      <c r="D347" s="3">
        <f t="shared" si="354"/>
        <v>5.3547450135887617E-5</v>
      </c>
      <c r="E347" s="3">
        <f t="shared" si="354"/>
        <v>5.3547450135887617E-5</v>
      </c>
      <c r="F347" s="3">
        <f t="shared" si="354"/>
        <v>5.3547450135887617E-5</v>
      </c>
      <c r="G347" s="3">
        <f t="shared" si="354"/>
        <v>5.3547450135887617E-5</v>
      </c>
      <c r="H347" s="3">
        <f t="shared" si="354"/>
        <v>5.3547450135887597E-5</v>
      </c>
      <c r="I347" s="3">
        <f t="shared" si="354"/>
        <v>5.3547450135887421E-5</v>
      </c>
      <c r="J347" s="3">
        <f t="shared" si="354"/>
        <v>5.3547450135885666E-5</v>
      </c>
      <c r="K347" s="3">
        <f t="shared" si="354"/>
        <v>5.3547450135868101E-5</v>
      </c>
      <c r="L347" s="3">
        <f t="shared" si="354"/>
        <v>5.3547450135692461E-5</v>
      </c>
      <c r="M347" s="3">
        <f t="shared" si="354"/>
        <v>5.354745013393604E-5</v>
      </c>
      <c r="N347" s="3">
        <f t="shared" si="354"/>
        <v>5.3547450116371849E-5</v>
      </c>
      <c r="O347" s="3">
        <f t="shared" si="354"/>
        <v>5.3547449940729911E-5</v>
      </c>
      <c r="P347" s="3">
        <f t="shared" si="354"/>
        <v>5.3547448184310608E-5</v>
      </c>
      <c r="Q347" s="3">
        <f t="shared" si="354"/>
        <v>5.3547430620120726E-5</v>
      </c>
      <c r="R347" s="3">
        <f t="shared" si="354"/>
        <v>5.3547254978538786E-5</v>
      </c>
      <c r="S347" s="3">
        <f t="shared" si="354"/>
        <v>5.3545498594405905E-5</v>
      </c>
      <c r="T347" s="3">
        <f t="shared" si="354"/>
        <v>5.3527937921343948E-5</v>
      </c>
      <c r="U347" s="3">
        <f t="shared" si="354"/>
        <v>5.3352647633231345E-5</v>
      </c>
      <c r="V347" s="3">
        <f t="shared" si="354"/>
        <v>5.1631008300705278E-5</v>
      </c>
      <c r="W347" s="3">
        <f t="shared" si="354"/>
        <v>3.7192631634897935E-5</v>
      </c>
      <c r="X347" s="3">
        <f t="shared" si="354"/>
        <v>1.3993293134887592E-6</v>
      </c>
      <c r="Y347" s="3">
        <f t="shared" si="354"/>
        <v>7.9533512606910889E-21</v>
      </c>
      <c r="Z347" s="3">
        <f t="shared" si="354"/>
        <v>2.798030728197912E-163</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4.4495454548071421E-4</v>
      </c>
      <c r="C348" s="3">
        <f t="shared" si="355"/>
        <v>4.4495454548071421E-4</v>
      </c>
      <c r="D348" s="3">
        <f t="shared" si="355"/>
        <v>4.4495454548071421E-4</v>
      </c>
      <c r="E348" s="3">
        <f t="shared" si="355"/>
        <v>4.4495454548071421E-4</v>
      </c>
      <c r="F348" s="3">
        <f t="shared" si="355"/>
        <v>4.4495454548071421E-4</v>
      </c>
      <c r="G348" s="3">
        <f t="shared" si="355"/>
        <v>4.4495454548071421E-4</v>
      </c>
      <c r="H348" s="3">
        <f t="shared" si="355"/>
        <v>4.4495454548071416E-4</v>
      </c>
      <c r="I348" s="3">
        <f t="shared" si="355"/>
        <v>4.4495454548071378E-4</v>
      </c>
      <c r="J348" s="3">
        <f t="shared" si="355"/>
        <v>4.4495454548070971E-4</v>
      </c>
      <c r="K348" s="3">
        <f t="shared" si="355"/>
        <v>4.4495454548066938E-4</v>
      </c>
      <c r="L348" s="3">
        <f t="shared" si="355"/>
        <v>4.4495454548026573E-4</v>
      </c>
      <c r="M348" s="3">
        <f t="shared" si="355"/>
        <v>4.4495454547622908E-4</v>
      </c>
      <c r="N348" s="3">
        <f t="shared" si="355"/>
        <v>4.4495454543586288E-4</v>
      </c>
      <c r="O348" s="3">
        <f t="shared" si="355"/>
        <v>4.449545450322008E-4</v>
      </c>
      <c r="P348" s="3">
        <f t="shared" si="355"/>
        <v>4.4495454099558032E-4</v>
      </c>
      <c r="Q348" s="3">
        <f t="shared" si="355"/>
        <v>4.4495450062937721E-4</v>
      </c>
      <c r="R348" s="3">
        <f t="shared" si="355"/>
        <v>4.4495409696754777E-4</v>
      </c>
      <c r="S348" s="3">
        <f t="shared" si="355"/>
        <v>4.4495006036939433E-4</v>
      </c>
      <c r="T348" s="3">
        <f t="shared" si="355"/>
        <v>4.449096964018933E-4</v>
      </c>
      <c r="U348" s="3">
        <f t="shared" si="355"/>
        <v>4.4450625806264753E-4</v>
      </c>
      <c r="V348" s="3">
        <f t="shared" si="355"/>
        <v>4.4049194082929294E-4</v>
      </c>
      <c r="W348" s="3">
        <f t="shared" si="355"/>
        <v>4.0228963302690895E-4</v>
      </c>
      <c r="X348" s="3">
        <f t="shared" si="355"/>
        <v>1.6238562470526159E-4</v>
      </c>
      <c r="Y348" s="3">
        <f t="shared" si="355"/>
        <v>1.8648116539927596E-8</v>
      </c>
      <c r="Z348" s="3">
        <f t="shared" si="355"/>
        <v>7.4389033590906058E-48</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1.5289773047840316E-5</v>
      </c>
      <c r="C349" s="3">
        <f t="shared" si="356"/>
        <v>1.5289773047840316E-5</v>
      </c>
      <c r="D349" s="3">
        <f t="shared" si="356"/>
        <v>1.5289773047840316E-5</v>
      </c>
      <c r="E349" s="3">
        <f t="shared" si="356"/>
        <v>1.5289773047840316E-5</v>
      </c>
      <c r="F349" s="3">
        <f t="shared" si="356"/>
        <v>1.5289773047840316E-5</v>
      </c>
      <c r="G349" s="3">
        <f t="shared" si="356"/>
        <v>1.5289773047840316E-5</v>
      </c>
      <c r="H349" s="3">
        <f t="shared" si="356"/>
        <v>1.5289773047840316E-5</v>
      </c>
      <c r="I349" s="3">
        <f t="shared" si="356"/>
        <v>1.5289773047840312E-5</v>
      </c>
      <c r="J349" s="3">
        <f t="shared" si="356"/>
        <v>1.5289773047840299E-5</v>
      </c>
      <c r="K349" s="3">
        <f t="shared" si="356"/>
        <v>1.528977304784016E-5</v>
      </c>
      <c r="L349" s="3">
        <f t="shared" si="356"/>
        <v>1.5289773047838774E-5</v>
      </c>
      <c r="M349" s="3">
        <f t="shared" si="356"/>
        <v>1.5289773047824903E-5</v>
      </c>
      <c r="N349" s="3">
        <f t="shared" si="356"/>
        <v>1.5289773047686197E-5</v>
      </c>
      <c r="O349" s="3">
        <f t="shared" si="356"/>
        <v>1.5289773046299109E-5</v>
      </c>
      <c r="P349" s="3">
        <f t="shared" si="356"/>
        <v>1.528977303242825E-5</v>
      </c>
      <c r="Q349" s="3">
        <f t="shared" si="356"/>
        <v>1.5289772893719676E-5</v>
      </c>
      <c r="R349" s="3">
        <f t="shared" si="356"/>
        <v>1.5289771506633982E-5</v>
      </c>
      <c r="S349" s="3">
        <f t="shared" si="356"/>
        <v>1.5289757635783977E-5</v>
      </c>
      <c r="T349" s="3">
        <f t="shared" si="356"/>
        <v>1.5289618927976001E-5</v>
      </c>
      <c r="U349" s="3">
        <f t="shared" si="356"/>
        <v>1.5288231919103591E-5</v>
      </c>
      <c r="V349" s="3">
        <f t="shared" si="356"/>
        <v>1.5274368748789868E-5</v>
      </c>
      <c r="W349" s="3">
        <f t="shared" si="356"/>
        <v>1.5136426570058519E-5</v>
      </c>
      <c r="X349" s="3">
        <f t="shared" si="356"/>
        <v>1.3823697838248075E-5</v>
      </c>
      <c r="Y349" s="3">
        <f t="shared" si="356"/>
        <v>5.5799842325306368E-6</v>
      </c>
      <c r="Z349" s="3">
        <f t="shared" si="356"/>
        <v>6.4079684669167731E-10</v>
      </c>
      <c r="AA349" s="3">
        <f t="shared" si="356"/>
        <v>2.5561969248439145E-49</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2.5082649304706281E-4</v>
      </c>
      <c r="C350" s="3">
        <f t="shared" si="357"/>
        <v>2.5082649304706281E-4</v>
      </c>
      <c r="D350" s="3">
        <f t="shared" si="357"/>
        <v>2.5082649304706281E-4</v>
      </c>
      <c r="E350" s="3">
        <f t="shared" si="357"/>
        <v>2.5082649304706281E-4</v>
      </c>
      <c r="F350" s="3">
        <f t="shared" si="357"/>
        <v>2.5082649304706281E-4</v>
      </c>
      <c r="G350" s="3">
        <f t="shared" si="357"/>
        <v>2.5082649304706281E-4</v>
      </c>
      <c r="H350" s="3">
        <f t="shared" si="357"/>
        <v>2.5082649304706281E-4</v>
      </c>
      <c r="I350" s="3">
        <f t="shared" si="357"/>
        <v>2.5082649304706281E-4</v>
      </c>
      <c r="J350" s="3">
        <f t="shared" si="357"/>
        <v>2.5082649304706276E-4</v>
      </c>
      <c r="K350" s="3">
        <f t="shared" si="357"/>
        <v>2.5082649304706254E-4</v>
      </c>
      <c r="L350" s="3">
        <f t="shared" si="357"/>
        <v>2.5082649304706027E-4</v>
      </c>
      <c r="M350" s="3">
        <f t="shared" si="357"/>
        <v>2.5082649304703755E-4</v>
      </c>
      <c r="N350" s="3">
        <f t="shared" si="357"/>
        <v>2.5082649304680998E-4</v>
      </c>
      <c r="O350" s="3">
        <f t="shared" si="357"/>
        <v>2.5082649304453451E-4</v>
      </c>
      <c r="P350" s="3">
        <f t="shared" si="357"/>
        <v>2.5082649302177954E-4</v>
      </c>
      <c r="Q350" s="3">
        <f t="shared" si="357"/>
        <v>2.5082649279423017E-4</v>
      </c>
      <c r="R350" s="3">
        <f t="shared" si="357"/>
        <v>2.5082649051873625E-4</v>
      </c>
      <c r="S350" s="3">
        <f t="shared" si="357"/>
        <v>2.5082646776379807E-4</v>
      </c>
      <c r="T350" s="3">
        <f t="shared" si="357"/>
        <v>2.5082624021453023E-4</v>
      </c>
      <c r="U350" s="3">
        <f t="shared" si="357"/>
        <v>2.5082396473320533E-4</v>
      </c>
      <c r="V350" s="3">
        <f t="shared" si="357"/>
        <v>2.5080121105529242E-4</v>
      </c>
      <c r="W350" s="3">
        <f t="shared" si="357"/>
        <v>2.5057378777167496E-4</v>
      </c>
      <c r="X350" s="3">
        <f t="shared" si="357"/>
        <v>2.4831086648264102E-4</v>
      </c>
      <c r="Y350" s="3">
        <f t="shared" si="357"/>
        <v>2.2677574342411786E-4</v>
      </c>
      <c r="Z350" s="3">
        <f t="shared" si="357"/>
        <v>9.1538826111042953E-5</v>
      </c>
      <c r="AA350" s="3">
        <f t="shared" si="357"/>
        <v>1.0512178650944251E-8</v>
      </c>
      <c r="AB350" s="3">
        <f t="shared" si="357"/>
        <v>4.1934037097224918E-48</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5.6673676320409674E-5</v>
      </c>
      <c r="C352" s="3">
        <f t="shared" si="359"/>
        <v>5.6673676320409674E-5</v>
      </c>
      <c r="D352" s="3">
        <f t="shared" si="359"/>
        <v>5.6673676320409674E-5</v>
      </c>
      <c r="E352" s="3">
        <f t="shared" si="359"/>
        <v>5.6673676320409674E-5</v>
      </c>
      <c r="F352" s="3">
        <f t="shared" si="359"/>
        <v>5.6673676320409674E-5</v>
      </c>
      <c r="G352" s="3">
        <f t="shared" si="359"/>
        <v>5.6673676320409674E-5</v>
      </c>
      <c r="H352" s="3">
        <f t="shared" si="359"/>
        <v>5.6673676320409674E-5</v>
      </c>
      <c r="I352" s="3">
        <f t="shared" si="359"/>
        <v>5.6673676320409674E-5</v>
      </c>
      <c r="J352" s="3">
        <f t="shared" si="359"/>
        <v>5.6673676320409674E-5</v>
      </c>
      <c r="K352" s="3">
        <f t="shared" si="359"/>
        <v>5.6673676320409674E-5</v>
      </c>
      <c r="L352" s="3">
        <f t="shared" si="359"/>
        <v>5.6673676320409667E-5</v>
      </c>
      <c r="M352" s="3">
        <f t="shared" si="359"/>
        <v>5.667367632040962E-5</v>
      </c>
      <c r="N352" s="3">
        <f t="shared" si="359"/>
        <v>5.6673676320409105E-5</v>
      </c>
      <c r="O352" s="3">
        <f t="shared" si="359"/>
        <v>5.6673676320403962E-5</v>
      </c>
      <c r="P352" s="3">
        <f t="shared" si="359"/>
        <v>5.667367632035255E-5</v>
      </c>
      <c r="Q352" s="3">
        <f t="shared" si="359"/>
        <v>5.6673676319838408E-5</v>
      </c>
      <c r="R352" s="3">
        <f t="shared" si="359"/>
        <v>5.6673676314696979E-5</v>
      </c>
      <c r="S352" s="3">
        <f t="shared" si="359"/>
        <v>5.6673676263282709E-5</v>
      </c>
      <c r="T352" s="3">
        <f t="shared" si="359"/>
        <v>5.6673675749140026E-5</v>
      </c>
      <c r="U352" s="3">
        <f t="shared" si="359"/>
        <v>5.6673670607713441E-5</v>
      </c>
      <c r="V352" s="3">
        <f t="shared" si="359"/>
        <v>5.6673619193473273E-5</v>
      </c>
      <c r="W352" s="3">
        <f t="shared" si="359"/>
        <v>5.667310505363695E-5</v>
      </c>
      <c r="X352" s="3">
        <f t="shared" si="359"/>
        <v>5.6667963911800345E-5</v>
      </c>
      <c r="Y352" s="3">
        <f t="shared" si="359"/>
        <v>5.6616578137487246E-5</v>
      </c>
      <c r="Z352" s="3">
        <f t="shared" si="359"/>
        <v>5.6105276212737177E-5</v>
      </c>
      <c r="AA352" s="3">
        <f t="shared" si="359"/>
        <v>5.1239464077374215E-5</v>
      </c>
      <c r="AB352" s="3">
        <f t="shared" si="359"/>
        <v>2.0682989817961989E-5</v>
      </c>
      <c r="AC352" s="3">
        <f t="shared" si="359"/>
        <v>2.3752028864596513E-9</v>
      </c>
      <c r="AD352" s="3">
        <f t="shared" si="359"/>
        <v>9.47490042373738E-49</v>
      </c>
      <c r="AE352" s="3">
        <f t="shared" si="359"/>
        <v>0</v>
      </c>
      <c r="AF352" s="3">
        <f t="shared" si="359"/>
        <v>0</v>
      </c>
      <c r="AG352" s="3"/>
      <c r="AH352" s="3"/>
    </row>
    <row r="353" spans="1:34" x14ac:dyDescent="0.25">
      <c r="B353" s="3">
        <f t="shared" ref="B353:AF353" si="360">$C44*EXP(-B$363/$A44/EXP(-$G$126))</f>
        <v>1.228688753482083E-4</v>
      </c>
      <c r="C353" s="3">
        <f t="shared" si="360"/>
        <v>1.228688753482083E-4</v>
      </c>
      <c r="D353" s="3">
        <f t="shared" si="360"/>
        <v>1.228688753482083E-4</v>
      </c>
      <c r="E353" s="3">
        <f t="shared" si="360"/>
        <v>1.228688753482083E-4</v>
      </c>
      <c r="F353" s="3">
        <f t="shared" si="360"/>
        <v>1.228688753482083E-4</v>
      </c>
      <c r="G353" s="3">
        <f t="shared" si="360"/>
        <v>1.228688753482083E-4</v>
      </c>
      <c r="H353" s="3">
        <f t="shared" si="360"/>
        <v>1.228688753482083E-4</v>
      </c>
      <c r="I353" s="3">
        <f t="shared" si="360"/>
        <v>1.228688753482083E-4</v>
      </c>
      <c r="J353" s="3">
        <f t="shared" si="360"/>
        <v>1.228688753482083E-4</v>
      </c>
      <c r="K353" s="3">
        <f t="shared" si="360"/>
        <v>1.228688753482083E-4</v>
      </c>
      <c r="L353" s="3">
        <f t="shared" si="360"/>
        <v>1.228688753482083E-4</v>
      </c>
      <c r="M353" s="3">
        <f t="shared" si="360"/>
        <v>1.2286887534820827E-4</v>
      </c>
      <c r="N353" s="3">
        <f t="shared" si="360"/>
        <v>1.2286887534820816E-4</v>
      </c>
      <c r="O353" s="3">
        <f t="shared" si="360"/>
        <v>1.2286887534820705E-4</v>
      </c>
      <c r="P353" s="3">
        <f t="shared" si="360"/>
        <v>1.2286887534819591E-4</v>
      </c>
      <c r="Q353" s="3">
        <f t="shared" si="360"/>
        <v>1.2286887534808445E-4</v>
      </c>
      <c r="R353" s="3">
        <f t="shared" si="360"/>
        <v>1.2286887534696978E-4</v>
      </c>
      <c r="S353" s="3">
        <f t="shared" si="360"/>
        <v>1.2286887533582313E-4</v>
      </c>
      <c r="T353" s="3">
        <f t="shared" si="360"/>
        <v>1.2286887522435668E-4</v>
      </c>
      <c r="U353" s="3">
        <f t="shared" si="360"/>
        <v>1.2286887410969222E-4</v>
      </c>
      <c r="V353" s="3">
        <f t="shared" si="360"/>
        <v>1.228688629630481E-4</v>
      </c>
      <c r="W353" s="3">
        <f t="shared" si="360"/>
        <v>1.2286875149666233E-4</v>
      </c>
      <c r="X353" s="3">
        <f t="shared" si="360"/>
        <v>1.228676368383666E-4</v>
      </c>
      <c r="Y353" s="3">
        <f t="shared" si="360"/>
        <v>1.2285649081156047E-4</v>
      </c>
      <c r="Z353" s="3">
        <f t="shared" si="360"/>
        <v>1.2274508613996211E-4</v>
      </c>
      <c r="AA353" s="3">
        <f t="shared" si="360"/>
        <v>1.2163658045379064E-4</v>
      </c>
      <c r="AB353" s="3">
        <f t="shared" si="360"/>
        <v>1.1108747011643271E-4</v>
      </c>
      <c r="AC353" s="3">
        <f t="shared" si="360"/>
        <v>4.4840847863900546E-5</v>
      </c>
      <c r="AD353" s="3">
        <f t="shared" si="360"/>
        <v>5.1494543204358316E-9</v>
      </c>
      <c r="AE353" s="3">
        <f t="shared" si="360"/>
        <v>2.0541641811255252E-48</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1.663721654170598E-4</v>
      </c>
      <c r="C357" s="3">
        <f t="shared" si="364"/>
        <v>1.663721654170598E-4</v>
      </c>
      <c r="D357" s="3">
        <f t="shared" si="364"/>
        <v>1.663721654170598E-4</v>
      </c>
      <c r="E357" s="3">
        <f t="shared" si="364"/>
        <v>1.663721654170598E-4</v>
      </c>
      <c r="F357" s="3">
        <f t="shared" si="364"/>
        <v>1.663721654170598E-4</v>
      </c>
      <c r="G357" s="3">
        <f t="shared" si="364"/>
        <v>1.663721654170598E-4</v>
      </c>
      <c r="H357" s="3">
        <f t="shared" si="364"/>
        <v>1.663721654170598E-4</v>
      </c>
      <c r="I357" s="3">
        <f t="shared" si="364"/>
        <v>1.663721654170598E-4</v>
      </c>
      <c r="J357" s="3">
        <f t="shared" si="364"/>
        <v>1.663721654170598E-4</v>
      </c>
      <c r="K357" s="3">
        <f t="shared" si="364"/>
        <v>1.663721654170598E-4</v>
      </c>
      <c r="L357" s="3">
        <f t="shared" si="364"/>
        <v>1.663721654170598E-4</v>
      </c>
      <c r="M357" s="3">
        <f t="shared" si="364"/>
        <v>1.663721654170598E-4</v>
      </c>
      <c r="N357" s="3">
        <f t="shared" si="364"/>
        <v>1.663721654170598E-4</v>
      </c>
      <c r="O357" s="3">
        <f t="shared" si="364"/>
        <v>1.663721654170598E-4</v>
      </c>
      <c r="P357" s="3">
        <f t="shared" si="364"/>
        <v>1.663721654170598E-4</v>
      </c>
      <c r="Q357" s="3">
        <f t="shared" si="364"/>
        <v>1.6637216541705977E-4</v>
      </c>
      <c r="R357" s="3">
        <f t="shared" si="364"/>
        <v>1.6637216541705963E-4</v>
      </c>
      <c r="S357" s="3">
        <f t="shared" si="364"/>
        <v>1.6637216541705812E-4</v>
      </c>
      <c r="T357" s="3">
        <f t="shared" si="364"/>
        <v>1.6637216541704302E-4</v>
      </c>
      <c r="U357" s="3">
        <f t="shared" si="364"/>
        <v>1.663721654168921E-4</v>
      </c>
      <c r="V357" s="3">
        <f t="shared" si="364"/>
        <v>1.6637216541538278E-4</v>
      </c>
      <c r="W357" s="3">
        <f t="shared" si="364"/>
        <v>1.6637216540028952E-4</v>
      </c>
      <c r="X357" s="3">
        <f t="shared" si="364"/>
        <v>1.6637216524935695E-4</v>
      </c>
      <c r="Y357" s="3">
        <f t="shared" si="364"/>
        <v>1.6637216374003133E-4</v>
      </c>
      <c r="Z357" s="3">
        <f t="shared" si="364"/>
        <v>1.6637214864677588E-4</v>
      </c>
      <c r="AA357" s="3">
        <f t="shared" si="364"/>
        <v>1.6637199771429672E-4</v>
      </c>
      <c r="AB357" s="3">
        <f t="shared" si="364"/>
        <v>1.6637048839703605E-4</v>
      </c>
      <c r="AC357" s="3">
        <f t="shared" si="364"/>
        <v>1.6635539597749304E-4</v>
      </c>
      <c r="AD357" s="3">
        <f t="shared" si="364"/>
        <v>1.6620454706316165E-4</v>
      </c>
      <c r="AE357" s="3">
        <f t="shared" si="364"/>
        <v>1.6470356082183069E-4</v>
      </c>
      <c r="AF357" s="3">
        <f t="shared" si="364"/>
        <v>1.5041940362517801E-4</v>
      </c>
      <c r="AG357" s="3"/>
      <c r="AH357" s="3"/>
    </row>
    <row r="358" spans="1:34" x14ac:dyDescent="0.25">
      <c r="A358" s="79">
        <f>AVERAGE(B358:AF358)</f>
        <v>1.6344327001046549E-3</v>
      </c>
      <c r="B358" s="80">
        <f>IF($A$64&lt;=B324,IF($B$64&gt;=B324,ABS((B326-B325)/B325),0),0)</f>
        <v>1.1992990021032794E-2</v>
      </c>
      <c r="C358" s="80">
        <f t="shared" ref="C358:AF358" si="365">IF($A$64&lt;=C324,IF($B$64&gt;=C324,ABS((C326-C325)/C325),0),0)</f>
        <v>1.6062365271216253E-2</v>
      </c>
      <c r="D358" s="80">
        <f t="shared" si="365"/>
        <v>4.6767468854494376E-3</v>
      </c>
      <c r="E358" s="80">
        <f t="shared" si="365"/>
        <v>6.0089238654512903E-4</v>
      </c>
      <c r="F358" s="80">
        <f t="shared" si="365"/>
        <v>3.2835430634240348E-4</v>
      </c>
      <c r="G358" s="80">
        <f t="shared" si="365"/>
        <v>2.2303690370639913E-4</v>
      </c>
      <c r="H358" s="80">
        <f t="shared" si="365"/>
        <v>2.9218509334248715E-4</v>
      </c>
      <c r="I358" s="80">
        <f t="shared" si="365"/>
        <v>3.8930633092532535E-4</v>
      </c>
      <c r="J358" s="80">
        <f t="shared" si="365"/>
        <v>6.0161236517307414E-4</v>
      </c>
      <c r="K358" s="80">
        <f t="shared" si="365"/>
        <v>8.5076288151353667E-4</v>
      </c>
      <c r="L358" s="80">
        <f t="shared" si="365"/>
        <v>1.3251234177368064E-3</v>
      </c>
      <c r="M358" s="80">
        <f t="shared" si="365"/>
        <v>1.9675771002217808E-3</v>
      </c>
      <c r="N358" s="80">
        <f t="shared" si="365"/>
        <v>2.0889564513238497E-3</v>
      </c>
      <c r="O358" s="80">
        <f t="shared" si="365"/>
        <v>2.0158183104213218E-3</v>
      </c>
      <c r="P358" s="80">
        <f t="shared" si="365"/>
        <v>1.8718149389705344E-3</v>
      </c>
      <c r="Q358" s="80">
        <f t="shared" si="365"/>
        <v>1.6616582240600481E-4</v>
      </c>
      <c r="R358" s="80">
        <f t="shared" si="365"/>
        <v>5.9873188147637553E-4</v>
      </c>
      <c r="S358" s="80">
        <f t="shared" si="365"/>
        <v>2.8149880444806425E-5</v>
      </c>
      <c r="T358" s="80">
        <f t="shared" si="365"/>
        <v>1.0643870965329164E-4</v>
      </c>
      <c r="U358" s="80">
        <f t="shared" si="365"/>
        <v>5.2437200322154575E-5</v>
      </c>
      <c r="V358" s="80">
        <f t="shared" si="365"/>
        <v>9.7791426377114821E-5</v>
      </c>
      <c r="W358" s="80">
        <f t="shared" si="365"/>
        <v>1.7784278470501803E-5</v>
      </c>
      <c r="X358" s="80">
        <f t="shared" si="365"/>
        <v>8.4801453761648214E-5</v>
      </c>
      <c r="Y358" s="80">
        <f t="shared" si="365"/>
        <v>2.2870290621238839E-5</v>
      </c>
      <c r="Z358" s="80">
        <f t="shared" si="365"/>
        <v>1.0247566276639703E-4</v>
      </c>
      <c r="AA358" s="80">
        <f t="shared" si="365"/>
        <v>3.3115066112076805E-4</v>
      </c>
      <c r="AB358" s="80">
        <f t="shared" si="365"/>
        <v>7.3626657719941648E-4</v>
      </c>
      <c r="AC358" s="80">
        <f t="shared" si="365"/>
        <v>9.6110354497541467E-4</v>
      </c>
      <c r="AD358" s="80">
        <f t="shared" si="365"/>
        <v>1.3069814254242642E-3</v>
      </c>
      <c r="AE358" s="80">
        <f t="shared" si="365"/>
        <v>7.0467370319243696E-4</v>
      </c>
      <c r="AF358" s="80">
        <f t="shared" si="365"/>
        <v>6.2048521111319826E-5</v>
      </c>
    </row>
    <row r="359" spans="1:34" x14ac:dyDescent="0.25">
      <c r="B359" s="21">
        <f>(B326-B325)^2</f>
        <v>4945.3371510111092</v>
      </c>
      <c r="C359" s="21">
        <f t="shared" ref="C359:AF359" si="366">(C326-C325)^2</f>
        <v>8117.4519219934764</v>
      </c>
      <c r="D359" s="21">
        <f t="shared" si="366"/>
        <v>630.89212132546629</v>
      </c>
      <c r="E359" s="21">
        <f t="shared" si="366"/>
        <v>9.3839382438357983</v>
      </c>
      <c r="F359" s="21">
        <f t="shared" si="366"/>
        <v>2.5059248620362546</v>
      </c>
      <c r="G359" s="21">
        <f t="shared" si="366"/>
        <v>1.0232320897426308</v>
      </c>
      <c r="H359" s="21">
        <f t="shared" si="366"/>
        <v>1.5264667089431883</v>
      </c>
      <c r="I359" s="21">
        <f t="shared" si="366"/>
        <v>2.2710702803056226</v>
      </c>
      <c r="J359" s="21">
        <f t="shared" si="366"/>
        <v>4.1883200324934284</v>
      </c>
      <c r="K359" s="21">
        <f t="shared" si="366"/>
        <v>5.7847545872389867</v>
      </c>
      <c r="L359" s="21">
        <f t="shared" si="366"/>
        <v>8.1228934064270764</v>
      </c>
      <c r="M359" s="21">
        <f t="shared" si="366"/>
        <v>7.7023270896701259</v>
      </c>
      <c r="N359" s="21">
        <f t="shared" si="366"/>
        <v>2.9821765805003682</v>
      </c>
      <c r="O359" s="21">
        <f t="shared" si="366"/>
        <v>0.87150421610224371</v>
      </c>
      <c r="P359" s="21">
        <f t="shared" si="366"/>
        <v>0.23190844015950896</v>
      </c>
      <c r="Q359" s="21">
        <f t="shared" si="366"/>
        <v>8.9440787185556285E-4</v>
      </c>
      <c r="R359" s="21">
        <f t="shared" si="366"/>
        <v>8.8991479022091161E-3</v>
      </c>
      <c r="S359" s="21">
        <f t="shared" si="366"/>
        <v>1.6233671253435349E-5</v>
      </c>
      <c r="T359" s="21">
        <f t="shared" si="366"/>
        <v>2.1901522363111325E-4</v>
      </c>
      <c r="U359" s="21">
        <f t="shared" si="366"/>
        <v>5.0563699675264866E-5</v>
      </c>
      <c r="V359" s="21">
        <f t="shared" si="366"/>
        <v>1.6720815314591689E-4</v>
      </c>
      <c r="W359" s="21">
        <f t="shared" si="366"/>
        <v>5.3112992378100548E-6</v>
      </c>
      <c r="X359" s="21">
        <f t="shared" si="366"/>
        <v>1.1729531567565384E-4</v>
      </c>
      <c r="Y359" s="21">
        <f t="shared" si="366"/>
        <v>8.3616095895464926E-6</v>
      </c>
      <c r="Z359" s="21">
        <f t="shared" si="366"/>
        <v>1.65475533271245E-4</v>
      </c>
      <c r="AA359" s="21">
        <f t="shared" si="366"/>
        <v>1.7090459986427535E-3</v>
      </c>
      <c r="AB359" s="21">
        <f t="shared" si="366"/>
        <v>8.4300895921180039E-3</v>
      </c>
      <c r="AC359" s="21">
        <f t="shared" si="366"/>
        <v>1.4186180822927419E-2</v>
      </c>
      <c r="AD359" s="21">
        <f t="shared" si="366"/>
        <v>2.6228694507930739E-2</v>
      </c>
      <c r="AE359" s="21">
        <f t="shared" si="366"/>
        <v>7.5927163284560352E-3</v>
      </c>
      <c r="AF359" s="21">
        <f t="shared" si="366"/>
        <v>5.8855558914282055E-5</v>
      </c>
      <c r="AG359" s="3"/>
      <c r="AH359" s="3"/>
    </row>
    <row r="360" spans="1:34" x14ac:dyDescent="0.25">
      <c r="A360" s="71">
        <f>SUM(B360:AF360)</f>
        <v>13740.344459470598</v>
      </c>
      <c r="B360" s="60">
        <f>IF($A$64&lt;=B324,IF($B$64&gt;=B324,ABS(B359),0),0)</f>
        <v>4945.3371510111092</v>
      </c>
      <c r="C360" s="60">
        <f t="shared" ref="C360:AF360" si="367">IF($A$64&lt;=C324,IF($B$64&gt;=C324,ABS(C359),0),0)</f>
        <v>8117.4519219934764</v>
      </c>
      <c r="D360" s="60">
        <f t="shared" si="367"/>
        <v>630.89212132546629</v>
      </c>
      <c r="E360" s="60">
        <f t="shared" si="367"/>
        <v>9.3839382438357983</v>
      </c>
      <c r="F360" s="60">
        <f t="shared" si="367"/>
        <v>2.5059248620362546</v>
      </c>
      <c r="G360" s="60">
        <f t="shared" si="367"/>
        <v>1.0232320897426308</v>
      </c>
      <c r="H360" s="60">
        <f t="shared" si="367"/>
        <v>1.5264667089431883</v>
      </c>
      <c r="I360" s="60">
        <f t="shared" si="367"/>
        <v>2.2710702803056226</v>
      </c>
      <c r="J360" s="60">
        <f t="shared" si="367"/>
        <v>4.1883200324934284</v>
      </c>
      <c r="K360" s="60">
        <f t="shared" si="367"/>
        <v>5.7847545872389867</v>
      </c>
      <c r="L360" s="60">
        <f t="shared" si="367"/>
        <v>8.1228934064270764</v>
      </c>
      <c r="M360" s="60">
        <f t="shared" si="367"/>
        <v>7.7023270896701259</v>
      </c>
      <c r="N360" s="60">
        <f t="shared" si="367"/>
        <v>2.9821765805003682</v>
      </c>
      <c r="O360" s="60">
        <f t="shared" si="367"/>
        <v>0.87150421610224371</v>
      </c>
      <c r="P360" s="60">
        <f t="shared" si="367"/>
        <v>0.23190844015950896</v>
      </c>
      <c r="Q360" s="60">
        <f t="shared" si="367"/>
        <v>8.9440787185556285E-4</v>
      </c>
      <c r="R360" s="60">
        <f t="shared" si="367"/>
        <v>8.8991479022091161E-3</v>
      </c>
      <c r="S360" s="60">
        <f t="shared" si="367"/>
        <v>1.6233671253435349E-5</v>
      </c>
      <c r="T360" s="60">
        <f t="shared" si="367"/>
        <v>2.1901522363111325E-4</v>
      </c>
      <c r="U360" s="60">
        <f t="shared" si="367"/>
        <v>5.0563699675264866E-5</v>
      </c>
      <c r="V360" s="60">
        <f t="shared" si="367"/>
        <v>1.6720815314591689E-4</v>
      </c>
      <c r="W360" s="60">
        <f t="shared" si="367"/>
        <v>5.3112992378100548E-6</v>
      </c>
      <c r="X360" s="60">
        <f t="shared" si="367"/>
        <v>1.1729531567565384E-4</v>
      </c>
      <c r="Y360" s="60">
        <f t="shared" si="367"/>
        <v>8.3616095895464926E-6</v>
      </c>
      <c r="Z360" s="60">
        <f t="shared" si="367"/>
        <v>1.65475533271245E-4</v>
      </c>
      <c r="AA360" s="60">
        <f t="shared" si="367"/>
        <v>1.7090459986427535E-3</v>
      </c>
      <c r="AB360" s="60">
        <f t="shared" si="367"/>
        <v>8.4300895921180039E-3</v>
      </c>
      <c r="AC360" s="60">
        <f t="shared" si="367"/>
        <v>1.4186180822927419E-2</v>
      </c>
      <c r="AD360" s="60">
        <f t="shared" si="367"/>
        <v>2.6228694507930739E-2</v>
      </c>
      <c r="AE360" s="60">
        <f t="shared" si="367"/>
        <v>7.5927163284560352E-3</v>
      </c>
      <c r="AF360" s="60">
        <f t="shared" si="367"/>
        <v>5.8855558914282055E-5</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5411.8315144981489</v>
      </c>
      <c r="C365" s="27">
        <f t="shared" ref="C365:AF365" si="368">($C$17+SUM(C366:C396))*$B$51</f>
        <v>5149.2491753400036</v>
      </c>
      <c r="D365" s="27">
        <f t="shared" si="368"/>
        <v>4878.5972305796213</v>
      </c>
      <c r="E365" s="27">
        <f t="shared" si="368"/>
        <v>4594.3343563498593</v>
      </c>
      <c r="F365" s="27">
        <f t="shared" si="368"/>
        <v>4294.2381859204806</v>
      </c>
      <c r="G365" s="27">
        <f t="shared" si="368"/>
        <v>3950.2776246485805</v>
      </c>
      <c r="H365" s="27">
        <f t="shared" si="368"/>
        <v>3507.4861638358166</v>
      </c>
      <c r="I365" s="27">
        <f t="shared" si="368"/>
        <v>2951.6268933598667</v>
      </c>
      <c r="J365" s="27">
        <f t="shared" si="368"/>
        <v>2293.814298257294</v>
      </c>
      <c r="K365" s="27">
        <f t="shared" si="368"/>
        <v>1555.057857507833</v>
      </c>
      <c r="L365" s="27">
        <f t="shared" si="368"/>
        <v>909.92821447631468</v>
      </c>
      <c r="M365" s="27">
        <f t="shared" si="368"/>
        <v>514.58253997265274</v>
      </c>
      <c r="N365" s="27">
        <f t="shared" si="368"/>
        <v>278.19725038234162</v>
      </c>
      <c r="O365" s="27">
        <f t="shared" si="368"/>
        <v>184.89157822347124</v>
      </c>
      <c r="P365" s="27">
        <f t="shared" si="368"/>
        <v>160.80992198401222</v>
      </c>
      <c r="Q365" s="27">
        <f t="shared" si="368"/>
        <v>144.14977688703178</v>
      </c>
      <c r="R365" s="27">
        <f t="shared" si="368"/>
        <v>139.60276849060625</v>
      </c>
      <c r="S365" s="27">
        <f t="shared" si="368"/>
        <v>136.1618535437762</v>
      </c>
      <c r="T365" s="27">
        <f t="shared" si="368"/>
        <v>132.73956109446684</v>
      </c>
      <c r="U365" s="27">
        <f t="shared" si="368"/>
        <v>129.90272960303861</v>
      </c>
      <c r="V365" s="27">
        <f t="shared" si="368"/>
        <v>128.18351133521355</v>
      </c>
      <c r="W365" s="27">
        <f t="shared" si="368"/>
        <v>126.51233989732776</v>
      </c>
      <c r="X365" s="27">
        <f t="shared" si="368"/>
        <v>125.77112684768913</v>
      </c>
      <c r="Y365" s="27">
        <f t="shared" si="368"/>
        <v>124.89769729620068</v>
      </c>
      <c r="Z365" s="27">
        <f t="shared" si="368"/>
        <v>124.69548599626836</v>
      </c>
      <c r="AA365" s="27">
        <f t="shared" si="368"/>
        <v>124.16946767227383</v>
      </c>
      <c r="AB365" s="27">
        <f t="shared" si="368"/>
        <v>123.75312575357277</v>
      </c>
      <c r="AC365" s="27">
        <f t="shared" si="368"/>
        <v>123.74560406336229</v>
      </c>
      <c r="AD365" s="27">
        <f t="shared" si="368"/>
        <v>123.68385793809995</v>
      </c>
      <c r="AE365" s="27">
        <f t="shared" si="368"/>
        <v>123.23098647123852</v>
      </c>
      <c r="AF365" s="27">
        <f t="shared" si="368"/>
        <v>122.6688145064855</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1.2581128216536628E-2</v>
      </c>
      <c r="C367" s="3">
        <f t="shared" si="370"/>
        <v>3.4677954659285308E-9</v>
      </c>
      <c r="D367" s="3">
        <f t="shared" si="370"/>
        <v>8.777934488636809E-75</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2.9294501124591591E-2</v>
      </c>
      <c r="C368" s="3">
        <f t="shared" si="371"/>
        <v>7.4997994789559813E-3</v>
      </c>
      <c r="D368" s="3">
        <f t="shared" si="371"/>
        <v>9.0716253401998145E-9</v>
      </c>
      <c r="E368" s="3">
        <f t="shared" si="371"/>
        <v>6.0819051305743379E-68</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4.6041170729055329E-2</v>
      </c>
      <c r="C369" s="3">
        <f t="shared" si="372"/>
        <v>4.0716159529637343E-2</v>
      </c>
      <c r="D369" s="3">
        <f t="shared" si="372"/>
        <v>1.1911632814653381E-2</v>
      </c>
      <c r="E369" s="3">
        <f t="shared" si="372"/>
        <v>5.4703636714341214E-8</v>
      </c>
      <c r="F369" s="3">
        <f t="shared" si="372"/>
        <v>2.282786090773211E-61</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4.4709152912690321E-2</v>
      </c>
      <c r="C370" s="3">
        <f t="shared" si="373"/>
        <v>4.4216174136659889E-2</v>
      </c>
      <c r="D370" s="3">
        <f t="shared" si="373"/>
        <v>3.957567821942766E-2</v>
      </c>
      <c r="E370" s="3">
        <f t="shared" si="373"/>
        <v>1.3058713951882872E-2</v>
      </c>
      <c r="F370" s="3">
        <f t="shared" si="373"/>
        <v>1.9981166338981593E-7</v>
      </c>
      <c r="G370" s="3">
        <f t="shared" si="373"/>
        <v>1.4054813882344103E-55</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4.8571871275667151E-2</v>
      </c>
      <c r="C371" s="3">
        <f t="shared" si="374"/>
        <v>4.8523314319906918E-2</v>
      </c>
      <c r="D371" s="3">
        <f t="shared" si="374"/>
        <v>4.8040406583778755E-2</v>
      </c>
      <c r="E371" s="3">
        <f t="shared" si="374"/>
        <v>4.346791875525053E-2</v>
      </c>
      <c r="F371" s="3">
        <f t="shared" si="374"/>
        <v>1.5987868585251433E-2</v>
      </c>
      <c r="G371" s="3">
        <f t="shared" si="374"/>
        <v>7.2444897412835936E-7</v>
      </c>
      <c r="H371" s="3">
        <f t="shared" si="374"/>
        <v>2.6435049071036936E-50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5.5548948702923137E-2</v>
      </c>
      <c r="C372" s="3">
        <f t="shared" si="375"/>
        <v>5.5543936984881227E-2</v>
      </c>
      <c r="D372" s="3">
        <f t="shared" si="375"/>
        <v>5.5493844666834255E-2</v>
      </c>
      <c r="E372" s="3">
        <f t="shared" si="375"/>
        <v>5.4995399443632804E-2</v>
      </c>
      <c r="F372" s="3">
        <f t="shared" si="375"/>
        <v>5.0250666514471326E-2</v>
      </c>
      <c r="G372" s="3">
        <f t="shared" si="375"/>
        <v>2.0384331998827183E-2</v>
      </c>
      <c r="H372" s="3">
        <f t="shared" si="375"/>
        <v>2.4594786635411534E-6</v>
      </c>
      <c r="I372" s="3">
        <f t="shared" si="375"/>
        <v>1.6080843006431328E-45</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7.8662696233022925E-2</v>
      </c>
      <c r="C373" s="3">
        <f t="shared" si="376"/>
        <v>7.8662055991216187E-2</v>
      </c>
      <c r="D373" s="3">
        <f t="shared" si="376"/>
        <v>7.8655653859745614E-2</v>
      </c>
      <c r="E373" s="3">
        <f t="shared" si="376"/>
        <v>7.8591661196089665E-2</v>
      </c>
      <c r="F373" s="3">
        <f t="shared" si="376"/>
        <v>7.7954591055073755E-2</v>
      </c>
      <c r="G373" s="3">
        <f t="shared" si="376"/>
        <v>7.1861121026383229E-2</v>
      </c>
      <c r="H373" s="3">
        <f t="shared" si="376"/>
        <v>3.1843213638615357E-2</v>
      </c>
      <c r="I373" s="3">
        <f t="shared" si="376"/>
        <v>9.2949255929986758E-6</v>
      </c>
      <c r="J373" s="3">
        <f t="shared" si="376"/>
        <v>4.1738437526028682E-41</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9.4543734134755961E-2</v>
      </c>
      <c r="C374" s="3">
        <f t="shared" si="377"/>
        <v>9.4543664719304671E-2</v>
      </c>
      <c r="D374" s="3">
        <f t="shared" si="377"/>
        <v>9.4542970567594781E-2</v>
      </c>
      <c r="E374" s="3">
        <f t="shared" si="377"/>
        <v>9.4536029330800145E-2</v>
      </c>
      <c r="F374" s="3">
        <f t="shared" si="377"/>
        <v>9.4466644985652909E-2</v>
      </c>
      <c r="G374" s="3">
        <f t="shared" si="377"/>
        <v>9.3775596216353382E-2</v>
      </c>
      <c r="H374" s="3">
        <f t="shared" si="377"/>
        <v>8.7137131516076979E-2</v>
      </c>
      <c r="I374" s="3">
        <f t="shared" si="377"/>
        <v>4.1815520878814585E-2</v>
      </c>
      <c r="J374" s="3">
        <f t="shared" si="377"/>
        <v>2.7081956033534958E-5</v>
      </c>
      <c r="K374" s="3">
        <f t="shared" si="377"/>
        <v>3.5164561471909651E-37</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0.11359632300606506</v>
      </c>
      <c r="C375" s="3">
        <f t="shared" si="378"/>
        <v>0.11359631548231414</v>
      </c>
      <c r="D375" s="3">
        <f t="shared" si="378"/>
        <v>0.11359624024483223</v>
      </c>
      <c r="E375" s="3">
        <f t="shared" si="378"/>
        <v>0.11359548787275389</v>
      </c>
      <c r="F375" s="3">
        <f t="shared" si="378"/>
        <v>0.11358796442603665</v>
      </c>
      <c r="G375" s="3">
        <f t="shared" si="378"/>
        <v>0.11351275735876695</v>
      </c>
      <c r="H375" s="3">
        <f t="shared" si="378"/>
        <v>0.11276341997360523</v>
      </c>
      <c r="I375" s="3">
        <f t="shared" si="378"/>
        <v>0.10553679370358277</v>
      </c>
      <c r="J375" s="3">
        <f t="shared" si="378"/>
        <v>5.4420241390000013E-2</v>
      </c>
      <c r="K375" s="3">
        <f t="shared" si="378"/>
        <v>7.2331278911723926E-5</v>
      </c>
      <c r="L375" s="3">
        <f t="shared" si="378"/>
        <v>1.244465743719709E-33</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0.12987660319183611</v>
      </c>
      <c r="C376" s="3">
        <f t="shared" si="379"/>
        <v>0.12987660241586121</v>
      </c>
      <c r="D376" s="3">
        <f t="shared" si="379"/>
        <v>0.12987659465611268</v>
      </c>
      <c r="E376" s="3">
        <f t="shared" si="379"/>
        <v>0.12987651705865288</v>
      </c>
      <c r="F376" s="3">
        <f t="shared" si="379"/>
        <v>0.1298757410866046</v>
      </c>
      <c r="G376" s="3">
        <f t="shared" si="379"/>
        <v>0.1298679816211081</v>
      </c>
      <c r="H376" s="3">
        <f t="shared" si="379"/>
        <v>0.12979041245911227</v>
      </c>
      <c r="I376" s="3">
        <f t="shared" si="379"/>
        <v>0.12901726450950546</v>
      </c>
      <c r="J376" s="3">
        <f t="shared" si="379"/>
        <v>0.12153461763996107</v>
      </c>
      <c r="K376" s="3">
        <f t="shared" si="379"/>
        <v>6.6868517328389443E-2</v>
      </c>
      <c r="L376" s="3">
        <f t="shared" si="379"/>
        <v>1.6999597590266921E-4</v>
      </c>
      <c r="M376" s="3">
        <f t="shared" si="379"/>
        <v>1.9169382083335035E-30</v>
      </c>
      <c r="N376" s="3">
        <f t="shared" si="379"/>
        <v>6.3723972553151835E-290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7.5604381497178116E-2</v>
      </c>
      <c r="C377" s="3">
        <f t="shared" si="380"/>
        <v>7.560438145642974E-2</v>
      </c>
      <c r="D377" s="3">
        <f t="shared" si="380"/>
        <v>7.5604381048945998E-2</v>
      </c>
      <c r="E377" s="3">
        <f t="shared" si="380"/>
        <v>7.56043769741086E-2</v>
      </c>
      <c r="F377" s="3">
        <f t="shared" si="380"/>
        <v>7.5604336225746735E-2</v>
      </c>
      <c r="G377" s="3">
        <f t="shared" si="380"/>
        <v>7.5603928743335991E-2</v>
      </c>
      <c r="H377" s="3">
        <f t="shared" si="380"/>
        <v>7.5599854040017359E-2</v>
      </c>
      <c r="I377" s="3">
        <f t="shared" si="380"/>
        <v>7.5559119083303511E-2</v>
      </c>
      <c r="J377" s="3">
        <f t="shared" si="380"/>
        <v>7.5152974758605287E-2</v>
      </c>
      <c r="K377" s="3">
        <f t="shared" si="380"/>
        <v>7.1209686538250119E-2</v>
      </c>
      <c r="L377" s="3">
        <f t="shared" si="380"/>
        <v>4.1540149592067407E-2</v>
      </c>
      <c r="M377" s="3">
        <f t="shared" si="380"/>
        <v>1.895648787624871E-4</v>
      </c>
      <c r="N377" s="3">
        <f t="shared" si="380"/>
        <v>7.4243098791919917E-28</v>
      </c>
      <c r="O377" s="3">
        <f t="shared" si="380"/>
        <v>6.3043195676125904E-262</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4.9796050081156125E-2</v>
      </c>
      <c r="C378" s="3">
        <f t="shared" si="381"/>
        <v>4.9796050078735069E-2</v>
      </c>
      <c r="D378" s="3">
        <f t="shared" si="381"/>
        <v>4.9796050054524511E-2</v>
      </c>
      <c r="E378" s="3">
        <f t="shared" si="381"/>
        <v>4.9796049812418919E-2</v>
      </c>
      <c r="F378" s="3">
        <f t="shared" si="381"/>
        <v>4.9796047391363084E-2</v>
      </c>
      <c r="G378" s="3">
        <f t="shared" si="381"/>
        <v>4.9796023180811208E-2</v>
      </c>
      <c r="H378" s="3">
        <f t="shared" si="381"/>
        <v>4.9795781075939793E-2</v>
      </c>
      <c r="I378" s="3">
        <f t="shared" si="381"/>
        <v>4.9793360091965104E-2</v>
      </c>
      <c r="J378" s="3">
        <f t="shared" si="381"/>
        <v>4.9769156724994934E-2</v>
      </c>
      <c r="K378" s="3">
        <f t="shared" si="381"/>
        <v>4.9527769170079977E-2</v>
      </c>
      <c r="L378" s="3">
        <f t="shared" si="381"/>
        <v>4.7177357752370086E-2</v>
      </c>
      <c r="M378" s="3">
        <f t="shared" si="381"/>
        <v>2.9012294874342381E-2</v>
      </c>
      <c r="N378" s="3">
        <f t="shared" si="381"/>
        <v>2.2442269501594286E-4</v>
      </c>
      <c r="O378" s="3">
        <f t="shared" si="381"/>
        <v>1.7215263644332956E-25</v>
      </c>
      <c r="P378" s="3">
        <f t="shared" si="381"/>
        <v>1.2144586312220404E-236</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2.096644740134317E-2</v>
      </c>
      <c r="C379" s="3">
        <f t="shared" si="382"/>
        <v>2.0966447401251212E-2</v>
      </c>
      <c r="D379" s="3">
        <f t="shared" si="382"/>
        <v>2.0966447400331649E-2</v>
      </c>
      <c r="E379" s="3">
        <f t="shared" si="382"/>
        <v>2.0966447391136022E-2</v>
      </c>
      <c r="F379" s="3">
        <f t="shared" si="382"/>
        <v>2.096644729917975E-2</v>
      </c>
      <c r="G379" s="3">
        <f t="shared" si="382"/>
        <v>2.0966446379617039E-2</v>
      </c>
      <c r="H379" s="3">
        <f t="shared" si="382"/>
        <v>2.0966437183992159E-2</v>
      </c>
      <c r="I379" s="3">
        <f t="shared" si="382"/>
        <v>2.0966345227965148E-2</v>
      </c>
      <c r="J379" s="3">
        <f t="shared" si="382"/>
        <v>2.0965425689876655E-2</v>
      </c>
      <c r="K379" s="3">
        <f t="shared" si="382"/>
        <v>2.0956232526791126E-2</v>
      </c>
      <c r="L379" s="3">
        <f t="shared" si="382"/>
        <v>2.0864522316399303E-2</v>
      </c>
      <c r="M379" s="3">
        <f t="shared" si="382"/>
        <v>1.9969207119686069E-2</v>
      </c>
      <c r="N379" s="3">
        <f t="shared" si="382"/>
        <v>1.2879072099000331E-2</v>
      </c>
      <c r="O379" s="3">
        <f t="shared" si="382"/>
        <v>1.6036962146863856E-4</v>
      </c>
      <c r="P379" s="3">
        <f t="shared" si="382"/>
        <v>1.4371344518782369E-23</v>
      </c>
      <c r="Q379" s="3">
        <f t="shared" si="382"/>
        <v>4.8001008993119129E-214</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3.9443248072897922E-3</v>
      </c>
      <c r="C380" s="3">
        <f t="shared" si="383"/>
        <v>3.9443248072882318E-3</v>
      </c>
      <c r="D380" s="3">
        <f t="shared" si="383"/>
        <v>3.9443248072726263E-3</v>
      </c>
      <c r="E380" s="3">
        <f t="shared" si="383"/>
        <v>3.9443248071165723E-3</v>
      </c>
      <c r="F380" s="3">
        <f t="shared" si="383"/>
        <v>3.9443248055560289E-3</v>
      </c>
      <c r="G380" s="3">
        <f t="shared" si="383"/>
        <v>3.9443247899505979E-3</v>
      </c>
      <c r="H380" s="3">
        <f t="shared" si="383"/>
        <v>3.9443246338962887E-3</v>
      </c>
      <c r="I380" s="3">
        <f t="shared" si="383"/>
        <v>3.9443230733535355E-3</v>
      </c>
      <c r="J380" s="3">
        <f t="shared" si="383"/>
        <v>3.9443074679599635E-3</v>
      </c>
      <c r="K380" s="3">
        <f t="shared" si="383"/>
        <v>3.944151417419983E-3</v>
      </c>
      <c r="L380" s="3">
        <f t="shared" si="383"/>
        <v>3.942591251544534E-3</v>
      </c>
      <c r="M380" s="3">
        <f t="shared" si="383"/>
        <v>3.927023495575944E-3</v>
      </c>
      <c r="N380" s="3">
        <f t="shared" si="383"/>
        <v>3.7746871057887355E-3</v>
      </c>
      <c r="O380" s="3">
        <f t="shared" si="383"/>
        <v>2.5412976605964019E-3</v>
      </c>
      <c r="P380" s="3">
        <f t="shared" si="383"/>
        <v>4.8618474451592069E-5</v>
      </c>
      <c r="Q380" s="3">
        <f t="shared" si="383"/>
        <v>3.1934434884082973E-22</v>
      </c>
      <c r="R380" s="3">
        <f t="shared" si="383"/>
        <v>4.7735152358256136E-194</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3.5138091054195161E-3</v>
      </c>
      <c r="C381" s="3">
        <f t="shared" si="384"/>
        <v>3.5138091054193908E-3</v>
      </c>
      <c r="D381" s="3">
        <f t="shared" si="384"/>
        <v>3.5138091054181366E-3</v>
      </c>
      <c r="E381" s="3">
        <f t="shared" si="384"/>
        <v>3.5138091054055958E-3</v>
      </c>
      <c r="F381" s="3">
        <f t="shared" si="384"/>
        <v>3.513809105280187E-3</v>
      </c>
      <c r="G381" s="3">
        <f t="shared" si="384"/>
        <v>3.5138091040260995E-3</v>
      </c>
      <c r="H381" s="3">
        <f t="shared" si="384"/>
        <v>3.5138090914852236E-3</v>
      </c>
      <c r="I381" s="3">
        <f t="shared" si="384"/>
        <v>3.5138089660764703E-3</v>
      </c>
      <c r="J381" s="3">
        <f t="shared" si="384"/>
        <v>3.5138077119891836E-3</v>
      </c>
      <c r="K381" s="3">
        <f t="shared" si="384"/>
        <v>3.5137951711409318E-3</v>
      </c>
      <c r="L381" s="3">
        <f t="shared" si="384"/>
        <v>3.5136697651201075E-3</v>
      </c>
      <c r="M381" s="3">
        <f t="shared" si="384"/>
        <v>3.5124159510486492E-3</v>
      </c>
      <c r="N381" s="3">
        <f t="shared" si="384"/>
        <v>3.4999023915403041E-3</v>
      </c>
      <c r="O381" s="3">
        <f t="shared" si="384"/>
        <v>3.3771927641825373E-3</v>
      </c>
      <c r="P381" s="3">
        <f t="shared" si="384"/>
        <v>2.3634968397077427E-3</v>
      </c>
      <c r="Q381" s="3">
        <f t="shared" si="384"/>
        <v>6.6611127405849451E-5</v>
      </c>
      <c r="R381" s="3">
        <f t="shared" si="384"/>
        <v>2.1060290976200283E-20</v>
      </c>
      <c r="S381" s="3">
        <f t="shared" si="384"/>
        <v>2.102036231527989E-175</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7.197894492158341E-4</v>
      </c>
      <c r="C382" s="3">
        <f t="shared" si="385"/>
        <v>7.1978944921583172E-4</v>
      </c>
      <c r="D382" s="3">
        <f t="shared" si="385"/>
        <v>7.1978944921580862E-4</v>
      </c>
      <c r="E382" s="3">
        <f t="shared" si="385"/>
        <v>7.1978944921557682E-4</v>
      </c>
      <c r="F382" s="3">
        <f t="shared" si="385"/>
        <v>7.1978944921325945E-4</v>
      </c>
      <c r="G382" s="3">
        <f t="shared" si="385"/>
        <v>7.1978944919008539E-4</v>
      </c>
      <c r="H382" s="3">
        <f t="shared" si="385"/>
        <v>7.1978944895834498E-4</v>
      </c>
      <c r="I382" s="3">
        <f t="shared" si="385"/>
        <v>7.197894466409409E-4</v>
      </c>
      <c r="J382" s="3">
        <f t="shared" si="385"/>
        <v>7.1978942346690084E-4</v>
      </c>
      <c r="K382" s="3">
        <f t="shared" si="385"/>
        <v>7.1978919172654044E-4</v>
      </c>
      <c r="L382" s="3">
        <f t="shared" si="385"/>
        <v>7.1978687432704017E-4</v>
      </c>
      <c r="M382" s="3">
        <f t="shared" si="385"/>
        <v>7.197637007423887E-4</v>
      </c>
      <c r="N382" s="3">
        <f t="shared" si="385"/>
        <v>7.1953200592603803E-4</v>
      </c>
      <c r="O382" s="3">
        <f t="shared" si="385"/>
        <v>7.1721915589552615E-4</v>
      </c>
      <c r="P382" s="3">
        <f t="shared" si="385"/>
        <v>6.944956288006597E-4</v>
      </c>
      <c r="Q382" s="3">
        <f t="shared" si="385"/>
        <v>5.0332195912470006E-4</v>
      </c>
      <c r="R382" s="3">
        <f t="shared" si="385"/>
        <v>2.0119143863488215E-5</v>
      </c>
      <c r="S382" s="3">
        <f t="shared" si="385"/>
        <v>2.0952973964156593E-19</v>
      </c>
      <c r="T382" s="3">
        <f t="shared" si="385"/>
        <v>3.1449043827941272E-159</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5.3803230598076777E-4</v>
      </c>
      <c r="C383" s="3">
        <f t="shared" si="386"/>
        <v>5.3803230598076755E-4</v>
      </c>
      <c r="D383" s="3">
        <f t="shared" si="386"/>
        <v>5.3803230598076603E-4</v>
      </c>
      <c r="E383" s="3">
        <f t="shared" si="386"/>
        <v>5.3803230598075042E-4</v>
      </c>
      <c r="F383" s="3">
        <f t="shared" si="386"/>
        <v>5.3803230598059408E-4</v>
      </c>
      <c r="G383" s="3">
        <f t="shared" si="386"/>
        <v>5.3803230597903153E-4</v>
      </c>
      <c r="H383" s="3">
        <f t="shared" si="386"/>
        <v>5.3803230596340546E-4</v>
      </c>
      <c r="I383" s="3">
        <f t="shared" si="386"/>
        <v>5.3803230580714418E-4</v>
      </c>
      <c r="J383" s="3">
        <f t="shared" si="386"/>
        <v>5.3803230424453194E-4</v>
      </c>
      <c r="K383" s="3">
        <f t="shared" si="386"/>
        <v>5.3803228861840947E-4</v>
      </c>
      <c r="L383" s="3">
        <f t="shared" si="386"/>
        <v>5.3803213235720975E-4</v>
      </c>
      <c r="M383" s="3">
        <f t="shared" si="386"/>
        <v>5.3803056974770832E-4</v>
      </c>
      <c r="N383" s="3">
        <f t="shared" si="386"/>
        <v>5.3801494390229917E-4</v>
      </c>
      <c r="O383" s="3">
        <f t="shared" si="386"/>
        <v>5.3785871040592864E-4</v>
      </c>
      <c r="P383" s="3">
        <f t="shared" si="386"/>
        <v>5.3629886853457948E-4</v>
      </c>
      <c r="Q383" s="3">
        <f t="shared" si="386"/>
        <v>5.2094710067860717E-4</v>
      </c>
      <c r="R383" s="3">
        <f t="shared" si="386"/>
        <v>3.8963779003327147E-4</v>
      </c>
      <c r="S383" s="3">
        <f t="shared" si="386"/>
        <v>2.1346935238974733E-5</v>
      </c>
      <c r="T383" s="3">
        <f t="shared" si="386"/>
        <v>5.2009196437786063E-18</v>
      </c>
      <c r="U383" s="3">
        <f t="shared" si="386"/>
        <v>3.8328891239292256E-144</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5.6418757759686938E-4</v>
      </c>
      <c r="C384" s="3">
        <f t="shared" si="387"/>
        <v>5.6418757759686938E-4</v>
      </c>
      <c r="D384" s="3">
        <f t="shared" si="387"/>
        <v>5.6418757759686916E-4</v>
      </c>
      <c r="E384" s="3">
        <f t="shared" si="387"/>
        <v>5.6418757759686775E-4</v>
      </c>
      <c r="F384" s="3">
        <f t="shared" si="387"/>
        <v>5.6418757759685301E-4</v>
      </c>
      <c r="G384" s="3">
        <f t="shared" si="387"/>
        <v>5.6418757759670512E-4</v>
      </c>
      <c r="H384" s="3">
        <f t="shared" si="387"/>
        <v>5.6418757759522703E-4</v>
      </c>
      <c r="I384" s="3">
        <f t="shared" si="387"/>
        <v>5.6418757758044578E-4</v>
      </c>
      <c r="J384" s="3">
        <f t="shared" si="387"/>
        <v>5.6418757743263259E-4</v>
      </c>
      <c r="K384" s="3">
        <f t="shared" si="387"/>
        <v>5.6418757595450139E-4</v>
      </c>
      <c r="L384" s="3">
        <f t="shared" si="387"/>
        <v>5.6418756117318947E-4</v>
      </c>
      <c r="M384" s="3">
        <f t="shared" si="387"/>
        <v>5.6418741336009166E-4</v>
      </c>
      <c r="N384" s="3">
        <f t="shared" si="387"/>
        <v>5.6418593523124339E-4</v>
      </c>
      <c r="O384" s="3">
        <f t="shared" si="387"/>
        <v>5.6417115415575135E-4</v>
      </c>
      <c r="P384" s="3">
        <f t="shared" si="387"/>
        <v>5.6402336469782866E-4</v>
      </c>
      <c r="Q384" s="3">
        <f t="shared" si="387"/>
        <v>5.6254759775527751E-4</v>
      </c>
      <c r="R384" s="3">
        <f t="shared" si="387"/>
        <v>5.4800064389648559E-4</v>
      </c>
      <c r="S384" s="3">
        <f t="shared" si="387"/>
        <v>4.2169554404401295E-4</v>
      </c>
      <c r="T384" s="3">
        <f t="shared" si="387"/>
        <v>3.0702832528614283E-5</v>
      </c>
      <c r="U384" s="3">
        <f t="shared" si="387"/>
        <v>1.2852060500244794E-16</v>
      </c>
      <c r="V384" s="3">
        <f t="shared" si="387"/>
        <v>2.1228335226401018E-130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5.289794145093928E-4</v>
      </c>
      <c r="C385" s="3">
        <f t="shared" si="388"/>
        <v>5.289794145093928E-4</v>
      </c>
      <c r="D385" s="3">
        <f t="shared" si="388"/>
        <v>5.289794145093928E-4</v>
      </c>
      <c r="E385" s="3">
        <f t="shared" si="388"/>
        <v>5.2897941450939269E-4</v>
      </c>
      <c r="F385" s="3">
        <f t="shared" si="388"/>
        <v>5.2897941450939139E-4</v>
      </c>
      <c r="G385" s="3">
        <f t="shared" si="388"/>
        <v>5.2897941450937892E-4</v>
      </c>
      <c r="H385" s="3">
        <f t="shared" si="388"/>
        <v>5.2897941450925391E-4</v>
      </c>
      <c r="I385" s="3">
        <f t="shared" si="388"/>
        <v>5.2897941450800372E-4</v>
      </c>
      <c r="J385" s="3">
        <f t="shared" si="388"/>
        <v>5.2897941449550189E-4</v>
      </c>
      <c r="K385" s="3">
        <f t="shared" si="388"/>
        <v>5.2897941437048319E-4</v>
      </c>
      <c r="L385" s="3">
        <f t="shared" si="388"/>
        <v>5.289794131202966E-4</v>
      </c>
      <c r="M385" s="3">
        <f t="shared" si="388"/>
        <v>5.2897940061843107E-4</v>
      </c>
      <c r="N385" s="3">
        <f t="shared" si="388"/>
        <v>5.2897927559979142E-4</v>
      </c>
      <c r="O385" s="3">
        <f t="shared" si="388"/>
        <v>5.2897802541502083E-4</v>
      </c>
      <c r="P385" s="3">
        <f t="shared" si="388"/>
        <v>5.2896552372982064E-4</v>
      </c>
      <c r="Q385" s="3">
        <f t="shared" si="388"/>
        <v>5.288405231269963E-4</v>
      </c>
      <c r="R385" s="3">
        <f t="shared" si="388"/>
        <v>5.2759214059648889E-4</v>
      </c>
      <c r="S385" s="3">
        <f t="shared" si="388"/>
        <v>5.1526925431850078E-4</v>
      </c>
      <c r="T385" s="3">
        <f t="shared" si="388"/>
        <v>4.0681161887714195E-4</v>
      </c>
      <c r="U385" s="3">
        <f t="shared" si="388"/>
        <v>3.8281111413054822E-5</v>
      </c>
      <c r="V385" s="3">
        <f t="shared" si="388"/>
        <v>2.0839938695159363E-15</v>
      </c>
      <c r="W385" s="3">
        <f t="shared" si="388"/>
        <v>4.7644791022278725E-118</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5.3547450135887617E-5</v>
      </c>
      <c r="C386" s="3">
        <f t="shared" si="389"/>
        <v>5.3547450135887617E-5</v>
      </c>
      <c r="D386" s="3">
        <f t="shared" si="389"/>
        <v>5.3547450135887617E-5</v>
      </c>
      <c r="E386" s="3">
        <f t="shared" si="389"/>
        <v>5.3547450135887617E-5</v>
      </c>
      <c r="F386" s="3">
        <f t="shared" si="389"/>
        <v>5.3547450135887604E-5</v>
      </c>
      <c r="G386" s="3">
        <f t="shared" si="389"/>
        <v>5.3547450135887495E-5</v>
      </c>
      <c r="H386" s="3">
        <f t="shared" si="389"/>
        <v>5.354745013588635E-5</v>
      </c>
      <c r="I386" s="3">
        <f t="shared" si="389"/>
        <v>5.3547450135874932E-5</v>
      </c>
      <c r="J386" s="3">
        <f t="shared" si="389"/>
        <v>5.3547450135760772E-5</v>
      </c>
      <c r="K386" s="3">
        <f t="shared" si="389"/>
        <v>5.3547450134619155E-5</v>
      </c>
      <c r="L386" s="3">
        <f t="shared" si="389"/>
        <v>5.3547450123202953E-5</v>
      </c>
      <c r="M386" s="3">
        <f t="shared" si="389"/>
        <v>5.3547450009040984E-5</v>
      </c>
      <c r="N386" s="3">
        <f t="shared" si="389"/>
        <v>5.3547448867421321E-5</v>
      </c>
      <c r="O386" s="3">
        <f t="shared" si="389"/>
        <v>5.3547437451226041E-5</v>
      </c>
      <c r="P386" s="3">
        <f t="shared" si="389"/>
        <v>5.3547323289407039E-5</v>
      </c>
      <c r="Q386" s="3">
        <f t="shared" si="389"/>
        <v>5.3546181684603409E-5</v>
      </c>
      <c r="R386" s="3">
        <f t="shared" si="389"/>
        <v>5.3534766975099058E-5</v>
      </c>
      <c r="S386" s="3">
        <f t="shared" si="389"/>
        <v>5.3420753627716737E-5</v>
      </c>
      <c r="T386" s="3">
        <f t="shared" si="389"/>
        <v>5.2293890014587801E-5</v>
      </c>
      <c r="U386" s="3">
        <f t="shared" si="389"/>
        <v>4.2253271043871195E-5</v>
      </c>
      <c r="V386" s="3">
        <f t="shared" si="389"/>
        <v>5.0113438185219139E-6</v>
      </c>
      <c r="W386" s="3">
        <f t="shared" si="389"/>
        <v>2.7598967993712241E-15</v>
      </c>
      <c r="X386" s="3">
        <f t="shared" si="389"/>
        <v>7.0840117434109129E-108</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4.4495454548071421E-4</v>
      </c>
      <c r="C387" s="3">
        <f t="shared" si="390"/>
        <v>4.4495454548071421E-4</v>
      </c>
      <c r="D387" s="3">
        <f t="shared" si="390"/>
        <v>4.4495454548071421E-4</v>
      </c>
      <c r="E387" s="3">
        <f t="shared" si="390"/>
        <v>4.4495454548071421E-4</v>
      </c>
      <c r="F387" s="3">
        <f t="shared" si="390"/>
        <v>4.4495454548071416E-4</v>
      </c>
      <c r="G387" s="3">
        <f t="shared" si="390"/>
        <v>4.4495454548071394E-4</v>
      </c>
      <c r="H387" s="3">
        <f t="shared" si="390"/>
        <v>4.4495454548071128E-4</v>
      </c>
      <c r="I387" s="3">
        <f t="shared" si="390"/>
        <v>4.4495454548068504E-4</v>
      </c>
      <c r="J387" s="3">
        <f t="shared" si="390"/>
        <v>4.4495454548042272E-4</v>
      </c>
      <c r="K387" s="3">
        <f t="shared" si="390"/>
        <v>4.4495454547779901E-4</v>
      </c>
      <c r="L387" s="3">
        <f t="shared" si="390"/>
        <v>4.4495454545156218E-4</v>
      </c>
      <c r="M387" s="3">
        <f t="shared" si="390"/>
        <v>4.4495454518919404E-4</v>
      </c>
      <c r="N387" s="3">
        <f t="shared" si="390"/>
        <v>4.4495454256551228E-4</v>
      </c>
      <c r="O387" s="3">
        <f t="shared" si="390"/>
        <v>4.449545163286953E-4</v>
      </c>
      <c r="P387" s="3">
        <f t="shared" si="390"/>
        <v>4.4495425396061139E-4</v>
      </c>
      <c r="Q387" s="3">
        <f t="shared" si="390"/>
        <v>4.4495163028828041E-4</v>
      </c>
      <c r="R387" s="3">
        <f t="shared" si="390"/>
        <v>4.4492539441583245E-4</v>
      </c>
      <c r="S387" s="3">
        <f t="shared" si="390"/>
        <v>4.4466312075893484E-4</v>
      </c>
      <c r="T387" s="3">
        <f t="shared" si="390"/>
        <v>4.4204887241811036E-4</v>
      </c>
      <c r="U387" s="3">
        <f t="shared" si="390"/>
        <v>4.1673698142527494E-4</v>
      </c>
      <c r="V387" s="3">
        <f t="shared" si="390"/>
        <v>2.3108916701973395E-4</v>
      </c>
      <c r="W387" s="3">
        <f t="shared" si="390"/>
        <v>6.352651659371449E-7</v>
      </c>
      <c r="X387" s="3">
        <f t="shared" si="390"/>
        <v>1.5657037433550616E-32</v>
      </c>
      <c r="Y387" s="3">
        <f t="shared" si="390"/>
        <v>1.2949561713278526E-288</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1.5289773047840316E-5</v>
      </c>
      <c r="C388" s="3">
        <f t="shared" si="391"/>
        <v>1.5289773047840316E-5</v>
      </c>
      <c r="D388" s="3">
        <f t="shared" si="391"/>
        <v>1.5289773047840316E-5</v>
      </c>
      <c r="E388" s="3">
        <f t="shared" si="391"/>
        <v>1.5289773047840316E-5</v>
      </c>
      <c r="F388" s="3">
        <f t="shared" si="391"/>
        <v>1.5289773047840316E-5</v>
      </c>
      <c r="G388" s="3">
        <f t="shared" si="391"/>
        <v>1.5289773047840312E-5</v>
      </c>
      <c r="H388" s="3">
        <f t="shared" si="391"/>
        <v>1.5289773047840306E-5</v>
      </c>
      <c r="I388" s="3">
        <f t="shared" si="391"/>
        <v>1.5289773047840214E-5</v>
      </c>
      <c r="J388" s="3">
        <f t="shared" si="391"/>
        <v>1.5289773047839313E-5</v>
      </c>
      <c r="K388" s="3">
        <f t="shared" si="391"/>
        <v>1.5289773047830301E-5</v>
      </c>
      <c r="L388" s="3">
        <f t="shared" si="391"/>
        <v>1.5289773047740142E-5</v>
      </c>
      <c r="M388" s="3">
        <f t="shared" si="391"/>
        <v>1.5289773046838577E-5</v>
      </c>
      <c r="N388" s="3">
        <f t="shared" si="391"/>
        <v>1.5289773037822938E-5</v>
      </c>
      <c r="O388" s="3">
        <f t="shared" si="391"/>
        <v>1.528977294766654E-5</v>
      </c>
      <c r="P388" s="3">
        <f t="shared" si="391"/>
        <v>1.5289772046102594E-5</v>
      </c>
      <c r="Q388" s="3">
        <f t="shared" si="391"/>
        <v>1.5289763030466053E-5</v>
      </c>
      <c r="R388" s="3">
        <f t="shared" si="391"/>
        <v>1.5289672874393037E-5</v>
      </c>
      <c r="S388" s="3">
        <f t="shared" si="391"/>
        <v>1.5288771342900627E-5</v>
      </c>
      <c r="T388" s="3">
        <f t="shared" si="391"/>
        <v>1.5279758951115621E-5</v>
      </c>
      <c r="U388" s="3">
        <f t="shared" si="391"/>
        <v>1.5189926710434237E-5</v>
      </c>
      <c r="V388" s="3">
        <f t="shared" si="391"/>
        <v>1.4320145577455786E-5</v>
      </c>
      <c r="W388" s="3">
        <f t="shared" si="391"/>
        <v>7.9408131761614781E-6</v>
      </c>
      <c r="X388" s="3">
        <f t="shared" si="391"/>
        <v>2.1829331357619672E-8</v>
      </c>
      <c r="Y388" s="3">
        <f t="shared" si="391"/>
        <v>5.3801573979179677E-34</v>
      </c>
      <c r="Z388" s="3">
        <f t="shared" si="391"/>
        <v>4.4497996857436906E-290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2.5082649304706281E-4</v>
      </c>
      <c r="C389" s="3">
        <f t="shared" si="392"/>
        <v>2.5082649304706281E-4</v>
      </c>
      <c r="D389" s="3">
        <f t="shared" si="392"/>
        <v>2.5082649304706281E-4</v>
      </c>
      <c r="E389" s="3">
        <f t="shared" si="392"/>
        <v>2.5082649304706281E-4</v>
      </c>
      <c r="F389" s="3">
        <f t="shared" si="392"/>
        <v>2.5082649304706281E-4</v>
      </c>
      <c r="G389" s="3">
        <f t="shared" si="392"/>
        <v>2.5082649304706281E-4</v>
      </c>
      <c r="H389" s="3">
        <f t="shared" si="392"/>
        <v>2.5082649304706276E-4</v>
      </c>
      <c r="I389" s="3">
        <f t="shared" si="392"/>
        <v>2.5082649304706265E-4</v>
      </c>
      <c r="J389" s="3">
        <f t="shared" si="392"/>
        <v>2.5082649304706119E-4</v>
      </c>
      <c r="K389" s="3">
        <f t="shared" si="392"/>
        <v>2.5082649304704639E-4</v>
      </c>
      <c r="L389" s="3">
        <f t="shared" si="392"/>
        <v>2.508264930468985E-4</v>
      </c>
      <c r="M389" s="3">
        <f t="shared" si="392"/>
        <v>2.5082649304541949E-4</v>
      </c>
      <c r="N389" s="3">
        <f t="shared" si="392"/>
        <v>2.5082649303062945E-4</v>
      </c>
      <c r="O389" s="3">
        <f t="shared" si="392"/>
        <v>2.5082649288272921E-4</v>
      </c>
      <c r="P389" s="3">
        <f t="shared" si="392"/>
        <v>2.5082649140372668E-4</v>
      </c>
      <c r="Q389" s="3">
        <f t="shared" si="392"/>
        <v>2.5082647661370185E-4</v>
      </c>
      <c r="R389" s="3">
        <f t="shared" si="392"/>
        <v>2.5082632871350157E-4</v>
      </c>
      <c r="S389" s="3">
        <f t="shared" si="392"/>
        <v>2.5082484971629529E-4</v>
      </c>
      <c r="T389" s="3">
        <f t="shared" si="392"/>
        <v>2.5081006022387414E-4</v>
      </c>
      <c r="U389" s="3">
        <f t="shared" si="392"/>
        <v>2.5066221325333206E-4</v>
      </c>
      <c r="V389" s="3">
        <f t="shared" si="392"/>
        <v>2.4918852846924993E-4</v>
      </c>
      <c r="W389" s="3">
        <f t="shared" si="392"/>
        <v>2.349198960558799E-4</v>
      </c>
      <c r="X389" s="3">
        <f t="shared" si="392"/>
        <v>1.3026788001930671E-4</v>
      </c>
      <c r="Y389" s="3">
        <f t="shared" si="392"/>
        <v>3.581069917036747E-7</v>
      </c>
      <c r="Z389" s="3">
        <f t="shared" si="392"/>
        <v>8.8260696083490256E-33</v>
      </c>
      <c r="AA389" s="3">
        <f t="shared" si="392"/>
        <v>7.2998313738519842E-289</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5.6673676320409674E-5</v>
      </c>
      <c r="C391" s="3">
        <f t="shared" si="394"/>
        <v>5.6673676320409674E-5</v>
      </c>
      <c r="D391" s="3">
        <f t="shared" si="394"/>
        <v>5.6673676320409674E-5</v>
      </c>
      <c r="E391" s="3">
        <f t="shared" si="394"/>
        <v>5.6673676320409674E-5</v>
      </c>
      <c r="F391" s="3">
        <f t="shared" si="394"/>
        <v>5.6673676320409674E-5</v>
      </c>
      <c r="G391" s="3">
        <f t="shared" si="394"/>
        <v>5.6673676320409674E-5</v>
      </c>
      <c r="H391" s="3">
        <f t="shared" si="394"/>
        <v>5.6673676320409674E-5</v>
      </c>
      <c r="I391" s="3">
        <f t="shared" si="394"/>
        <v>5.6673676320409674E-5</v>
      </c>
      <c r="J391" s="3">
        <f t="shared" si="394"/>
        <v>5.6673676320409667E-5</v>
      </c>
      <c r="K391" s="3">
        <f t="shared" si="394"/>
        <v>5.6673676320409633E-5</v>
      </c>
      <c r="L391" s="3">
        <f t="shared" si="394"/>
        <v>5.6673676320409301E-5</v>
      </c>
      <c r="M391" s="3">
        <f t="shared" si="394"/>
        <v>5.6673676320405961E-5</v>
      </c>
      <c r="N391" s="3">
        <f t="shared" si="394"/>
        <v>5.6673676320372547E-5</v>
      </c>
      <c r="O391" s="3">
        <f t="shared" si="394"/>
        <v>5.6673676320038369E-5</v>
      </c>
      <c r="P391" s="3">
        <f t="shared" si="394"/>
        <v>5.6673676316696593E-5</v>
      </c>
      <c r="Q391" s="3">
        <f t="shared" si="394"/>
        <v>5.6673676283278867E-5</v>
      </c>
      <c r="R391" s="3">
        <f t="shared" si="394"/>
        <v>5.6673675949101607E-5</v>
      </c>
      <c r="S391" s="3">
        <f t="shared" si="394"/>
        <v>5.667367260732909E-5</v>
      </c>
      <c r="T391" s="3">
        <f t="shared" si="394"/>
        <v>5.6673639189614816E-5</v>
      </c>
      <c r="U391" s="3">
        <f t="shared" si="394"/>
        <v>5.6673305013555785E-5</v>
      </c>
      <c r="V391" s="3">
        <f t="shared" si="394"/>
        <v>5.6669963361339393E-5</v>
      </c>
      <c r="W391" s="3">
        <f t="shared" si="394"/>
        <v>5.6636557674198187E-5</v>
      </c>
      <c r="X391" s="3">
        <f t="shared" si="394"/>
        <v>5.6303581944893105E-5</v>
      </c>
      <c r="Y391" s="3">
        <f t="shared" si="394"/>
        <v>5.3079616864065258E-5</v>
      </c>
      <c r="Z391" s="3">
        <f t="shared" si="394"/>
        <v>2.9433731570671515E-5</v>
      </c>
      <c r="AA391" s="3">
        <f t="shared" si="394"/>
        <v>8.0913461290875994E-8</v>
      </c>
      <c r="AB391" s="3">
        <f t="shared" si="394"/>
        <v>1.9942303784916516E-33</v>
      </c>
      <c r="AC391" s="3">
        <f t="shared" si="394"/>
        <v>1.6493803164470123E-289</v>
      </c>
      <c r="AD391" s="3">
        <f t="shared" si="394"/>
        <v>0</v>
      </c>
      <c r="AE391" s="3">
        <f t="shared" si="394"/>
        <v>0</v>
      </c>
      <c r="AF391" s="3">
        <f t="shared" si="394"/>
        <v>0</v>
      </c>
      <c r="AG391" s="3"/>
      <c r="AH391" s="3"/>
    </row>
    <row r="392" spans="1:34" x14ac:dyDescent="0.25">
      <c r="B392" s="3">
        <f t="shared" ref="B392:AF392" si="395">$C44*EXP(-B$363/$A44/EXP(-$H$126))</f>
        <v>1.228688753482083E-4</v>
      </c>
      <c r="C392" s="3">
        <f t="shared" si="395"/>
        <v>1.228688753482083E-4</v>
      </c>
      <c r="D392" s="3">
        <f t="shared" si="395"/>
        <v>1.228688753482083E-4</v>
      </c>
      <c r="E392" s="3">
        <f t="shared" si="395"/>
        <v>1.228688753482083E-4</v>
      </c>
      <c r="F392" s="3">
        <f t="shared" si="395"/>
        <v>1.228688753482083E-4</v>
      </c>
      <c r="G392" s="3">
        <f t="shared" si="395"/>
        <v>1.228688753482083E-4</v>
      </c>
      <c r="H392" s="3">
        <f t="shared" si="395"/>
        <v>1.228688753482083E-4</v>
      </c>
      <c r="I392" s="3">
        <f t="shared" si="395"/>
        <v>1.228688753482083E-4</v>
      </c>
      <c r="J392" s="3">
        <f t="shared" si="395"/>
        <v>1.228688753482083E-4</v>
      </c>
      <c r="K392" s="3">
        <f t="shared" si="395"/>
        <v>1.2286887534820827E-4</v>
      </c>
      <c r="L392" s="3">
        <f t="shared" si="395"/>
        <v>1.2286887534820821E-4</v>
      </c>
      <c r="M392" s="3">
        <f t="shared" si="395"/>
        <v>1.2286887534820748E-4</v>
      </c>
      <c r="N392" s="3">
        <f t="shared" si="395"/>
        <v>1.2286887534820025E-4</v>
      </c>
      <c r="O392" s="3">
        <f t="shared" si="395"/>
        <v>1.2286887534812779E-4</v>
      </c>
      <c r="P392" s="3">
        <f t="shared" si="395"/>
        <v>1.228688753474033E-4</v>
      </c>
      <c r="Q392" s="3">
        <f t="shared" si="395"/>
        <v>1.2286887534015831E-4</v>
      </c>
      <c r="R392" s="3">
        <f t="shared" si="395"/>
        <v>1.2286887526770848E-4</v>
      </c>
      <c r="S392" s="3">
        <f t="shared" si="395"/>
        <v>1.2286887454321014E-4</v>
      </c>
      <c r="T392" s="3">
        <f t="shared" si="395"/>
        <v>1.2286886729822699E-4</v>
      </c>
      <c r="U392" s="3">
        <f t="shared" si="395"/>
        <v>1.2286879484841895E-4</v>
      </c>
      <c r="V392" s="3">
        <f t="shared" si="395"/>
        <v>1.2286807035268818E-4</v>
      </c>
      <c r="W392" s="3">
        <f t="shared" si="395"/>
        <v>1.2286082563033575E-4</v>
      </c>
      <c r="X392" s="3">
        <f t="shared" si="395"/>
        <v>1.2278840189720665E-4</v>
      </c>
      <c r="Y392" s="3">
        <f t="shared" si="395"/>
        <v>1.2206650848858669E-4</v>
      </c>
      <c r="Z392" s="3">
        <f t="shared" si="395"/>
        <v>1.1507693256265444E-4</v>
      </c>
      <c r="AA392" s="3">
        <f t="shared" si="395"/>
        <v>6.3812509266971074E-5</v>
      </c>
      <c r="AB392" s="3">
        <f t="shared" si="395"/>
        <v>1.7542087676003535E-7</v>
      </c>
      <c r="AC392" s="3">
        <f t="shared" si="395"/>
        <v>4.3235036034226645E-33</v>
      </c>
      <c r="AD392" s="3">
        <f t="shared" si="395"/>
        <v>3.575866569120628E-289</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1.663721654170598E-4</v>
      </c>
      <c r="C396" s="3">
        <f t="shared" si="399"/>
        <v>1.663721654170598E-4</v>
      </c>
      <c r="D396" s="3">
        <f t="shared" si="399"/>
        <v>1.663721654170598E-4</v>
      </c>
      <c r="E396" s="3">
        <f t="shared" si="399"/>
        <v>1.663721654170598E-4</v>
      </c>
      <c r="F396" s="3">
        <f t="shared" si="399"/>
        <v>1.663721654170598E-4</v>
      </c>
      <c r="G396" s="3">
        <f t="shared" si="399"/>
        <v>1.663721654170598E-4</v>
      </c>
      <c r="H396" s="3">
        <f t="shared" si="399"/>
        <v>1.663721654170598E-4</v>
      </c>
      <c r="I396" s="3">
        <f t="shared" si="399"/>
        <v>1.663721654170598E-4</v>
      </c>
      <c r="J396" s="3">
        <f t="shared" si="399"/>
        <v>1.663721654170598E-4</v>
      </c>
      <c r="K396" s="3">
        <f t="shared" si="399"/>
        <v>1.663721654170598E-4</v>
      </c>
      <c r="L396" s="3">
        <f t="shared" si="399"/>
        <v>1.663721654170598E-4</v>
      </c>
      <c r="M396" s="3">
        <f t="shared" si="399"/>
        <v>1.663721654170598E-4</v>
      </c>
      <c r="N396" s="3">
        <f t="shared" si="399"/>
        <v>1.663721654170598E-4</v>
      </c>
      <c r="O396" s="3">
        <f t="shared" si="399"/>
        <v>1.6637216541705977E-4</v>
      </c>
      <c r="P396" s="3">
        <f t="shared" si="399"/>
        <v>1.6637216541705969E-4</v>
      </c>
      <c r="Q396" s="3">
        <f t="shared" si="399"/>
        <v>1.6637216541705871E-4</v>
      </c>
      <c r="R396" s="3">
        <f t="shared" si="399"/>
        <v>1.663721654170489E-4</v>
      </c>
      <c r="S396" s="3">
        <f t="shared" si="399"/>
        <v>1.6637216541695081E-4</v>
      </c>
      <c r="T396" s="3">
        <f t="shared" si="399"/>
        <v>1.6637216541596979E-4</v>
      </c>
      <c r="U396" s="3">
        <f t="shared" si="399"/>
        <v>1.6637216540615963E-4</v>
      </c>
      <c r="V396" s="3">
        <f t="shared" si="399"/>
        <v>1.6637216530805799E-4</v>
      </c>
      <c r="W396" s="3">
        <f t="shared" si="399"/>
        <v>1.663721643270418E-4</v>
      </c>
      <c r="X396" s="3">
        <f t="shared" si="399"/>
        <v>1.6637215451688008E-4</v>
      </c>
      <c r="Y396" s="3">
        <f t="shared" si="399"/>
        <v>1.6637205641529485E-4</v>
      </c>
      <c r="Z396" s="3">
        <f t="shared" si="399"/>
        <v>1.6637107540262407E-4</v>
      </c>
      <c r="AA396" s="3">
        <f t="shared" si="399"/>
        <v>1.6636126559406022E-4</v>
      </c>
      <c r="AB396" s="3">
        <f t="shared" si="399"/>
        <v>1.6626319931589069E-4</v>
      </c>
      <c r="AC396" s="3">
        <f t="shared" si="399"/>
        <v>1.6528571035253823E-4</v>
      </c>
      <c r="AD396" s="3">
        <f t="shared" si="399"/>
        <v>1.5582138605683073E-4</v>
      </c>
      <c r="AE396" s="3">
        <f t="shared" si="399"/>
        <v>8.6406140833916143E-5</v>
      </c>
      <c r="AF396" s="3">
        <f t="shared" si="399"/>
        <v>2.3753087218562099E-7</v>
      </c>
      <c r="AG396" s="3"/>
      <c r="AH396" s="3"/>
    </row>
    <row r="397" spans="1:34" x14ac:dyDescent="0.25">
      <c r="A397" s="79">
        <f>AVERAGE(B397:AF397)</f>
        <v>1.3263716243355273E-2</v>
      </c>
      <c r="B397" s="80">
        <f>IF($A$64&lt;=B363,IF($B$64&gt;=B363,ABS((B365-B364)/B364),0),0)</f>
        <v>1.0459976344091865E-2</v>
      </c>
      <c r="C397" s="80">
        <f t="shared" ref="C397:AF397" si="400">IF($A$64&lt;=C363,IF($B$64&gt;=C363,ABS((C365-C364)/C364),0),0)</f>
        <v>9.3766307989997676E-4</v>
      </c>
      <c r="D397" s="80">
        <f t="shared" si="400"/>
        <v>3.9340744399723312E-3</v>
      </c>
      <c r="E397" s="80">
        <f t="shared" si="400"/>
        <v>3.3297179039089206E-3</v>
      </c>
      <c r="F397" s="80">
        <f t="shared" si="400"/>
        <v>4.5874067411711492E-3</v>
      </c>
      <c r="G397" s="80">
        <f t="shared" si="400"/>
        <v>3.077992959380656E-3</v>
      </c>
      <c r="H397" s="80">
        <f t="shared" si="400"/>
        <v>4.5519742626972575E-3</v>
      </c>
      <c r="I397" s="80">
        <f t="shared" si="400"/>
        <v>4.1093145812604792E-3</v>
      </c>
      <c r="J397" s="80">
        <f t="shared" si="400"/>
        <v>1.5252251201202484E-3</v>
      </c>
      <c r="K397" s="80">
        <f t="shared" si="400"/>
        <v>1.1654648032486494E-3</v>
      </c>
      <c r="L397" s="80">
        <f t="shared" si="400"/>
        <v>3.1597614633722501E-2</v>
      </c>
      <c r="M397" s="80">
        <f t="shared" si="400"/>
        <v>3.3147954578442149E-2</v>
      </c>
      <c r="N397" s="80">
        <f t="shared" si="400"/>
        <v>5.572341894472916E-2</v>
      </c>
      <c r="O397" s="80">
        <f t="shared" si="400"/>
        <v>3.6301639495768923E-2</v>
      </c>
      <c r="P397" s="80">
        <f t="shared" si="400"/>
        <v>9.0493614955878977E-3</v>
      </c>
      <c r="Q397" s="80">
        <f t="shared" si="400"/>
        <v>2.1450335016639913E-2</v>
      </c>
      <c r="R397" s="80">
        <f t="shared" si="400"/>
        <v>1.7338075010682404E-2</v>
      </c>
      <c r="S397" s="80">
        <f t="shared" si="400"/>
        <v>2.908286325679511E-2</v>
      </c>
      <c r="T397" s="80">
        <f t="shared" si="400"/>
        <v>3.2028517191849737E-2</v>
      </c>
      <c r="U397" s="80">
        <f t="shared" si="400"/>
        <v>2.7611996681473228E-2</v>
      </c>
      <c r="V397" s="80">
        <f t="shared" si="400"/>
        <v>1.8547849106688268E-2</v>
      </c>
      <c r="W397" s="80">
        <f t="shared" si="400"/>
        <v>1.4879234854784059E-2</v>
      </c>
      <c r="X397" s="80">
        <f t="shared" si="400"/>
        <v>9.0965671369088313E-3</v>
      </c>
      <c r="Y397" s="80">
        <f t="shared" si="400"/>
        <v>7.7949143838980236E-3</v>
      </c>
      <c r="Z397" s="80">
        <f t="shared" si="400"/>
        <v>3.3214072276885687E-3</v>
      </c>
      <c r="AA397" s="80">
        <f t="shared" si="400"/>
        <v>6.4046399307944148E-3</v>
      </c>
      <c r="AB397" s="80">
        <f t="shared" si="400"/>
        <v>8.1586233792857246E-3</v>
      </c>
      <c r="AC397" s="80">
        <f t="shared" si="400"/>
        <v>1.5374012961682792E-3</v>
      </c>
      <c r="AD397" s="80">
        <f t="shared" si="400"/>
        <v>1.9285992084245745E-3</v>
      </c>
      <c r="AE397" s="80">
        <f t="shared" si="400"/>
        <v>2.0173206138371664E-3</v>
      </c>
      <c r="AF397" s="80">
        <f t="shared" si="400"/>
        <v>6.4780598640929608E-3</v>
      </c>
    </row>
    <row r="398" spans="1:34" x14ac:dyDescent="0.25">
      <c r="B398" s="21">
        <f>(B365-B364)^2</f>
        <v>3272.5267859399155</v>
      </c>
      <c r="C398" s="21">
        <f t="shared" ref="C398:AF398" si="401">(C365-C364)^2</f>
        <v>23.26844636391553</v>
      </c>
      <c r="D398" s="21">
        <f t="shared" si="401"/>
        <v>365.48090092352913</v>
      </c>
      <c r="E398" s="21">
        <f t="shared" si="401"/>
        <v>232.47311078851291</v>
      </c>
      <c r="F398" s="21">
        <f t="shared" si="401"/>
        <v>384.53094621519006</v>
      </c>
      <c r="G398" s="21">
        <f t="shared" si="401"/>
        <v>146.9335857519107</v>
      </c>
      <c r="H398" s="21">
        <f t="shared" si="401"/>
        <v>252.6077704362458</v>
      </c>
      <c r="I398" s="21">
        <f t="shared" si="401"/>
        <v>145.91492093195654</v>
      </c>
      <c r="J398" s="21">
        <f t="shared" si="401"/>
        <v>12.202831808693286</v>
      </c>
      <c r="K398" s="21">
        <f t="shared" si="401"/>
        <v>3.2923373525566531</v>
      </c>
      <c r="L398" s="21">
        <f t="shared" si="401"/>
        <v>881.47735190108688</v>
      </c>
      <c r="M398" s="21">
        <f t="shared" si="401"/>
        <v>311.24581604249767</v>
      </c>
      <c r="N398" s="21">
        <f t="shared" si="401"/>
        <v>269.51487435113319</v>
      </c>
      <c r="O398" s="21">
        <f t="shared" si="401"/>
        <v>48.507009189658369</v>
      </c>
      <c r="P398" s="21">
        <f t="shared" si="401"/>
        <v>2.1565399780523289</v>
      </c>
      <c r="Q398" s="21">
        <f t="shared" si="401"/>
        <v>9.9845929162292446</v>
      </c>
      <c r="R398" s="21">
        <f t="shared" si="401"/>
        <v>6.0671056728260622</v>
      </c>
      <c r="S398" s="21">
        <f t="shared" si="401"/>
        <v>16.634926991961756</v>
      </c>
      <c r="T398" s="21">
        <f t="shared" si="401"/>
        <v>19.290758073703682</v>
      </c>
      <c r="U398" s="21">
        <f t="shared" si="401"/>
        <v>13.606705791015518</v>
      </c>
      <c r="V398" s="21">
        <f t="shared" si="401"/>
        <v>5.8683117049967191</v>
      </c>
      <c r="W398" s="21">
        <f t="shared" si="401"/>
        <v>3.6513042858289801</v>
      </c>
      <c r="X398" s="21">
        <f t="shared" si="401"/>
        <v>1.3330741174246661</v>
      </c>
      <c r="Y398" s="21">
        <f t="shared" si="401"/>
        <v>0.96278355677679517</v>
      </c>
      <c r="Z398" s="21">
        <f t="shared" si="401"/>
        <v>0.17267738237022132</v>
      </c>
      <c r="AA398" s="21">
        <f t="shared" si="401"/>
        <v>0.64061922310430408</v>
      </c>
      <c r="AB398" s="21">
        <f t="shared" si="401"/>
        <v>1.0362431718332616</v>
      </c>
      <c r="AC398" s="21">
        <f t="shared" si="401"/>
        <v>3.6305334553876252E-2</v>
      </c>
      <c r="AD398" s="21">
        <f t="shared" si="401"/>
        <v>5.711981501738974E-2</v>
      </c>
      <c r="AE398" s="21">
        <f t="shared" si="401"/>
        <v>6.205027277290754E-2</v>
      </c>
      <c r="AF398" s="21">
        <f t="shared" si="401"/>
        <v>0.6397397350365851</v>
      </c>
      <c r="AG398" s="3"/>
      <c r="AH398" s="3"/>
    </row>
    <row r="399" spans="1:34" x14ac:dyDescent="0.25">
      <c r="A399" s="71">
        <f>SUM(B399:AF399)</f>
        <v>6432.1775460203071</v>
      </c>
      <c r="B399" s="60">
        <f>IF($A$64&lt;=B363,IF($B$64&gt;=B363,ABS(B398),0),0)</f>
        <v>3272.5267859399155</v>
      </c>
      <c r="C399" s="60">
        <f t="shared" ref="C399" si="402">IF($A$64&lt;=C363,IF($B$64&gt;=C363,ABS(C398),0),0)</f>
        <v>23.26844636391553</v>
      </c>
      <c r="D399" s="60">
        <f t="shared" ref="D399" si="403">IF($A$64&lt;=D363,IF($B$64&gt;=D363,ABS(D398),0),0)</f>
        <v>365.48090092352913</v>
      </c>
      <c r="E399" s="60">
        <f t="shared" ref="E399" si="404">IF($A$64&lt;=E363,IF($B$64&gt;=E363,ABS(E398),0),0)</f>
        <v>232.47311078851291</v>
      </c>
      <c r="F399" s="60">
        <f t="shared" ref="F399" si="405">IF($A$64&lt;=F363,IF($B$64&gt;=F363,ABS(F398),0),0)</f>
        <v>384.53094621519006</v>
      </c>
      <c r="G399" s="60">
        <f t="shared" ref="G399" si="406">IF($A$64&lt;=G363,IF($B$64&gt;=G363,ABS(G398),0),0)</f>
        <v>146.9335857519107</v>
      </c>
      <c r="H399" s="60">
        <f t="shared" ref="H399" si="407">IF($A$64&lt;=H363,IF($B$64&gt;=H363,ABS(H398),0),0)</f>
        <v>252.6077704362458</v>
      </c>
      <c r="I399" s="60">
        <f t="shared" ref="I399" si="408">IF($A$64&lt;=I363,IF($B$64&gt;=I363,ABS(I398),0),0)</f>
        <v>145.91492093195654</v>
      </c>
      <c r="J399" s="60">
        <f t="shared" ref="J399" si="409">IF($A$64&lt;=J363,IF($B$64&gt;=J363,ABS(J398),0),0)</f>
        <v>12.202831808693286</v>
      </c>
      <c r="K399" s="60">
        <f t="shared" ref="K399" si="410">IF($A$64&lt;=K363,IF($B$64&gt;=K363,ABS(K398),0),0)</f>
        <v>3.2923373525566531</v>
      </c>
      <c r="L399" s="60">
        <f t="shared" ref="L399" si="411">IF($A$64&lt;=L363,IF($B$64&gt;=L363,ABS(L398),0),0)</f>
        <v>881.47735190108688</v>
      </c>
      <c r="M399" s="60">
        <f t="shared" ref="M399" si="412">IF($A$64&lt;=M363,IF($B$64&gt;=M363,ABS(M398),0),0)</f>
        <v>311.24581604249767</v>
      </c>
      <c r="N399" s="60">
        <f t="shared" ref="N399" si="413">IF($A$64&lt;=N363,IF($B$64&gt;=N363,ABS(N398),0),0)</f>
        <v>269.51487435113319</v>
      </c>
      <c r="O399" s="60">
        <f t="shared" ref="O399" si="414">IF($A$64&lt;=O363,IF($B$64&gt;=O363,ABS(O398),0),0)</f>
        <v>48.507009189658369</v>
      </c>
      <c r="P399" s="60">
        <f t="shared" ref="P399" si="415">IF($A$64&lt;=P363,IF($B$64&gt;=P363,ABS(P398),0),0)</f>
        <v>2.1565399780523289</v>
      </c>
      <c r="Q399" s="60">
        <f t="shared" ref="Q399" si="416">IF($A$64&lt;=Q363,IF($B$64&gt;=Q363,ABS(Q398),0),0)</f>
        <v>9.9845929162292446</v>
      </c>
      <c r="R399" s="60">
        <f t="shared" ref="R399" si="417">IF($A$64&lt;=R363,IF($B$64&gt;=R363,ABS(R398),0),0)</f>
        <v>6.0671056728260622</v>
      </c>
      <c r="S399" s="60">
        <f t="shared" ref="S399" si="418">IF($A$64&lt;=S363,IF($B$64&gt;=S363,ABS(S398),0),0)</f>
        <v>16.634926991961756</v>
      </c>
      <c r="T399" s="60">
        <f t="shared" ref="T399" si="419">IF($A$64&lt;=T363,IF($B$64&gt;=T363,ABS(T398),0),0)</f>
        <v>19.290758073703682</v>
      </c>
      <c r="U399" s="60">
        <f t="shared" ref="U399" si="420">IF($A$64&lt;=U363,IF($B$64&gt;=U363,ABS(U398),0),0)</f>
        <v>13.606705791015518</v>
      </c>
      <c r="V399" s="60">
        <f t="shared" ref="V399" si="421">IF($A$64&lt;=V363,IF($B$64&gt;=V363,ABS(V398),0),0)</f>
        <v>5.8683117049967191</v>
      </c>
      <c r="W399" s="60">
        <f t="shared" ref="W399" si="422">IF($A$64&lt;=W363,IF($B$64&gt;=W363,ABS(W398),0),0)</f>
        <v>3.6513042858289801</v>
      </c>
      <c r="X399" s="60">
        <f t="shared" ref="X399" si="423">IF($A$64&lt;=X363,IF($B$64&gt;=X363,ABS(X398),0),0)</f>
        <v>1.3330741174246661</v>
      </c>
      <c r="Y399" s="60">
        <f t="shared" ref="Y399" si="424">IF($A$64&lt;=Y363,IF($B$64&gt;=Y363,ABS(Y398),0),0)</f>
        <v>0.96278355677679517</v>
      </c>
      <c r="Z399" s="60">
        <f t="shared" ref="Z399" si="425">IF($A$64&lt;=Z363,IF($B$64&gt;=Z363,ABS(Z398),0),0)</f>
        <v>0.17267738237022132</v>
      </c>
      <c r="AA399" s="60">
        <f t="shared" ref="AA399" si="426">IF($A$64&lt;=AA363,IF($B$64&gt;=AA363,ABS(AA398),0),0)</f>
        <v>0.64061922310430408</v>
      </c>
      <c r="AB399" s="60">
        <f t="shared" ref="AB399" si="427">IF($A$64&lt;=AB363,IF($B$64&gt;=AB363,ABS(AB398),0),0)</f>
        <v>1.0362431718332616</v>
      </c>
      <c r="AC399" s="60">
        <f t="shared" ref="AC399" si="428">IF($A$64&lt;=AC363,IF($B$64&gt;=AC363,ABS(AC398),0),0)</f>
        <v>3.6305334553876252E-2</v>
      </c>
      <c r="AD399" s="60">
        <f t="shared" ref="AD399" si="429">IF($A$64&lt;=AD363,IF($B$64&gt;=AD363,ABS(AD398),0),0)</f>
        <v>5.711981501738974E-2</v>
      </c>
      <c r="AE399" s="60">
        <f t="shared" ref="AE399" si="430">IF($A$64&lt;=AE363,IF($B$64&gt;=AE363,ABS(AE398),0),0)</f>
        <v>6.205027277290754E-2</v>
      </c>
      <c r="AF399" s="60">
        <f t="shared" ref="AF399" si="431">IF($A$64&lt;=AF363,IF($B$64&gt;=AF363,ABS(AF398),0),0)</f>
        <v>0.6397397350365851</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-44.146123426846039</v>
      </c>
      <c r="C403" s="107">
        <f t="shared" ref="C403:H403" si="432">IF(C125=$B$2,0,C126)</f>
        <v>-41.134350911465361</v>
      </c>
      <c r="D403" s="107">
        <f t="shared" si="432"/>
        <v>-36.84655767360919</v>
      </c>
      <c r="E403" s="107">
        <f t="shared" si="432"/>
        <v>-30.346664152642152</v>
      </c>
      <c r="F403" s="107">
        <f t="shared" si="432"/>
        <v>-19.641908227752239</v>
      </c>
      <c r="G403" s="107">
        <f t="shared" si="432"/>
        <v>0</v>
      </c>
      <c r="H403" s="107">
        <f t="shared" si="432"/>
        <v>4.182307348501765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6.7232954793040819E-35</v>
      </c>
      <c r="C404" s="3">
        <f t="shared" ref="C404:H419" si="433">$A404/EXP(-C$403)</f>
        <v>1.366401664789014E-33</v>
      </c>
      <c r="D404" s="3">
        <f t="shared" si="433"/>
        <v>9.9481729111568724E-32</v>
      </c>
      <c r="E404" s="3">
        <f t="shared" si="433"/>
        <v>6.6162394476482584E-29</v>
      </c>
      <c r="F404" s="3">
        <f t="shared" si="433"/>
        <v>2.9486799899998449E-24</v>
      </c>
      <c r="G404" s="3">
        <f t="shared" si="433"/>
        <v>1.0000000000000001E-15</v>
      </c>
      <c r="H404" s="3">
        <f t="shared" si="433"/>
        <v>6.5516849150623852E-14</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6.7232954793040821E-34</v>
      </c>
      <c r="C405" s="3">
        <f t="shared" si="433"/>
        <v>1.3664016647890138E-32</v>
      </c>
      <c r="D405" s="3">
        <f t="shared" si="433"/>
        <v>9.9481729111568719E-31</v>
      </c>
      <c r="E405" s="3">
        <f t="shared" si="433"/>
        <v>6.6162394476482575E-28</v>
      </c>
      <c r="F405" s="3">
        <f t="shared" si="433"/>
        <v>2.9486799899998444E-23</v>
      </c>
      <c r="G405" s="3">
        <f t="shared" si="433"/>
        <v>1E-14</v>
      </c>
      <c r="H405" s="3">
        <f t="shared" si="433"/>
        <v>6.5516849150623852E-13</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6.7232954793040823E-33</v>
      </c>
      <c r="C406" s="3">
        <f t="shared" si="433"/>
        <v>1.3664016647890139E-31</v>
      </c>
      <c r="D406" s="3">
        <f t="shared" si="433"/>
        <v>9.9481729111568723E-30</v>
      </c>
      <c r="E406" s="3">
        <f t="shared" si="433"/>
        <v>6.6162394476482577E-27</v>
      </c>
      <c r="F406" s="3">
        <f t="shared" si="433"/>
        <v>2.9486799899998447E-22</v>
      </c>
      <c r="G406" s="3">
        <f t="shared" si="433"/>
        <v>1E-13</v>
      </c>
      <c r="H406" s="3">
        <f t="shared" si="433"/>
        <v>6.5516849150623856E-12</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6.7232954793040815E-32</v>
      </c>
      <c r="C407" s="3">
        <f t="shared" si="433"/>
        <v>1.3664016647890139E-30</v>
      </c>
      <c r="D407" s="3">
        <f t="shared" si="433"/>
        <v>9.948172911156872E-29</v>
      </c>
      <c r="E407" s="3">
        <f t="shared" si="433"/>
        <v>6.6162394476482577E-26</v>
      </c>
      <c r="F407" s="3">
        <f t="shared" si="433"/>
        <v>2.9486799899998444E-21</v>
      </c>
      <c r="G407" s="3">
        <f t="shared" si="433"/>
        <v>9.9999999999999998E-13</v>
      </c>
      <c r="H407" s="3">
        <f t="shared" si="433"/>
        <v>6.5516849150623845E-11</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6.7232954793040817E-31</v>
      </c>
      <c r="C408" s="3">
        <f t="shared" si="433"/>
        <v>1.3664016647890138E-29</v>
      </c>
      <c r="D408" s="3">
        <f t="shared" si="433"/>
        <v>9.9481729111568727E-28</v>
      </c>
      <c r="E408" s="3">
        <f t="shared" si="433"/>
        <v>6.6162394476482574E-25</v>
      </c>
      <c r="F408" s="3">
        <f t="shared" si="433"/>
        <v>2.9486799899998446E-20</v>
      </c>
      <c r="G408" s="3">
        <f t="shared" si="433"/>
        <v>9.9999999999999994E-12</v>
      </c>
      <c r="H408" s="3">
        <f t="shared" si="433"/>
        <v>6.5516849150623842E-10</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6.7232954793040822E-30</v>
      </c>
      <c r="C409" s="3">
        <f t="shared" si="433"/>
        <v>1.3664016647890138E-28</v>
      </c>
      <c r="D409" s="3">
        <f t="shared" si="433"/>
        <v>9.948172911156873E-27</v>
      </c>
      <c r="E409" s="3">
        <f t="shared" si="433"/>
        <v>6.616239447648258E-24</v>
      </c>
      <c r="F409" s="3">
        <f t="shared" si="433"/>
        <v>2.9486799899998446E-19</v>
      </c>
      <c r="G409" s="3">
        <f t="shared" si="433"/>
        <v>1E-10</v>
      </c>
      <c r="H409" s="3">
        <f t="shared" si="433"/>
        <v>6.5516849150623851E-9</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6.7232954793040819E-29</v>
      </c>
      <c r="C410" s="3">
        <f t="shared" si="433"/>
        <v>1.3664016647890139E-27</v>
      </c>
      <c r="D410" s="3">
        <f t="shared" si="433"/>
        <v>9.9481729111568725E-26</v>
      </c>
      <c r="E410" s="3">
        <f t="shared" si="433"/>
        <v>6.6162394476482575E-23</v>
      </c>
      <c r="F410" s="3">
        <f t="shared" si="433"/>
        <v>2.9486799899998446E-18</v>
      </c>
      <c r="G410" s="3">
        <f t="shared" si="433"/>
        <v>1.0000000000000001E-9</v>
      </c>
      <c r="H410" s="3">
        <f t="shared" si="433"/>
        <v>6.5516849150623857E-8</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6.7232954793040815E-28</v>
      </c>
      <c r="C411" s="3">
        <f t="shared" si="433"/>
        <v>1.3664016647890139E-26</v>
      </c>
      <c r="D411" s="3">
        <f t="shared" si="433"/>
        <v>9.9481729111568734E-25</v>
      </c>
      <c r="E411" s="3">
        <f t="shared" si="433"/>
        <v>6.6162394476482578E-22</v>
      </c>
      <c r="F411" s="3">
        <f t="shared" si="433"/>
        <v>2.9486799899998447E-17</v>
      </c>
      <c r="G411" s="3">
        <f t="shared" si="433"/>
        <v>1E-8</v>
      </c>
      <c r="H411" s="3">
        <f t="shared" si="433"/>
        <v>6.5516849150623849E-7</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6.723295479304082E-27</v>
      </c>
      <c r="C412" s="3">
        <f t="shared" si="433"/>
        <v>1.3664016647890137E-25</v>
      </c>
      <c r="D412" s="3">
        <f t="shared" si="433"/>
        <v>9.9481729111568727E-24</v>
      </c>
      <c r="E412" s="3">
        <f t="shared" si="433"/>
        <v>6.6162394476482574E-21</v>
      </c>
      <c r="F412" s="3">
        <f t="shared" si="433"/>
        <v>2.9486799899998446E-16</v>
      </c>
      <c r="G412" s="3">
        <f t="shared" si="433"/>
        <v>9.9999999999999995E-8</v>
      </c>
      <c r="H412" s="3">
        <f t="shared" si="433"/>
        <v>6.5516849150623847E-6</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6.7232954793040815E-26</v>
      </c>
      <c r="C413" s="3">
        <f t="shared" si="433"/>
        <v>1.3664016647890139E-24</v>
      </c>
      <c r="D413" s="3">
        <f t="shared" si="433"/>
        <v>9.9481729111568718E-23</v>
      </c>
      <c r="E413" s="3">
        <f t="shared" si="433"/>
        <v>6.6162394476482574E-20</v>
      </c>
      <c r="F413" s="3">
        <f t="shared" si="433"/>
        <v>2.9486799899998446E-15</v>
      </c>
      <c r="G413" s="3">
        <f t="shared" si="433"/>
        <v>9.9999999999999995E-7</v>
      </c>
      <c r="H413" s="3">
        <f t="shared" si="433"/>
        <v>6.5516849150623854E-5</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6.7232954793040819E-25</v>
      </c>
      <c r="C414" s="3">
        <f t="shared" si="433"/>
        <v>1.3664016647890139E-23</v>
      </c>
      <c r="D414" s="3">
        <f t="shared" si="433"/>
        <v>9.9481729111568732E-22</v>
      </c>
      <c r="E414" s="3">
        <f t="shared" si="433"/>
        <v>6.6162394476482584E-19</v>
      </c>
      <c r="F414" s="3">
        <f t="shared" si="433"/>
        <v>2.9486799899998449E-14</v>
      </c>
      <c r="G414" s="3">
        <f t="shared" si="433"/>
        <v>1.0000000000000001E-5</v>
      </c>
      <c r="H414" s="3">
        <f t="shared" si="433"/>
        <v>6.5516849150623851E-4</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6.7232954793040821E-24</v>
      </c>
      <c r="C415" s="3">
        <f t="shared" si="433"/>
        <v>1.3664016647890139E-22</v>
      </c>
      <c r="D415" s="3">
        <f t="shared" si="433"/>
        <v>9.9481729111568728E-21</v>
      </c>
      <c r="E415" s="3">
        <f t="shared" si="433"/>
        <v>6.6162394476482578E-18</v>
      </c>
      <c r="F415" s="3">
        <f t="shared" si="433"/>
        <v>2.9486799899998447E-13</v>
      </c>
      <c r="G415" s="3">
        <f t="shared" si="433"/>
        <v>1E-4</v>
      </c>
      <c r="H415" s="3">
        <f t="shared" si="433"/>
        <v>6.5516849150623856E-3</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6.7232954793040818E-23</v>
      </c>
      <c r="C416" s="3">
        <f t="shared" si="433"/>
        <v>1.3664016647890138E-21</v>
      </c>
      <c r="D416" s="3">
        <f t="shared" si="433"/>
        <v>9.9481729111568725E-20</v>
      </c>
      <c r="E416" s="3">
        <f t="shared" si="433"/>
        <v>6.6162394476482579E-17</v>
      </c>
      <c r="F416" s="3">
        <f t="shared" si="433"/>
        <v>2.9486799899998447E-12</v>
      </c>
      <c r="G416" s="3">
        <f t="shared" si="433"/>
        <v>1E-3</v>
      </c>
      <c r="H416" s="3">
        <f t="shared" si="433"/>
        <v>6.5516849150623849E-2</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6.7232954793040818E-22</v>
      </c>
      <c r="C417" s="3">
        <f t="shared" si="433"/>
        <v>1.3664016647890137E-20</v>
      </c>
      <c r="D417" s="3">
        <f t="shared" si="433"/>
        <v>9.9481729111568725E-19</v>
      </c>
      <c r="E417" s="3">
        <f t="shared" si="433"/>
        <v>6.6162394476482574E-16</v>
      </c>
      <c r="F417" s="3">
        <f t="shared" si="433"/>
        <v>2.9486799899998446E-11</v>
      </c>
      <c r="G417" s="3">
        <f t="shared" si="433"/>
        <v>0.01</v>
      </c>
      <c r="H417" s="3">
        <f t="shared" si="433"/>
        <v>0.65516849150623857</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6.7232954793040818E-21</v>
      </c>
      <c r="C418" s="3">
        <f t="shared" si="433"/>
        <v>1.3664016647890138E-19</v>
      </c>
      <c r="D418" s="3">
        <f t="shared" si="433"/>
        <v>9.9481729111568733E-18</v>
      </c>
      <c r="E418" s="3">
        <f t="shared" si="433"/>
        <v>6.6162394476482578E-15</v>
      </c>
      <c r="F418" s="3">
        <f t="shared" si="433"/>
        <v>2.9486799899998446E-10</v>
      </c>
      <c r="G418" s="3">
        <f t="shared" si="433"/>
        <v>0.1</v>
      </c>
      <c r="H418" s="3">
        <f t="shared" si="433"/>
        <v>6.5516849150623857</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6.7232954793040821E-20</v>
      </c>
      <c r="C419" s="3">
        <f t="shared" si="433"/>
        <v>1.3664016647890138E-18</v>
      </c>
      <c r="D419" s="3">
        <f t="shared" si="433"/>
        <v>9.9481729111568727E-17</v>
      </c>
      <c r="E419" s="3">
        <f t="shared" si="433"/>
        <v>6.616239447648258E-14</v>
      </c>
      <c r="F419" s="3">
        <f t="shared" si="433"/>
        <v>2.9486799899998444E-9</v>
      </c>
      <c r="G419" s="3">
        <f t="shared" si="433"/>
        <v>1</v>
      </c>
      <c r="H419" s="3">
        <f t="shared" si="433"/>
        <v>65.516849150623855</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6.7232954793040814E-19</v>
      </c>
      <c r="C420" s="3">
        <f t="shared" si="434"/>
        <v>1.3664016647890138E-17</v>
      </c>
      <c r="D420" s="3">
        <f t="shared" si="434"/>
        <v>9.9481729111568732E-16</v>
      </c>
      <c r="E420" s="3">
        <f t="shared" si="434"/>
        <v>6.6162394476482572E-13</v>
      </c>
      <c r="F420" s="3">
        <f t="shared" si="434"/>
        <v>2.9486799899998447E-8</v>
      </c>
      <c r="G420" s="3">
        <f t="shared" si="434"/>
        <v>10</v>
      </c>
      <c r="H420" s="3">
        <f t="shared" si="434"/>
        <v>655.16849150623852</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6.7232954793040818E-18</v>
      </c>
      <c r="C421" s="3">
        <f t="shared" si="434"/>
        <v>1.3664016647890138E-16</v>
      </c>
      <c r="D421" s="3">
        <f t="shared" si="434"/>
        <v>9.9481729111568728E-15</v>
      </c>
      <c r="E421" s="3">
        <f t="shared" si="434"/>
        <v>6.6162394476482578E-12</v>
      </c>
      <c r="F421" s="3">
        <f t="shared" si="434"/>
        <v>2.9486799899998448E-7</v>
      </c>
      <c r="G421" s="3">
        <f t="shared" si="434"/>
        <v>100</v>
      </c>
      <c r="H421" s="3">
        <f t="shared" si="434"/>
        <v>6551.6849150623848</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6.7232954793040821E-17</v>
      </c>
      <c r="C422" s="3">
        <f t="shared" si="434"/>
        <v>1.3664016647890138E-15</v>
      </c>
      <c r="D422" s="3">
        <f t="shared" si="434"/>
        <v>9.9481729111568718E-14</v>
      </c>
      <c r="E422" s="3">
        <f t="shared" si="434"/>
        <v>6.6162394476482574E-11</v>
      </c>
      <c r="F422" s="3">
        <f t="shared" si="434"/>
        <v>2.9486799899998444E-6</v>
      </c>
      <c r="G422" s="3">
        <f t="shared" si="434"/>
        <v>1000</v>
      </c>
      <c r="H422" s="3">
        <f t="shared" si="434"/>
        <v>65516.84915062385</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6.7232954793040813E-16</v>
      </c>
      <c r="C423" s="3">
        <f t="shared" si="434"/>
        <v>1.3664016647890139E-14</v>
      </c>
      <c r="D423" s="3">
        <f t="shared" si="434"/>
        <v>9.9481729111568728E-13</v>
      </c>
      <c r="E423" s="3">
        <f t="shared" si="434"/>
        <v>6.6162394476482576E-10</v>
      </c>
      <c r="F423" s="3">
        <f t="shared" si="434"/>
        <v>2.9486799899998447E-5</v>
      </c>
      <c r="G423" s="3">
        <f t="shared" si="434"/>
        <v>10000</v>
      </c>
      <c r="H423" s="3">
        <f t="shared" si="434"/>
        <v>655168.49150623847</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6.7232954793040813E-15</v>
      </c>
      <c r="C424" s="3">
        <f t="shared" si="434"/>
        <v>1.3664016647890139E-13</v>
      </c>
      <c r="D424" s="3">
        <f t="shared" si="434"/>
        <v>9.948172911156872E-12</v>
      </c>
      <c r="E424" s="3">
        <f t="shared" si="434"/>
        <v>6.6162394476482574E-9</v>
      </c>
      <c r="F424" s="3">
        <f t="shared" si="434"/>
        <v>2.9486799899998444E-4</v>
      </c>
      <c r="G424" s="3">
        <f t="shared" si="434"/>
        <v>100000</v>
      </c>
      <c r="H424" s="3">
        <f t="shared" si="434"/>
        <v>6551684.9150623847</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6.7232954793040813E-14</v>
      </c>
      <c r="C425" s="3">
        <f t="shared" si="434"/>
        <v>1.3664016647890138E-12</v>
      </c>
      <c r="D425" s="3">
        <f t="shared" si="434"/>
        <v>9.9481729111568723E-11</v>
      </c>
      <c r="E425" s="3">
        <f t="shared" si="434"/>
        <v>6.6162394476482576E-8</v>
      </c>
      <c r="F425" s="3">
        <f t="shared" si="434"/>
        <v>2.9486799899998447E-3</v>
      </c>
      <c r="G425" s="3">
        <f t="shared" si="434"/>
        <v>1000000</v>
      </c>
      <c r="H425" s="3">
        <f t="shared" si="434"/>
        <v>65516849.150623851</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6.7232954793040821E-13</v>
      </c>
      <c r="C426" s="3">
        <f t="shared" si="434"/>
        <v>1.3664016647890138E-11</v>
      </c>
      <c r="D426" s="3">
        <f t="shared" si="434"/>
        <v>9.9481729111568716E-10</v>
      </c>
      <c r="E426" s="3">
        <f t="shared" si="434"/>
        <v>6.6162394476482573E-7</v>
      </c>
      <c r="F426" s="3">
        <f t="shared" si="434"/>
        <v>2.9486799899998445E-2</v>
      </c>
      <c r="G426" s="3">
        <f t="shared" si="434"/>
        <v>10000000</v>
      </c>
      <c r="H426" s="3">
        <f t="shared" si="434"/>
        <v>655168491.50623846</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6.7232954793040821E-12</v>
      </c>
      <c r="C427" s="3">
        <f t="shared" si="434"/>
        <v>1.366401664789014E-10</v>
      </c>
      <c r="D427" s="3">
        <f t="shared" si="434"/>
        <v>9.9481729111568728E-9</v>
      </c>
      <c r="E427" s="3">
        <f t="shared" si="434"/>
        <v>6.6162394476482579E-6</v>
      </c>
      <c r="F427" s="3">
        <f t="shared" si="434"/>
        <v>0.29486799899998445</v>
      </c>
      <c r="G427" s="3">
        <f t="shared" si="434"/>
        <v>100000000</v>
      </c>
      <c r="H427" s="3">
        <f t="shared" si="434"/>
        <v>6551684915.0623856</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6.7232954793040823E-11</v>
      </c>
      <c r="C428" s="3">
        <f t="shared" si="434"/>
        <v>1.3664016647890138E-9</v>
      </c>
      <c r="D428" s="3">
        <f t="shared" si="434"/>
        <v>9.9481729111568718E-8</v>
      </c>
      <c r="E428" s="3">
        <f t="shared" si="434"/>
        <v>6.6162394476482574E-5</v>
      </c>
      <c r="F428" s="3">
        <f t="shared" si="434"/>
        <v>2.9486799899998446</v>
      </c>
      <c r="G428" s="3">
        <f t="shared" si="434"/>
        <v>1000000000</v>
      </c>
      <c r="H428" s="3">
        <f t="shared" si="434"/>
        <v>65516849150.623848</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6.7232954793040812E-10</v>
      </c>
      <c r="C429" s="3">
        <f t="shared" si="434"/>
        <v>1.3664016647890139E-8</v>
      </c>
      <c r="D429" s="3">
        <f t="shared" si="434"/>
        <v>9.9481729111568726E-7</v>
      </c>
      <c r="E429" s="3">
        <f t="shared" si="434"/>
        <v>6.616239447648258E-4</v>
      </c>
      <c r="F429" s="3">
        <f t="shared" si="434"/>
        <v>29.486799899998445</v>
      </c>
      <c r="G429" s="3">
        <f t="shared" si="434"/>
        <v>10000000000</v>
      </c>
      <c r="H429" s="3">
        <f t="shared" si="434"/>
        <v>655168491506.23853</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6.7232954793040816E-9</v>
      </c>
      <c r="C430" s="3">
        <f t="shared" si="434"/>
        <v>1.366401664789014E-7</v>
      </c>
      <c r="D430" s="3">
        <f t="shared" si="434"/>
        <v>9.9481729111568726E-6</v>
      </c>
      <c r="E430" s="3">
        <f t="shared" si="434"/>
        <v>6.6162394476482573E-3</v>
      </c>
      <c r="F430" s="3">
        <f t="shared" si="434"/>
        <v>294.86799899998448</v>
      </c>
      <c r="G430" s="3">
        <f t="shared" si="434"/>
        <v>100000000000</v>
      </c>
      <c r="H430" s="3">
        <f t="shared" si="434"/>
        <v>6551684915062.3848</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6.7232954793040813E-8</v>
      </c>
      <c r="C431" s="3">
        <f t="shared" si="434"/>
        <v>1.3664016647890138E-6</v>
      </c>
      <c r="D431" s="3">
        <f t="shared" si="434"/>
        <v>9.9481729111568719E-5</v>
      </c>
      <c r="E431" s="3">
        <f t="shared" si="434"/>
        <v>6.6162394476482575E-2</v>
      </c>
      <c r="F431" s="3">
        <f t="shared" si="434"/>
        <v>2948.6799899998446</v>
      </c>
      <c r="G431" s="3">
        <f t="shared" si="434"/>
        <v>1000000000000</v>
      </c>
      <c r="H431" s="3">
        <f t="shared" si="434"/>
        <v>65516849150623.852</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6.7232954793040813E-7</v>
      </c>
      <c r="C432" s="3">
        <f t="shared" si="434"/>
        <v>1.3664016647890138E-5</v>
      </c>
      <c r="D432" s="3">
        <f t="shared" si="434"/>
        <v>9.9481729111568717E-4</v>
      </c>
      <c r="E432" s="3">
        <f t="shared" si="434"/>
        <v>0.66162394476482578</v>
      </c>
      <c r="F432" s="3">
        <f t="shared" si="434"/>
        <v>29486.799899998445</v>
      </c>
      <c r="G432" s="3">
        <f t="shared" si="434"/>
        <v>10000000000000</v>
      </c>
      <c r="H432" s="3">
        <f t="shared" si="434"/>
        <v>655168491506238.5</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6.7232954793040822E-6</v>
      </c>
      <c r="C433" s="3">
        <f t="shared" si="434"/>
        <v>1.3664016647890138E-4</v>
      </c>
      <c r="D433" s="3">
        <f t="shared" si="434"/>
        <v>9.9481729111568721E-3</v>
      </c>
      <c r="E433" s="3">
        <f t="shared" si="434"/>
        <v>6.6162394476482573</v>
      </c>
      <c r="F433" s="3">
        <f t="shared" si="434"/>
        <v>294867.99899998447</v>
      </c>
      <c r="G433" s="3">
        <f t="shared" si="434"/>
        <v>100000000000000</v>
      </c>
      <c r="H433" s="3">
        <f t="shared" si="434"/>
        <v>6551684915062385</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6.7232954793040823E-5</v>
      </c>
      <c r="C434" s="3">
        <f t="shared" si="434"/>
        <v>1.3664016647890139E-3</v>
      </c>
      <c r="D434" s="3">
        <f t="shared" si="434"/>
        <v>9.9481729111568717E-2</v>
      </c>
      <c r="E434" s="3">
        <f t="shared" si="434"/>
        <v>66.162394476482575</v>
      </c>
      <c r="F434" s="3">
        <f t="shared" si="434"/>
        <v>2948679.9899998447</v>
      </c>
      <c r="G434" s="3">
        <f t="shared" si="434"/>
        <v>1000000000000000</v>
      </c>
      <c r="H434" s="3">
        <f t="shared" si="434"/>
        <v>6.5516849150623848E+16</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-44.146123426846039</v>
      </c>
      <c r="M1" s="54">
        <v>1</v>
      </c>
      <c r="N1" s="56">
        <f>INDEX($H$217:$P$217,1,Q1)</f>
        <v>0.29526476979781491</v>
      </c>
      <c r="O1" s="11"/>
      <c r="P1" s="55">
        <v>1</v>
      </c>
      <c r="Q1" s="11">
        <v>2</v>
      </c>
    </row>
    <row r="2" spans="1:17" x14ac:dyDescent="0.25">
      <c r="A2" s="11">
        <f>'Mastercurve bestimmen'!M119</f>
        <v>0</v>
      </c>
      <c r="B2" s="11">
        <f>'Mastercurve bestimmen'!N119</f>
        <v>-41.134350911465361</v>
      </c>
      <c r="M2" s="54">
        <v>2</v>
      </c>
      <c r="N2" s="56">
        <f t="shared" ref="N2:N9" si="0">INDEX($H$217:$P$217,1,Q2)</f>
        <v>-6.2150841180003708E-3</v>
      </c>
      <c r="O2" s="11"/>
      <c r="P2" s="55">
        <v>2</v>
      </c>
      <c r="Q2" s="11">
        <f>Q1+1</f>
        <v>3</v>
      </c>
    </row>
    <row r="3" spans="1:17" x14ac:dyDescent="0.25">
      <c r="A3" s="11">
        <f>'Mastercurve bestimmen'!M120</f>
        <v>25</v>
      </c>
      <c r="B3" s="11">
        <f>'Mastercurve bestimmen'!N120</f>
        <v>-36.84655767360919</v>
      </c>
      <c r="M3" s="54">
        <v>3</v>
      </c>
      <c r="N3" s="56">
        <f t="shared" si="0"/>
        <v>-4.7376969338081972E-5</v>
      </c>
      <c r="O3" s="11"/>
      <c r="P3" s="55">
        <v>3</v>
      </c>
      <c r="Q3" s="11">
        <f t="shared" ref="Q3:Q8" si="1">Q2+1</f>
        <v>4</v>
      </c>
    </row>
    <row r="4" spans="1:17" x14ac:dyDescent="0.25">
      <c r="A4" s="11">
        <f>'Mastercurve bestimmen'!M121</f>
        <v>50</v>
      </c>
      <c r="B4" s="11">
        <f>'Mastercurve bestimmen'!N121</f>
        <v>-30.346664152642152</v>
      </c>
      <c r="M4" s="54">
        <v>4</v>
      </c>
      <c r="N4" s="56">
        <f t="shared" si="0"/>
        <v>1.3507787486179921E-6</v>
      </c>
      <c r="O4" s="11"/>
      <c r="P4" s="55">
        <v>4</v>
      </c>
      <c r="Q4" s="11">
        <f t="shared" si="1"/>
        <v>5</v>
      </c>
    </row>
    <row r="5" spans="1:17" x14ac:dyDescent="0.25">
      <c r="A5" s="11">
        <f>'Mastercurve bestimmen'!M122</f>
        <v>80</v>
      </c>
      <c r="B5" s="11">
        <f>'Mastercurve bestimmen'!N122</f>
        <v>-19.641908227752239</v>
      </c>
      <c r="M5" s="54">
        <v>5</v>
      </c>
      <c r="N5" s="56">
        <f t="shared" si="0"/>
        <v>2.6149703362472778E-8</v>
      </c>
      <c r="O5" s="11"/>
      <c r="P5" s="55">
        <v>5</v>
      </c>
      <c r="Q5" s="11">
        <f t="shared" si="1"/>
        <v>6</v>
      </c>
    </row>
    <row r="6" spans="1:17" x14ac:dyDescent="0.25">
      <c r="A6" s="11">
        <f>'Mastercurve bestimmen'!M123</f>
        <v>125</v>
      </c>
      <c r="B6" s="11">
        <f>'Mastercurve bestimmen'!N123</f>
        <v>0</v>
      </c>
      <c r="M6" s="54">
        <v>6</v>
      </c>
      <c r="N6" s="56">
        <f t="shared" si="0"/>
        <v>1.8720410614197295E-10</v>
      </c>
      <c r="O6" s="11"/>
      <c r="P6" s="55">
        <v>6</v>
      </c>
      <c r="Q6" s="11">
        <f t="shared" si="1"/>
        <v>7</v>
      </c>
    </row>
    <row r="7" spans="1:17" x14ac:dyDescent="0.25">
      <c r="A7" s="11">
        <f>'Mastercurve bestimmen'!M124</f>
        <v>160</v>
      </c>
      <c r="B7" s="11">
        <f>'Mastercurve bestimmen'!N124</f>
        <v>4.182307348501765</v>
      </c>
      <c r="M7" s="54">
        <v>7</v>
      </c>
      <c r="N7" s="56">
        <f t="shared" si="0"/>
        <v>6.0353117632843836E-13</v>
      </c>
      <c r="O7" s="11"/>
      <c r="P7" s="55">
        <v>7</v>
      </c>
      <c r="Q7" s="11">
        <f t="shared" si="1"/>
        <v>8</v>
      </c>
    </row>
    <row r="8" spans="1:17" x14ac:dyDescent="0.25">
      <c r="A8" s="11"/>
      <c r="B8" s="11"/>
      <c r="M8" s="54">
        <v>8</v>
      </c>
      <c r="N8" s="56">
        <f t="shared" si="0"/>
        <v>7.0906889798789677E-16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-44.146123426846046</v>
      </c>
      <c r="E15" s="11">
        <f>A15-'Mastercurve bestimmen'!$B$2</f>
        <v>-165</v>
      </c>
      <c r="F15" s="11">
        <f>B15</f>
        <v>-44.146123426846046</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-44.090693538134339</v>
      </c>
      <c r="E16" s="11">
        <f>A16-'Mastercurve bestimmen'!$B$2</f>
        <v>-164</v>
      </c>
      <c r="F16" s="11">
        <f t="shared" ref="F16:F79" si="4">B16</f>
        <v>-44.090693538134339</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-44.035189111245629</v>
      </c>
      <c r="E17" s="11">
        <f>A17-'Mastercurve bestimmen'!$B$2</f>
        <v>-163</v>
      </c>
      <c r="F17" s="11">
        <f t="shared" si="4"/>
        <v>-44.035189111245629</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-43.979535608002891</v>
      </c>
      <c r="E18" s="11">
        <f>A18-'Mastercurve bestimmen'!$B$2</f>
        <v>-162</v>
      </c>
      <c r="F18" s="11">
        <f t="shared" si="4"/>
        <v>-43.979535608002891</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-43.923658490229137</v>
      </c>
      <c r="E19" s="11">
        <f>A19-'Mastercurve bestimmen'!$B$2</f>
        <v>-161</v>
      </c>
      <c r="F19" s="11">
        <f t="shared" si="4"/>
        <v>-43.923658490229137</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-43.867483219747342</v>
      </c>
      <c r="E20" s="11">
        <f>A20-'Mastercurve bestimmen'!$B$2</f>
        <v>-160</v>
      </c>
      <c r="F20" s="11">
        <f t="shared" si="4"/>
        <v>-43.867483219747342</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-43.810935258380511</v>
      </c>
      <c r="E21" s="11">
        <f>A21-'Mastercurve bestimmen'!$B$2</f>
        <v>-159</v>
      </c>
      <c r="F21" s="11">
        <f t="shared" si="4"/>
        <v>-43.810935258380511</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-43.753940067951618</v>
      </c>
      <c r="E22" s="11">
        <f>A22-'Mastercurve bestimmen'!$B$2</f>
        <v>-158</v>
      </c>
      <c r="F22" s="11">
        <f t="shared" si="4"/>
        <v>-43.753940067951618</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-43.696423110283682</v>
      </c>
      <c r="E23" s="11">
        <f>A23-'Mastercurve bestimmen'!$B$2</f>
        <v>-157</v>
      </c>
      <c r="F23" s="11">
        <f t="shared" si="4"/>
        <v>-43.696423110283682</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-43.638309847199658</v>
      </c>
      <c r="E24" s="11">
        <f>A24-'Mastercurve bestimmen'!$B$2</f>
        <v>-156</v>
      </c>
      <c r="F24" s="11">
        <f t="shared" si="4"/>
        <v>-43.638309847199658</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-43.579525740522563</v>
      </c>
      <c r="E25" s="11">
        <f>A25-'Mastercurve bestimmen'!$B$2</f>
        <v>-155</v>
      </c>
      <c r="F25" s="11">
        <f t="shared" si="4"/>
        <v>-43.579525740522563</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-43.519996252075387</v>
      </c>
      <c r="E26" s="11">
        <f>A26-'Mastercurve bestimmen'!$B$2</f>
        <v>-154</v>
      </c>
      <c r="F26" s="11">
        <f t="shared" si="4"/>
        <v>-43.519996252075387</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-43.459646843681099</v>
      </c>
      <c r="E27" s="11">
        <f>A27-'Mastercurve bestimmen'!$B$2</f>
        <v>-153</v>
      </c>
      <c r="F27" s="11">
        <f t="shared" si="4"/>
        <v>-43.459646843681099</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-43.398402977162725</v>
      </c>
      <c r="E28" s="11">
        <f>A28-'Mastercurve bestimmen'!$B$2</f>
        <v>-152</v>
      </c>
      <c r="F28" s="11">
        <f t="shared" si="4"/>
        <v>-43.398402977162725</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-43.336190114343232</v>
      </c>
      <c r="E29" s="11">
        <f>A29-'Mastercurve bestimmen'!$B$2</f>
        <v>-151</v>
      </c>
      <c r="F29" s="11">
        <f t="shared" si="4"/>
        <v>-43.336190114343232</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-43.272933717045618</v>
      </c>
      <c r="E30" s="11">
        <f>A30-'Mastercurve bestimmen'!$B$2</f>
        <v>-150</v>
      </c>
      <c r="F30" s="11">
        <f t="shared" si="4"/>
        <v>-43.272933717045618</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-43.208559247092865</v>
      </c>
      <c r="E31" s="11">
        <f>A31-'Mastercurve bestimmen'!$B$2</f>
        <v>-149</v>
      </c>
      <c r="F31" s="11">
        <f t="shared" si="4"/>
        <v>-43.208559247092865</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-43.142992166307984</v>
      </c>
      <c r="E32" s="11">
        <f>A32-'Mastercurve bestimmen'!$B$2</f>
        <v>-148</v>
      </c>
      <c r="F32" s="11">
        <f t="shared" si="4"/>
        <v>-43.142992166307984</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-43.076157936513951</v>
      </c>
      <c r="E33" s="11">
        <f>A33-'Mastercurve bestimmen'!$B$2</f>
        <v>-147</v>
      </c>
      <c r="F33" s="11">
        <f t="shared" si="4"/>
        <v>-43.076157936513951</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-43.00798201953377</v>
      </c>
      <c r="E34" s="11">
        <f>A34-'Mastercurve bestimmen'!$B$2</f>
        <v>-146</v>
      </c>
      <c r="F34" s="11">
        <f t="shared" si="4"/>
        <v>-43.00798201953377</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-42.938389877190417</v>
      </c>
      <c r="E35" s="11">
        <f>A35-'Mastercurve bestimmen'!$B$2</f>
        <v>-145</v>
      </c>
      <c r="F35" s="11">
        <f t="shared" si="4"/>
        <v>-42.938389877190417</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-42.867306971306888</v>
      </c>
      <c r="E36" s="11">
        <f>A36-'Mastercurve bestimmen'!$B$2</f>
        <v>-144</v>
      </c>
      <c r="F36" s="11">
        <f t="shared" si="4"/>
        <v>-42.867306971306888</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-42.794658763706181</v>
      </c>
      <c r="E37" s="11">
        <f>A37-'Mastercurve bestimmen'!$B$2</f>
        <v>-143</v>
      </c>
      <c r="F37" s="11">
        <f t="shared" si="4"/>
        <v>-42.794658763706181</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-42.720370716211278</v>
      </c>
      <c r="E38" s="11">
        <f>A38-'Mastercurve bestimmen'!$B$2</f>
        <v>-142</v>
      </c>
      <c r="F38" s="11">
        <f t="shared" si="4"/>
        <v>-42.720370716211278</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-42.644368290645176</v>
      </c>
      <c r="E39" s="11">
        <f>A39-'Mastercurve bestimmen'!$B$2</f>
        <v>-141</v>
      </c>
      <c r="F39" s="11">
        <f t="shared" si="4"/>
        <v>-42.644368290645176</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-42.566576948830871</v>
      </c>
      <c r="E40" s="11">
        <f>A40-'Mastercurve bestimmen'!$B$2</f>
        <v>-140</v>
      </c>
      <c r="F40" s="11">
        <f t="shared" si="4"/>
        <v>-42.566576948830871</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-42.486922152591347</v>
      </c>
      <c r="E41" s="11">
        <f>A41-'Mastercurve bestimmen'!$B$2</f>
        <v>-139</v>
      </c>
      <c r="F41" s="11">
        <f t="shared" si="4"/>
        <v>-42.486922152591347</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-42.405329363749594</v>
      </c>
      <c r="E42" s="11">
        <f>A42-'Mastercurve bestimmen'!$B$2</f>
        <v>-138</v>
      </c>
      <c r="F42" s="11">
        <f t="shared" si="4"/>
        <v>-42.405329363749594</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-42.321724044128608</v>
      </c>
      <c r="E43" s="11">
        <f>A43-'Mastercurve bestimmen'!$B$2</f>
        <v>-137</v>
      </c>
      <c r="F43" s="11">
        <f t="shared" si="4"/>
        <v>-42.321724044128608</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-42.236031655551386</v>
      </c>
      <c r="E44" s="11">
        <f>A44-'Mastercurve bestimmen'!$B$2</f>
        <v>-136</v>
      </c>
      <c r="F44" s="11">
        <f t="shared" si="4"/>
        <v>-42.236031655551386</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-42.148177659840911</v>
      </c>
      <c r="E45" s="11">
        <f>A45-'Mastercurve bestimmen'!$B$2</f>
        <v>-135</v>
      </c>
      <c r="F45" s="11">
        <f t="shared" si="4"/>
        <v>-42.148177659840911</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-42.058087518820166</v>
      </c>
      <c r="E46" s="11">
        <f>A46-'Mastercurve bestimmen'!$B$2</f>
        <v>-134</v>
      </c>
      <c r="F46" s="11">
        <f t="shared" si="4"/>
        <v>-42.058087518820166</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-41.965686694312154</v>
      </c>
      <c r="E47" s="11">
        <f>A47-'Mastercurve bestimmen'!$B$2</f>
        <v>-133</v>
      </c>
      <c r="F47" s="11">
        <f t="shared" si="4"/>
        <v>-41.965686694312154</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-41.870900648139873</v>
      </c>
      <c r="E48" s="11">
        <f>A48-'Mastercurve bestimmen'!$B$2</f>
        <v>-132</v>
      </c>
      <c r="F48" s="11">
        <f t="shared" si="4"/>
        <v>-41.870900648139873</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-41.773654842126298</v>
      </c>
      <c r="E49" s="11">
        <f>A49-'Mastercurve bestimmen'!$B$2</f>
        <v>-131</v>
      </c>
      <c r="F49" s="11">
        <f t="shared" si="4"/>
        <v>-41.773654842126298</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-41.673874738094433</v>
      </c>
      <c r="E50" s="11">
        <f>A50-'Mastercurve bestimmen'!$B$2</f>
        <v>-130</v>
      </c>
      <c r="F50" s="11">
        <f t="shared" si="4"/>
        <v>-41.673874738094433</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-41.571485797867261</v>
      </c>
      <c r="E51" s="11">
        <f>A51-'Mastercurve bestimmen'!$B$2</f>
        <v>-129</v>
      </c>
      <c r="F51" s="11">
        <f t="shared" si="4"/>
        <v>-41.571485797867261</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-41.466413483267779</v>
      </c>
      <c r="E52" s="11">
        <f>A52-'Mastercurve bestimmen'!$B$2</f>
        <v>-128</v>
      </c>
      <c r="F52" s="11">
        <f t="shared" si="4"/>
        <v>-41.466413483267779</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-41.358583256118976</v>
      </c>
      <c r="E53" s="11">
        <f>A53-'Mastercurve bestimmen'!$B$2</f>
        <v>-127</v>
      </c>
      <c r="F53" s="11">
        <f t="shared" si="4"/>
        <v>-41.358583256118976</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-41.247920578243843</v>
      </c>
      <c r="E54" s="11">
        <f>A54-'Mastercurve bestimmen'!$B$2</f>
        <v>-126</v>
      </c>
      <c r="F54" s="11">
        <f t="shared" si="4"/>
        <v>-41.247920578243843</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-41.134350911465368</v>
      </c>
      <c r="E55" s="11">
        <f>A55-'Mastercurve bestimmen'!$B$2</f>
        <v>-125</v>
      </c>
      <c r="F55" s="11">
        <f t="shared" si="4"/>
        <v>-41.134350911465368</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-41.00257086403596</v>
      </c>
      <c r="E56" s="11">
        <f>A56-'Mastercurve bestimmen'!$B$2</f>
        <v>-124</v>
      </c>
      <c r="F56" s="11">
        <f t="shared" si="4"/>
        <v>-41.00257086403596</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-40.867771276476986</v>
      </c>
      <c r="E57" s="11">
        <f>A57-'Mastercurve bestimmen'!$B$2</f>
        <v>-123</v>
      </c>
      <c r="F57" s="11">
        <f t="shared" si="4"/>
        <v>-40.867771276476986</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-40.729914135739186</v>
      </c>
      <c r="E58" s="11">
        <f>A58-'Mastercurve bestimmen'!$B$2</f>
        <v>-122</v>
      </c>
      <c r="F58" s="11">
        <f t="shared" si="4"/>
        <v>-40.729914135739186</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-40.588961428773331</v>
      </c>
      <c r="E59" s="11">
        <f>A59-'Mastercurve bestimmen'!$B$2</f>
        <v>-121</v>
      </c>
      <c r="F59" s="11">
        <f t="shared" si="4"/>
        <v>-40.588961428773331</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-40.444875142530172</v>
      </c>
      <c r="E60" s="11">
        <f>A60-'Mastercurve bestimmen'!$B$2</f>
        <v>-120</v>
      </c>
      <c r="F60" s="11">
        <f t="shared" si="4"/>
        <v>-40.444875142530172</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-40.297617263960483</v>
      </c>
      <c r="E61" s="11">
        <f>A61-'Mastercurve bestimmen'!$B$2</f>
        <v>-119</v>
      </c>
      <c r="F61" s="11">
        <f t="shared" si="4"/>
        <v>-40.297617263960483</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-40.14714978001502</v>
      </c>
      <c r="E62" s="11">
        <f>A62-'Mastercurve bestimmen'!$B$2</f>
        <v>-118</v>
      </c>
      <c r="F62" s="11">
        <f t="shared" si="4"/>
        <v>-40.14714978001502</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-39.993434677644544</v>
      </c>
      <c r="E63" s="11">
        <f>A63-'Mastercurve bestimmen'!$B$2</f>
        <v>-117</v>
      </c>
      <c r="F63" s="11">
        <f t="shared" si="4"/>
        <v>-39.993434677644544</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-39.836433943799832</v>
      </c>
      <c r="E64" s="11">
        <f>A64-'Mastercurve bestimmen'!$B$2</f>
        <v>-116</v>
      </c>
      <c r="F64" s="11">
        <f t="shared" si="4"/>
        <v>-39.836433943799832</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-39.676109565431631</v>
      </c>
      <c r="E65" s="11">
        <f>A65-'Mastercurve bestimmen'!$B$2</f>
        <v>-115</v>
      </c>
      <c r="F65" s="11">
        <f t="shared" si="4"/>
        <v>-39.676109565431631</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-39.512423529490711</v>
      </c>
      <c r="E66" s="11">
        <f>A66-'Mastercurve bestimmen'!$B$2</f>
        <v>-114</v>
      </c>
      <c r="F66" s="11">
        <f t="shared" si="4"/>
        <v>-39.512423529490711</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-39.345337822927831</v>
      </c>
      <c r="E67" s="11">
        <f>A67-'Mastercurve bestimmen'!$B$2</f>
        <v>-113</v>
      </c>
      <c r="F67" s="11">
        <f t="shared" si="4"/>
        <v>-39.345337822927831</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-39.174814432693751</v>
      </c>
      <c r="E68" s="11">
        <f>A68-'Mastercurve bestimmen'!$B$2</f>
        <v>-112</v>
      </c>
      <c r="F68" s="11">
        <f t="shared" si="4"/>
        <v>-39.174814432693751</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-39.000815345739255</v>
      </c>
      <c r="E69" s="11">
        <f>A69-'Mastercurve bestimmen'!$B$2</f>
        <v>-111</v>
      </c>
      <c r="F69" s="11">
        <f t="shared" si="4"/>
        <v>-39.000815345739255</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-38.823302549015068</v>
      </c>
      <c r="E70" s="11">
        <f>A70-'Mastercurve bestimmen'!$B$2</f>
        <v>-110</v>
      </c>
      <c r="F70" s="11">
        <f t="shared" si="4"/>
        <v>-38.823302549015068</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-38.642238029471983</v>
      </c>
      <c r="E71" s="11">
        <f>A71-'Mastercurve bestimmen'!$B$2</f>
        <v>-109</v>
      </c>
      <c r="F71" s="11">
        <f t="shared" si="4"/>
        <v>-38.642238029471983</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-38.457583774060751</v>
      </c>
      <c r="E72" s="11">
        <f>A72-'Mastercurve bestimmen'!$B$2</f>
        <v>-108</v>
      </c>
      <c r="F72" s="11">
        <f t="shared" si="4"/>
        <v>-38.457583774060751</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-38.269301769732138</v>
      </c>
      <c r="E73" s="11">
        <f>A73-'Mastercurve bestimmen'!$B$2</f>
        <v>-107</v>
      </c>
      <c r="F73" s="11">
        <f t="shared" si="4"/>
        <v>-38.269301769732138</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-38.077354003436909</v>
      </c>
      <c r="E74" s="11">
        <f>A74-'Mastercurve bestimmen'!$B$2</f>
        <v>-106</v>
      </c>
      <c r="F74" s="11">
        <f t="shared" si="4"/>
        <v>-38.077354003436909</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-37.881702462125816</v>
      </c>
      <c r="E75" s="11">
        <f>A75-'Mastercurve bestimmen'!$B$2</f>
        <v>-105</v>
      </c>
      <c r="F75" s="11">
        <f t="shared" si="4"/>
        <v>-37.881702462125816</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-37.68230913274963</v>
      </c>
      <c r="E76" s="11">
        <f>A76-'Mastercurve bestimmen'!$B$2</f>
        <v>-104</v>
      </c>
      <c r="F76" s="11">
        <f t="shared" si="4"/>
        <v>-37.68230913274963</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-37.479136002259111</v>
      </c>
      <c r="E77" s="11">
        <f>A77-'Mastercurve bestimmen'!$B$2</f>
        <v>-103</v>
      </c>
      <c r="F77" s="11">
        <f t="shared" si="4"/>
        <v>-37.479136002259111</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-37.272145057605023</v>
      </c>
      <c r="E78" s="11">
        <f>A78-'Mastercurve bestimmen'!$B$2</f>
        <v>-102</v>
      </c>
      <c r="F78" s="11">
        <f t="shared" si="4"/>
        <v>-37.272145057605023</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-37.061298285738125</v>
      </c>
      <c r="E79" s="11">
        <f>A79-'Mastercurve bestimmen'!$B$2</f>
        <v>-101</v>
      </c>
      <c r="F79" s="11">
        <f t="shared" si="4"/>
        <v>-37.061298285738125</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-36.84655767360919</v>
      </c>
      <c r="E80" s="11">
        <f>A80-'Mastercurve bestimmen'!$B$2</f>
        <v>-100</v>
      </c>
      <c r="F80" s="11">
        <f t="shared" ref="F80:F143" si="10">B80</f>
        <v>-36.84655767360919</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-36.627900907883301</v>
      </c>
      <c r="E81" s="11">
        <f>A81-'Mastercurve bestimmen'!$B$2</f>
        <v>-99</v>
      </c>
      <c r="F81" s="11">
        <f t="shared" si="10"/>
        <v>-36.627900907883301</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-36.405368474082891</v>
      </c>
      <c r="E82" s="11">
        <f>A82-'Mastercurve bestimmen'!$B$2</f>
        <v>-98</v>
      </c>
      <c r="F82" s="11">
        <f t="shared" si="10"/>
        <v>-36.405368474082891</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-36.179016557444704</v>
      </c>
      <c r="E83" s="11">
        <f>A83-'Mastercurve bestimmen'!$B$2</f>
        <v>-97</v>
      </c>
      <c r="F83" s="11">
        <f t="shared" si="10"/>
        <v>-36.179016557444704</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-35.948901343205499</v>
      </c>
      <c r="E84" s="11">
        <f>A84-'Mastercurve bestimmen'!$B$2</f>
        <v>-96</v>
      </c>
      <c r="F84" s="11">
        <f t="shared" si="10"/>
        <v>-35.948901343205499</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-35.715079016602047</v>
      </c>
      <c r="E85" s="11">
        <f>A85-'Mastercurve bestimmen'!$B$2</f>
        <v>-95</v>
      </c>
      <c r="F85" s="11">
        <f t="shared" si="10"/>
        <v>-35.715079016602047</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-35.477605762871079</v>
      </c>
      <c r="E86" s="11">
        <f>A86-'Mastercurve bestimmen'!$B$2</f>
        <v>-94</v>
      </c>
      <c r="F86" s="11">
        <f t="shared" si="10"/>
        <v>-35.477605762871079</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-35.236537767249374</v>
      </c>
      <c r="E87" s="11">
        <f>A87-'Mastercurve bestimmen'!$B$2</f>
        <v>-93</v>
      </c>
      <c r="F87" s="11">
        <f t="shared" si="10"/>
        <v>-35.236537767249374</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-34.991931214973668</v>
      </c>
      <c r="E88" s="11">
        <f>A88-'Mastercurve bestimmen'!$B$2</f>
        <v>-92</v>
      </c>
      <c r="F88" s="11">
        <f t="shared" si="10"/>
        <v>-34.991931214973668</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-34.743842291280728</v>
      </c>
      <c r="E89" s="11">
        <f>A89-'Mastercurve bestimmen'!$B$2</f>
        <v>-91</v>
      </c>
      <c r="F89" s="11">
        <f t="shared" si="10"/>
        <v>-34.743842291280728</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-34.492327181407319</v>
      </c>
      <c r="E90" s="11">
        <f>A90-'Mastercurve bestimmen'!$B$2</f>
        <v>-90</v>
      </c>
      <c r="F90" s="11">
        <f t="shared" si="10"/>
        <v>-34.492327181407319</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-34.23744207059017</v>
      </c>
      <c r="E91" s="11">
        <f>A91-'Mastercurve bestimmen'!$B$2</f>
        <v>-89</v>
      </c>
      <c r="F91" s="11">
        <f t="shared" si="10"/>
        <v>-34.23744207059017</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-33.979243144066054</v>
      </c>
      <c r="E92" s="11">
        <f>A92-'Mastercurve bestimmen'!$B$2</f>
        <v>-88</v>
      </c>
      <c r="F92" s="11">
        <f t="shared" si="10"/>
        <v>-33.979243144066054</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-33.717786587071728</v>
      </c>
      <c r="E93" s="11">
        <f>A93-'Mastercurve bestimmen'!$B$2</f>
        <v>-87</v>
      </c>
      <c r="F93" s="11">
        <f t="shared" si="10"/>
        <v>-33.717786587071728</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-33.453128584843938</v>
      </c>
      <c r="E94" s="11">
        <f>A94-'Mastercurve bestimmen'!$B$2</f>
        <v>-86</v>
      </c>
      <c r="F94" s="11">
        <f t="shared" si="10"/>
        <v>-33.453128584843938</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-33.185325322619448</v>
      </c>
      <c r="E95" s="11">
        <f>A95-'Mastercurve bestimmen'!$B$2</f>
        <v>-85</v>
      </c>
      <c r="F95" s="11">
        <f t="shared" si="10"/>
        <v>-33.185325322619448</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-32.914432985635017</v>
      </c>
      <c r="E96" s="11">
        <f>A96-'Mastercurve bestimmen'!$B$2</f>
        <v>-84</v>
      </c>
      <c r="F96" s="11">
        <f t="shared" si="10"/>
        <v>-32.914432985635017</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-32.640507759127388</v>
      </c>
      <c r="E97" s="11">
        <f>A97-'Mastercurve bestimmen'!$B$2</f>
        <v>-83</v>
      </c>
      <c r="F97" s="11">
        <f t="shared" si="10"/>
        <v>-32.640507759127388</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-32.36360582833332</v>
      </c>
      <c r="E98" s="11">
        <f>A98-'Mastercurve bestimmen'!$B$2</f>
        <v>-82</v>
      </c>
      <c r="F98" s="11">
        <f t="shared" si="10"/>
        <v>-32.36360582833332</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-32.083783378489585</v>
      </c>
      <c r="E99" s="11">
        <f>A99-'Mastercurve bestimmen'!$B$2</f>
        <v>-81</v>
      </c>
      <c r="F99" s="11">
        <f t="shared" si="10"/>
        <v>-32.083783378489585</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-31.801096594832913</v>
      </c>
      <c r="E100" s="11">
        <f>A100-'Mastercurve bestimmen'!$B$2</f>
        <v>-80</v>
      </c>
      <c r="F100" s="11">
        <f t="shared" si="10"/>
        <v>-31.801096594832913</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-31.515601662600076</v>
      </c>
      <c r="E101" s="11">
        <f>A101-'Mastercurve bestimmen'!$B$2</f>
        <v>-79</v>
      </c>
      <c r="F101" s="11">
        <f t="shared" si="10"/>
        <v>-31.515601662600076</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-31.227354767027826</v>
      </c>
      <c r="E102" s="11">
        <f>A102-'Mastercurve bestimmen'!$B$2</f>
        <v>-78</v>
      </c>
      <c r="F102" s="11">
        <f t="shared" si="10"/>
        <v>-31.227354767027826</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-30.936412093352917</v>
      </c>
      <c r="E103" s="11">
        <f>A103-'Mastercurve bestimmen'!$B$2</f>
        <v>-77</v>
      </c>
      <c r="F103" s="11">
        <f t="shared" si="10"/>
        <v>-30.936412093352917</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-30.642829826812108</v>
      </c>
      <c r="E104" s="11">
        <f>A104-'Mastercurve bestimmen'!$B$2</f>
        <v>-76</v>
      </c>
      <c r="F104" s="11">
        <f t="shared" si="10"/>
        <v>-30.642829826812108</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-30.346664152642152</v>
      </c>
      <c r="E105" s="11">
        <f>A105-'Mastercurve bestimmen'!$B$2</f>
        <v>-75</v>
      </c>
      <c r="F105" s="11">
        <f t="shared" si="10"/>
        <v>-30.346664152642152</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-30.047938027193634</v>
      </c>
      <c r="E106" s="11">
        <f>A106-'Mastercurve bestimmen'!$B$2</f>
        <v>-74</v>
      </c>
      <c r="F106" s="11">
        <f t="shared" si="10"/>
        <v>-30.047938027193634</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-29.746541491272474</v>
      </c>
      <c r="E107" s="11">
        <f>A107-'Mastercurve bestimmen'!$B$2</f>
        <v>-73</v>
      </c>
      <c r="F107" s="11">
        <f t="shared" si="10"/>
        <v>-29.746541491272474</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-29.442331356798416</v>
      </c>
      <c r="E108" s="11">
        <f>A108-'Mastercurve bestimmen'!$B$2</f>
        <v>-72</v>
      </c>
      <c r="F108" s="11">
        <f t="shared" si="10"/>
        <v>-29.442331356798416</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-29.135164435691198</v>
      </c>
      <c r="E109" s="11">
        <f>A109-'Mastercurve bestimmen'!$B$2</f>
        <v>-71</v>
      </c>
      <c r="F109" s="11">
        <f t="shared" si="10"/>
        <v>-29.135164435691198</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-28.824897539870577</v>
      </c>
      <c r="E110" s="11">
        <f>A110-'Mastercurve bestimmen'!$B$2</f>
        <v>-70</v>
      </c>
      <c r="F110" s="11">
        <f t="shared" si="10"/>
        <v>-28.824897539870577</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-28.511387481256286</v>
      </c>
      <c r="E111" s="11">
        <f>A111-'Mastercurve bestimmen'!$B$2</f>
        <v>-69</v>
      </c>
      <c r="F111" s="11">
        <f t="shared" si="10"/>
        <v>-28.511387481256286</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-28.194491071768081</v>
      </c>
      <c r="E112" s="11">
        <f>A112-'Mastercurve bestimmen'!$B$2</f>
        <v>-68</v>
      </c>
      <c r="F112" s="11">
        <f t="shared" si="10"/>
        <v>-28.194491071768081</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-27.874065123325703</v>
      </c>
      <c r="E113" s="11">
        <f>A113-'Mastercurve bestimmen'!$B$2</f>
        <v>-67</v>
      </c>
      <c r="F113" s="11">
        <f t="shared" si="10"/>
        <v>-27.874065123325703</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-27.549966447848895</v>
      </c>
      <c r="E114" s="11">
        <f>A114-'Mastercurve bestimmen'!$B$2</f>
        <v>-66</v>
      </c>
      <c r="F114" s="11">
        <f t="shared" si="10"/>
        <v>-27.549966447848895</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-27.222051857257405</v>
      </c>
      <c r="E115" s="11">
        <f>A115-'Mastercurve bestimmen'!$B$2</f>
        <v>-65</v>
      </c>
      <c r="F115" s="11">
        <f t="shared" si="10"/>
        <v>-27.222051857257405</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-26.890178163470981</v>
      </c>
      <c r="E116" s="11">
        <f>A116-'Mastercurve bestimmen'!$B$2</f>
        <v>-64</v>
      </c>
      <c r="F116" s="11">
        <f t="shared" si="10"/>
        <v>-26.890178163470981</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-26.554202178409362</v>
      </c>
      <c r="E117" s="11">
        <f>A117-'Mastercurve bestimmen'!$B$2</f>
        <v>-63</v>
      </c>
      <c r="F117" s="11">
        <f t="shared" si="10"/>
        <v>-26.554202178409362</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-26.213980713992303</v>
      </c>
      <c r="E118" s="11">
        <f>A118-'Mastercurve bestimmen'!$B$2</f>
        <v>-62</v>
      </c>
      <c r="F118" s="11">
        <f t="shared" si="10"/>
        <v>-26.213980713992303</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-25.869370582139538</v>
      </c>
      <c r="E119" s="11">
        <f>A119-'Mastercurve bestimmen'!$B$2</f>
        <v>-61</v>
      </c>
      <c r="F119" s="11">
        <f t="shared" si="10"/>
        <v>-25.869370582139538</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-25.520228594770813</v>
      </c>
      <c r="E120" s="11">
        <f>A120-'Mastercurve bestimmen'!$B$2</f>
        <v>-60</v>
      </c>
      <c r="F120" s="11">
        <f t="shared" si="10"/>
        <v>-25.520228594770813</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-25.166411563805887</v>
      </c>
      <c r="E121" s="11">
        <f>A121-'Mastercurve bestimmen'!$B$2</f>
        <v>-59</v>
      </c>
      <c r="F121" s="11">
        <f t="shared" si="10"/>
        <v>-25.166411563805887</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-24.807776301164495</v>
      </c>
      <c r="E122" s="11">
        <f>A122-'Mastercurve bestimmen'!$B$2</f>
        <v>-58</v>
      </c>
      <c r="F122" s="11">
        <f t="shared" si="10"/>
        <v>-24.807776301164495</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-24.444179618766377</v>
      </c>
      <c r="E123" s="11">
        <f>A123-'Mastercurve bestimmen'!$B$2</f>
        <v>-57</v>
      </c>
      <c r="F123" s="11">
        <f t="shared" si="10"/>
        <v>-24.444179618766377</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-24.07547832853129</v>
      </c>
      <c r="E124" s="11">
        <f>A124-'Mastercurve bestimmen'!$B$2</f>
        <v>-56</v>
      </c>
      <c r="F124" s="11">
        <f t="shared" si="10"/>
        <v>-24.07547832853129</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-23.701529242378975</v>
      </c>
      <c r="E125" s="11">
        <f>A125-'Mastercurve bestimmen'!$B$2</f>
        <v>-55</v>
      </c>
      <c r="F125" s="11">
        <f t="shared" si="10"/>
        <v>-23.701529242378975</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-23.32218917222918</v>
      </c>
      <c r="E126" s="11">
        <f>A126-'Mastercurve bestimmen'!$B$2</f>
        <v>-54</v>
      </c>
      <c r="F126" s="11">
        <f t="shared" si="10"/>
        <v>-23.32218917222918</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-22.937314930001641</v>
      </c>
      <c r="E127" s="11">
        <f>A127-'Mastercurve bestimmen'!$B$2</f>
        <v>-53</v>
      </c>
      <c r="F127" s="11">
        <f t="shared" si="10"/>
        <v>-22.937314930001641</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-22.546763327616112</v>
      </c>
      <c r="E128" s="11">
        <f>A128-'Mastercurve bestimmen'!$B$2</f>
        <v>-52</v>
      </c>
      <c r="F128" s="11">
        <f t="shared" si="10"/>
        <v>-22.546763327616112</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-22.150391176992336</v>
      </c>
      <c r="E129" s="11">
        <f>A129-'Mastercurve bestimmen'!$B$2</f>
        <v>-51</v>
      </c>
      <c r="F129" s="11">
        <f t="shared" si="10"/>
        <v>-22.150391176992336</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-21.748055290050061</v>
      </c>
      <c r="E130" s="11">
        <f>A130-'Mastercurve bestimmen'!$B$2</f>
        <v>-50</v>
      </c>
      <c r="F130" s="11">
        <f t="shared" si="10"/>
        <v>-21.748055290050061</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-21.339612478709029</v>
      </c>
      <c r="E131" s="11">
        <f>A131-'Mastercurve bestimmen'!$B$2</f>
        <v>-49</v>
      </c>
      <c r="F131" s="11">
        <f t="shared" si="10"/>
        <v>-21.339612478709029</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-20.92491955488898</v>
      </c>
      <c r="E132" s="11">
        <f>A132-'Mastercurve bestimmen'!$B$2</f>
        <v>-48</v>
      </c>
      <c r="F132" s="11">
        <f t="shared" si="10"/>
        <v>-20.92491955488898</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-20.503833330509675</v>
      </c>
      <c r="E133" s="11">
        <f>A133-'Mastercurve bestimmen'!$B$2</f>
        <v>-47</v>
      </c>
      <c r="F133" s="11">
        <f t="shared" si="10"/>
        <v>-20.503833330509675</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-20.076210617490844</v>
      </c>
      <c r="E134" s="11">
        <f>A134-'Mastercurve bestimmen'!$B$2</f>
        <v>-46</v>
      </c>
      <c r="F134" s="11">
        <f t="shared" si="10"/>
        <v>-20.076210617490844</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-19.641908227752239</v>
      </c>
      <c r="E135" s="11">
        <f>A135-'Mastercurve bestimmen'!$B$2</f>
        <v>-45</v>
      </c>
      <c r="F135" s="11">
        <f t="shared" si="10"/>
        <v>-19.641908227752239</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-19.200883241629921</v>
      </c>
      <c r="E136" s="11">
        <f>A136-'Mastercurve bestimmen'!$B$2</f>
        <v>-44</v>
      </c>
      <c r="F136" s="11">
        <f t="shared" si="10"/>
        <v>-19.200883241629921</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-18.753493813125214</v>
      </c>
      <c r="E137" s="11">
        <f>A137-'Mastercurve bestimmen'!$B$2</f>
        <v>-43</v>
      </c>
      <c r="F137" s="11">
        <f t="shared" si="10"/>
        <v>-18.753493813125214</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-18.30019836465576</v>
      </c>
      <c r="E138" s="11">
        <f>A138-'Mastercurve bestimmen'!$B$2</f>
        <v>-42</v>
      </c>
      <c r="F138" s="11">
        <f t="shared" si="10"/>
        <v>-18.30019836465576</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-17.841455318639195</v>
      </c>
      <c r="E139" s="11">
        <f>A139-'Mastercurve bestimmen'!$B$2</f>
        <v>-41</v>
      </c>
      <c r="F139" s="11">
        <f t="shared" si="10"/>
        <v>-17.841455318639195</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-17.377723097493167</v>
      </c>
      <c r="E140" s="11">
        <f>A140-'Mastercurve bestimmen'!$B$2</f>
        <v>-40</v>
      </c>
      <c r="F140" s="11">
        <f t="shared" si="10"/>
        <v>-17.377723097493167</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-16.909460123635306</v>
      </c>
      <c r="E141" s="11">
        <f>A141-'Mastercurve bestimmen'!$B$2</f>
        <v>-39</v>
      </c>
      <c r="F141" s="11">
        <f t="shared" si="10"/>
        <v>-16.909460123635306</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-16.437124819483262</v>
      </c>
      <c r="E142" s="11">
        <f>A142-'Mastercurve bestimmen'!$B$2</f>
        <v>-38</v>
      </c>
      <c r="F142" s="11">
        <f t="shared" si="10"/>
        <v>-16.437124819483262</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-15.96117560745467</v>
      </c>
      <c r="E143" s="11">
        <f>A143-'Mastercurve bestimmen'!$B$2</f>
        <v>-37</v>
      </c>
      <c r="F143" s="11">
        <f t="shared" si="10"/>
        <v>-15.96117560745467</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-15.482070909967176</v>
      </c>
      <c r="E144" s="11">
        <f>A144-'Mastercurve bestimmen'!$B$2</f>
        <v>-36</v>
      </c>
      <c r="F144" s="11">
        <f t="shared" ref="F144:F207" si="15">B144</f>
        <v>-15.482070909967176</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-15.000269149438408</v>
      </c>
      <c r="E145" s="11">
        <f>A145-'Mastercurve bestimmen'!$B$2</f>
        <v>-35</v>
      </c>
      <c r="F145" s="11">
        <f t="shared" si="15"/>
        <v>-15.000269149438408</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-14.516228748286021</v>
      </c>
      <c r="E146" s="11">
        <f>A146-'Mastercurve bestimmen'!$B$2</f>
        <v>-34</v>
      </c>
      <c r="F146" s="11">
        <f t="shared" si="15"/>
        <v>-14.516228748286021</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-14.030408128927647</v>
      </c>
      <c r="E147" s="11">
        <f>A147-'Mastercurve bestimmen'!$B$2</f>
        <v>-33</v>
      </c>
      <c r="F147" s="11">
        <f t="shared" si="15"/>
        <v>-14.030408128927647</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-13.543265713780928</v>
      </c>
      <c r="E148" s="11">
        <f>A148-'Mastercurve bestimmen'!$B$2</f>
        <v>-32</v>
      </c>
      <c r="F148" s="11">
        <f t="shared" si="15"/>
        <v>-13.543265713780928</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-13.055259925263503</v>
      </c>
      <c r="E149" s="11">
        <f>A149-'Mastercurve bestimmen'!$B$2</f>
        <v>-31</v>
      </c>
      <c r="F149" s="11">
        <f t="shared" si="15"/>
        <v>-13.055259925263503</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-12.566849185793018</v>
      </c>
      <c r="E150" s="11">
        <f>A150-'Mastercurve bestimmen'!$B$2</f>
        <v>-30</v>
      </c>
      <c r="F150" s="11">
        <f t="shared" si="15"/>
        <v>-12.566849185793018</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-12.078491917787108</v>
      </c>
      <c r="E151" s="11">
        <f>A151-'Mastercurve bestimmen'!$B$2</f>
        <v>-29</v>
      </c>
      <c r="F151" s="11">
        <f t="shared" si="15"/>
        <v>-12.078491917787108</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-11.590646543663414</v>
      </c>
      <c r="E152" s="11">
        <f>A152-'Mastercurve bestimmen'!$B$2</f>
        <v>-28</v>
      </c>
      <c r="F152" s="11">
        <f t="shared" si="15"/>
        <v>-11.590646543663414</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-11.103771485839578</v>
      </c>
      <c r="E153" s="11">
        <f>A153-'Mastercurve bestimmen'!$B$2</f>
        <v>-27</v>
      </c>
      <c r="F153" s="11">
        <f t="shared" si="15"/>
        <v>-11.103771485839578</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-10.618325166733239</v>
      </c>
      <c r="E154" s="11">
        <f>A154-'Mastercurve bestimmen'!$B$2</f>
        <v>-26</v>
      </c>
      <c r="F154" s="11">
        <f t="shared" si="15"/>
        <v>-10.618325166733239</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-10.134766008762039</v>
      </c>
      <c r="E155" s="11">
        <f>A155-'Mastercurve bestimmen'!$B$2</f>
        <v>-25</v>
      </c>
      <c r="F155" s="11">
        <f t="shared" si="15"/>
        <v>-10.134766008762039</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-9.6535524343436165</v>
      </c>
      <c r="E156" s="11">
        <f>A156-'Mastercurve bestimmen'!$B$2</f>
        <v>-24</v>
      </c>
      <c r="F156" s="11">
        <f t="shared" si="15"/>
        <v>-9.6535524343436165</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-9.175142865895614</v>
      </c>
      <c r="E157" s="11">
        <f>A157-'Mastercurve bestimmen'!$B$2</f>
        <v>-23</v>
      </c>
      <c r="F157" s="11">
        <f t="shared" si="15"/>
        <v>-9.175142865895614</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-8.6999957258356702</v>
      </c>
      <c r="E158" s="11">
        <f>A158-'Mastercurve bestimmen'!$B$2</f>
        <v>-22</v>
      </c>
      <c r="F158" s="11">
        <f t="shared" si="15"/>
        <v>-8.6999957258356702</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-8.2285694365814237</v>
      </c>
      <c r="E159" s="11">
        <f>A159-'Mastercurve bestimmen'!$B$2</f>
        <v>-21</v>
      </c>
      <c r="F159" s="11">
        <f t="shared" si="15"/>
        <v>-8.2285694365814237</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-7.7613224205505214</v>
      </c>
      <c r="E160" s="11">
        <f>A160-'Mastercurve bestimmen'!$B$2</f>
        <v>-20</v>
      </c>
      <c r="F160" s="11">
        <f t="shared" si="15"/>
        <v>-7.7613224205505214</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-7.2987131001605956</v>
      </c>
      <c r="E161" s="11">
        <f>A161-'Mastercurve bestimmen'!$B$2</f>
        <v>-19</v>
      </c>
      <c r="F161" s="11">
        <f t="shared" si="15"/>
        <v>-7.2987131001605956</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-6.8411998978292923</v>
      </c>
      <c r="E162" s="11">
        <f>A162-'Mastercurve bestimmen'!$B$2</f>
        <v>-18</v>
      </c>
      <c r="F162" s="11">
        <f t="shared" si="15"/>
        <v>-6.8411998978292923</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-6.3892412359742483</v>
      </c>
      <c r="E163" s="11">
        <f>A163-'Mastercurve bestimmen'!$B$2</f>
        <v>-17</v>
      </c>
      <c r="F163" s="11">
        <f t="shared" si="15"/>
        <v>-6.3892412359742483</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-5.9432955370131086</v>
      </c>
      <c r="E164" s="11">
        <f>A164-'Mastercurve bestimmen'!$B$2</f>
        <v>-16</v>
      </c>
      <c r="F164" s="11">
        <f t="shared" si="15"/>
        <v>-5.9432955370131086</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-5.5038212233635075</v>
      </c>
      <c r="E165" s="11">
        <f>A165-'Mastercurve bestimmen'!$B$2</f>
        <v>-15</v>
      </c>
      <c r="F165" s="11">
        <f t="shared" si="15"/>
        <v>-5.5038212233635075</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-5.0712767174430926</v>
      </c>
      <c r="E166" s="11">
        <f>A166-'Mastercurve bestimmen'!$B$2</f>
        <v>-14</v>
      </c>
      <c r="F166" s="11">
        <f t="shared" si="15"/>
        <v>-5.0712767174430926</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-4.6461204416694972</v>
      </c>
      <c r="E167" s="11">
        <f>A167-'Mastercurve bestimmen'!$B$2</f>
        <v>-13</v>
      </c>
      <c r="F167" s="11">
        <f t="shared" si="15"/>
        <v>-4.6461204416694972</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-4.2288108184603654</v>
      </c>
      <c r="E168" s="11">
        <f>A168-'Mastercurve bestimmen'!$B$2</f>
        <v>-12</v>
      </c>
      <c r="F168" s="11">
        <f t="shared" si="15"/>
        <v>-4.2288108184603654</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-3.8198062702333373</v>
      </c>
      <c r="E169" s="11">
        <f>A169-'Mastercurve bestimmen'!$B$2</f>
        <v>-11</v>
      </c>
      <c r="F169" s="11">
        <f t="shared" si="15"/>
        <v>-3.8198062702333373</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-3.4195652194060533</v>
      </c>
      <c r="E170" s="11">
        <f>A170-'Mastercurve bestimmen'!$B$2</f>
        <v>-10</v>
      </c>
      <c r="F170" s="11">
        <f t="shared" si="15"/>
        <v>-3.4195652194060533</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-3.0285460883961539</v>
      </c>
      <c r="E171" s="11">
        <f>A171-'Mastercurve bestimmen'!$B$2</f>
        <v>-9</v>
      </c>
      <c r="F171" s="11">
        <f t="shared" si="15"/>
        <v>-3.0285460883961539</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-2.647207299621277</v>
      </c>
      <c r="E172" s="11">
        <f>A172-'Mastercurve bestimmen'!$B$2</f>
        <v>-8</v>
      </c>
      <c r="F172" s="11">
        <f t="shared" si="15"/>
        <v>-2.647207299621277</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-2.2760072754990661</v>
      </c>
      <c r="E173" s="11">
        <f>A173-'Mastercurve bestimmen'!$B$2</f>
        <v>-7</v>
      </c>
      <c r="F173" s="11">
        <f t="shared" si="15"/>
        <v>-2.2760072754990661</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-1.9154044384471609</v>
      </c>
      <c r="E174" s="11">
        <f>A174-'Mastercurve bestimmen'!$B$2</f>
        <v>-6</v>
      </c>
      <c r="F174" s="11">
        <f t="shared" si="15"/>
        <v>-1.9154044384471609</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-1.565857210883201</v>
      </c>
      <c r="E175" s="11">
        <f>A175-'Mastercurve bestimmen'!$B$2</f>
        <v>-5</v>
      </c>
      <c r="F175" s="11">
        <f t="shared" si="15"/>
        <v>-1.565857210883201</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-1.2278240152248268</v>
      </c>
      <c r="E176" s="11">
        <f>A176-'Mastercurve bestimmen'!$B$2</f>
        <v>-4</v>
      </c>
      <c r="F176" s="11">
        <f t="shared" si="15"/>
        <v>-1.2278240152248268</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-0.9017632738896797</v>
      </c>
      <c r="E177" s="11">
        <f>A177-'Mastercurve bestimmen'!$B$2</f>
        <v>-3</v>
      </c>
      <c r="F177" s="11">
        <f t="shared" si="15"/>
        <v>-0.9017632738896797</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-0.58813340929539937</v>
      </c>
      <c r="E178" s="11">
        <f>A178-'Mastercurve bestimmen'!$B$2</f>
        <v>-2</v>
      </c>
      <c r="F178" s="11">
        <f t="shared" si="15"/>
        <v>-0.58813340929539937</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-0.28739284385962538</v>
      </c>
      <c r="E179" s="11">
        <f>A179-'Mastercurve bestimmen'!$B$2</f>
        <v>-1</v>
      </c>
      <c r="F179" s="11">
        <f t="shared" si="15"/>
        <v>-0.28739284385962538</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-8.8817841970012523E-16</v>
      </c>
      <c r="E180" s="11">
        <f>A180-'Mastercurve bestimmen'!$B$2</f>
        <v>0</v>
      </c>
      <c r="F180" s="11">
        <f t="shared" si="15"/>
        <v>-8.8817841970012523E-16</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0.27372884714493934</v>
      </c>
      <c r="E181" s="11">
        <f>A181-'Mastercurve bestimmen'!$B$2</f>
        <v>1</v>
      </c>
      <c r="F181" s="11">
        <f t="shared" si="15"/>
        <v>0.27372884714493934</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0.53404601155305553</v>
      </c>
      <c r="E182" s="11">
        <f>A182-'Mastercurve bestimmen'!$B$2</f>
        <v>2</v>
      </c>
      <c r="F182" s="11">
        <f t="shared" si="15"/>
        <v>0.53404601155305553</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0.7813459544813145</v>
      </c>
      <c r="E183" s="11">
        <f>A183-'Mastercurve bestimmen'!$B$2</f>
        <v>3</v>
      </c>
      <c r="F183" s="11">
        <f t="shared" si="15"/>
        <v>0.7813459544813145</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1.0160231371866817</v>
      </c>
      <c r="E184" s="11">
        <f>A184-'Mastercurve bestimmen'!$B$2</f>
        <v>4</v>
      </c>
      <c r="F184" s="11">
        <f t="shared" si="15"/>
        <v>1.0160231371866817</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1.2384720209261222</v>
      </c>
      <c r="E185" s="11">
        <f>A185-'Mastercurve bestimmen'!$B$2</f>
        <v>5</v>
      </c>
      <c r="F185" s="11">
        <f t="shared" si="15"/>
        <v>1.2384720209261222</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1.4490870669566021</v>
      </c>
      <c r="E186" s="11">
        <f>A186-'Mastercurve bestimmen'!$B$2</f>
        <v>6</v>
      </c>
      <c r="F186" s="11">
        <f t="shared" si="15"/>
        <v>1.4490870669566021</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1.6482627365350857</v>
      </c>
      <c r="E187" s="11">
        <f>A187-'Mastercurve bestimmen'!$B$2</f>
        <v>7</v>
      </c>
      <c r="F187" s="11">
        <f t="shared" si="15"/>
        <v>1.6482627365350857</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1.8363934909185389</v>
      </c>
      <c r="E188" s="11">
        <f>A188-'Mastercurve bestimmen'!$B$2</f>
        <v>8</v>
      </c>
      <c r="F188" s="11">
        <f t="shared" si="15"/>
        <v>1.8363934909185389</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2.0138737913639275</v>
      </c>
      <c r="E189" s="11">
        <f>A189-'Mastercurve bestimmen'!$B$2</f>
        <v>9</v>
      </c>
      <c r="F189" s="11">
        <f t="shared" si="15"/>
        <v>2.0138737913639275</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2.1810980991282163</v>
      </c>
      <c r="E190" s="11">
        <f>A190-'Mastercurve bestimmen'!$B$2</f>
        <v>10</v>
      </c>
      <c r="F190" s="11">
        <f t="shared" si="15"/>
        <v>2.1810980991282163</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2.3384608754683711</v>
      </c>
      <c r="E191" s="11">
        <f>A191-'Mastercurve bestimmen'!$B$2</f>
        <v>11</v>
      </c>
      <c r="F191" s="11">
        <f t="shared" si="15"/>
        <v>2.3384608754683711</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2.4863565816413566</v>
      </c>
      <c r="E192" s="11">
        <f>A192-'Mastercurve bestimmen'!$B$2</f>
        <v>12</v>
      </c>
      <c r="F192" s="11">
        <f t="shared" si="15"/>
        <v>2.4863565816413566</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2.6251796789041384</v>
      </c>
      <c r="E193" s="11">
        <f>A193-'Mastercurve bestimmen'!$B$2</f>
        <v>13</v>
      </c>
      <c r="F193" s="11">
        <f t="shared" si="15"/>
        <v>2.6251796789041384</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2.7553246285136828</v>
      </c>
      <c r="E194" s="11">
        <f>A194-'Mastercurve bestimmen'!$B$2</f>
        <v>14</v>
      </c>
      <c r="F194" s="11">
        <f t="shared" si="15"/>
        <v>2.7553246285136828</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2.8771858917269539</v>
      </c>
      <c r="E195" s="11">
        <f>A195-'Mastercurve bestimmen'!$B$2</f>
        <v>15</v>
      </c>
      <c r="F195" s="11">
        <f t="shared" si="15"/>
        <v>2.8771858917269539</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2.9911579298009174</v>
      </c>
      <c r="E196" s="11">
        <f>A196-'Mastercurve bestimmen'!$B$2</f>
        <v>16</v>
      </c>
      <c r="F196" s="11">
        <f t="shared" si="15"/>
        <v>2.9911579298009174</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3.0976352039925397</v>
      </c>
      <c r="E197" s="11">
        <f>A197-'Mastercurve bestimmen'!$B$2</f>
        <v>17</v>
      </c>
      <c r="F197" s="11">
        <f t="shared" si="15"/>
        <v>3.0976352039925397</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3.1970121755587848</v>
      </c>
      <c r="E198" s="11">
        <f>A198-'Mastercurve bestimmen'!$B$2</f>
        <v>18</v>
      </c>
      <c r="F198" s="11">
        <f t="shared" si="15"/>
        <v>3.1970121755587848</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3.2896833057566184</v>
      </c>
      <c r="E199" s="11">
        <f>A199-'Mastercurve bestimmen'!$B$2</f>
        <v>19</v>
      </c>
      <c r="F199" s="11">
        <f t="shared" si="15"/>
        <v>3.2896833057566184</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3.3760430558430063</v>
      </c>
      <c r="E200" s="11">
        <f>A200-'Mastercurve bestimmen'!$B$2</f>
        <v>20</v>
      </c>
      <c r="F200" s="11">
        <f t="shared" si="15"/>
        <v>3.3760430558430063</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3.4564858870749138</v>
      </c>
      <c r="E201" s="11">
        <f>A201-'Mastercurve bestimmen'!$B$2</f>
        <v>21</v>
      </c>
      <c r="F201" s="11">
        <f t="shared" si="15"/>
        <v>3.4564858870749138</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3.5314062607093057</v>
      </c>
      <c r="E202" s="11">
        <f>A202-'Mastercurve bestimmen'!$B$2</f>
        <v>22</v>
      </c>
      <c r="F202" s="11">
        <f t="shared" si="15"/>
        <v>3.5314062607093057</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3.6011986380031482</v>
      </c>
      <c r="E203" s="11">
        <f>A203-'Mastercurve bestimmen'!$B$2</f>
        <v>23</v>
      </c>
      <c r="F203" s="11">
        <f t="shared" si="15"/>
        <v>3.6011986380031482</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3.6662574802134058</v>
      </c>
      <c r="E204" s="11">
        <f>A204-'Mastercurve bestimmen'!$B$2</f>
        <v>24</v>
      </c>
      <c r="F204" s="11">
        <f t="shared" si="15"/>
        <v>3.6662574802134058</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3.7269772485970445</v>
      </c>
      <c r="E205" s="11">
        <f>A205-'Mastercurve bestimmen'!$B$2</f>
        <v>25</v>
      </c>
      <c r="F205" s="11">
        <f t="shared" si="15"/>
        <v>3.7269772485970445</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3.7837524044110298</v>
      </c>
      <c r="E206" s="11">
        <f>A206-'Mastercurve bestimmen'!$B$2</f>
        <v>26</v>
      </c>
      <c r="F206" s="11">
        <f t="shared" si="15"/>
        <v>3.7837524044110298</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3.8369774089123267</v>
      </c>
      <c r="E207" s="11">
        <f>A207-'Mastercurve bestimmen'!$B$2</f>
        <v>27</v>
      </c>
      <c r="F207" s="11">
        <f t="shared" si="15"/>
        <v>3.8369774089123267</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3.8870467233579005</v>
      </c>
      <c r="E208" s="11">
        <f>A208-'Mastercurve bestimmen'!$B$2</f>
        <v>28</v>
      </c>
      <c r="F208" s="11">
        <f t="shared" ref="F208:F215" si="21">B208</f>
        <v>3.8870467233579005</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3.9343548090047169</v>
      </c>
      <c r="E209" s="11">
        <f>A209-'Mastercurve bestimmen'!$B$2</f>
        <v>29</v>
      </c>
      <c r="F209" s="11">
        <f t="shared" si="21"/>
        <v>3.9343548090047169</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3.9792961271097407</v>
      </c>
      <c r="E210" s="11">
        <f>A210-'Mastercurve bestimmen'!$B$2</f>
        <v>30</v>
      </c>
      <c r="F210" s="11">
        <f t="shared" si="21"/>
        <v>3.9792961271097407</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4.0222651389299378</v>
      </c>
      <c r="E211" s="11">
        <f>A211-'Mastercurve bestimmen'!$B$2</f>
        <v>31</v>
      </c>
      <c r="F211" s="11">
        <f t="shared" si="21"/>
        <v>4.0222651389299378</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4.0636563057222732</v>
      </c>
      <c r="E212" s="11">
        <f>A212-'Mastercurve bestimmen'!$B$2</f>
        <v>32</v>
      </c>
      <c r="F212" s="11">
        <f t="shared" si="21"/>
        <v>4.0636563057222732</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4.1038640887437126</v>
      </c>
      <c r="E213" s="11">
        <f>A213-'Mastercurve bestimmen'!$B$2</f>
        <v>33</v>
      </c>
      <c r="F213" s="11">
        <f t="shared" si="21"/>
        <v>4.1038640887437126</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4.1432829492512218</v>
      </c>
      <c r="E214" s="11">
        <f>A214-'Mastercurve bestimmen'!$B$2</f>
        <v>34</v>
      </c>
      <c r="F214" s="11">
        <f t="shared" si="21"/>
        <v>4.1432829492512218</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4.182307348501765</v>
      </c>
      <c r="E215" s="11">
        <f>A215-'Mastercurve bestimmen'!$B$2</f>
        <v>35</v>
      </c>
      <c r="F215" s="11">
        <f t="shared" si="21"/>
        <v>4.182307348501765</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0.29526476979781491</v>
      </c>
      <c r="J217" s="98">
        <v>-6.2150841180003708E-3</v>
      </c>
      <c r="K217" s="98">
        <v>-4.7376969338081972E-5</v>
      </c>
      <c r="L217" s="98">
        <v>1.3507787486179921E-6</v>
      </c>
      <c r="M217" s="98">
        <v>2.6149703362472778E-8</v>
      </c>
      <c r="N217" s="98">
        <v>1.8720410614197295E-10</v>
      </c>
      <c r="O217" s="98">
        <v>6.0353117632843836E-13</v>
      </c>
      <c r="P217" s="98">
        <v>7.0906889798789677E-16</v>
      </c>
    </row>
    <row r="218" spans="1:16" x14ac:dyDescent="0.25">
      <c r="G218" s="11"/>
      <c r="H218" s="11">
        <v>0</v>
      </c>
      <c r="I218" s="11">
        <v>9.5362959383007181E-4</v>
      </c>
      <c r="J218" s="11">
        <v>3.8736080039042041E-5</v>
      </c>
      <c r="K218" s="3">
        <v>1.193917401375047E-6</v>
      </c>
      <c r="L218" s="3">
        <v>3.06806361917491E-8</v>
      </c>
      <c r="M218" s="3">
        <v>8.5449721582508505E-10</v>
      </c>
      <c r="N218" s="3">
        <v>1.0134816034655258E-11</v>
      </c>
      <c r="O218" s="11">
        <v>5.32511054636303E-14</v>
      </c>
      <c r="P218" s="11">
        <v>1.0395774614704754E-16</v>
      </c>
    </row>
    <row r="219" spans="1:16" x14ac:dyDescent="0.25">
      <c r="G219" s="11"/>
      <c r="H219" s="11">
        <v>0.99999225730749153</v>
      </c>
      <c r="I219" s="11">
        <v>8.1983785277144727E-2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-44.28516738337305</v>
      </c>
      <c r="G222">
        <f>F15</f>
        <v>-44.146123426846046</v>
      </c>
    </row>
    <row r="223" spans="1:16" x14ac:dyDescent="0.25">
      <c r="E223" s="11">
        <f t="shared" ref="E223:E286" si="25">E16</f>
        <v>-164</v>
      </c>
      <c r="F223" s="11">
        <f t="shared" ref="F223:F286" si="26">$H$217*0+E223*$I$217+E223^2*$J$217+E223^3*$K$217+E223^4*$L$217+E223^5*$M$217+E223^6*$N$217+E223^7*$O$217+E223^8*$P$217</f>
        <v>-44.177703092507954</v>
      </c>
      <c r="G223" s="11">
        <f t="shared" ref="G223:G286" si="27">F16</f>
        <v>-44.090693538134339</v>
      </c>
    </row>
    <row r="224" spans="1:16" x14ac:dyDescent="0.25">
      <c r="E224" s="11">
        <f t="shared" si="25"/>
        <v>-163</v>
      </c>
      <c r="F224" s="11">
        <f t="shared" si="26"/>
        <v>-44.078978302783071</v>
      </c>
      <c r="G224" s="11">
        <f t="shared" si="27"/>
        <v>-44.035189111245629</v>
      </c>
    </row>
    <row r="225" spans="5:7" x14ac:dyDescent="0.25">
      <c r="E225" s="11">
        <f t="shared" si="25"/>
        <v>-162</v>
      </c>
      <c r="F225" s="11">
        <f t="shared" si="26"/>
        <v>-43.988086701885891</v>
      </c>
      <c r="G225" s="11">
        <f t="shared" si="27"/>
        <v>-43.979535608002891</v>
      </c>
    </row>
    <row r="226" spans="5:7" x14ac:dyDescent="0.25">
      <c r="E226" s="11">
        <f t="shared" si="25"/>
        <v>-161</v>
      </c>
      <c r="F226" s="11">
        <f t="shared" si="26"/>
        <v>-43.904165101532897</v>
      </c>
      <c r="G226" s="11">
        <f t="shared" si="27"/>
        <v>-43.923658490229137</v>
      </c>
    </row>
    <row r="227" spans="5:7" x14ac:dyDescent="0.25">
      <c r="E227" s="11">
        <f t="shared" si="25"/>
        <v>-160</v>
      </c>
      <c r="F227" s="11">
        <f t="shared" si="26"/>
        <v>-43.826392487937312</v>
      </c>
      <c r="G227" s="11">
        <f t="shared" si="27"/>
        <v>-43.867483219747342</v>
      </c>
    </row>
    <row r="228" spans="5:7" x14ac:dyDescent="0.25">
      <c r="E228" s="11">
        <f t="shared" si="25"/>
        <v>-159</v>
      </c>
      <c r="F228" s="11">
        <f t="shared" si="26"/>
        <v>-43.753989055100305</v>
      </c>
      <c r="G228" s="11">
        <f t="shared" si="27"/>
        <v>-43.810935258380511</v>
      </c>
    </row>
    <row r="229" spans="5:7" x14ac:dyDescent="0.25">
      <c r="E229" s="11">
        <f t="shared" si="25"/>
        <v>-158</v>
      </c>
      <c r="F229" s="11">
        <f t="shared" si="26"/>
        <v>-43.686215222498333</v>
      </c>
      <c r="G229" s="11">
        <f t="shared" si="27"/>
        <v>-43.753940067951618</v>
      </c>
    </row>
    <row r="230" spans="5:7" x14ac:dyDescent="0.25">
      <c r="E230" s="11">
        <f t="shared" si="25"/>
        <v>-157</v>
      </c>
      <c r="F230" s="11">
        <f t="shared" si="26"/>
        <v>-43.622370638723794</v>
      </c>
      <c r="G230" s="11">
        <f t="shared" si="27"/>
        <v>-43.696423110283682</v>
      </c>
    </row>
    <row r="231" spans="5:7" x14ac:dyDescent="0.25">
      <c r="E231" s="11">
        <f t="shared" si="25"/>
        <v>-156</v>
      </c>
      <c r="F231" s="11">
        <f t="shared" si="26"/>
        <v>-43.56179317257741</v>
      </c>
      <c r="G231" s="11">
        <f t="shared" si="27"/>
        <v>-43.638309847199658</v>
      </c>
    </row>
    <row r="232" spans="5:7" x14ac:dyDescent="0.25">
      <c r="E232" s="11">
        <f t="shared" si="25"/>
        <v>-155</v>
      </c>
      <c r="F232" s="11">
        <f t="shared" si="26"/>
        <v>-43.503857893130117</v>
      </c>
      <c r="G232" s="11">
        <f t="shared" si="27"/>
        <v>-43.579525740522563</v>
      </c>
    </row>
    <row r="233" spans="5:7" x14ac:dyDescent="0.25">
      <c r="E233" s="11">
        <f t="shared" si="25"/>
        <v>-154</v>
      </c>
      <c r="F233" s="11">
        <f t="shared" si="26"/>
        <v>-43.447976040184102</v>
      </c>
      <c r="G233" s="11">
        <f t="shared" si="27"/>
        <v>-43.519996252075387</v>
      </c>
    </row>
    <row r="234" spans="5:7" x14ac:dyDescent="0.25">
      <c r="E234" s="11">
        <f t="shared" si="25"/>
        <v>-153</v>
      </c>
      <c r="F234" s="11">
        <f t="shared" si="26"/>
        <v>-43.393593986592634</v>
      </c>
      <c r="G234" s="11">
        <f t="shared" si="27"/>
        <v>-43.459646843681099</v>
      </c>
    </row>
    <row r="235" spans="5:7" x14ac:dyDescent="0.25">
      <c r="E235" s="11">
        <f t="shared" si="25"/>
        <v>-152</v>
      </c>
      <c r="F235" s="11">
        <f t="shared" si="26"/>
        <v>-43.340192193824947</v>
      </c>
      <c r="G235" s="11">
        <f t="shared" si="27"/>
        <v>-43.398402977162725</v>
      </c>
    </row>
    <row r="236" spans="5:7" x14ac:dyDescent="0.25">
      <c r="E236" s="11">
        <f t="shared" si="25"/>
        <v>-151</v>
      </c>
      <c r="F236" s="11">
        <f t="shared" si="26"/>
        <v>-43.28728416215975</v>
      </c>
      <c r="G236" s="11">
        <f t="shared" si="27"/>
        <v>-43.336190114343232</v>
      </c>
    </row>
    <row r="237" spans="5:7" x14ac:dyDescent="0.25">
      <c r="E237" s="11">
        <f t="shared" si="25"/>
        <v>-150</v>
      </c>
      <c r="F237" s="11">
        <f t="shared" si="26"/>
        <v>-43.234415376852724</v>
      </c>
      <c r="G237" s="11">
        <f t="shared" si="27"/>
        <v>-43.272933717045618</v>
      </c>
    </row>
    <row r="238" spans="5:7" x14ac:dyDescent="0.25">
      <c r="E238" s="11">
        <f t="shared" si="25"/>
        <v>-149</v>
      </c>
      <c r="F238" s="11">
        <f t="shared" si="26"/>
        <v>-43.181162251592525</v>
      </c>
      <c r="G238" s="11">
        <f t="shared" si="27"/>
        <v>-43.208559247092865</v>
      </c>
    </row>
    <row r="239" spans="5:7" x14ac:dyDescent="0.25">
      <c r="E239" s="11">
        <f t="shared" si="25"/>
        <v>-148</v>
      </c>
      <c r="F239" s="11">
        <f t="shared" si="26"/>
        <v>-43.127131070540713</v>
      </c>
      <c r="G239" s="11">
        <f t="shared" si="27"/>
        <v>-43.142992166307984</v>
      </c>
    </row>
    <row r="240" spans="5:7" x14ac:dyDescent="0.25">
      <c r="E240" s="11">
        <f t="shared" si="25"/>
        <v>-147</v>
      </c>
      <c r="F240" s="11">
        <f t="shared" si="26"/>
        <v>-43.071956930210916</v>
      </c>
      <c r="G240" s="11">
        <f t="shared" si="27"/>
        <v>-43.076157936513951</v>
      </c>
    </row>
    <row r="241" spans="5:7" x14ac:dyDescent="0.25">
      <c r="E241" s="11">
        <f t="shared" si="25"/>
        <v>-146</v>
      </c>
      <c r="F241" s="11">
        <f t="shared" si="26"/>
        <v>-43.015302682425158</v>
      </c>
      <c r="G241" s="11">
        <f t="shared" si="27"/>
        <v>-43.00798201953377</v>
      </c>
    </row>
    <row r="242" spans="5:7" x14ac:dyDescent="0.25">
      <c r="E242" s="11">
        <f t="shared" si="25"/>
        <v>-145</v>
      </c>
      <c r="F242" s="11">
        <f t="shared" si="26"/>
        <v>-42.956857879544884</v>
      </c>
      <c r="G242" s="11">
        <f t="shared" si="27"/>
        <v>-42.938389877190417</v>
      </c>
    </row>
    <row r="243" spans="5:7" x14ac:dyDescent="0.25">
      <c r="E243" s="11">
        <f t="shared" si="25"/>
        <v>-144</v>
      </c>
      <c r="F243" s="11">
        <f t="shared" si="26"/>
        <v>-42.89633772315716</v>
      </c>
      <c r="G243" s="11">
        <f t="shared" si="27"/>
        <v>-42.867306971306888</v>
      </c>
    </row>
    <row r="244" spans="5:7" x14ac:dyDescent="0.25">
      <c r="E244" s="11">
        <f t="shared" si="25"/>
        <v>-143</v>
      </c>
      <c r="F244" s="11">
        <f t="shared" si="26"/>
        <v>-42.833482017360836</v>
      </c>
      <c r="G244" s="11">
        <f t="shared" si="27"/>
        <v>-42.794658763706181</v>
      </c>
    </row>
    <row r="245" spans="5:7" x14ac:dyDescent="0.25">
      <c r="E245" s="11">
        <f t="shared" si="25"/>
        <v>-142</v>
      </c>
      <c r="F245" s="11">
        <f t="shared" si="26"/>
        <v>-42.768054127767755</v>
      </c>
      <c r="G245" s="11">
        <f t="shared" si="27"/>
        <v>-42.720370716211278</v>
      </c>
    </row>
    <row r="246" spans="5:7" x14ac:dyDescent="0.25">
      <c r="E246" s="11">
        <f t="shared" si="25"/>
        <v>-141</v>
      </c>
      <c r="F246" s="11">
        <f t="shared" si="26"/>
        <v>-42.699839947314572</v>
      </c>
      <c r="G246" s="11">
        <f t="shared" si="27"/>
        <v>-42.644368290645176</v>
      </c>
    </row>
    <row r="247" spans="5:7" x14ac:dyDescent="0.25">
      <c r="E247" s="11">
        <f t="shared" si="25"/>
        <v>-140</v>
      </c>
      <c r="F247" s="11">
        <f t="shared" si="26"/>
        <v>-42.628646869939573</v>
      </c>
      <c r="G247" s="11">
        <f t="shared" si="27"/>
        <v>-42.566576948830871</v>
      </c>
    </row>
    <row r="248" spans="5:7" x14ac:dyDescent="0.25">
      <c r="E248" s="11">
        <f t="shared" si="25"/>
        <v>-139</v>
      </c>
      <c r="F248" s="11">
        <f t="shared" si="26"/>
        <v>-42.554302773162689</v>
      </c>
      <c r="G248" s="11">
        <f t="shared" si="27"/>
        <v>-42.486922152591347</v>
      </c>
    </row>
    <row r="249" spans="5:7" x14ac:dyDescent="0.25">
      <c r="E249" s="11">
        <f t="shared" si="25"/>
        <v>-138</v>
      </c>
      <c r="F249" s="11">
        <f t="shared" si="26"/>
        <v>-42.476655010564969</v>
      </c>
      <c r="G249" s="11">
        <f t="shared" si="27"/>
        <v>-42.405329363749594</v>
      </c>
    </row>
    <row r="250" spans="5:7" x14ac:dyDescent="0.25">
      <c r="E250" s="11">
        <f t="shared" si="25"/>
        <v>-137</v>
      </c>
      <c r="F250" s="11">
        <f t="shared" si="26"/>
        <v>-42.395569415152337</v>
      </c>
      <c r="G250" s="11">
        <f t="shared" si="27"/>
        <v>-42.321724044128608</v>
      </c>
    </row>
    <row r="251" spans="5:7" x14ac:dyDescent="0.25">
      <c r="E251" s="11">
        <f t="shared" si="25"/>
        <v>-136</v>
      </c>
      <c r="F251" s="11">
        <f t="shared" si="26"/>
        <v>-42.310929314539365</v>
      </c>
      <c r="G251" s="11">
        <f t="shared" si="27"/>
        <v>-42.236031655551386</v>
      </c>
    </row>
    <row r="252" spans="5:7" x14ac:dyDescent="0.25">
      <c r="E252" s="11">
        <f t="shared" si="25"/>
        <v>-135</v>
      </c>
      <c r="F252" s="11">
        <f t="shared" si="26"/>
        <v>-42.222634558880088</v>
      </c>
      <c r="G252" s="11">
        <f t="shared" si="27"/>
        <v>-42.148177659840911</v>
      </c>
    </row>
    <row r="253" spans="5:7" x14ac:dyDescent="0.25">
      <c r="E253" s="11">
        <f t="shared" si="25"/>
        <v>-134</v>
      </c>
      <c r="F253" s="11">
        <f t="shared" si="26"/>
        <v>-42.130600562429109</v>
      </c>
      <c r="G253" s="11">
        <f t="shared" si="27"/>
        <v>-42.058087518820166</v>
      </c>
    </row>
    <row r="254" spans="5:7" x14ac:dyDescent="0.25">
      <c r="E254" s="11">
        <f t="shared" si="25"/>
        <v>-133</v>
      </c>
      <c r="F254" s="11">
        <f t="shared" si="26"/>
        <v>-42.034757359596895</v>
      </c>
      <c r="G254" s="11">
        <f t="shared" si="27"/>
        <v>-41.965686694312154</v>
      </c>
    </row>
    <row r="255" spans="5:7" x14ac:dyDescent="0.25">
      <c r="E255" s="11">
        <f t="shared" si="25"/>
        <v>-132</v>
      </c>
      <c r="F255" s="11">
        <f t="shared" si="26"/>
        <v>-41.935048676330169</v>
      </c>
      <c r="G255" s="11">
        <f t="shared" si="27"/>
        <v>-41.870900648139873</v>
      </c>
    </row>
    <row r="256" spans="5:7" x14ac:dyDescent="0.25">
      <c r="E256" s="11">
        <f t="shared" si="25"/>
        <v>-131</v>
      </c>
      <c r="F256" s="11">
        <f t="shared" si="26"/>
        <v>-41.831431017620723</v>
      </c>
      <c r="G256" s="11">
        <f t="shared" si="27"/>
        <v>-41.773654842126298</v>
      </c>
    </row>
    <row r="257" spans="5:7" x14ac:dyDescent="0.25">
      <c r="E257" s="11">
        <f t="shared" si="25"/>
        <v>-130</v>
      </c>
      <c r="F257" s="11">
        <f t="shared" si="26"/>
        <v>-41.723872771917506</v>
      </c>
      <c r="G257" s="11">
        <f t="shared" si="27"/>
        <v>-41.673874738094433</v>
      </c>
    </row>
    <row r="258" spans="5:7" x14ac:dyDescent="0.25">
      <c r="E258" s="11">
        <f t="shared" si="25"/>
        <v>-129</v>
      </c>
      <c r="F258" s="11">
        <f t="shared" si="26"/>
        <v>-41.61235333319032</v>
      </c>
      <c r="G258" s="11">
        <f t="shared" si="27"/>
        <v>-41.571485797867261</v>
      </c>
    </row>
    <row r="259" spans="5:7" x14ac:dyDescent="0.25">
      <c r="E259" s="11">
        <f t="shared" si="25"/>
        <v>-128</v>
      </c>
      <c r="F259" s="11">
        <f t="shared" si="26"/>
        <v>-41.496862241359707</v>
      </c>
      <c r="G259" s="11">
        <f t="shared" si="27"/>
        <v>-41.466413483267779</v>
      </c>
    </row>
    <row r="260" spans="5:7" x14ac:dyDescent="0.25">
      <c r="E260" s="11">
        <f t="shared" si="25"/>
        <v>-127</v>
      </c>
      <c r="F260" s="11">
        <f t="shared" si="26"/>
        <v>-41.377398341784257</v>
      </c>
      <c r="G260" s="11">
        <f t="shared" si="27"/>
        <v>-41.358583256118976</v>
      </c>
    </row>
    <row r="261" spans="5:7" x14ac:dyDescent="0.25">
      <c r="E261" s="11">
        <f t="shared" si="25"/>
        <v>-126</v>
      </c>
      <c r="F261" s="11">
        <f t="shared" si="26"/>
        <v>-41.253968964466097</v>
      </c>
      <c r="G261" s="11">
        <f t="shared" si="27"/>
        <v>-41.247920578243843</v>
      </c>
    </row>
    <row r="262" spans="5:7" x14ac:dyDescent="0.25">
      <c r="E262" s="11">
        <f t="shared" si="25"/>
        <v>-125</v>
      </c>
      <c r="F262" s="11">
        <f t="shared" si="26"/>
        <v>-41.126589123603999</v>
      </c>
      <c r="G262" s="11">
        <f t="shared" si="27"/>
        <v>-41.134350911465368</v>
      </c>
    </row>
    <row r="263" spans="5:7" x14ac:dyDescent="0.25">
      <c r="E263" s="11">
        <f t="shared" si="25"/>
        <v>-124</v>
      </c>
      <c r="F263" s="11">
        <f t="shared" si="26"/>
        <v>-40.995280738101386</v>
      </c>
      <c r="G263" s="11">
        <f t="shared" si="27"/>
        <v>-41.00257086403596</v>
      </c>
    </row>
    <row r="264" spans="5:7" x14ac:dyDescent="0.25">
      <c r="E264" s="11">
        <f t="shared" si="25"/>
        <v>-123</v>
      </c>
      <c r="F264" s="11">
        <f t="shared" si="26"/>
        <v>-40.860071873601157</v>
      </c>
      <c r="G264" s="11">
        <f t="shared" si="27"/>
        <v>-40.867771276476986</v>
      </c>
    </row>
    <row r="265" spans="5:7" x14ac:dyDescent="0.25">
      <c r="E265" s="11">
        <f t="shared" si="25"/>
        <v>-122</v>
      </c>
      <c r="F265" s="11">
        <f t="shared" si="26"/>
        <v>-40.72099600659373</v>
      </c>
      <c r="G265" s="11">
        <f t="shared" si="27"/>
        <v>-40.729914135739186</v>
      </c>
    </row>
    <row r="266" spans="5:7" x14ac:dyDescent="0.25">
      <c r="E266" s="11">
        <f t="shared" si="25"/>
        <v>-121</v>
      </c>
      <c r="F266" s="11">
        <f t="shared" si="26"/>
        <v>-40.578091311117454</v>
      </c>
      <c r="G266" s="11">
        <f t="shared" si="27"/>
        <v>-40.588961428773331</v>
      </c>
    </row>
    <row r="267" spans="5:7" x14ac:dyDescent="0.25">
      <c r="E267" s="11">
        <f t="shared" si="25"/>
        <v>-120</v>
      </c>
      <c r="F267" s="11">
        <f t="shared" si="26"/>
        <v>-40.431399968539168</v>
      </c>
      <c r="G267" s="11">
        <f t="shared" si="27"/>
        <v>-40.444875142530172</v>
      </c>
    </row>
    <row r="268" spans="5:7" x14ac:dyDescent="0.25">
      <c r="E268" s="11">
        <f t="shared" si="25"/>
        <v>-119</v>
      </c>
      <c r="F268" s="11">
        <f t="shared" si="26"/>
        <v>-40.280967500875029</v>
      </c>
      <c r="G268" s="11">
        <f t="shared" si="27"/>
        <v>-40.297617263960483</v>
      </c>
    </row>
    <row r="269" spans="5:7" x14ac:dyDescent="0.25">
      <c r="E269" s="11">
        <f t="shared" si="25"/>
        <v>-118</v>
      </c>
      <c r="F269" s="11">
        <f t="shared" si="26"/>
        <v>-40.126842128085528</v>
      </c>
      <c r="G269" s="11">
        <f t="shared" si="27"/>
        <v>-40.14714978001502</v>
      </c>
    </row>
    <row r="270" spans="5:7" x14ac:dyDescent="0.25">
      <c r="E270" s="11">
        <f t="shared" si="25"/>
        <v>-117</v>
      </c>
      <c r="F270" s="11">
        <f t="shared" si="26"/>
        <v>-39.969074149745403</v>
      </c>
      <c r="G270" s="11">
        <f t="shared" si="27"/>
        <v>-39.993434677644544</v>
      </c>
    </row>
    <row r="271" spans="5:7" x14ac:dyDescent="0.25">
      <c r="E271" s="11">
        <f t="shared" si="25"/>
        <v>-116</v>
      </c>
      <c r="F271" s="11">
        <f t="shared" si="26"/>
        <v>-39.807715351463855</v>
      </c>
      <c r="G271" s="11">
        <f t="shared" si="27"/>
        <v>-39.836433943799832</v>
      </c>
    </row>
    <row r="272" spans="5:7" x14ac:dyDescent="0.25">
      <c r="E272" s="11">
        <f t="shared" si="25"/>
        <v>-115</v>
      </c>
      <c r="F272" s="11">
        <f t="shared" si="26"/>
        <v>-39.642818436403353</v>
      </c>
      <c r="G272" s="11">
        <f t="shared" si="27"/>
        <v>-39.676109565431631</v>
      </c>
    </row>
    <row r="273" spans="5:7" x14ac:dyDescent="0.25">
      <c r="E273" s="11">
        <f t="shared" si="25"/>
        <v>-114</v>
      </c>
      <c r="F273" s="11">
        <f t="shared" si="26"/>
        <v>-39.474436482210443</v>
      </c>
      <c r="G273" s="11">
        <f t="shared" si="27"/>
        <v>-39.512423529490711</v>
      </c>
    </row>
    <row r="274" spans="5:7" x14ac:dyDescent="0.25">
      <c r="E274" s="11">
        <f t="shared" si="25"/>
        <v>-113</v>
      </c>
      <c r="F274" s="11">
        <f t="shared" si="26"/>
        <v>-39.302622423651599</v>
      </c>
      <c r="G274" s="11">
        <f t="shared" si="27"/>
        <v>-39.345337822927831</v>
      </c>
    </row>
    <row r="275" spans="5:7" x14ac:dyDescent="0.25">
      <c r="E275" s="11">
        <f t="shared" si="25"/>
        <v>-112</v>
      </c>
      <c r="F275" s="11">
        <f t="shared" si="26"/>
        <v>-39.127428561211033</v>
      </c>
      <c r="G275" s="11">
        <f t="shared" si="27"/>
        <v>-39.174814432693751</v>
      </c>
    </row>
    <row r="276" spans="5:7" x14ac:dyDescent="0.25">
      <c r="E276" s="11">
        <f t="shared" si="25"/>
        <v>-111</v>
      </c>
      <c r="F276" s="11">
        <f t="shared" si="26"/>
        <v>-38.948906095884965</v>
      </c>
      <c r="G276" s="11">
        <f t="shared" si="27"/>
        <v>-39.000815345739255</v>
      </c>
    </row>
    <row r="277" spans="5:7" x14ac:dyDescent="0.25">
      <c r="E277" s="11">
        <f t="shared" si="25"/>
        <v>-110</v>
      </c>
      <c r="F277" s="11">
        <f t="shared" si="26"/>
        <v>-38.767104690372825</v>
      </c>
      <c r="G277" s="11">
        <f t="shared" si="27"/>
        <v>-38.823302549015068</v>
      </c>
    </row>
    <row r="278" spans="5:7" x14ac:dyDescent="0.25">
      <c r="E278" s="11">
        <f t="shared" si="25"/>
        <v>-109</v>
      </c>
      <c r="F278" s="11">
        <f t="shared" si="26"/>
        <v>-38.582072056842996</v>
      </c>
      <c r="G278" s="11">
        <f t="shared" si="27"/>
        <v>-38.642238029471983</v>
      </c>
    </row>
    <row r="279" spans="5:7" x14ac:dyDescent="0.25">
      <c r="E279" s="11">
        <f t="shared" si="25"/>
        <v>-108</v>
      </c>
      <c r="F279" s="11">
        <f t="shared" si="26"/>
        <v>-38.393853571415406</v>
      </c>
      <c r="G279" s="11">
        <f t="shared" si="27"/>
        <v>-38.457583774060751</v>
      </c>
    </row>
    <row r="280" spans="5:7" x14ac:dyDescent="0.25">
      <c r="E280" s="11">
        <f t="shared" si="25"/>
        <v>-107</v>
      </c>
      <c r="F280" s="11">
        <f t="shared" si="26"/>
        <v>-38.202491915482</v>
      </c>
      <c r="G280" s="11">
        <f t="shared" si="27"/>
        <v>-38.269301769732138</v>
      </c>
    </row>
    <row r="281" spans="5:7" x14ac:dyDescent="0.25">
      <c r="E281" s="11">
        <f t="shared" si="25"/>
        <v>-106</v>
      </c>
      <c r="F281" s="11">
        <f t="shared" si="26"/>
        <v>-38.008026743951156</v>
      </c>
      <c r="G281" s="11">
        <f t="shared" si="27"/>
        <v>-38.077354003436909</v>
      </c>
    </row>
    <row r="282" spans="5:7" x14ac:dyDescent="0.25">
      <c r="E282" s="11">
        <f t="shared" si="25"/>
        <v>-105</v>
      </c>
      <c r="F282" s="11">
        <f t="shared" si="26"/>
        <v>-37.810494380477238</v>
      </c>
      <c r="G282" s="11">
        <f t="shared" si="27"/>
        <v>-37.881702462125816</v>
      </c>
    </row>
    <row r="283" spans="5:7" x14ac:dyDescent="0.25">
      <c r="E283" s="11">
        <f t="shared" si="25"/>
        <v>-104</v>
      </c>
      <c r="F283" s="11">
        <f t="shared" si="26"/>
        <v>-37.609927539707186</v>
      </c>
      <c r="G283" s="11">
        <f t="shared" si="27"/>
        <v>-37.68230913274963</v>
      </c>
    </row>
    <row r="284" spans="5:7" x14ac:dyDescent="0.25">
      <c r="E284" s="11">
        <f t="shared" si="25"/>
        <v>-103</v>
      </c>
      <c r="F284" s="11">
        <f t="shared" si="26"/>
        <v>-37.406355076546831</v>
      </c>
      <c r="G284" s="11">
        <f t="shared" si="27"/>
        <v>-37.479136002259111</v>
      </c>
    </row>
    <row r="285" spans="5:7" x14ac:dyDescent="0.25">
      <c r="E285" s="11">
        <f t="shared" si="25"/>
        <v>-102</v>
      </c>
      <c r="F285" s="11">
        <f t="shared" si="26"/>
        <v>-37.199801762420819</v>
      </c>
      <c r="G285" s="11">
        <f t="shared" si="27"/>
        <v>-37.272145057605023</v>
      </c>
    </row>
    <row r="286" spans="5:7" x14ac:dyDescent="0.25">
      <c r="E286" s="11">
        <f t="shared" si="25"/>
        <v>-101</v>
      </c>
      <c r="F286" s="11">
        <f t="shared" si="26"/>
        <v>-36.99028808847298</v>
      </c>
      <c r="G286" s="11">
        <f t="shared" si="27"/>
        <v>-37.061298285738125</v>
      </c>
    </row>
    <row r="287" spans="5:7" x14ac:dyDescent="0.25">
      <c r="E287" s="11">
        <f t="shared" ref="E287:E350" si="28">E80</f>
        <v>-100</v>
      </c>
      <c r="F287" s="11">
        <f t="shared" ref="F287:F350" si="29">$H$217*0+E287*$I$217+E287^2*$J$217+E287^3*$K$217+E287^4*$L$217+E287^5*$M$217+E287^6*$N$217+E287^7*$O$217+E287^8*$P$217</f>
        <v>-36.777830095623749</v>
      </c>
      <c r="G287" s="11">
        <f t="shared" ref="G287:G350" si="30">F80</f>
        <v>-36.84655767360919</v>
      </c>
    </row>
    <row r="288" spans="5:7" x14ac:dyDescent="0.25">
      <c r="E288" s="11">
        <f t="shared" si="28"/>
        <v>-99</v>
      </c>
      <c r="F288" s="11">
        <f t="shared" si="29"/>
        <v>-36.562439231372835</v>
      </c>
      <c r="G288" s="11">
        <f t="shared" si="30"/>
        <v>-36.627900907883301</v>
      </c>
    </row>
    <row r="289" spans="5:7" x14ac:dyDescent="0.25">
      <c r="E289" s="11">
        <f t="shared" si="28"/>
        <v>-98</v>
      </c>
      <c r="F289" s="11">
        <f t="shared" si="29"/>
        <v>-36.344122233208822</v>
      </c>
      <c r="G289" s="11">
        <f t="shared" si="30"/>
        <v>-36.405368474082891</v>
      </c>
    </row>
    <row r="290" spans="5:7" x14ac:dyDescent="0.25">
      <c r="E290" s="11">
        <f t="shared" si="28"/>
        <v>-97</v>
      </c>
      <c r="F290" s="11">
        <f t="shared" si="29"/>
        <v>-36.122881038455013</v>
      </c>
      <c r="G290" s="11">
        <f t="shared" si="30"/>
        <v>-36.179016557444704</v>
      </c>
    </row>
    <row r="291" spans="5:7" x14ac:dyDescent="0.25">
      <c r="E291" s="11">
        <f t="shared" si="28"/>
        <v>-96</v>
      </c>
      <c r="F291" s="11">
        <f t="shared" si="29"/>
        <v>-35.898712720356208</v>
      </c>
      <c r="G291" s="11">
        <f t="shared" si="30"/>
        <v>-35.948901343205499</v>
      </c>
    </row>
    <row r="292" spans="5:7" x14ac:dyDescent="0.25">
      <c r="E292" s="11">
        <f t="shared" si="28"/>
        <v>-95</v>
      </c>
      <c r="F292" s="11">
        <f t="shared" si="29"/>
        <v>-35.671609450179488</v>
      </c>
      <c r="G292" s="11">
        <f t="shared" si="30"/>
        <v>-35.715079016602047</v>
      </c>
    </row>
    <row r="293" spans="5:7" x14ac:dyDescent="0.25">
      <c r="E293" s="11">
        <f t="shared" si="28"/>
        <v>-94</v>
      </c>
      <c r="F293" s="11">
        <f t="shared" si="29"/>
        <v>-35.44155848507544</v>
      </c>
      <c r="G293" s="11">
        <f t="shared" si="30"/>
        <v>-35.477605762871079</v>
      </c>
    </row>
    <row r="294" spans="5:7" x14ac:dyDescent="0.25">
      <c r="E294" s="11">
        <f t="shared" si="28"/>
        <v>-93</v>
      </c>
      <c r="F294" s="11">
        <f t="shared" si="29"/>
        <v>-35.20854218141659</v>
      </c>
      <c r="G294" s="11">
        <f t="shared" si="30"/>
        <v>-35.236537767249374</v>
      </c>
    </row>
    <row r="295" spans="5:7" x14ac:dyDescent="0.25">
      <c r="E295" s="11">
        <f t="shared" si="28"/>
        <v>-92</v>
      </c>
      <c r="F295" s="11">
        <f t="shared" si="29"/>
        <v>-34.972538033301667</v>
      </c>
      <c r="G295" s="11">
        <f t="shared" si="30"/>
        <v>-34.991931214973668</v>
      </c>
    </row>
    <row r="296" spans="5:7" x14ac:dyDescent="0.25">
      <c r="E296" s="11">
        <f t="shared" si="28"/>
        <v>-91</v>
      </c>
      <c r="F296" s="11">
        <f t="shared" si="29"/>
        <v>-34.733518735885426</v>
      </c>
      <c r="G296" s="11">
        <f t="shared" si="30"/>
        <v>-34.743842291280728</v>
      </c>
    </row>
    <row r="297" spans="5:7" x14ac:dyDescent="0.25">
      <c r="E297" s="11">
        <f t="shared" si="28"/>
        <v>-90</v>
      </c>
      <c r="F297" s="11">
        <f t="shared" si="29"/>
        <v>-34.491452273165692</v>
      </c>
      <c r="G297" s="11">
        <f t="shared" si="30"/>
        <v>-34.492327181407319</v>
      </c>
    </row>
    <row r="298" spans="5:7" x14ac:dyDescent="0.25">
      <c r="E298" s="11">
        <f t="shared" si="28"/>
        <v>-89</v>
      </c>
      <c r="F298" s="11">
        <f t="shared" si="29"/>
        <v>-34.24630202983014</v>
      </c>
      <c r="G298" s="11">
        <f t="shared" si="30"/>
        <v>-34.23744207059017</v>
      </c>
    </row>
    <row r="299" spans="5:7" x14ac:dyDescent="0.25">
      <c r="E299" s="11">
        <f t="shared" si="28"/>
        <v>-88</v>
      </c>
      <c r="F299" s="11">
        <f t="shared" si="29"/>
        <v>-33.998026926737062</v>
      </c>
      <c r="G299" s="11">
        <f t="shared" si="30"/>
        <v>-33.979243144066054</v>
      </c>
    </row>
    <row r="300" spans="5:7" x14ac:dyDescent="0.25">
      <c r="E300" s="11">
        <f t="shared" si="28"/>
        <v>-87</v>
      </c>
      <c r="F300" s="11">
        <f t="shared" si="29"/>
        <v>-33.746581579575611</v>
      </c>
      <c r="G300" s="11">
        <f t="shared" si="30"/>
        <v>-33.717786587071728</v>
      </c>
    </row>
    <row r="301" spans="5:7" x14ac:dyDescent="0.25">
      <c r="E301" s="11">
        <f t="shared" si="28"/>
        <v>-86</v>
      </c>
      <c r="F301" s="11">
        <f t="shared" si="29"/>
        <v>-33.491916480222542</v>
      </c>
      <c r="G301" s="11">
        <f t="shared" si="30"/>
        <v>-33.453128584843938</v>
      </c>
    </row>
    <row r="302" spans="5:7" x14ac:dyDescent="0.25">
      <c r="E302" s="11">
        <f t="shared" si="28"/>
        <v>-85</v>
      </c>
      <c r="F302" s="11">
        <f t="shared" si="29"/>
        <v>-33.233978200283893</v>
      </c>
      <c r="G302" s="11">
        <f t="shared" si="30"/>
        <v>-33.185325322619448</v>
      </c>
    </row>
    <row r="303" spans="5:7" x14ac:dyDescent="0.25">
      <c r="E303" s="11">
        <f t="shared" si="28"/>
        <v>-84</v>
      </c>
      <c r="F303" s="11">
        <f t="shared" si="29"/>
        <v>-32.972709616281307</v>
      </c>
      <c r="G303" s="11">
        <f t="shared" si="30"/>
        <v>-32.914432985635017</v>
      </c>
    </row>
    <row r="304" spans="5:7" x14ac:dyDescent="0.25">
      <c r="E304" s="11">
        <f t="shared" si="28"/>
        <v>-83</v>
      </c>
      <c r="F304" s="11">
        <f t="shared" si="29"/>
        <v>-32.708050155914378</v>
      </c>
      <c r="G304" s="11">
        <f t="shared" si="30"/>
        <v>-32.640507759127388</v>
      </c>
    </row>
    <row r="305" spans="5:7" x14ac:dyDescent="0.25">
      <c r="E305" s="11">
        <f t="shared" si="28"/>
        <v>-82</v>
      </c>
      <c r="F305" s="11">
        <f t="shared" si="29"/>
        <v>-32.439936064801131</v>
      </c>
      <c r="G305" s="11">
        <f t="shared" si="30"/>
        <v>-32.36360582833332</v>
      </c>
    </row>
    <row r="306" spans="5:7" x14ac:dyDescent="0.25">
      <c r="E306" s="11">
        <f t="shared" si="28"/>
        <v>-81</v>
      </c>
      <c r="F306" s="11">
        <f t="shared" si="29"/>
        <v>-32.168300693071643</v>
      </c>
      <c r="G306" s="11">
        <f t="shared" si="30"/>
        <v>-32.083783378489585</v>
      </c>
    </row>
    <row r="307" spans="5:7" x14ac:dyDescent="0.25">
      <c r="E307" s="11">
        <f t="shared" si="28"/>
        <v>-80</v>
      </c>
      <c r="F307" s="11">
        <f t="shared" si="29"/>
        <v>-31.893074801158953</v>
      </c>
      <c r="G307" s="11">
        <f t="shared" si="30"/>
        <v>-31.801096594832913</v>
      </c>
    </row>
    <row r="308" spans="5:7" x14ac:dyDescent="0.25">
      <c r="E308" s="11">
        <f t="shared" si="28"/>
        <v>-79</v>
      </c>
      <c r="F308" s="11">
        <f t="shared" si="29"/>
        <v>-31.614186884105568</v>
      </c>
      <c r="G308" s="11">
        <f t="shared" si="30"/>
        <v>-31.515601662600076</v>
      </c>
    </row>
    <row r="309" spans="5:7" x14ac:dyDescent="0.25">
      <c r="E309" s="11">
        <f t="shared" si="28"/>
        <v>-78</v>
      </c>
      <c r="F309" s="11">
        <f t="shared" si="29"/>
        <v>-31.331563513672265</v>
      </c>
      <c r="G309" s="11">
        <f t="shared" si="30"/>
        <v>-31.227354767027826</v>
      </c>
    </row>
    <row r="310" spans="5:7" x14ac:dyDescent="0.25">
      <c r="E310" s="11">
        <f t="shared" si="28"/>
        <v>-77</v>
      </c>
      <c r="F310" s="11">
        <f t="shared" si="29"/>
        <v>-31.045129697510291</v>
      </c>
      <c r="G310" s="11">
        <f t="shared" si="30"/>
        <v>-30.936412093352917</v>
      </c>
    </row>
    <row r="311" spans="5:7" x14ac:dyDescent="0.25">
      <c r="E311" s="11">
        <f t="shared" si="28"/>
        <v>-76</v>
      </c>
      <c r="F311" s="11">
        <f t="shared" si="29"/>
        <v>-30.754809254627073</v>
      </c>
      <c r="G311" s="11">
        <f t="shared" si="30"/>
        <v>-30.642829826812108</v>
      </c>
    </row>
    <row r="312" spans="5:7" x14ac:dyDescent="0.25">
      <c r="E312" s="11">
        <f t="shared" si="28"/>
        <v>-75</v>
      </c>
      <c r="F312" s="11">
        <f t="shared" si="29"/>
        <v>-30.460525206348326</v>
      </c>
      <c r="G312" s="11">
        <f t="shared" si="30"/>
        <v>-30.346664152642152</v>
      </c>
    </row>
    <row r="313" spans="5:7" x14ac:dyDescent="0.25">
      <c r="E313" s="11">
        <f t="shared" si="28"/>
        <v>-74</v>
      </c>
      <c r="F313" s="11">
        <f t="shared" si="29"/>
        <v>-30.162200181950436</v>
      </c>
      <c r="G313" s="11">
        <f t="shared" si="30"/>
        <v>-30.047938027193634</v>
      </c>
    </row>
    <row r="314" spans="5:7" x14ac:dyDescent="0.25">
      <c r="E314" s="11">
        <f t="shared" si="28"/>
        <v>-73</v>
      </c>
      <c r="F314" s="11">
        <f t="shared" si="29"/>
        <v>-29.859756838108371</v>
      </c>
      <c r="G314" s="11">
        <f t="shared" si="30"/>
        <v>-29.746541491272474</v>
      </c>
    </row>
    <row r="315" spans="5:7" x14ac:dyDescent="0.25">
      <c r="E315" s="11">
        <f t="shared" si="28"/>
        <v>-72</v>
      </c>
      <c r="F315" s="11">
        <f t="shared" si="29"/>
        <v>-29.553118291275837</v>
      </c>
      <c r="G315" s="11">
        <f t="shared" si="30"/>
        <v>-29.442331356798416</v>
      </c>
    </row>
    <row r="316" spans="5:7" x14ac:dyDescent="0.25">
      <c r="E316" s="11">
        <f t="shared" si="28"/>
        <v>-71</v>
      </c>
      <c r="F316" s="11">
        <f t="shared" si="29"/>
        <v>-29.242208562085882</v>
      </c>
      <c r="G316" s="11">
        <f t="shared" si="30"/>
        <v>-29.135164435691198</v>
      </c>
    </row>
    <row r="317" spans="5:7" x14ac:dyDescent="0.25">
      <c r="E317" s="11">
        <f t="shared" si="28"/>
        <v>-70</v>
      </c>
      <c r="F317" s="11">
        <f t="shared" si="29"/>
        <v>-28.926953030831331</v>
      </c>
      <c r="G317" s="11">
        <f t="shared" si="30"/>
        <v>-28.824897539870577</v>
      </c>
    </row>
    <row r="318" spans="5:7" x14ac:dyDescent="0.25">
      <c r="E318" s="11">
        <f t="shared" si="28"/>
        <v>-69</v>
      </c>
      <c r="F318" s="11">
        <f t="shared" si="29"/>
        <v>-28.607278903056322</v>
      </c>
      <c r="G318" s="11">
        <f t="shared" si="30"/>
        <v>-28.511387481256286</v>
      </c>
    </row>
    <row r="319" spans="5:7" x14ac:dyDescent="0.25">
      <c r="E319" s="11">
        <f t="shared" si="28"/>
        <v>-68</v>
      </c>
      <c r="F319" s="11">
        <f t="shared" si="29"/>
        <v>-28.283115684260856</v>
      </c>
      <c r="G319" s="11">
        <f t="shared" si="30"/>
        <v>-28.194491071768081</v>
      </c>
    </row>
    <row r="320" spans="5:7" x14ac:dyDescent="0.25">
      <c r="E320" s="11">
        <f t="shared" si="28"/>
        <v>-67</v>
      </c>
      <c r="F320" s="11">
        <f t="shared" si="29"/>
        <v>-27.954395662692583</v>
      </c>
      <c r="G320" s="11">
        <f t="shared" si="30"/>
        <v>-27.874065123325703</v>
      </c>
    </row>
    <row r="321" spans="5:7" x14ac:dyDescent="0.25">
      <c r="E321" s="11">
        <f t="shared" si="28"/>
        <v>-66</v>
      </c>
      <c r="F321" s="11">
        <f t="shared" si="29"/>
        <v>-27.621054399170671</v>
      </c>
      <c r="G321" s="11">
        <f t="shared" si="30"/>
        <v>-27.549966447848895</v>
      </c>
    </row>
    <row r="322" spans="5:7" x14ac:dyDescent="0.25">
      <c r="E322" s="11">
        <f t="shared" si="28"/>
        <v>-65</v>
      </c>
      <c r="F322" s="11">
        <f t="shared" si="29"/>
        <v>-27.283031222858597</v>
      </c>
      <c r="G322" s="11">
        <f t="shared" si="30"/>
        <v>-27.222051857257405</v>
      </c>
    </row>
    <row r="323" spans="5:7" x14ac:dyDescent="0.25">
      <c r="E323" s="11">
        <f t="shared" si="28"/>
        <v>-64</v>
      </c>
      <c r="F323" s="11">
        <f t="shared" si="29"/>
        <v>-26.940269731873617</v>
      </c>
      <c r="G323" s="11">
        <f t="shared" si="30"/>
        <v>-26.890178163470981</v>
      </c>
    </row>
    <row r="324" spans="5:7" x14ac:dyDescent="0.25">
      <c r="E324" s="11">
        <f t="shared" si="28"/>
        <v>-63</v>
      </c>
      <c r="F324" s="11">
        <f t="shared" si="29"/>
        <v>-26.592718297592619</v>
      </c>
      <c r="G324" s="11">
        <f t="shared" si="30"/>
        <v>-26.554202178409362</v>
      </c>
    </row>
    <row r="325" spans="5:7" x14ac:dyDescent="0.25">
      <c r="E325" s="11">
        <f t="shared" si="28"/>
        <v>-62</v>
      </c>
      <c r="F325" s="11">
        <f t="shared" si="29"/>
        <v>-26.24033057148495</v>
      </c>
      <c r="G325" s="11">
        <f t="shared" si="30"/>
        <v>-26.213980713992303</v>
      </c>
    </row>
    <row r="326" spans="5:7" x14ac:dyDescent="0.25">
      <c r="E326" s="11">
        <f t="shared" si="28"/>
        <v>-61</v>
      </c>
      <c r="F326" s="11">
        <f t="shared" si="29"/>
        <v>-25.883065993274492</v>
      </c>
      <c r="G326" s="11">
        <f t="shared" si="30"/>
        <v>-25.869370582139538</v>
      </c>
    </row>
    <row r="327" spans="5:7" x14ac:dyDescent="0.25">
      <c r="E327" s="11">
        <f t="shared" si="28"/>
        <v>-60</v>
      </c>
      <c r="F327" s="11">
        <f t="shared" si="29"/>
        <v>-25.520890299204787</v>
      </c>
      <c r="G327" s="11">
        <f t="shared" si="30"/>
        <v>-25.520228594770813</v>
      </c>
    </row>
    <row r="328" spans="5:7" x14ac:dyDescent="0.25">
      <c r="E328" s="11">
        <f t="shared" si="28"/>
        <v>-59</v>
      </c>
      <c r="F328" s="11">
        <f t="shared" si="29"/>
        <v>-25.153776029152091</v>
      </c>
      <c r="G328" s="11">
        <f t="shared" si="30"/>
        <v>-25.166411563805887</v>
      </c>
    </row>
    <row r="329" spans="5:7" x14ac:dyDescent="0.25">
      <c r="E329" s="11">
        <f t="shared" si="28"/>
        <v>-58</v>
      </c>
      <c r="F329" s="11">
        <f t="shared" si="29"/>
        <v>-24.781703031302904</v>
      </c>
      <c r="G329" s="11">
        <f t="shared" si="30"/>
        <v>-24.807776301164495</v>
      </c>
    </row>
    <row r="330" spans="5:7" x14ac:dyDescent="0.25">
      <c r="E330" s="11">
        <f t="shared" si="28"/>
        <v>-57</v>
      </c>
      <c r="F330" s="11">
        <f t="shared" si="29"/>
        <v>-24.404658963083822</v>
      </c>
      <c r="G330" s="11">
        <f t="shared" si="30"/>
        <v>-24.444179618766377</v>
      </c>
    </row>
    <row r="331" spans="5:7" x14ac:dyDescent="0.25">
      <c r="E331" s="11">
        <f t="shared" si="28"/>
        <v>-56</v>
      </c>
      <c r="F331" s="11">
        <f t="shared" si="29"/>
        <v>-24.022639787003033</v>
      </c>
      <c r="G331" s="11">
        <f t="shared" si="30"/>
        <v>-24.07547832853129</v>
      </c>
    </row>
    <row r="332" spans="5:7" x14ac:dyDescent="0.25">
      <c r="E332" s="11">
        <f t="shared" si="28"/>
        <v>-55</v>
      </c>
      <c r="F332" s="11">
        <f t="shared" si="29"/>
        <v>-23.635650260034158</v>
      </c>
      <c r="G332" s="11">
        <f t="shared" si="30"/>
        <v>-23.701529242378975</v>
      </c>
    </row>
    <row r="333" spans="5:7" x14ac:dyDescent="0.25">
      <c r="E333" s="11">
        <f t="shared" si="28"/>
        <v>-54</v>
      </c>
      <c r="F333" s="11">
        <f t="shared" si="29"/>
        <v>-23.243704415144485</v>
      </c>
      <c r="G333" s="11">
        <f t="shared" si="30"/>
        <v>-23.32218917222918</v>
      </c>
    </row>
    <row r="334" spans="5:7" x14ac:dyDescent="0.25">
      <c r="E334" s="11">
        <f t="shared" si="28"/>
        <v>-53</v>
      </c>
      <c r="F334" s="11">
        <f t="shared" si="29"/>
        <v>-22.846826033541177</v>
      </c>
      <c r="G334" s="11">
        <f t="shared" si="30"/>
        <v>-22.937314930001641</v>
      </c>
    </row>
    <row r="335" spans="5:7" x14ac:dyDescent="0.25">
      <c r="E335" s="11">
        <f t="shared" si="28"/>
        <v>-52</v>
      </c>
      <c r="F335" s="11">
        <f t="shared" si="29"/>
        <v>-22.445049106180367</v>
      </c>
      <c r="G335" s="11">
        <f t="shared" si="30"/>
        <v>-22.546763327616112</v>
      </c>
    </row>
    <row r="336" spans="5:7" x14ac:dyDescent="0.25">
      <c r="E336" s="11">
        <f t="shared" si="28"/>
        <v>-51</v>
      </c>
      <c r="F336" s="11">
        <f t="shared" si="29"/>
        <v>-22.038418283055442</v>
      </c>
      <c r="G336" s="11">
        <f t="shared" si="30"/>
        <v>-22.150391176992336</v>
      </c>
    </row>
    <row r="337" spans="5:7" x14ac:dyDescent="0.25">
      <c r="E337" s="11">
        <f t="shared" si="28"/>
        <v>-50</v>
      </c>
      <c r="F337" s="11">
        <f t="shared" si="29"/>
        <v>-21.626989308752332</v>
      </c>
      <c r="G337" s="11">
        <f t="shared" si="30"/>
        <v>-21.748055290050061</v>
      </c>
    </row>
    <row r="338" spans="5:7" x14ac:dyDescent="0.25">
      <c r="E338" s="11">
        <f t="shared" si="28"/>
        <v>-49</v>
      </c>
      <c r="F338" s="11">
        <f t="shared" si="29"/>
        <v>-21.210829442730912</v>
      </c>
      <c r="G338" s="11">
        <f t="shared" si="30"/>
        <v>-21.339612478709029</v>
      </c>
    </row>
    <row r="339" spans="5:7" x14ac:dyDescent="0.25">
      <c r="E339" s="11">
        <f t="shared" si="28"/>
        <v>-48</v>
      </c>
      <c r="F339" s="11">
        <f t="shared" si="29"/>
        <v>-20.790017862763104</v>
      </c>
      <c r="G339" s="11">
        <f t="shared" si="30"/>
        <v>-20.92491955488898</v>
      </c>
    </row>
    <row r="340" spans="5:7" x14ac:dyDescent="0.25">
      <c r="E340" s="11">
        <f t="shared" si="28"/>
        <v>-47</v>
      </c>
      <c r="F340" s="11">
        <f t="shared" si="29"/>
        <v>-20.364646049929679</v>
      </c>
      <c r="G340" s="11">
        <f t="shared" si="30"/>
        <v>-20.503833330509675</v>
      </c>
    </row>
    <row r="341" spans="5:7" x14ac:dyDescent="0.25">
      <c r="E341" s="11">
        <f t="shared" si="28"/>
        <v>-46</v>
      </c>
      <c r="F341" s="11">
        <f t="shared" si="29"/>
        <v>-19.934818153549042</v>
      </c>
      <c r="G341" s="11">
        <f t="shared" si="30"/>
        <v>-20.076210617490844</v>
      </c>
    </row>
    <row r="342" spans="5:7" x14ac:dyDescent="0.25">
      <c r="E342" s="11">
        <f t="shared" si="28"/>
        <v>-45</v>
      </c>
      <c r="F342" s="11">
        <f t="shared" si="29"/>
        <v>-19.500651334383058</v>
      </c>
      <c r="G342" s="11">
        <f t="shared" si="30"/>
        <v>-19.641908227752239</v>
      </c>
    </row>
    <row r="343" spans="5:7" x14ac:dyDescent="0.25">
      <c r="E343" s="11">
        <f t="shared" si="28"/>
        <v>-44</v>
      </c>
      <c r="F343" s="11">
        <f t="shared" si="29"/>
        <v>-19.06227608443578</v>
      </c>
      <c r="G343" s="11">
        <f t="shared" si="30"/>
        <v>-19.200883241629921</v>
      </c>
    </row>
    <row r="344" spans="5:7" x14ac:dyDescent="0.25">
      <c r="E344" s="11">
        <f t="shared" si="28"/>
        <v>-43</v>
      </c>
      <c r="F344" s="11">
        <f t="shared" si="29"/>
        <v>-18.619836521633022</v>
      </c>
      <c r="G344" s="11">
        <f t="shared" si="30"/>
        <v>-18.753493813125214</v>
      </c>
    </row>
    <row r="345" spans="5:7" x14ac:dyDescent="0.25">
      <c r="E345" s="11">
        <f t="shared" si="28"/>
        <v>-42</v>
      </c>
      <c r="F345" s="11">
        <f t="shared" si="29"/>
        <v>-18.173490657641569</v>
      </c>
      <c r="G345" s="11">
        <f t="shared" si="30"/>
        <v>-18.30019836465576</v>
      </c>
    </row>
    <row r="346" spans="5:7" x14ac:dyDescent="0.25">
      <c r="E346" s="11">
        <f t="shared" si="28"/>
        <v>-41</v>
      </c>
      <c r="F346" s="11">
        <f t="shared" si="29"/>
        <v>-17.723410637058649</v>
      </c>
      <c r="G346" s="11">
        <f t="shared" si="30"/>
        <v>-17.841455318639195</v>
      </c>
    </row>
    <row r="347" spans="5:7" x14ac:dyDescent="0.25">
      <c r="E347" s="11">
        <f t="shared" si="28"/>
        <v>-40</v>
      </c>
      <c r="F347" s="11">
        <f t="shared" si="29"/>
        <v>-17.269782946173372</v>
      </c>
      <c r="G347" s="11">
        <f t="shared" si="30"/>
        <v>-17.377723097493167</v>
      </c>
    </row>
    <row r="348" spans="5:7" x14ac:dyDescent="0.25">
      <c r="E348" s="11">
        <f t="shared" si="28"/>
        <v>-39</v>
      </c>
      <c r="F348" s="11">
        <f t="shared" si="29"/>
        <v>-16.81280858947353</v>
      </c>
      <c r="G348" s="11">
        <f t="shared" si="30"/>
        <v>-16.909460123635306</v>
      </c>
    </row>
    <row r="349" spans="5:7" x14ac:dyDescent="0.25">
      <c r="E349" s="11">
        <f t="shared" si="28"/>
        <v>-38</v>
      </c>
      <c r="F349" s="11">
        <f t="shared" si="29"/>
        <v>-16.352703232042305</v>
      </c>
      <c r="G349" s="11">
        <f t="shared" si="30"/>
        <v>-16.437124819483262</v>
      </c>
    </row>
    <row r="350" spans="5:7" x14ac:dyDescent="0.25">
      <c r="E350" s="11">
        <f t="shared" si="28"/>
        <v>-37</v>
      </c>
      <c r="F350" s="11">
        <f t="shared" si="29"/>
        <v>-15.889697305961072</v>
      </c>
      <c r="G350" s="11">
        <f t="shared" si="30"/>
        <v>-15.96117560745467</v>
      </c>
    </row>
    <row r="351" spans="5:7" x14ac:dyDescent="0.25">
      <c r="E351" s="11">
        <f t="shared" ref="E351:E414" si="31">E144</f>
        <v>-36</v>
      </c>
      <c r="F351" s="11">
        <f t="shared" ref="F351:F414" si="32">$H$217*0+E351*$I$217+E351^2*$J$217+E351^3*$K$217+E351^4*$L$217+E351^5*$M$217+E351^6*$N$217+E351^7*$O$217+E351^8*$P$217</f>
        <v>-15.424036078805733</v>
      </c>
      <c r="G351" s="11">
        <f t="shared" ref="G351:G414" si="33">F144</f>
        <v>-15.482070909967176</v>
      </c>
    </row>
    <row r="352" spans="5:7" x14ac:dyDescent="0.25">
      <c r="E352" s="11">
        <f t="shared" si="31"/>
        <v>-35</v>
      </c>
      <c r="F352" s="11">
        <f t="shared" si="32"/>
        <v>-14.955979682295547</v>
      </c>
      <c r="G352" s="11">
        <f t="shared" si="33"/>
        <v>-15.000269149438408</v>
      </c>
    </row>
    <row r="353" spans="5:7" x14ac:dyDescent="0.25">
      <c r="E353" s="11">
        <f t="shared" si="31"/>
        <v>-34</v>
      </c>
      <c r="F353" s="11">
        <f t="shared" si="32"/>
        <v>-14.485803099124656</v>
      </c>
      <c r="G353" s="11">
        <f t="shared" si="33"/>
        <v>-14.516228748286021</v>
      </c>
    </row>
    <row r="354" spans="5:7" x14ac:dyDescent="0.25">
      <c r="E354" s="11">
        <f t="shared" si="31"/>
        <v>-33</v>
      </c>
      <c r="F354" s="11">
        <f t="shared" si="32"/>
        <v>-14.013796105978143</v>
      </c>
      <c r="G354" s="11">
        <f t="shared" si="33"/>
        <v>-14.030408128927647</v>
      </c>
    </row>
    <row r="355" spans="5:7" x14ac:dyDescent="0.25">
      <c r="E355" s="11">
        <f t="shared" si="31"/>
        <v>-32</v>
      </c>
      <c r="F355" s="11">
        <f t="shared" si="32"/>
        <v>-13.540263170705762</v>
      </c>
      <c r="G355" s="11">
        <f t="shared" si="33"/>
        <v>-13.543265713780928</v>
      </c>
    </row>
    <row r="356" spans="5:7" x14ac:dyDescent="0.25">
      <c r="E356" s="11">
        <f t="shared" si="31"/>
        <v>-31</v>
      </c>
      <c r="F356" s="11">
        <f t="shared" si="32"/>
        <v>-13.065523301597768</v>
      </c>
      <c r="G356" s="11">
        <f t="shared" si="33"/>
        <v>-13.055259925263503</v>
      </c>
    </row>
    <row r="357" spans="5:7" x14ac:dyDescent="0.25">
      <c r="E357" s="11">
        <f t="shared" si="31"/>
        <v>-30</v>
      </c>
      <c r="F357" s="11">
        <f t="shared" si="32"/>
        <v>-12.589909846678919</v>
      </c>
      <c r="G357" s="11">
        <f t="shared" si="33"/>
        <v>-12.566849185793018</v>
      </c>
    </row>
    <row r="358" spans="5:7" x14ac:dyDescent="0.25">
      <c r="E358" s="11">
        <f t="shared" si="31"/>
        <v>-29</v>
      </c>
      <c r="F358" s="11">
        <f t="shared" si="32"/>
        <v>-12.113770240907986</v>
      </c>
      <c r="G358" s="11">
        <f t="shared" si="33"/>
        <v>-12.078491917787108</v>
      </c>
    </row>
    <row r="359" spans="5:7" x14ac:dyDescent="0.25">
      <c r="E359" s="11">
        <f t="shared" si="31"/>
        <v>-28</v>
      </c>
      <c r="F359" s="11">
        <f t="shared" si="32"/>
        <v>-11.637465699141529</v>
      </c>
      <c r="G359" s="11">
        <f t="shared" si="33"/>
        <v>-11.590646543663414</v>
      </c>
    </row>
    <row r="360" spans="5:7" x14ac:dyDescent="0.25">
      <c r="E360" s="11">
        <f t="shared" si="31"/>
        <v>-27</v>
      </c>
      <c r="F360" s="11">
        <f t="shared" si="32"/>
        <v>-11.161370852692116</v>
      </c>
      <c r="G360" s="11">
        <f t="shared" si="33"/>
        <v>-11.103771485839578</v>
      </c>
    </row>
    <row r="361" spans="5:7" x14ac:dyDescent="0.25">
      <c r="E361" s="11">
        <f t="shared" si="31"/>
        <v>-26</v>
      </c>
      <c r="F361" s="11">
        <f t="shared" si="32"/>
        <v>-10.685873327282643</v>
      </c>
      <c r="G361" s="11">
        <f t="shared" si="33"/>
        <v>-10.618325166733239</v>
      </c>
    </row>
    <row r="362" spans="5:7" x14ac:dyDescent="0.25">
      <c r="E362" s="11">
        <f t="shared" si="31"/>
        <v>-25</v>
      </c>
      <c r="F362" s="11">
        <f t="shared" si="32"/>
        <v>-10.211373260169697</v>
      </c>
      <c r="G362" s="11">
        <f t="shared" si="33"/>
        <v>-10.134766008762039</v>
      </c>
    </row>
    <row r="363" spans="5:7" x14ac:dyDescent="0.25">
      <c r="E363" s="11">
        <f t="shared" si="31"/>
        <v>-24</v>
      </c>
      <c r="F363" s="11">
        <f t="shared" si="32"/>
        <v>-9.7382827541804033</v>
      </c>
      <c r="G363" s="11">
        <f t="shared" si="33"/>
        <v>-9.6535524343436165</v>
      </c>
    </row>
    <row r="364" spans="5:7" x14ac:dyDescent="0.25">
      <c r="E364" s="11">
        <f t="shared" si="31"/>
        <v>-23</v>
      </c>
      <c r="F364" s="11">
        <f t="shared" si="32"/>
        <v>-9.2670252663786279</v>
      </c>
      <c r="G364" s="11">
        <f t="shared" si="33"/>
        <v>-9.175142865895614</v>
      </c>
    </row>
    <row r="365" spans="5:7" x14ac:dyDescent="0.25">
      <c r="E365" s="11">
        <f t="shared" si="31"/>
        <v>-22</v>
      </c>
      <c r="F365" s="11">
        <f t="shared" si="32"/>
        <v>-8.7980349290476756</v>
      </c>
      <c r="G365" s="11">
        <f t="shared" si="33"/>
        <v>-8.6999957258356702</v>
      </c>
    </row>
    <row r="366" spans="5:7" x14ac:dyDescent="0.25">
      <c r="E366" s="11">
        <f t="shared" si="31"/>
        <v>-21</v>
      </c>
      <c r="F366" s="11">
        <f t="shared" si="32"/>
        <v>-8.3317558006482493</v>
      </c>
      <c r="G366" s="11">
        <f t="shared" si="33"/>
        <v>-8.2285694365814237</v>
      </c>
    </row>
    <row r="367" spans="5:7" x14ac:dyDescent="0.25">
      <c r="E367" s="11">
        <f t="shared" si="31"/>
        <v>-20</v>
      </c>
      <c r="F367" s="11">
        <f t="shared" si="32"/>
        <v>-7.8686410443816515</v>
      </c>
      <c r="G367" s="11">
        <f t="shared" si="33"/>
        <v>-7.7613224205505214</v>
      </c>
    </row>
    <row r="368" spans="5:7" x14ac:dyDescent="0.25">
      <c r="E368" s="11">
        <f t="shared" si="31"/>
        <v>-19</v>
      </c>
      <c r="F368" s="11">
        <f t="shared" si="32"/>
        <v>-7.4091520319597137</v>
      </c>
      <c r="G368" s="11">
        <f t="shared" si="33"/>
        <v>-7.2987131001605956</v>
      </c>
    </row>
    <row r="369" spans="5:7" x14ac:dyDescent="0.25">
      <c r="E369" s="11">
        <f t="shared" si="31"/>
        <v>-18</v>
      </c>
      <c r="F369" s="11">
        <f t="shared" si="32"/>
        <v>-6.9537573701543556</v>
      </c>
      <c r="G369" s="11">
        <f t="shared" si="33"/>
        <v>-6.8411998978292923</v>
      </c>
    </row>
    <row r="370" spans="5:7" x14ac:dyDescent="0.25">
      <c r="E370" s="11">
        <f t="shared" si="31"/>
        <v>-17</v>
      </c>
      <c r="F370" s="11">
        <f t="shared" si="32"/>
        <v>-6.5029318476710545</v>
      </c>
      <c r="G370" s="11">
        <f t="shared" si="33"/>
        <v>-6.3892412359742483</v>
      </c>
    </row>
    <row r="371" spans="5:7" x14ac:dyDescent="0.25">
      <c r="E371" s="11">
        <f t="shared" si="31"/>
        <v>-16</v>
      </c>
      <c r="F371" s="11">
        <f t="shared" si="32"/>
        <v>-6.0571552998618969</v>
      </c>
      <c r="G371" s="11">
        <f t="shared" si="33"/>
        <v>-5.9432955370131086</v>
      </c>
    </row>
    <row r="372" spans="5:7" x14ac:dyDescent="0.25">
      <c r="E372" s="11">
        <f t="shared" si="31"/>
        <v>-15</v>
      </c>
      <c r="F372" s="11">
        <f t="shared" si="32"/>
        <v>-5.6169113887653976</v>
      </c>
      <c r="G372" s="11">
        <f t="shared" si="33"/>
        <v>-5.5038212233635075</v>
      </c>
    </row>
    <row r="373" spans="5:7" x14ac:dyDescent="0.25">
      <c r="E373" s="11">
        <f t="shared" si="31"/>
        <v>-14</v>
      </c>
      <c r="F373" s="11">
        <f t="shared" si="32"/>
        <v>-5.1826862959315001</v>
      </c>
      <c r="G373" s="11">
        <f t="shared" si="33"/>
        <v>-5.0712767174430926</v>
      </c>
    </row>
    <row r="374" spans="5:7" x14ac:dyDescent="0.25">
      <c r="E374" s="11">
        <f t="shared" si="31"/>
        <v>-13</v>
      </c>
      <c r="F374" s="11">
        <f t="shared" si="32"/>
        <v>-4.7549673254618074</v>
      </c>
      <c r="G374" s="11">
        <f t="shared" si="33"/>
        <v>-4.6461204416694972</v>
      </c>
    </row>
    <row r="375" spans="5:7" x14ac:dyDescent="0.25">
      <c r="E375" s="11">
        <f t="shared" si="31"/>
        <v>-12</v>
      </c>
      <c r="F375" s="11">
        <f t="shared" si="32"/>
        <v>-4.3342414146662858</v>
      </c>
      <c r="G375" s="11">
        <f t="shared" si="33"/>
        <v>-4.2288108184603654</v>
      </c>
    </row>
    <row r="376" spans="5:7" x14ac:dyDescent="0.25">
      <c r="E376" s="11">
        <f t="shared" si="31"/>
        <v>-11</v>
      </c>
      <c r="F376" s="11">
        <f t="shared" si="32"/>
        <v>-3.9209935497092756</v>
      </c>
      <c r="G376" s="11">
        <f t="shared" si="33"/>
        <v>-3.8198062702333373</v>
      </c>
    </row>
    <row r="377" spans="5:7" x14ac:dyDescent="0.25">
      <c r="E377" s="11">
        <f t="shared" si="31"/>
        <v>-10</v>
      </c>
      <c r="F377" s="11">
        <f t="shared" si="32"/>
        <v>-3.5157050835889025</v>
      </c>
      <c r="G377" s="11">
        <f t="shared" si="33"/>
        <v>-3.4195652194060533</v>
      </c>
    </row>
    <row r="378" spans="5:7" x14ac:dyDescent="0.25">
      <c r="E378" s="11">
        <f t="shared" si="31"/>
        <v>-9</v>
      </c>
      <c r="F378" s="11">
        <f t="shared" si="32"/>
        <v>-3.1188519537655139</v>
      </c>
      <c r="G378" s="11">
        <f t="shared" si="33"/>
        <v>-3.0285460883961539</v>
      </c>
    </row>
    <row r="379" spans="5:7" x14ac:dyDescent="0.25">
      <c r="E379" s="11">
        <f t="shared" si="31"/>
        <v>-8</v>
      </c>
      <c r="F379" s="11">
        <f t="shared" si="32"/>
        <v>-2.7309027967260975</v>
      </c>
      <c r="G379" s="11">
        <f t="shared" si="33"/>
        <v>-2.647207299621277</v>
      </c>
    </row>
    <row r="380" spans="5:7" x14ac:dyDescent="0.25">
      <c r="E380" s="11">
        <f t="shared" si="31"/>
        <v>-7</v>
      </c>
      <c r="F380" s="11">
        <f t="shared" si="32"/>
        <v>-2.3523169567430928</v>
      </c>
      <c r="G380" s="11">
        <f t="shared" si="33"/>
        <v>-2.2760072754990661</v>
      </c>
    </row>
    <row r="381" spans="5:7" x14ac:dyDescent="0.25">
      <c r="E381" s="11">
        <f t="shared" si="31"/>
        <v>-6</v>
      </c>
      <c r="F381" s="11">
        <f t="shared" si="32"/>
        <v>-1.9835423860573784</v>
      </c>
      <c r="G381" s="11">
        <f t="shared" si="33"/>
        <v>-1.9154044384471609</v>
      </c>
    </row>
    <row r="382" spans="5:7" x14ac:dyDescent="0.25">
      <c r="E382" s="11">
        <f t="shared" si="31"/>
        <v>-5</v>
      </c>
      <c r="F382" s="11">
        <f t="shared" si="32"/>
        <v>-1.6250134336866797</v>
      </c>
      <c r="G382" s="11">
        <f t="shared" si="33"/>
        <v>-1.565857210883201</v>
      </c>
    </row>
    <row r="383" spans="5:7" x14ac:dyDescent="0.25">
      <c r="E383" s="11">
        <f t="shared" si="31"/>
        <v>-4</v>
      </c>
      <c r="F383" s="11">
        <f t="shared" si="32"/>
        <v>-1.2771485200319919</v>
      </c>
      <c r="G383" s="11">
        <f t="shared" si="33"/>
        <v>-1.2278240152248268</v>
      </c>
    </row>
    <row r="384" spans="5:7" x14ac:dyDescent="0.25">
      <c r="E384" s="11">
        <f t="shared" si="31"/>
        <v>-3</v>
      </c>
      <c r="F384" s="11">
        <f t="shared" si="32"/>
        <v>-0.94034769442607602</v>
      </c>
      <c r="G384" s="11">
        <f t="shared" si="33"/>
        <v>-0.9017632738896797</v>
      </c>
    </row>
    <row r="385" spans="5:7" x14ac:dyDescent="0.25">
      <c r="E385" s="11">
        <f t="shared" si="31"/>
        <v>-2</v>
      </c>
      <c r="F385" s="11">
        <f t="shared" si="32"/>
        <v>-0.61499007273946393</v>
      </c>
      <c r="G385" s="11">
        <f t="shared" si="33"/>
        <v>-0.58813340929539937</v>
      </c>
    </row>
    <row r="386" spans="5:7" x14ac:dyDescent="0.25">
      <c r="E386" s="11">
        <f t="shared" si="31"/>
        <v>-1</v>
      </c>
      <c r="F386" s="11">
        <f t="shared" si="32"/>
        <v>-0.3014311521308306</v>
      </c>
      <c r="G386" s="11">
        <f t="shared" si="33"/>
        <v>-0.28739284385962538</v>
      </c>
    </row>
    <row r="387" spans="5:7" x14ac:dyDescent="0.25">
      <c r="E387" s="11">
        <f t="shared" si="31"/>
        <v>0</v>
      </c>
      <c r="F387" s="11">
        <f t="shared" si="32"/>
        <v>0</v>
      </c>
      <c r="G387" s="11">
        <f t="shared" si="33"/>
        <v>-8.8817841970012523E-16</v>
      </c>
    </row>
    <row r="388" spans="5:7" x14ac:dyDescent="0.25">
      <c r="E388" s="11">
        <f t="shared" si="31"/>
        <v>1</v>
      </c>
      <c r="F388" s="11">
        <f t="shared" si="32"/>
        <v>0.28900368582673674</v>
      </c>
      <c r="G388" s="11">
        <f t="shared" si="33"/>
        <v>0.27372884714493934</v>
      </c>
    </row>
    <row r="389" spans="5:7" x14ac:dyDescent="0.25">
      <c r="E389" s="11">
        <f t="shared" si="31"/>
        <v>2</v>
      </c>
      <c r="F389" s="11">
        <f t="shared" si="32"/>
        <v>0.56531264867790543</v>
      </c>
      <c r="G389" s="11">
        <f t="shared" si="33"/>
        <v>0.53404601155305553</v>
      </c>
    </row>
    <row r="390" spans="5:7" x14ac:dyDescent="0.25">
      <c r="E390" s="11">
        <f t="shared" si="31"/>
        <v>3</v>
      </c>
      <c r="F390" s="11">
        <f t="shared" si="32"/>
        <v>0.82869527941223664</v>
      </c>
      <c r="G390" s="11">
        <f t="shared" si="33"/>
        <v>0.7813459544813145</v>
      </c>
    </row>
    <row r="391" spans="5:7" x14ac:dyDescent="0.25">
      <c r="E391" s="11">
        <f t="shared" si="31"/>
        <v>4</v>
      </c>
      <c r="F391" s="11">
        <f t="shared" si="32"/>
        <v>1.0789589606442493</v>
      </c>
      <c r="G391" s="11">
        <f t="shared" si="33"/>
        <v>1.0160231371866817</v>
      </c>
    </row>
    <row r="392" spans="5:7" x14ac:dyDescent="0.25">
      <c r="E392" s="11">
        <f t="shared" si="31"/>
        <v>5</v>
      </c>
      <c r="F392" s="11">
        <f t="shared" si="32"/>
        <v>1.3159535519047105</v>
      </c>
      <c r="G392" s="11">
        <f t="shared" si="33"/>
        <v>1.2384720209261222</v>
      </c>
    </row>
    <row r="393" spans="5:7" x14ac:dyDescent="0.25">
      <c r="E393" s="11">
        <f t="shared" si="31"/>
        <v>6</v>
      </c>
      <c r="F393" s="11">
        <f t="shared" si="32"/>
        <v>1.539575018849249</v>
      </c>
      <c r="G393" s="11">
        <f t="shared" si="33"/>
        <v>1.4490870669566021</v>
      </c>
    </row>
    <row r="394" spans="5:7" x14ac:dyDescent="0.25">
      <c r="E394" s="11">
        <f t="shared" si="31"/>
        <v>7</v>
      </c>
      <c r="F394" s="11">
        <f t="shared" si="32"/>
        <v>1.7497692096569692</v>
      </c>
      <c r="G394" s="11">
        <f t="shared" si="33"/>
        <v>1.6482627365350857</v>
      </c>
    </row>
    <row r="395" spans="5:7" x14ac:dyDescent="0.25">
      <c r="E395" s="11">
        <f t="shared" si="31"/>
        <v>8</v>
      </c>
      <c r="F395" s="11">
        <f t="shared" si="32"/>
        <v>1.9465357817895346</v>
      </c>
      <c r="G395" s="11">
        <f t="shared" si="33"/>
        <v>1.8363934909185389</v>
      </c>
    </row>
    <row r="396" spans="5:7" x14ac:dyDescent="0.25">
      <c r="E396" s="11">
        <f t="shared" si="31"/>
        <v>9</v>
      </c>
      <c r="F396" s="11">
        <f t="shared" si="32"/>
        <v>2.1299322823097455</v>
      </c>
      <c r="G396" s="11">
        <f t="shared" si="33"/>
        <v>2.0138737913639275</v>
      </c>
    </row>
    <row r="397" spans="5:7" x14ac:dyDescent="0.25">
      <c r="E397" s="11">
        <f t="shared" si="31"/>
        <v>10</v>
      </c>
      <c r="F397" s="11">
        <f t="shared" si="32"/>
        <v>2.3000783849872519</v>
      </c>
      <c r="G397" s="11">
        <f t="shared" si="33"/>
        <v>2.1810980991282163</v>
      </c>
    </row>
    <row r="398" spans="5:7" x14ac:dyDescent="0.25">
      <c r="E398" s="11">
        <f t="shared" si="31"/>
        <v>11</v>
      </c>
      <c r="F398" s="11">
        <f t="shared" si="32"/>
        <v>2.4571602874476106</v>
      </c>
      <c r="G398" s="11">
        <f t="shared" si="33"/>
        <v>2.3384608754683711</v>
      </c>
    </row>
    <row r="399" spans="5:7" x14ac:dyDescent="0.25">
      <c r="E399" s="11">
        <f t="shared" si="31"/>
        <v>12</v>
      </c>
      <c r="F399" s="11">
        <f t="shared" si="32"/>
        <v>2.6014352716495068</v>
      </c>
      <c r="G399" s="11">
        <f t="shared" si="33"/>
        <v>2.4863565816413566</v>
      </c>
    </row>
    <row r="400" spans="5:7" x14ac:dyDescent="0.25">
      <c r="E400" s="11">
        <f t="shared" si="31"/>
        <v>13</v>
      </c>
      <c r="F400" s="11">
        <f t="shared" si="32"/>
        <v>2.7332364310035304</v>
      </c>
      <c r="G400" s="11">
        <f t="shared" si="33"/>
        <v>2.6251796789041384</v>
      </c>
    </row>
    <row r="401" spans="5:7" x14ac:dyDescent="0.25">
      <c r="E401" s="11">
        <f t="shared" si="31"/>
        <v>14</v>
      </c>
      <c r="F401" s="11">
        <f t="shared" si="32"/>
        <v>2.8529775674745004</v>
      </c>
      <c r="G401" s="11">
        <f t="shared" si="33"/>
        <v>2.7553246285136828</v>
      </c>
    </row>
    <row r="402" spans="5:7" x14ac:dyDescent="0.25">
      <c r="E402" s="11">
        <f t="shared" si="31"/>
        <v>15</v>
      </c>
      <c r="F402" s="11">
        <f t="shared" si="32"/>
        <v>2.961158262037912</v>
      </c>
      <c r="G402" s="11">
        <f t="shared" si="33"/>
        <v>2.8771858917269539</v>
      </c>
    </row>
    <row r="403" spans="5:7" x14ac:dyDescent="0.25">
      <c r="E403" s="11">
        <f t="shared" si="31"/>
        <v>16</v>
      </c>
      <c r="F403" s="11">
        <f t="shared" si="32"/>
        <v>3.0583691218896831</v>
      </c>
      <c r="G403" s="11">
        <f t="shared" si="33"/>
        <v>2.9911579298009174</v>
      </c>
    </row>
    <row r="404" spans="5:7" x14ac:dyDescent="0.25">
      <c r="E404" s="11">
        <f t="shared" si="31"/>
        <v>17</v>
      </c>
      <c r="F404" s="11">
        <f t="shared" si="32"/>
        <v>3.1452972078369394</v>
      </c>
      <c r="G404" s="11">
        <f t="shared" si="33"/>
        <v>3.0976352039925397</v>
      </c>
    </row>
    <row r="405" spans="5:7" x14ac:dyDescent="0.25">
      <c r="E405" s="11">
        <f t="shared" si="31"/>
        <v>18</v>
      </c>
      <c r="F405" s="11">
        <f t="shared" si="32"/>
        <v>3.222731645326204</v>
      </c>
      <c r="G405" s="11">
        <f t="shared" si="33"/>
        <v>3.1970121755587848</v>
      </c>
    </row>
    <row r="406" spans="5:7" x14ac:dyDescent="0.25">
      <c r="E406" s="11">
        <f t="shared" si="31"/>
        <v>19</v>
      </c>
      <c r="F406" s="11">
        <f t="shared" si="32"/>
        <v>3.2915694225939278</v>
      </c>
      <c r="G406" s="11">
        <f t="shared" si="33"/>
        <v>3.2896833057566184</v>
      </c>
    </row>
    <row r="407" spans="5:7" x14ac:dyDescent="0.25">
      <c r="E407" s="11">
        <f t="shared" si="31"/>
        <v>20</v>
      </c>
      <c r="F407" s="11">
        <f t="shared" si="32"/>
        <v>3.3528213794528599</v>
      </c>
      <c r="G407" s="11">
        <f t="shared" si="33"/>
        <v>3.3760430558430063</v>
      </c>
    </row>
    <row r="408" spans="5:7" x14ac:dyDescent="0.25">
      <c r="E408" s="11">
        <f t="shared" si="31"/>
        <v>21</v>
      </c>
      <c r="F408" s="11">
        <f t="shared" si="32"/>
        <v>3.4076183902564225</v>
      </c>
      <c r="G408" s="11">
        <f t="shared" si="33"/>
        <v>3.4564858870749138</v>
      </c>
    </row>
    <row r="409" spans="5:7" x14ac:dyDescent="0.25">
      <c r="E409" s="11">
        <f t="shared" si="31"/>
        <v>22</v>
      </c>
      <c r="F409" s="11">
        <f t="shared" si="32"/>
        <v>3.4572177446117416</v>
      </c>
      <c r="G409" s="11">
        <f t="shared" si="33"/>
        <v>3.5314062607093057</v>
      </c>
    </row>
    <row r="410" spans="5:7" x14ac:dyDescent="0.25">
      <c r="E410" s="11">
        <f t="shared" si="31"/>
        <v>23</v>
      </c>
      <c r="F410" s="11">
        <f t="shared" si="32"/>
        <v>3.5030097294406706</v>
      </c>
      <c r="G410" s="11">
        <f t="shared" si="33"/>
        <v>3.6011986380031482</v>
      </c>
    </row>
    <row r="411" spans="5:7" x14ac:dyDescent="0.25">
      <c r="E411" s="11">
        <f t="shared" si="31"/>
        <v>24</v>
      </c>
      <c r="F411" s="11">
        <f t="shared" si="32"/>
        <v>3.5465244160166818</v>
      </c>
      <c r="G411" s="11">
        <f t="shared" si="33"/>
        <v>3.6662574802134058</v>
      </c>
    </row>
    <row r="412" spans="5:7" x14ac:dyDescent="0.25">
      <c r="E412" s="11">
        <f t="shared" si="31"/>
        <v>25</v>
      </c>
      <c r="F412" s="11">
        <f t="shared" si="32"/>
        <v>3.5894386556340767</v>
      </c>
      <c r="G412" s="11">
        <f t="shared" si="33"/>
        <v>3.7269772485970445</v>
      </c>
    </row>
    <row r="413" spans="5:7" x14ac:dyDescent="0.25">
      <c r="E413" s="11">
        <f t="shared" si="31"/>
        <v>26</v>
      </c>
      <c r="F413" s="11">
        <f t="shared" si="32"/>
        <v>3.6335832875946177</v>
      </c>
      <c r="G413" s="11">
        <f t="shared" si="33"/>
        <v>3.7837524044110298</v>
      </c>
    </row>
    <row r="414" spans="5:7" x14ac:dyDescent="0.25">
      <c r="E414" s="11">
        <f t="shared" si="31"/>
        <v>27</v>
      </c>
      <c r="F414" s="11">
        <f t="shared" si="32"/>
        <v>3.6809505632252089</v>
      </c>
      <c r="G414" s="11">
        <f t="shared" si="33"/>
        <v>3.8369774089123267</v>
      </c>
    </row>
    <row r="415" spans="5:7" x14ac:dyDescent="0.25">
      <c r="E415" s="11">
        <f t="shared" ref="E415:E422" si="34">E208</f>
        <v>28</v>
      </c>
      <c r="F415" s="11">
        <f t="shared" ref="F415:F422" si="35">$H$217*0+E415*$I$217+E415^2*$J$217+E415^3*$K$217+E415^4*$L$217+E415^5*$M$217+E415^6*$N$217+E415^7*$O$217+E415^8*$P$217</f>
        <v>3.7337017896688698</v>
      </c>
      <c r="G415" s="11">
        <f t="shared" ref="G415:G422" si="36">F208</f>
        <v>3.8870467233579005</v>
      </c>
    </row>
    <row r="416" spans="5:7" x14ac:dyDescent="0.25">
      <c r="E416" s="11">
        <f t="shared" si="34"/>
        <v>29</v>
      </c>
      <c r="F416" s="11">
        <f t="shared" si="35"/>
        <v>3.794175197219857</v>
      </c>
      <c r="G416" s="11">
        <f t="shared" si="36"/>
        <v>3.9343548090047169</v>
      </c>
    </row>
    <row r="417" spans="5:7" x14ac:dyDescent="0.25">
      <c r="E417" s="11">
        <f t="shared" si="34"/>
        <v>30</v>
      </c>
      <c r="F417" s="11">
        <f t="shared" si="35"/>
        <v>3.8648940340023321</v>
      </c>
      <c r="G417" s="11">
        <f t="shared" si="36"/>
        <v>3.9792961271097407</v>
      </c>
    </row>
    <row r="418" spans="5:7" x14ac:dyDescent="0.25">
      <c r="E418" s="11">
        <f t="shared" si="34"/>
        <v>31</v>
      </c>
      <c r="F418" s="11">
        <f t="shared" si="35"/>
        <v>3.9485748918206038</v>
      </c>
      <c r="G418" s="11">
        <f t="shared" si="36"/>
        <v>4.0222651389299378</v>
      </c>
    </row>
    <row r="419" spans="5:7" x14ac:dyDescent="0.25">
      <c r="E419" s="11">
        <f t="shared" si="34"/>
        <v>32</v>
      </c>
      <c r="F419" s="11">
        <f t="shared" si="35"/>
        <v>4.0481362670375312</v>
      </c>
      <c r="G419" s="11">
        <f t="shared" si="36"/>
        <v>4.0636563057222732</v>
      </c>
    </row>
    <row r="420" spans="5:7" x14ac:dyDescent="0.25">
      <c r="E420" s="11">
        <f t="shared" si="34"/>
        <v>33</v>
      </c>
      <c r="F420" s="11">
        <f t="shared" si="35"/>
        <v>4.1667073603663134</v>
      </c>
      <c r="G420" s="11">
        <f t="shared" si="36"/>
        <v>4.1038640887437126</v>
      </c>
    </row>
    <row r="421" spans="5:7" x14ac:dyDescent="0.25">
      <c r="E421" s="11">
        <f t="shared" si="34"/>
        <v>34</v>
      </c>
      <c r="F421" s="11">
        <f t="shared" si="35"/>
        <v>4.3076371194894039</v>
      </c>
      <c r="G421" s="11">
        <f t="shared" si="36"/>
        <v>4.1432829492512218</v>
      </c>
    </row>
    <row r="422" spans="5:7" x14ac:dyDescent="0.25">
      <c r="E422" s="11">
        <f t="shared" si="34"/>
        <v>35</v>
      </c>
      <c r="F422" s="11">
        <f t="shared" si="35"/>
        <v>4.4745035284469425</v>
      </c>
      <c r="G422" s="11">
        <f t="shared" si="36"/>
        <v>4.182307348501765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2022-01-08T09:32:30Z</dcterms:modified>
</cp:coreProperties>
</file>