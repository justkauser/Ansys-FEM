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P30" i="11" s="1"/>
  <c r="O29" i="11"/>
  <c r="N29" i="11"/>
  <c r="P29" i="11" s="1"/>
  <c r="O28" i="11"/>
  <c r="N28" i="11"/>
  <c r="P27" i="11"/>
  <c r="O27" i="11"/>
  <c r="N27" i="11"/>
  <c r="O26" i="11"/>
  <c r="N26" i="11"/>
  <c r="P26" i="11" s="1"/>
  <c r="O25" i="11"/>
  <c r="P25" i="11" s="1"/>
  <c r="N25" i="11"/>
  <c r="O24" i="11"/>
  <c r="N24" i="11"/>
  <c r="P24" i="11" s="1"/>
  <c r="O23" i="11"/>
  <c r="N23" i="11"/>
  <c r="P23" i="11" s="1"/>
  <c r="O22" i="11"/>
  <c r="N22" i="11"/>
  <c r="P22" i="11" s="1"/>
  <c r="O21" i="11"/>
  <c r="N21" i="11"/>
  <c r="P21" i="11" s="1"/>
  <c r="O20" i="11"/>
  <c r="N20" i="11"/>
  <c r="O19" i="11"/>
  <c r="N19" i="11"/>
  <c r="P19" i="11" s="1"/>
  <c r="O18" i="11"/>
  <c r="N18" i="11"/>
  <c r="P18" i="11" s="1"/>
  <c r="O17" i="11"/>
  <c r="N17" i="11"/>
  <c r="P17" i="11" s="1"/>
  <c r="O16" i="11"/>
  <c r="N16" i="11"/>
  <c r="P15" i="11"/>
  <c r="O15" i="11"/>
  <c r="N15" i="11"/>
  <c r="O14" i="11"/>
  <c r="N14" i="11"/>
  <c r="P14" i="11" s="1"/>
  <c r="O13" i="11"/>
  <c r="P13" i="11" s="1"/>
  <c r="N13" i="11"/>
  <c r="O12" i="11"/>
  <c r="N12" i="11"/>
  <c r="P12" i="11" s="1"/>
  <c r="O11" i="11"/>
  <c r="N11" i="11"/>
  <c r="P11" i="11" s="1"/>
  <c r="O10" i="11"/>
  <c r="N10" i="11"/>
  <c r="P10" i="11" s="1"/>
  <c r="O9" i="11"/>
  <c r="N9" i="11"/>
  <c r="P9" i="11" s="1"/>
  <c r="O8" i="11"/>
  <c r="N8" i="11"/>
  <c r="O7" i="11"/>
  <c r="N7" i="11"/>
  <c r="P7" i="11" s="1"/>
  <c r="O6" i="11"/>
  <c r="N6" i="11"/>
  <c r="P6" i="11" s="1"/>
  <c r="O5" i="11"/>
  <c r="N5" i="11"/>
  <c r="P5" i="11" s="1"/>
  <c r="O4" i="11"/>
  <c r="N4" i="11"/>
  <c r="P4" i="11" s="1"/>
  <c r="P3" i="11"/>
  <c r="O3" i="11"/>
  <c r="N3" i="11"/>
  <c r="P16" i="11" l="1"/>
  <c r="P28"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D403" i="43"/>
  <c r="H403" i="43"/>
  <c r="C403" i="43"/>
  <c r="B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15" i="43"/>
  <c r="B417" i="43"/>
  <c r="B409" i="43"/>
  <c r="B406" i="43"/>
  <c r="B429" i="43"/>
  <c r="B418" i="43"/>
  <c r="B411" i="43"/>
  <c r="B416" i="43"/>
  <c r="B432" i="43"/>
  <c r="B404" i="43"/>
  <c r="B428" i="43"/>
  <c r="B434" i="43"/>
  <c r="B423" i="43"/>
  <c r="B410" i="43"/>
  <c r="B407" i="43"/>
  <c r="B431" i="43"/>
  <c r="B427" i="43"/>
  <c r="B420" i="43"/>
  <c r="B419" i="43"/>
  <c r="B433" i="43"/>
  <c r="B426" i="43"/>
  <c r="B421" i="43"/>
  <c r="B422" i="43"/>
  <c r="B412" i="43"/>
  <c r="B430" i="43"/>
  <c r="C406" i="43"/>
  <c r="C423" i="43"/>
  <c r="C428" i="43"/>
  <c r="C404" i="43"/>
  <c r="C434" i="43"/>
  <c r="C424" i="43"/>
  <c r="C433" i="43"/>
  <c r="C409" i="43"/>
  <c r="C421" i="43"/>
  <c r="C407" i="43"/>
  <c r="C414" i="43"/>
  <c r="C418" i="43"/>
  <c r="C425" i="43"/>
  <c r="C427" i="43"/>
  <c r="C429" i="43"/>
  <c r="C432" i="43"/>
  <c r="C422" i="43"/>
  <c r="C431" i="43"/>
  <c r="C408" i="43"/>
  <c r="C410" i="43"/>
  <c r="C412" i="43"/>
  <c r="C420" i="43"/>
  <c r="C405" i="43"/>
  <c r="C415" i="43"/>
  <c r="C417" i="43"/>
  <c r="C419" i="43"/>
  <c r="C426" i="43"/>
  <c r="C430" i="43"/>
  <c r="C413" i="43"/>
  <c r="C411" i="43"/>
  <c r="C416" i="43"/>
  <c r="H434" i="43"/>
  <c r="H418" i="43"/>
  <c r="H415" i="43"/>
  <c r="H410" i="43"/>
  <c r="H424" i="43"/>
  <c r="H405" i="43"/>
  <c r="H404" i="43"/>
  <c r="H427" i="43"/>
  <c r="H409" i="43"/>
  <c r="H421" i="43"/>
  <c r="H433" i="43"/>
  <c r="H432" i="43"/>
  <c r="H417" i="43"/>
  <c r="H414" i="43"/>
  <c r="H430" i="43"/>
  <c r="H423" i="43"/>
  <c r="H428" i="43"/>
  <c r="H408" i="43"/>
  <c r="H420" i="43"/>
  <c r="H407" i="43"/>
  <c r="H416" i="43"/>
  <c r="H413" i="43"/>
  <c r="H422" i="43"/>
  <c r="H425" i="43"/>
  <c r="H426" i="43"/>
  <c r="H419" i="43"/>
  <c r="H431" i="43"/>
  <c r="H411" i="43"/>
  <c r="H429" i="43"/>
  <c r="H406" i="43"/>
  <c r="H412" i="43"/>
  <c r="D406" i="43"/>
  <c r="D417" i="43"/>
  <c r="D419" i="43"/>
  <c r="D426" i="43"/>
  <c r="D430" i="43"/>
  <c r="D410" i="43"/>
  <c r="D411" i="43"/>
  <c r="D416" i="43"/>
  <c r="D423" i="43"/>
  <c r="D428" i="43"/>
  <c r="D404" i="43"/>
  <c r="D420" i="43"/>
  <c r="D431" i="43"/>
  <c r="D409" i="43"/>
  <c r="D421" i="43"/>
  <c r="D434" i="43"/>
  <c r="D418" i="43"/>
  <c r="D425" i="43"/>
  <c r="D429" i="43"/>
  <c r="D432" i="43"/>
  <c r="D422" i="43"/>
  <c r="D407" i="43"/>
  <c r="D414" i="43"/>
  <c r="D427" i="43"/>
  <c r="D405" i="43"/>
  <c r="D408" i="43"/>
  <c r="D413" i="43"/>
  <c r="D415" i="43"/>
  <c r="D424" i="43"/>
  <c r="D433" i="43"/>
  <c r="D412" i="43"/>
  <c r="G410" i="43"/>
  <c r="G431" i="43"/>
  <c r="G413" i="43"/>
  <c r="G416" i="43"/>
  <c r="G434" i="43"/>
  <c r="G428" i="43"/>
  <c r="G429" i="43"/>
  <c r="G411" i="43"/>
  <c r="G427" i="43"/>
  <c r="G409" i="43"/>
  <c r="G423" i="43"/>
  <c r="G420" i="43"/>
  <c r="G422" i="43"/>
  <c r="G426" i="43"/>
  <c r="G408" i="43"/>
  <c r="G424" i="43"/>
  <c r="G421" i="43"/>
  <c r="G404" i="43"/>
  <c r="G433" i="43"/>
  <c r="G406" i="43"/>
  <c r="G419" i="43"/>
  <c r="G405" i="43"/>
  <c r="G418" i="43"/>
  <c r="G415" i="43"/>
  <c r="G407" i="43"/>
  <c r="G417" i="43"/>
  <c r="G425" i="43"/>
  <c r="G432" i="43"/>
  <c r="G414" i="43"/>
  <c r="G430" i="43"/>
  <c r="G412" i="43"/>
  <c r="E405" i="43"/>
  <c r="E408" i="43"/>
  <c r="E413" i="43"/>
  <c r="E415" i="43"/>
  <c r="E424" i="43"/>
  <c r="E433" i="43"/>
  <c r="E426" i="43"/>
  <c r="E430" i="43"/>
  <c r="E434" i="43"/>
  <c r="E418" i="43"/>
  <c r="E406" i="43"/>
  <c r="E417" i="43"/>
  <c r="E419" i="43"/>
  <c r="E411" i="43"/>
  <c r="E416" i="43"/>
  <c r="E423" i="43"/>
  <c r="E404" i="43"/>
  <c r="E427" i="43"/>
  <c r="E425" i="43"/>
  <c r="E410" i="43"/>
  <c r="E420" i="43"/>
  <c r="E422" i="43"/>
  <c r="E431" i="43"/>
  <c r="E429" i="43"/>
  <c r="E421" i="43"/>
  <c r="E409" i="43"/>
  <c r="E407" i="43"/>
  <c r="E432" i="43"/>
  <c r="E412" i="43"/>
  <c r="E428" i="43"/>
  <c r="E414" i="43"/>
  <c r="F415" i="43"/>
  <c r="F410" i="43"/>
  <c r="F420" i="43"/>
  <c r="F431" i="43"/>
  <c r="F424" i="43"/>
  <c r="F419" i="43"/>
  <c r="F430" i="43"/>
  <c r="F423" i="43"/>
  <c r="F404" i="43"/>
  <c r="F434" i="43"/>
  <c r="F416" i="43"/>
  <c r="F427" i="43"/>
  <c r="F421" i="43"/>
  <c r="F425" i="43"/>
  <c r="F426" i="43"/>
  <c r="F412" i="43"/>
  <c r="F409" i="43"/>
  <c r="F428" i="43"/>
  <c r="F408" i="43"/>
  <c r="F417" i="43"/>
  <c r="F414" i="43"/>
  <c r="F422" i="43"/>
  <c r="F411" i="43"/>
  <c r="F405" i="43"/>
  <c r="F429" i="43"/>
  <c r="F432" i="43"/>
  <c r="F418" i="43"/>
  <c r="F433" i="43"/>
  <c r="F413" i="43"/>
  <c r="F406" i="43"/>
  <c r="F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D169" i="43"/>
  <c r="K406" i="43"/>
  <c r="R169" i="43"/>
  <c r="K420" i="43"/>
  <c r="L169" i="43"/>
  <c r="K414" i="43"/>
  <c r="F169" i="43"/>
  <c r="K408" i="43"/>
  <c r="K208" i="43"/>
  <c r="K413" i="43"/>
  <c r="AD169" i="43"/>
  <c r="K432"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G130" i="43"/>
  <c r="J409" i="43"/>
  <c r="T130" i="43"/>
  <c r="J422" i="43"/>
  <c r="I130" i="43"/>
  <c r="J411" i="43"/>
  <c r="X130" i="43"/>
  <c r="J426" i="43"/>
  <c r="M130" i="43"/>
  <c r="J415" i="43"/>
  <c r="AE130" i="43"/>
  <c r="J433" i="43"/>
  <c r="AC130" i="43"/>
  <c r="J431" i="43"/>
  <c r="J130" i="43"/>
  <c r="J412" i="43"/>
  <c r="AB130" i="43"/>
  <c r="J430" i="43"/>
  <c r="P130" i="43"/>
  <c r="J418" i="43"/>
  <c r="O130" i="43"/>
  <c r="J417" i="43"/>
  <c r="F130" i="43"/>
  <c r="J408" i="43"/>
  <c r="R130" i="43"/>
  <c r="J420" i="43"/>
  <c r="N130" i="43"/>
  <c r="J416" i="43"/>
  <c r="Z130" i="43"/>
  <c r="J428" i="43"/>
  <c r="E130" i="43"/>
  <c r="J407" i="43"/>
  <c r="S130" i="43"/>
  <c r="J421" i="43"/>
  <c r="W130" i="43"/>
  <c r="J425" i="43"/>
  <c r="D130" i="43"/>
  <c r="J406" i="43"/>
  <c r="AF130" i="43"/>
  <c r="J434" i="43"/>
  <c r="AD130" i="43"/>
  <c r="J432" i="43"/>
  <c r="V130" i="43"/>
  <c r="J424" i="43"/>
  <c r="C130" i="43"/>
  <c r="J405" i="43"/>
  <c r="K130" i="43"/>
  <c r="J413" i="43"/>
  <c r="Q130" i="43"/>
  <c r="J419" i="43"/>
  <c r="L130" i="43"/>
  <c r="J414" i="43"/>
  <c r="Y130" i="43"/>
  <c r="J427"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<sst xmlns="http://schemas.openxmlformats.org/spreadsheetml/2006/main" count="311" uniqueCount="164">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</sst>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11" fontId="0" fillId="2" borderId="0" xfId="0" applyNumberFormat="1"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-5.5892037142857146E-4</c:v>
                </c:pt>
                <c:pt idx="1">
                  <c:v>-5.5890980000000007E-4</c:v>
                </c:pt>
                <c:pt idx="2">
                  <c:v>-5.5891268571428576E-4</c:v>
                </c:pt>
                <c:pt idx="3">
                  <c:v>-5.5891354285714288E-4</c:v>
                </c:pt>
                <c:pt idx="4">
                  <c:v>-5.5891380000000002E-4</c:v>
                </c:pt>
                <c:pt idx="5">
                  <c:v>-5.5891388571428573E-4</c:v>
                </c:pt>
                <c:pt idx="6">
                  <c:v>-5.5891391428571438E-4</c:v>
                </c:pt>
                <c:pt idx="7">
                  <c:v>-5.5891391428571438E-4</c:v>
                </c:pt>
                <c:pt idx="8">
                  <c:v>-5.5891391428571438E-4</c:v>
                </c:pt>
                <c:pt idx="9">
                  <c:v>-5.5891391428571438E-4</c:v>
                </c:pt>
                <c:pt idx="10">
                  <c:v>-5.5891391428571438E-4</c:v>
                </c:pt>
                <c:pt idx="11">
                  <c:v>-5.5891394285714291E-4</c:v>
                </c:pt>
                <c:pt idx="12">
                  <c:v>-5.5891397142857145E-4</c:v>
                </c:pt>
                <c:pt idx="13">
                  <c:v>-5.5891448571428572E-4</c:v>
                </c:pt>
                <c:pt idx="14">
                  <c:v>-5.5891965714285712E-4</c:v>
                </c:pt>
                <c:pt idx="15">
                  <c:v>-5.5897102857142866E-4</c:v>
                </c:pt>
                <c:pt idx="16">
                  <c:v>-5.5947377142857152E-4</c:v>
                </c:pt>
                <c:pt idx="17">
                  <c:v>-5.6355397142857143E-4</c:v>
                </c:pt>
                <c:pt idx="18">
                  <c:v>-5.7474800000000003E-4</c:v>
                </c:pt>
                <c:pt idx="19">
                  <c:v>-5.8737985714285719E-4</c:v>
                </c:pt>
                <c:pt idx="20">
                  <c:v>-6.0804631428571431E-4</c:v>
                </c:pt>
                <c:pt idx="21">
                  <c:v>-6.5085985714285718E-4</c:v>
                </c:pt>
                <c:pt idx="22">
                  <c:v>-7.1475934285714299E-4</c:v>
                </c:pt>
                <c:pt idx="23">
                  <c:v>-7.9079345714285724E-4</c:v>
                </c:pt>
                <c:pt idx="24">
                  <c:v>-8.6991351428571432E-4</c:v>
                </c:pt>
                <c:pt idx="25">
                  <c:v>-9.4754371428571436E-4</c:v>
                </c:pt>
                <c:pt idx="26">
                  <c:v>-1.0310119428571429E-3</c:v>
                </c:pt>
                <c:pt idx="27">
                  <c:v>-1.1241460285714286E-3</c:v>
                </c:pt>
                <c:pt idx="28">
                  <c:v>-1.2562818285714286E-3</c:v>
                </c:pt>
                <c:pt idx="29">
                  <c:v>-1.4614530285714286E-3</c:v>
                </c:pt>
                <c:pt idx="30">
                  <c:v>-1.802786285714286E-3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-5.6168965714285715E-4</c:v>
                </c:pt>
                <c:pt idx="1">
                  <c:v>-5.6167891428571433E-4</c:v>
                </c:pt>
                <c:pt idx="2">
                  <c:v>-5.6168177142857149E-4</c:v>
                </c:pt>
                <c:pt idx="3">
                  <c:v>-5.6168260000000008E-4</c:v>
                </c:pt>
                <c:pt idx="4">
                  <c:v>-5.6168285714285721E-4</c:v>
                </c:pt>
                <c:pt idx="5">
                  <c:v>-5.6168294285714293E-4</c:v>
                </c:pt>
                <c:pt idx="6">
                  <c:v>-5.6168297142857146E-4</c:v>
                </c:pt>
                <c:pt idx="7">
                  <c:v>-5.6168297142857146E-4</c:v>
                </c:pt>
                <c:pt idx="8">
                  <c:v>-5.61683E-4</c:v>
                </c:pt>
                <c:pt idx="9">
                  <c:v>-5.61683E-4</c:v>
                </c:pt>
                <c:pt idx="10">
                  <c:v>-5.61683E-4</c:v>
                </c:pt>
                <c:pt idx="11">
                  <c:v>-5.6168320000000006E-4</c:v>
                </c:pt>
                <c:pt idx="12">
                  <c:v>-5.6168508571428574E-4</c:v>
                </c:pt>
                <c:pt idx="13">
                  <c:v>-5.617039142857144E-4</c:v>
                </c:pt>
                <c:pt idx="14">
                  <c:v>-5.6189088571428577E-4</c:v>
                </c:pt>
                <c:pt idx="15">
                  <c:v>-5.6361988571428567E-4</c:v>
                </c:pt>
                <c:pt idx="16">
                  <c:v>-5.7295888571428581E-4</c:v>
                </c:pt>
                <c:pt idx="17">
                  <c:v>-5.846362000000001E-4</c:v>
                </c:pt>
                <c:pt idx="18">
                  <c:v>-6.0134048571428575E-4</c:v>
                </c:pt>
                <c:pt idx="19">
                  <c:v>-6.3636051428571437E-4</c:v>
                </c:pt>
                <c:pt idx="20">
                  <c:v>-6.9439380000000002E-4</c:v>
                </c:pt>
                <c:pt idx="21">
                  <c:v>-7.6528542857142866E-4</c:v>
                </c:pt>
                <c:pt idx="22">
                  <c:v>-8.4155414285714278E-4</c:v>
                </c:pt>
                <c:pt idx="23">
                  <c:v>-9.1760622857142856E-4</c:v>
                </c:pt>
                <c:pt idx="24">
                  <c:v>-9.9569642857142869E-4</c:v>
                </c:pt>
                <c:pt idx="25">
                  <c:v>-1.0819888857142856E-3</c:v>
                </c:pt>
                <c:pt idx="26">
                  <c:v>-1.1905131142857144E-3</c:v>
                </c:pt>
                <c:pt idx="27">
                  <c:v>-1.357037342857143E-3</c:v>
                </c:pt>
                <c:pt idx="28">
                  <c:v>-1.6271212571428572E-3</c:v>
                </c:pt>
                <c:pt idx="29">
                  <c:v>-2.1151075142857145E-3</c:v>
                </c:pt>
                <c:pt idx="30">
                  <c:v>-3.1498225714285716E-3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-5.6348934285714288E-4</c:v>
                </c:pt>
                <c:pt idx="1">
                  <c:v>-5.6347848571428581E-4</c:v>
                </c:pt>
                <c:pt idx="2">
                  <c:v>-5.6348131428571432E-4</c:v>
                </c:pt>
                <c:pt idx="3">
                  <c:v>-5.6348214285714291E-4</c:v>
                </c:pt>
                <c:pt idx="4">
                  <c:v>-5.6348240000000005E-4</c:v>
                </c:pt>
                <c:pt idx="5">
                  <c:v>-5.6348248571428576E-4</c:v>
                </c:pt>
                <c:pt idx="6">
                  <c:v>-5.634825142857143E-4</c:v>
                </c:pt>
                <c:pt idx="7">
                  <c:v>-5.634825142857143E-4</c:v>
                </c:pt>
                <c:pt idx="8">
                  <c:v>-5.6348254285714294E-4</c:v>
                </c:pt>
                <c:pt idx="9">
                  <c:v>-5.6348271428571437E-4</c:v>
                </c:pt>
                <c:pt idx="10">
                  <c:v>-5.6348448571428569E-4</c:v>
                </c:pt>
                <c:pt idx="11">
                  <c:v>-5.6350217142857144E-4</c:v>
                </c:pt>
                <c:pt idx="12">
                  <c:v>-5.6367762857142858E-4</c:v>
                </c:pt>
                <c:pt idx="13">
                  <c:v>-5.6530822857142854E-4</c:v>
                </c:pt>
                <c:pt idx="14">
                  <c:v>-5.7441494285714293E-4</c:v>
                </c:pt>
                <c:pt idx="15">
                  <c:v>-5.8573588571428576E-4</c:v>
                </c:pt>
                <c:pt idx="16">
                  <c:v>-5.9907651428571431E-4</c:v>
                </c:pt>
                <c:pt idx="17">
                  <c:v>-6.1825137142857149E-4</c:v>
                </c:pt>
                <c:pt idx="18">
                  <c:v>-6.5297140000000005E-4</c:v>
                </c:pt>
                <c:pt idx="19">
                  <c:v>-7.1575365714285713E-4</c:v>
                </c:pt>
                <c:pt idx="20">
                  <c:v>-7.9640562857142866E-4</c:v>
                </c:pt>
                <c:pt idx="21">
                  <c:v>-8.8083740000000001E-4</c:v>
                </c:pt>
                <c:pt idx="22">
                  <c:v>-9.6669668571428577E-4</c:v>
                </c:pt>
                <c:pt idx="23">
                  <c:v>-1.0590879428571428E-3</c:v>
                </c:pt>
                <c:pt idx="24">
                  <c:v>-1.1709494857142858E-3</c:v>
                </c:pt>
                <c:pt idx="25">
                  <c:v>-1.338241142857143E-3</c:v>
                </c:pt>
                <c:pt idx="26">
                  <c:v>-1.6058572285714287E-3</c:v>
                </c:pt>
                <c:pt idx="27">
                  <c:v>-2.0846555428571428E-3</c:v>
                </c:pt>
                <c:pt idx="28">
                  <c:v>-3.0967014285714287E-3</c:v>
                </c:pt>
                <c:pt idx="29">
                  <c:v>-5.1020828571428575E-3</c:v>
                </c:pt>
                <c:pt idx="30">
                  <c:v>-8.8143111428571428E-3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-5.6534522857142858E-4</c:v>
                </c:pt>
                <c:pt idx="1">
                  <c:v>-5.6533422857142862E-4</c:v>
                </c:pt>
                <c:pt idx="2">
                  <c:v>-5.6533705714285724E-4</c:v>
                </c:pt>
                <c:pt idx="3">
                  <c:v>-5.6533788571428573E-4</c:v>
                </c:pt>
                <c:pt idx="4">
                  <c:v>-5.6533814285714286E-4</c:v>
                </c:pt>
                <c:pt idx="5">
                  <c:v>-5.6533822857142858E-4</c:v>
                </c:pt>
                <c:pt idx="6">
                  <c:v>-5.6533842857142854E-4</c:v>
                </c:pt>
                <c:pt idx="7">
                  <c:v>-5.6534002857142865E-4</c:v>
                </c:pt>
                <c:pt idx="8">
                  <c:v>-5.6535597142857151E-4</c:v>
                </c:pt>
                <c:pt idx="9">
                  <c:v>-5.6551417142857146E-4</c:v>
                </c:pt>
                <c:pt idx="10">
                  <c:v>-5.6699531428571425E-4</c:v>
                </c:pt>
                <c:pt idx="11">
                  <c:v>-5.7573442857142862E-4</c:v>
                </c:pt>
                <c:pt idx="12">
                  <c:v>-5.8701614285714288E-4</c:v>
                </c:pt>
                <c:pt idx="13">
                  <c:v>-5.9998348571428575E-4</c:v>
                </c:pt>
                <c:pt idx="14">
                  <c:v>-6.1619954285714292E-4</c:v>
                </c:pt>
                <c:pt idx="15">
                  <c:v>-6.345624E-4</c:v>
                </c:pt>
                <c:pt idx="16">
                  <c:v>-6.5908922857142857E-4</c:v>
                </c:pt>
                <c:pt idx="17">
                  <c:v>-7.0183665714285723E-4</c:v>
                </c:pt>
                <c:pt idx="18">
                  <c:v>-7.7553539999999997E-4</c:v>
                </c:pt>
                <c:pt idx="19">
                  <c:v>-8.7162931428571438E-4</c:v>
                </c:pt>
                <c:pt idx="20">
                  <c:v>-9.803556571428573E-4</c:v>
                </c:pt>
                <c:pt idx="21">
                  <c:v>-1.1055107142857144E-3</c:v>
                </c:pt>
                <c:pt idx="22">
                  <c:v>-1.2797674857142859E-3</c:v>
                </c:pt>
                <c:pt idx="23">
                  <c:v>-1.5468386571428571E-3</c:v>
                </c:pt>
                <c:pt idx="24">
                  <c:v>-2.0103361428571429E-3</c:v>
                </c:pt>
                <c:pt idx="25">
                  <c:v>-2.9789217142857146E-3</c:v>
                </c:pt>
                <c:pt idx="26">
                  <c:v>-4.8967757142857147E-3</c:v>
                </c:pt>
                <c:pt idx="27">
                  <c:v>-8.4642999999999993E-3</c:v>
                </c:pt>
                <c:pt idx="28">
                  <c:v>-1.4895274571428573E-2</c:v>
                </c:pt>
                <c:pt idx="29">
                  <c:v>-2.1472374571428574E-2</c:v>
                </c:pt>
                <c:pt idx="30">
                  <c:v>-2.4615299714285718E-2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-5.6765062857142858E-4</c:v>
                </c:pt>
                <c:pt idx="1">
                  <c:v>-5.6763991428571429E-4</c:v>
                </c:pt>
                <c:pt idx="2">
                  <c:v>-5.6764697142857147E-4</c:v>
                </c:pt>
                <c:pt idx="3">
                  <c:v>-5.6769022857142864E-4</c:v>
                </c:pt>
                <c:pt idx="4">
                  <c:v>-5.6810754285714291E-4</c:v>
                </c:pt>
                <c:pt idx="5">
                  <c:v>-5.7162008571428572E-4</c:v>
                </c:pt>
                <c:pt idx="6">
                  <c:v>-5.8276582857142865E-4</c:v>
                </c:pt>
                <c:pt idx="7">
                  <c:v>-5.9470314285714281E-4</c:v>
                </c:pt>
                <c:pt idx="8">
                  <c:v>-6.0905660000000006E-4</c:v>
                </c:pt>
                <c:pt idx="9">
                  <c:v>-6.2686451428571436E-4</c:v>
                </c:pt>
                <c:pt idx="10">
                  <c:v>-6.4622380000000008E-4</c:v>
                </c:pt>
                <c:pt idx="11">
                  <c:v>-6.724639142857144E-4</c:v>
                </c:pt>
                <c:pt idx="12">
                  <c:v>-7.0394182857142862E-4</c:v>
                </c:pt>
                <c:pt idx="13">
                  <c:v>-7.3808877142857144E-4</c:v>
                </c:pt>
                <c:pt idx="14">
                  <c:v>-7.7937257142857153E-4</c:v>
                </c:pt>
                <c:pt idx="15">
                  <c:v>-8.3077111428571425E-4</c:v>
                </c:pt>
                <c:pt idx="16">
                  <c:v>-9.2215834285714292E-4</c:v>
                </c:pt>
                <c:pt idx="17">
                  <c:v>-1.1030462571428572E-3</c:v>
                </c:pt>
                <c:pt idx="18">
                  <c:v>-1.4169130571428574E-3</c:v>
                </c:pt>
                <c:pt idx="19">
                  <c:v>-1.989220685714286E-3</c:v>
                </c:pt>
                <c:pt idx="20">
                  <c:v>-3.1422751428571431E-3</c:v>
                </c:pt>
                <c:pt idx="21">
                  <c:v>-5.4349865714285722E-3</c:v>
                </c:pt>
                <c:pt idx="22">
                  <c:v>-9.7543965714285731E-3</c:v>
                </c:pt>
                <c:pt idx="23">
                  <c:v>-1.6865644857142859E-2</c:v>
                </c:pt>
                <c:pt idx="24">
                  <c:v>-2.2093246E-2</c:v>
                </c:pt>
                <c:pt idx="25">
                  <c:v>-2.4779278857142862E-2</c:v>
                </c:pt>
                <c:pt idx="26">
                  <c:v>-2.6766490571428572E-2</c:v>
                </c:pt>
                <c:pt idx="27">
                  <c:v>-2.6868412571428572E-2</c:v>
                </c:pt>
                <c:pt idx="28">
                  <c:v>-2.7191233999999998E-2</c:v>
                </c:pt>
                <c:pt idx="29">
                  <c:v>-2.7195999142857145E-2</c:v>
                </c:pt>
                <c:pt idx="30">
                  <c:v>-2.7336072000000003E-2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-6.1840197142857146E-4</c:v>
                </c:pt>
                <c:pt idx="1">
                  <c:v>-6.4192477142857151E-4</c:v>
                </c:pt>
                <c:pt idx="2">
                  <c:v>-6.6578565714285718E-4</c:v>
                </c:pt>
                <c:pt idx="3">
                  <c:v>-6.9553491428571434E-4</c:v>
                </c:pt>
                <c:pt idx="4">
                  <c:v>-7.2880822857142866E-4</c:v>
                </c:pt>
                <c:pt idx="5">
                  <c:v>-7.6696551428571426E-4</c:v>
                </c:pt>
                <c:pt idx="6">
                  <c:v>-8.1310145714285709E-4</c:v>
                </c:pt>
                <c:pt idx="7">
                  <c:v>-8.7520179999999999E-4</c:v>
                </c:pt>
                <c:pt idx="8">
                  <c:v>-9.7467042857142863E-4</c:v>
                </c:pt>
                <c:pt idx="9">
                  <c:v>-1.1375140571428571E-3</c:v>
                </c:pt>
                <c:pt idx="10">
                  <c:v>-1.4322549714285717E-3</c:v>
                </c:pt>
                <c:pt idx="11">
                  <c:v>-2.0606296285714289E-3</c:v>
                </c:pt>
                <c:pt idx="12">
                  <c:v>-3.3242445714285712E-3</c:v>
                </c:pt>
                <c:pt idx="13">
                  <c:v>-5.6982420000000001E-3</c:v>
                </c:pt>
                <c:pt idx="14">
                  <c:v>-1.0000507142857143E-2</c:v>
                </c:pt>
                <c:pt idx="15">
                  <c:v>-1.4185493714285716E-2</c:v>
                </c:pt>
                <c:pt idx="16">
                  <c:v>-1.6304024571428571E-2</c:v>
                </c:pt>
                <c:pt idx="17">
                  <c:v>-1.8261522000000002E-2</c:v>
                </c:pt>
                <c:pt idx="18">
                  <c:v>-1.960208028571429E-2</c:v>
                </c:pt>
                <c:pt idx="19">
                  <c:v>-2.1330320857142857E-2</c:v>
                </c:pt>
                <c:pt idx="20">
                  <c:v>-2.3068337428571433E-2</c:v>
                </c:pt>
                <c:pt idx="21">
                  <c:v>-2.4452565714285716E-2</c:v>
                </c:pt>
                <c:pt idx="22">
                  <c:v>-2.5445066857142859E-2</c:v>
                </c:pt>
                <c:pt idx="23">
                  <c:v>-2.6120219142857143E-2</c:v>
                </c:pt>
                <c:pt idx="24">
                  <c:v>-2.6581952857142859E-2</c:v>
                </c:pt>
                <c:pt idx="25">
                  <c:v>-2.6895848857142857E-2</c:v>
                </c:pt>
                <c:pt idx="26">
                  <c:v>-2.6954494571428574E-2</c:v>
                </c:pt>
                <c:pt idx="27">
                  <c:v>-2.7217686571428569E-2</c:v>
                </c:pt>
                <c:pt idx="28">
                  <c:v>-2.7221723714285714E-2</c:v>
                </c:pt>
                <c:pt idx="29">
                  <c:v>-2.7305871714285716E-2</c:v>
                </c:pt>
                <c:pt idx="30">
                  <c:v>-2.7309677428571429E-2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-6.5662397142857143E-4</c:v>
                </c:pt>
                <c:pt idx="1">
                  <c:v>-6.9128320000000007E-4</c:v>
                </c:pt>
                <c:pt idx="2">
                  <c:v>-7.2510685714285712E-4</c:v>
                </c:pt>
                <c:pt idx="3">
                  <c:v>-7.6208288571428585E-4</c:v>
                </c:pt>
                <c:pt idx="4">
                  <c:v>-8.0717060000000005E-4</c:v>
                </c:pt>
                <c:pt idx="5">
                  <c:v>-8.6432000000000013E-4</c:v>
                </c:pt>
                <c:pt idx="6">
                  <c:v>-9.5559037142857147E-4</c:v>
                </c:pt>
                <c:pt idx="7">
                  <c:v>-1.1032781142857142E-3</c:v>
                </c:pt>
                <c:pt idx="8">
                  <c:v>-1.3608547142857144E-3</c:v>
                </c:pt>
                <c:pt idx="9">
                  <c:v>-1.8943430571428572E-3</c:v>
                </c:pt>
                <c:pt idx="10">
                  <c:v>-2.9633485714285718E-3</c:v>
                </c:pt>
                <c:pt idx="11">
                  <c:v>-5.0025814285714291E-3</c:v>
                </c:pt>
                <c:pt idx="12">
                  <c:v>-8.7717962857142857E-3</c:v>
                </c:pt>
                <c:pt idx="13">
                  <c:v>-1.3274090285714286E-2</c:v>
                </c:pt>
                <c:pt idx="14">
                  <c:v>-1.5647893142857142E-2</c:v>
                </c:pt>
                <c:pt idx="15">
                  <c:v>-1.7303699142857145E-2</c:v>
                </c:pt>
                <c:pt idx="16">
                  <c:v>-1.8197246571428575E-2</c:v>
                </c:pt>
                <c:pt idx="17">
                  <c:v>-1.9020716E-2</c:v>
                </c:pt>
                <c:pt idx="18">
                  <c:v>-2.0558336000000003E-2</c:v>
                </c:pt>
                <c:pt idx="19">
                  <c:v>-2.2364219142857147E-2</c:v>
                </c:pt>
                <c:pt idx="20">
                  <c:v>-2.3917288000000002E-2</c:v>
                </c:pt>
                <c:pt idx="21">
                  <c:v>-2.5069089428571428E-2</c:v>
                </c:pt>
                <c:pt idx="22">
                  <c:v>-2.5863646571428575E-2</c:v>
                </c:pt>
                <c:pt idx="23">
                  <c:v>-2.6408451142857142E-2</c:v>
                </c:pt>
                <c:pt idx="24">
                  <c:v>-2.6778495142857142E-2</c:v>
                </c:pt>
                <c:pt idx="25">
                  <c:v>-2.6843666571428573E-2</c:v>
                </c:pt>
                <c:pt idx="26">
                  <c:v>-2.693226342857143E-2</c:v>
                </c:pt>
                <c:pt idx="27">
                  <c:v>-2.7235974857142856E-2</c:v>
                </c:pt>
                <c:pt idx="28">
                  <c:v>-2.7240321142857141E-2</c:v>
                </c:pt>
                <c:pt idx="29">
                  <c:v>-2.7359462000000005E-2</c:v>
                </c:pt>
                <c:pt idx="30">
                  <c:v>-2.7362212285714289E-2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3764480"/>
        <c:axId val="4537629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7644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2912"/>
        <c:crossesAt val="-8.0000000000000019E-3"/>
        <c:crossBetween val="midCat"/>
      </c:valAx>
      <c:valAx>
        <c:axId val="4537629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4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17891.636288798203</c:v>
                </c:pt>
                <c:pt idx="1">
                  <c:v>17891.97469788506</c:v>
                </c:pt>
                <c:pt idx="2">
                  <c:v>17891.882320080251</c:v>
                </c:pt>
                <c:pt idx="3">
                  <c:v>17891.85488131208</c:v>
                </c:pt>
                <c:pt idx="4">
                  <c:v>17891.84664969804</c:v>
                </c:pt>
                <c:pt idx="5">
                  <c:v>17891.843905828377</c:v>
                </c:pt>
                <c:pt idx="6">
                  <c:v>17891.84299120534</c:v>
                </c:pt>
                <c:pt idx="7">
                  <c:v>17891.84299120534</c:v>
                </c:pt>
                <c:pt idx="8">
                  <c:v>17891.84299120534</c:v>
                </c:pt>
                <c:pt idx="9">
                  <c:v>17891.84299120534</c:v>
                </c:pt>
                <c:pt idx="10">
                  <c:v>17891.84299120534</c:v>
                </c:pt>
                <c:pt idx="11">
                  <c:v>17891.842076582398</c:v>
                </c:pt>
                <c:pt idx="12">
                  <c:v>17891.841161959554</c:v>
                </c:pt>
                <c:pt idx="13">
                  <c:v>17891.824698764292</c:v>
                </c:pt>
                <c:pt idx="14">
                  <c:v>17891.659153873792</c:v>
                </c:pt>
                <c:pt idx="15">
                  <c:v>17890.014846667746</c:v>
                </c:pt>
                <c:pt idx="16">
                  <c:v>17873.938888083707</c:v>
                </c:pt>
                <c:pt idx="17">
                  <c:v>17744.529374268575</c:v>
                </c:pt>
                <c:pt idx="18">
                  <c:v>17398.92961784991</c:v>
                </c:pt>
                <c:pt idx="19">
                  <c:v>17024.758132909366</c:v>
                </c:pt>
                <c:pt idx="20">
                  <c:v>16446.115641285032</c:v>
                </c:pt>
                <c:pt idx="21">
                  <c:v>15364.29062301979</c:v>
                </c:pt>
                <c:pt idx="22">
                  <c:v>13990.723031372356</c:v>
                </c:pt>
                <c:pt idx="23">
                  <c:v>12645.526982646108</c:v>
                </c:pt>
                <c:pt idx="24">
                  <c:v>11495.395617817245</c:v>
                </c:pt>
                <c:pt idx="25">
                  <c:v>10553.602804001805</c:v>
                </c:pt>
                <c:pt idx="26">
                  <c:v>9699.2086942154856</c:v>
                </c:pt>
                <c:pt idx="27">
                  <c:v>8895.6414432278507</c:v>
                </c:pt>
                <c:pt idx="28">
                  <c:v>7959.9973290797534</c:v>
                </c:pt>
                <c:pt idx="29">
                  <c:v>6842.5052358850062</c:v>
                </c:pt>
                <c:pt idx="30">
                  <c:v>5546.9691994233681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17803.425562199114</c:v>
                </c:pt>
                <c:pt idx="1">
                  <c:v>17803.766076419255</c:v>
                </c:pt>
                <c:pt idx="2">
                  <c:v>17803.675512855218</c:v>
                </c:pt>
                <c:pt idx="3">
                  <c:v>17803.649249593986</c:v>
                </c:pt>
                <c:pt idx="4">
                  <c:v>17803.641098942462</c:v>
                </c:pt>
                <c:pt idx="5">
                  <c:v>17803.638382060279</c:v>
                </c:pt>
                <c:pt idx="6">
                  <c:v>17803.637476433069</c:v>
                </c:pt>
                <c:pt idx="7">
                  <c:v>17803.637476433069</c:v>
                </c:pt>
                <c:pt idx="8">
                  <c:v>17803.636570805953</c:v>
                </c:pt>
                <c:pt idx="9">
                  <c:v>17803.636570805953</c:v>
                </c:pt>
                <c:pt idx="10">
                  <c:v>17803.636570805953</c:v>
                </c:pt>
                <c:pt idx="11">
                  <c:v>17803.630231418705</c:v>
                </c:pt>
                <c:pt idx="12">
                  <c:v>17803.570460275198</c:v>
                </c:pt>
                <c:pt idx="13">
                  <c:v>17802.973676472251</c:v>
                </c:pt>
                <c:pt idx="14">
                  <c:v>17797.049666124803</c:v>
                </c:pt>
                <c:pt idx="15">
                  <c:v>17742.454184927879</c:v>
                </c:pt>
                <c:pt idx="16">
                  <c:v>17453.259298934485</c:v>
                </c:pt>
                <c:pt idx="17">
                  <c:v>17104.654142182775</c:v>
                </c:pt>
                <c:pt idx="18">
                  <c:v>16629.513956842227</c:v>
                </c:pt>
                <c:pt idx="19">
                  <c:v>15714.36281087387</c:v>
                </c:pt>
                <c:pt idx="20">
                  <c:v>14401.050239791886</c:v>
                </c:pt>
                <c:pt idx="21">
                  <c:v>13067.019998887436</c:v>
                </c:pt>
                <c:pt idx="22">
                  <c:v>11882.776746899743</c:v>
                </c:pt>
                <c:pt idx="23">
                  <c:v>10897.920795032591</c:v>
                </c:pt>
                <c:pt idx="24">
                  <c:v>10043.221722053837</c:v>
                </c:pt>
                <c:pt idx="25">
                  <c:v>9242.2391135731505</c:v>
                </c:pt>
                <c:pt idx="26">
                  <c:v>8399.7394736804836</c:v>
                </c:pt>
                <c:pt idx="27">
                  <c:v>7368.9939725208524</c:v>
                </c:pt>
                <c:pt idx="28">
                  <c:v>6145.8234634335095</c:v>
                </c:pt>
                <c:pt idx="29">
                  <c:v>4727.8920492025509</c:v>
                </c:pt>
                <c:pt idx="30">
                  <c:v>3174.7819990586318</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17746.564556652535</c:v>
                </c:pt>
                <c:pt idx="1">
                  <c:v>17746.906498699122</c:v>
                </c:pt>
                <c:pt idx="2">
                  <c:v>17746.817412528217</c:v>
                </c:pt>
                <c:pt idx="3">
                  <c:v>17746.791316748531</c:v>
                </c:pt>
                <c:pt idx="4">
                  <c:v>17746.783218073891</c:v>
                </c:pt>
                <c:pt idx="5">
                  <c:v>17746.78051851732</c:v>
                </c:pt>
                <c:pt idx="6">
                  <c:v>17746.77961866531</c:v>
                </c:pt>
                <c:pt idx="7">
                  <c:v>17746.77961866531</c:v>
                </c:pt>
                <c:pt idx="8">
                  <c:v>17746.778718813392</c:v>
                </c:pt>
                <c:pt idx="9">
                  <c:v>17746.773319703811</c:v>
                </c:pt>
                <c:pt idx="10">
                  <c:v>17746.717529097139</c:v>
                </c:pt>
                <c:pt idx="11">
                  <c:v>17746.160542111738</c:v>
                </c:pt>
                <c:pt idx="12">
                  <c:v>17740.636656707073</c:v>
                </c:pt>
                <c:pt idx="13">
                  <c:v>17689.464781488612</c:v>
                </c:pt>
                <c:pt idx="14">
                  <c:v>17409.017861304143</c:v>
                </c:pt>
                <c:pt idx="15">
                  <c:v>17072.541129702728</c:v>
                </c:pt>
                <c:pt idx="16">
                  <c:v>16692.358591161119</c:v>
                </c:pt>
                <c:pt idx="17">
                  <c:v>16174.650736145324</c:v>
                </c:pt>
                <c:pt idx="18">
                  <c:v>15314.606428397934</c:v>
                </c:pt>
                <c:pt idx="19">
                  <c:v>13971.287327986509</c:v>
                </c:pt>
                <c:pt idx="20">
                  <c:v>12556.415526517228</c:v>
                </c:pt>
                <c:pt idx="21">
                  <c:v>11352.833110855647</c:v>
                </c:pt>
                <c:pt idx="22">
                  <c:v>10344.506345970418</c:v>
                </c:pt>
                <c:pt idx="23">
                  <c:v>9442.0865306261639</c:v>
                </c:pt>
                <c:pt idx="24">
                  <c:v>8540.0780494813098</c:v>
                </c:pt>
                <c:pt idx="25">
                  <c:v>7472.4948140885981</c:v>
                </c:pt>
                <c:pt idx="26">
                  <c:v>6227.2036530271153</c:v>
                </c:pt>
                <c:pt idx="27">
                  <c:v>4796.9555614422579</c:v>
                </c:pt>
                <c:pt idx="28">
                  <c:v>3229.2425442556155</c:v>
                </c:pt>
                <c:pt idx="29">
                  <c:v>1959.9838497330782</c:v>
                </c:pt>
                <c:pt idx="30">
                  <c:v>1134.5186070613929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17688.307063754673</c:v>
                </c:pt>
                <c:pt idx="1">
                  <c:v>17688.651234278703</c:v>
                </c:pt>
                <c:pt idx="2">
                  <c:v>17688.562732007609</c:v>
                </c:pt>
                <c:pt idx="3">
                  <c:v>17688.536807267625</c:v>
                </c:pt>
                <c:pt idx="4">
                  <c:v>17688.528761674112</c:v>
                </c:pt>
                <c:pt idx="5">
                  <c:v>17688.526079811236</c:v>
                </c:pt>
                <c:pt idx="6">
                  <c:v>17688.519822134353</c:v>
                </c:pt>
                <c:pt idx="7">
                  <c:v>17688.46976087867</c:v>
                </c:pt>
                <c:pt idx="8">
                  <c:v>17687.970951702286</c:v>
                </c:pt>
                <c:pt idx="9">
                  <c:v>17683.02282282076</c:v>
                </c:pt>
                <c:pt idx="10">
                  <c:v>17636.830054932176</c:v>
                </c:pt>
                <c:pt idx="11">
                  <c:v>17369.119343467137</c:v>
                </c:pt>
                <c:pt idx="12">
                  <c:v>17035.306646470905</c:v>
                </c:pt>
                <c:pt idx="13">
                  <c:v>16667.125409451746</c:v>
                </c:pt>
                <c:pt idx="14">
                  <c:v>16228.509280667151</c:v>
                </c:pt>
                <c:pt idx="15">
                  <c:v>15758.891481751834</c:v>
                </c:pt>
                <c:pt idx="16">
                  <c:v>15172.452479120213</c:v>
                </c:pt>
                <c:pt idx="17">
                  <c:v>14248.329576727314</c:v>
                </c:pt>
                <c:pt idx="18">
                  <c:v>12894.317912502769</c:v>
                </c:pt>
                <c:pt idx="19">
                  <c:v>11472.766961945093</c:v>
                </c:pt>
                <c:pt idx="20">
                  <c:v>10200.379757223965</c:v>
                </c:pt>
                <c:pt idx="21">
                  <c:v>9045.5930193866425</c:v>
                </c:pt>
                <c:pt idx="22">
                  <c:v>7813.9194124146916</c:v>
                </c:pt>
                <c:pt idx="23">
                  <c:v>6464.7983510257318</c:v>
                </c:pt>
                <c:pt idx="24">
                  <c:v>4974.2925010479767</c:v>
                </c:pt>
                <c:pt idx="25">
                  <c:v>3356.9193685231835</c:v>
                </c:pt>
                <c:pt idx="26">
                  <c:v>2042.1601036016993</c:v>
                </c:pt>
                <c:pt idx="27">
                  <c:v>1181.4326051770379</c:v>
                </c:pt>
                <c:pt idx="28">
                  <c:v>671.35385467694152</c:v>
                </c:pt>
                <c:pt idx="29">
                  <c:v>465.71467756091272</c:v>
                </c:pt>
                <c:pt idx="30">
                  <c:v>406.25140120460964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17616.469526628349</c:v>
                </c:pt>
                <c:pt idx="1">
                  <c:v>17616.802040045808</c:v>
                </c:pt>
                <c:pt idx="2">
                  <c:v>17616.583023130472</c:v>
                </c:pt>
                <c:pt idx="3">
                  <c:v>17615.24066596078</c:v>
                </c:pt>
                <c:pt idx="4">
                  <c:v>17602.301053261344</c:v>
                </c:pt>
                <c:pt idx="5">
                  <c:v>17494.13684003806</c:v>
                </c:pt>
                <c:pt idx="6">
                  <c:v>17159.551074766416</c:v>
                </c:pt>
                <c:pt idx="7">
                  <c:v>16815.112077526315</c:v>
                </c:pt>
                <c:pt idx="8">
                  <c:v>16418.835293796994</c:v>
                </c:pt>
                <c:pt idx="9">
                  <c:v>15952.410404654309</c:v>
                </c:pt>
                <c:pt idx="10">
                  <c:v>15474.515175702285</c:v>
                </c:pt>
                <c:pt idx="11">
                  <c:v>14870.686422812616</c:v>
                </c:pt>
                <c:pt idx="12">
                  <c:v>14205.719271283941</c:v>
                </c:pt>
                <c:pt idx="13">
                  <c:v>13548.505799166936</c:v>
                </c:pt>
                <c:pt idx="14">
                  <c:v>12830.833886892166</c:v>
                </c:pt>
                <c:pt idx="15">
                  <c:v>12037.009746779489</c:v>
                </c:pt>
                <c:pt idx="16">
                  <c:v>10844.124631586357</c:v>
                </c:pt>
                <c:pt idx="17">
                  <c:v>9065.8029391281325</c:v>
                </c:pt>
                <c:pt idx="18">
                  <c:v>7057.5960533277594</c:v>
                </c:pt>
                <c:pt idx="19">
                  <c:v>5027.0943147814778</c:v>
                </c:pt>
                <c:pt idx="20">
                  <c:v>3182.4075058263061</c:v>
                </c:pt>
                <c:pt idx="21">
                  <c:v>1839.9309489685686</c:v>
                </c:pt>
                <c:pt idx="22">
                  <c:v>1025.1787413781001</c:v>
                </c:pt>
                <c:pt idx="23">
                  <c:v>592.92129561028003</c:v>
                </c:pt>
                <c:pt idx="24">
                  <c:v>452.62701551415307</c:v>
                </c:pt>
                <c:pt idx="25">
                  <c:v>403.56299542258085</c:v>
                </c:pt>
                <c:pt idx="26">
                  <c:v>373.60146162285196</c:v>
                </c:pt>
                <c:pt idx="27">
                  <c:v>372.18425068527625</c:v>
                </c:pt>
                <c:pt idx="28">
                  <c:v>367.76558209899559</c:v>
                </c:pt>
                <c:pt idx="29">
                  <c:v>367.7011441084133</c:v>
                </c:pt>
                <c:pt idx="30">
                  <c:v>365.81700545711175</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16170.711708597861</c:v>
                </c:pt>
                <c:pt idx="1">
                  <c:v>15578.149411099215</c:v>
                </c:pt>
                <c:pt idx="2">
                  <c:v>15019.848944950021</c:v>
                </c:pt>
                <c:pt idx="3">
                  <c:v>14377.423468769482</c:v>
                </c:pt>
                <c:pt idx="4">
                  <c:v>13721.030592096184</c:v>
                </c:pt>
                <c:pt idx="5">
                  <c:v>13038.395877959572</c:v>
                </c:pt>
                <c:pt idx="6">
                  <c:v>12298.588216947519</c:v>
                </c:pt>
                <c:pt idx="7">
                  <c:v>11425.936281209659</c:v>
                </c:pt>
                <c:pt idx="8">
                  <c:v>10259.878320774509</c:v>
                </c:pt>
                <c:pt idx="9">
                  <c:v>8791.100151427956</c:v>
                </c:pt>
                <c:pt idx="10">
                  <c:v>6981.997060220162</c:v>
                </c:pt>
                <c:pt idx="11">
                  <c:v>4852.8856721004695</c:v>
                </c:pt>
                <c:pt idx="12">
                  <c:v>3008.2022502040422</c:v>
                </c:pt>
                <c:pt idx="13">
                  <c:v>1754.9272214132006</c:v>
                </c:pt>
                <c:pt idx="14">
                  <c:v>999.94928828609397</c:v>
                </c:pt>
                <c:pt idx="15">
                  <c:v>704.94550287871539</c:v>
                </c:pt>
                <c:pt idx="16">
                  <c:v>613.34549369633294</c:v>
                </c:pt>
                <c:pt idx="17">
                  <c:v>547.59948267181665</c:v>
                </c:pt>
                <c:pt idx="18">
                  <c:v>510.14993583552734</c:v>
                </c:pt>
                <c:pt idx="19">
                  <c:v>468.8162014520899</c:v>
                </c:pt>
                <c:pt idx="20">
                  <c:v>433.49461273331463</c:v>
                </c:pt>
                <c:pt idx="21">
                  <c:v>408.9550404176108</c:v>
                </c:pt>
                <c:pt idx="22">
                  <c:v>393.00348692905209</c:v>
                </c:pt>
                <c:pt idx="23">
                  <c:v>382.84518002348415</c:v>
                </c:pt>
                <c:pt idx="24">
                  <c:v>376.19508445230321</c:v>
                </c:pt>
                <c:pt idx="25">
                  <c:v>371.80458787952523</c:v>
                </c:pt>
                <c:pt idx="26">
                  <c:v>370.99564132060834</c:v>
                </c:pt>
                <c:pt idx="27">
                  <c:v>367.40815475836132</c:v>
                </c:pt>
                <c:pt idx="28">
                  <c:v>367.35366595290549</c:v>
                </c:pt>
                <c:pt idx="29">
                  <c:v>366.22159895258943</c:v>
                </c:pt>
                <c:pt idx="30">
                  <c:v>366.17056448780988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15229.41658411235</c:v>
                </c:pt>
                <c:pt idx="1">
                  <c:v>14465.85133270995</c:v>
                </c:pt>
                <c:pt idx="2">
                  <c:v>13791.070793900722</c:v>
                </c:pt>
                <c:pt idx="3">
                  <c:v>13121.932256262637</c:v>
                </c:pt>
                <c:pt idx="4">
                  <c:v>12388.954701769366</c:v>
                </c:pt>
                <c:pt idx="5">
                  <c:v>11569.788967049239</c:v>
                </c:pt>
                <c:pt idx="6">
                  <c:v>10464.734994190427</c:v>
                </c:pt>
                <c:pt idx="7">
                  <c:v>9063.8977339582361</c:v>
                </c:pt>
                <c:pt idx="8">
                  <c:v>7348.3230024659915</c:v>
                </c:pt>
                <c:pt idx="9">
                  <c:v>5278.8748913739519</c:v>
                </c:pt>
                <c:pt idx="10">
                  <c:v>3374.5608250126302</c:v>
                </c:pt>
                <c:pt idx="11">
                  <c:v>1998.967961398215</c:v>
                </c:pt>
                <c:pt idx="12">
                  <c:v>1140.0173549727735</c:v>
                </c:pt>
                <c:pt idx="13">
                  <c:v>753.34729422189514</c:v>
                </c:pt>
                <c:pt idx="14">
                  <c:v>639.0636687447435</c:v>
                </c:pt>
                <c:pt idx="15">
                  <c:v>577.91111122779409</c:v>
                </c:pt>
                <c:pt idx="16">
                  <c:v>549.5336869095878</c:v>
                </c:pt>
                <c:pt idx="17">
                  <c:v>525.74256405489677</c:v>
                </c:pt>
                <c:pt idx="18">
                  <c:v>486.42069085747011</c:v>
                </c:pt>
                <c:pt idx="19">
                  <c:v>447.1428193456008</c:v>
                </c:pt>
                <c:pt idx="20">
                  <c:v>418.10760484215433</c:v>
                </c:pt>
                <c:pt idx="21">
                  <c:v>398.89761566700247</c:v>
                </c:pt>
                <c:pt idx="22">
                  <c:v>386.6430811441316</c:v>
                </c:pt>
                <c:pt idx="23">
                  <c:v>378.66666037719375</c:v>
                </c:pt>
                <c:pt idx="24">
                  <c:v>373.43397926777772</c:v>
                </c:pt>
                <c:pt idx="25">
                  <c:v>372.52735103794049</c:v>
                </c:pt>
                <c:pt idx="26">
                  <c:v>371.30187837801162</c:v>
                </c:pt>
                <c:pt idx="27">
                  <c:v>367.16144923953101</c:v>
                </c:pt>
                <c:pt idx="28">
                  <c:v>367.10286738385844</c:v>
                </c:pt>
                <c:pt idx="29">
                  <c:v>365.50426320517556</c:v>
                </c:pt>
                <c:pt idx="30">
                  <c:v>365.4675249055415</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3765264"/>
        <c:axId val="4537687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376526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8792"/>
        <c:crosses val="autoZero"/>
        <c:crossBetween val="midCat"/>
      </c:valAx>
      <c:valAx>
        <c:axId val="453768792"/>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376526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21415.549463341617</c:v>
                </c:pt>
                <c:pt idx="1">
                  <c:v>21418.129347436585</c:v>
                </c:pt>
                <c:pt idx="2">
                  <c:v>21418.027901668822</c:v>
                </c:pt>
                <c:pt idx="3">
                  <c:v>21418.001164184629</c:v>
                </c:pt>
                <c:pt idx="4">
                  <c:v>21417.996445812005</c:v>
                </c:pt>
                <c:pt idx="5">
                  <c:v>21417.994873021591</c:v>
                </c:pt>
                <c:pt idx="6">
                  <c:v>21417.994086626455</c:v>
                </c:pt>
                <c:pt idx="7">
                  <c:v>21417.995659416745</c:v>
                </c:pt>
                <c:pt idx="8">
                  <c:v>21417.995659416745</c:v>
                </c:pt>
                <c:pt idx="9">
                  <c:v>21417.995659416745</c:v>
                </c:pt>
                <c:pt idx="10">
                  <c:v>21417.996445811998</c:v>
                </c:pt>
                <c:pt idx="11">
                  <c:v>21417.993300231385</c:v>
                </c:pt>
                <c:pt idx="12">
                  <c:v>21417.998018602641</c:v>
                </c:pt>
                <c:pt idx="13">
                  <c:v>21418.017678505221</c:v>
                </c:pt>
                <c:pt idx="14">
                  <c:v>21418.204842585139</c:v>
                </c:pt>
                <c:pt idx="15">
                  <c:v>21420.104979077681</c:v>
                </c:pt>
                <c:pt idx="16">
                  <c:v>21438.72699730254</c:v>
                </c:pt>
                <c:pt idx="17">
                  <c:v>21591.91354953156</c:v>
                </c:pt>
                <c:pt idx="18">
                  <c:v>21981.9631335095</c:v>
                </c:pt>
                <c:pt idx="19">
                  <c:v>22407.604388033797</c:v>
                </c:pt>
                <c:pt idx="20">
                  <c:v>22560.039258077912</c:v>
                </c:pt>
                <c:pt idx="21">
                  <c:v>21511.102064156192</c:v>
                </c:pt>
                <c:pt idx="22">
                  <c:v>19453.10107442255</c:v>
                </c:pt>
                <c:pt idx="23">
                  <c:v>17501.941840447187</c:v>
                </c:pt>
                <c:pt idx="24">
                  <c:v>15922.848974370625</c:v>
                </c:pt>
                <c:pt idx="25">
                  <c:v>14666.610346882935</c:v>
                </c:pt>
                <c:pt idx="26">
                  <c:v>13634.017168889319</c:v>
                </c:pt>
                <c:pt idx="27">
                  <c:v>12699.710660677774</c:v>
                </c:pt>
                <c:pt idx="28">
                  <c:v>11705.735730239914</c:v>
                </c:pt>
                <c:pt idx="29">
                  <c:v>10519.606653272505</c:v>
                </c:pt>
                <c:pt idx="30">
                  <c:v>9139.358134000011</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21246.654365218023</c:v>
                </c:pt>
                <c:pt idx="1">
                  <c:v>21249.288922902317</c:v>
                </c:pt>
                <c:pt idx="2">
                  <c:v>21249.192166425808</c:v>
                </c:pt>
                <c:pt idx="3">
                  <c:v>21249.170493095851</c:v>
                </c:pt>
                <c:pt idx="4">
                  <c:v>21249.165074770277</c:v>
                </c:pt>
                <c:pt idx="5">
                  <c:v>21249.163526677763</c:v>
                </c:pt>
                <c:pt idx="6">
                  <c:v>21249.162752631597</c:v>
                </c:pt>
                <c:pt idx="7">
                  <c:v>21249.164300724002</c:v>
                </c:pt>
                <c:pt idx="8">
                  <c:v>21249.160430493426</c:v>
                </c:pt>
                <c:pt idx="9">
                  <c:v>21249.161204539429</c:v>
                </c:pt>
                <c:pt idx="10">
                  <c:v>21249.164300723998</c:v>
                </c:pt>
                <c:pt idx="11">
                  <c:v>21249.169719049183</c:v>
                </c:pt>
                <c:pt idx="12">
                  <c:v>21249.236287269807</c:v>
                </c:pt>
                <c:pt idx="13">
                  <c:v>21249.904314716554</c:v>
                </c:pt>
                <c:pt idx="14">
                  <c:v>21256.517187436755</c:v>
                </c:pt>
                <c:pt idx="15">
                  <c:v>21318.022948522812</c:v>
                </c:pt>
                <c:pt idx="16">
                  <c:v>21626.656240393881</c:v>
                </c:pt>
                <c:pt idx="17">
                  <c:v>22019.296579100948</c:v>
                </c:pt>
                <c:pt idx="18">
                  <c:v>22280.927585826728</c:v>
                </c:pt>
                <c:pt idx="19">
                  <c:v>21634.832802797777</c:v>
                </c:pt>
                <c:pt idx="20">
                  <c:v>19809.843613170575</c:v>
                </c:pt>
                <c:pt idx="21">
                  <c:v>17854.167769799165</c:v>
                </c:pt>
                <c:pt idx="22">
                  <c:v>16251.693600598475</c:v>
                </c:pt>
                <c:pt idx="23">
                  <c:v>14973.174915431517</c:v>
                </c:pt>
                <c:pt idx="24">
                  <c:v>13932.682294916583</c:v>
                </c:pt>
                <c:pt idx="25">
                  <c:v>13012.504459106436</c:v>
                </c:pt>
                <c:pt idx="26">
                  <c:v>12095.958273782331</c:v>
                </c:pt>
                <c:pt idx="27">
                  <c:v>11015.969851493697</c:v>
                </c:pt>
                <c:pt idx="28">
                  <c:v>9723.9790210987012</c:v>
                </c:pt>
                <c:pt idx="29">
                  <c:v>8226.9442531679888</c:v>
                </c:pt>
                <c:pt idx="30">
                  <c:v>6586.8915062561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21138.881521485364</c:v>
                </c:pt>
                <c:pt idx="1">
                  <c:v>21141.54918337987</c:v>
                </c:pt>
                <c:pt idx="2">
                  <c:v>21141.458002892334</c:v>
                </c:pt>
                <c:pt idx="3">
                  <c:v>21141.435782556586</c:v>
                </c:pt>
                <c:pt idx="4">
                  <c:v>21141.430419034266</c:v>
                </c:pt>
                <c:pt idx="5">
                  <c:v>21141.428886599821</c:v>
                </c:pt>
                <c:pt idx="6">
                  <c:v>21141.428120382676</c:v>
                </c:pt>
                <c:pt idx="7">
                  <c:v>21141.429652817013</c:v>
                </c:pt>
                <c:pt idx="8">
                  <c:v>21141.42888659981</c:v>
                </c:pt>
                <c:pt idx="9">
                  <c:v>21141.436548774276</c:v>
                </c:pt>
                <c:pt idx="10">
                  <c:v>21141.497080147841</c:v>
                </c:pt>
                <c:pt idx="11">
                  <c:v>21142.106244278795</c:v>
                </c:pt>
                <c:pt idx="12">
                  <c:v>21148.168381910014</c:v>
                </c:pt>
                <c:pt idx="13">
                  <c:v>21204.786669183137</c:v>
                </c:pt>
                <c:pt idx="14">
                  <c:v>21500.071275807713</c:v>
                </c:pt>
                <c:pt idx="15">
                  <c:v>21906.047441038187</c:v>
                </c:pt>
                <c:pt idx="16">
                  <c:v>22404.083637132706</c:v>
                </c:pt>
                <c:pt idx="17">
                  <c:v>22895.94836830191</c:v>
                </c:pt>
                <c:pt idx="18">
                  <c:v>22419.944782878854</c:v>
                </c:pt>
                <c:pt idx="19">
                  <c:v>20539.514116784583</c:v>
                </c:pt>
                <c:pt idx="20">
                  <c:v>18287.793331633096</c:v>
                </c:pt>
                <c:pt idx="21">
                  <c:v>16366.291443716864</c:v>
                </c:pt>
                <c:pt idx="22">
                  <c:v>14875.871056629718</c:v>
                </c:pt>
                <c:pt idx="23">
                  <c:v>13679.119589976604</c:v>
                </c:pt>
                <c:pt idx="24">
                  <c:v>12615.310243278691</c:v>
                </c:pt>
                <c:pt idx="25">
                  <c:v>11467.553246143232</c:v>
                </c:pt>
                <c:pt idx="26">
                  <c:v>10118.356731455086</c:v>
                </c:pt>
                <c:pt idx="27">
                  <c:v>8575.1274263935629</c:v>
                </c:pt>
                <c:pt idx="28">
                  <c:v>6896.5316120851512</c:v>
                </c:pt>
                <c:pt idx="29">
                  <c:v>5451.9982243309096</c:v>
                </c:pt>
                <c:pt idx="30">
                  <c:v>4395.1103769183901</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21029.337271371158</c:v>
                </c:pt>
                <c:pt idx="1">
                  <c:v>21032.04256923874</c:v>
                </c:pt>
                <c:pt idx="2">
                  <c:v>21031.951572573435</c:v>
                </c:pt>
                <c:pt idx="3">
                  <c:v>21031.929581830798</c:v>
                </c:pt>
                <c:pt idx="4">
                  <c:v>21031.924273727393</c:v>
                </c:pt>
                <c:pt idx="5">
                  <c:v>21031.925032027721</c:v>
                </c:pt>
                <c:pt idx="6">
                  <c:v>21031.928823530161</c:v>
                </c:pt>
                <c:pt idx="7">
                  <c:v>21031.981904707714</c:v>
                </c:pt>
                <c:pt idx="8">
                  <c:v>21032.514247905889</c:v>
                </c:pt>
                <c:pt idx="9">
                  <c:v>21037.823987899148</c:v>
                </c:pt>
                <c:pt idx="10">
                  <c:v>21087.745688053081</c:v>
                </c:pt>
                <c:pt idx="11">
                  <c:v>21362.386569694612</c:v>
                </c:pt>
                <c:pt idx="12">
                  <c:v>21755.784825889568</c:v>
                </c:pt>
                <c:pt idx="13">
                  <c:v>22254.922121125535</c:v>
                </c:pt>
                <c:pt idx="14">
                  <c:v>22956.140077474745</c:v>
                </c:pt>
                <c:pt idx="15">
                  <c:v>23852.304133942343</c:v>
                </c:pt>
                <c:pt idx="16">
                  <c:v>24984.336248848347</c:v>
                </c:pt>
                <c:pt idx="17">
                  <c:v>25418.575674324286</c:v>
                </c:pt>
                <c:pt idx="18">
                  <c:v>23263.120582790365</c:v>
                </c:pt>
                <c:pt idx="19">
                  <c:v>19909.225309289814</c:v>
                </c:pt>
                <c:pt idx="20">
                  <c:v>17085.395540575068</c:v>
                </c:pt>
                <c:pt idx="21">
                  <c:v>15005.121676746025</c:v>
                </c:pt>
                <c:pt idx="22">
                  <c:v>13356.486612068389</c:v>
                </c:pt>
                <c:pt idx="23">
                  <c:v>11757.435242482163</c:v>
                </c:pt>
                <c:pt idx="24">
                  <c:v>10057.498142164573</c:v>
                </c:pt>
                <c:pt idx="25">
                  <c:v>8262.3268959892011</c:v>
                </c:pt>
                <c:pt idx="26">
                  <c:v>6732.657482244631</c:v>
                </c:pt>
                <c:pt idx="27">
                  <c:v>5603.5970610254153</c:v>
                </c:pt>
                <c:pt idx="28">
                  <c:v>4975.4914399512863</c:v>
                </c:pt>
                <c:pt idx="29">
                  <c:v>4576.1234873460335</c:v>
                </c:pt>
                <c:pt idx="30">
                  <c:v>3979.3704886018731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20895.458516568593</c:v>
                </c:pt>
                <c:pt idx="1">
                  <c:v>20898.217072790078</c:v>
                </c:pt>
                <c:pt idx="2">
                  <c:v>20898.267983792535</c:v>
                </c:pt>
                <c:pt idx="3">
                  <c:v>20899.620210907251</c:v>
                </c:pt>
                <c:pt idx="4">
                  <c:v>20913.111625908266</c:v>
                </c:pt>
                <c:pt idx="5">
                  <c:v>21028.090248189499</c:v>
                </c:pt>
                <c:pt idx="6">
                  <c:v>21370.863989837715</c:v>
                </c:pt>
                <c:pt idx="7">
                  <c:v>21788.439703811193</c:v>
                </c:pt>
                <c:pt idx="8">
                  <c:v>22346.560185690454</c:v>
                </c:pt>
                <c:pt idx="9">
                  <c:v>23136.897372735224</c:v>
                </c:pt>
                <c:pt idx="10">
                  <c:v>24141.732774663273</c:v>
                </c:pt>
                <c:pt idx="11">
                  <c:v>25789.564463477425</c:v>
                </c:pt>
                <c:pt idx="12">
                  <c:v>28356.906835083992</c:v>
                </c:pt>
                <c:pt idx="13">
                  <c:v>32193.295166802207</c:v>
                </c:pt>
                <c:pt idx="14">
                  <c:v>39138.146699166959</c:v>
                </c:pt>
                <c:pt idx="15">
                  <c:v>53423.91587229132</c:v>
                </c:pt>
                <c:pt idx="16">
                  <c:v>92168.471325335064</c:v>
                </c:pt>
                <c:pt idx="17">
                  <c:v>171662.28437377722</c:v>
                </c:pt>
                <c:pt idx="18">
                  <c:v>463619.75761957688</c:v>
                </c:pt>
                <c:pt idx="19">
                  <c:v>-83849.607344267439</c:v>
                </c:pt>
                <c:pt idx="20">
                  <c:v>-17610.089474348857</c:v>
                </c:pt>
                <c:pt idx="21">
                  <c:v>-6995.2474288968015</c:v>
                </c:pt>
                <c:pt idx="22">
                  <c:v>-3775.0607407273196</c:v>
                </c:pt>
                <c:pt idx="23">
                  <c:v>-2584.1424467915831</c:v>
                </c:pt>
                <c:pt idx="24">
                  <c:v>-3776.7753137016589</c:v>
                </c:pt>
                <c:pt idx="25">
                  <c:v>-15046.463479224287</c:v>
                </c:pt>
                <c:pt idx="26">
                  <c:v>14080.059216706419</c:v>
                </c:pt>
                <c:pt idx="27">
                  <c:v>8907.4707211437271</c:v>
                </c:pt>
                <c:pt idx="28">
                  <c:v>3875.0716749864532</c:v>
                </c:pt>
                <c:pt idx="29">
                  <c:v>3845.5482779470067</c:v>
                </c:pt>
                <c:pt idx="30">
                  <c:v>3268.0379353843514</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22252.915138241082</c:v>
                </c:pt>
                <c:pt idx="1">
                  <c:v>23312.20967390361</c:v>
                </c:pt>
                <c:pt idx="2">
                  <c:v>24615.821575972968</c:v>
                </c:pt>
                <c:pt idx="3">
                  <c:v>26659.565167867426</c:v>
                </c:pt>
                <c:pt idx="4">
                  <c:v>29712.515284966801</c:v>
                </c:pt>
                <c:pt idx="5">
                  <c:v>34724.857590878732</c:v>
                </c:pt>
                <c:pt idx="6">
                  <c:v>44805.499964731716</c:v>
                </c:pt>
                <c:pt idx="7">
                  <c:v>78806.943927508604</c:v>
                </c:pt>
                <c:pt idx="8">
                  <c:v>-213035.71635085696</c:v>
                </c:pt>
                <c:pt idx="9">
                  <c:v>-26728.603714542747</c:v>
                </c:pt>
                <c:pt idx="10">
                  <c:v>-9451.4829187669911</c:v>
                </c:pt>
                <c:pt idx="11">
                  <c:v>-3672.303179894539</c:v>
                </c:pt>
                <c:pt idx="12">
                  <c:v>-1569.4773638584659</c:v>
                </c:pt>
                <c:pt idx="13">
                  <c:v>-740.99503141660125</c:v>
                </c:pt>
                <c:pt idx="14">
                  <c:v>-375.90063240770604</c:v>
                </c:pt>
                <c:pt idx="15">
                  <c:v>-256.31147227887442</c:v>
                </c:pt>
                <c:pt idx="16">
                  <c:v>-228.99407873653888</c:v>
                </c:pt>
                <c:pt idx="17">
                  <c:v>-221.01688035368008</c:v>
                </c:pt>
                <c:pt idx="18">
                  <c:v>-254.14496459277763</c:v>
                </c:pt>
                <c:pt idx="19">
                  <c:v>-341.81324131173977</c:v>
                </c:pt>
                <c:pt idx="20">
                  <c:v>-519.11790358595283</c:v>
                </c:pt>
                <c:pt idx="21">
                  <c:v>-874.87738593436063</c:v>
                </c:pt>
                <c:pt idx="22">
                  <c:v>-1696.3390289612576</c:v>
                </c:pt>
                <c:pt idx="23">
                  <c:v>-4564.4396504786673</c:v>
                </c:pt>
                <c:pt idx="24">
                  <c:v>39979.941492210644</c:v>
                </c:pt>
                <c:pt idx="25">
                  <c:v>5702.3698560346911</c:v>
                </c:pt>
                <c:pt idx="26">
                  <c:v>4947.7314580582743</c:v>
                </c:pt>
                <c:pt idx="27">
                  <c:v>3473.062579328473</c:v>
                </c:pt>
                <c:pt idx="28">
                  <c:v>3458.6419059528112</c:v>
                </c:pt>
                <c:pt idx="29">
                  <c:v>3182.9811273773585</c:v>
                </c:pt>
                <c:pt idx="30">
                  <c:v>3175.5856619222559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23574.349943362293</c:v>
                </c:pt>
                <c:pt idx="1">
                  <c:v>25641.434776886017</c:v>
                </c:pt>
                <c:pt idx="2">
                  <c:v>28371.912649528116</c:v>
                </c:pt>
                <c:pt idx="3">
                  <c:v>32549.74926928135</c:v>
                </c:pt>
                <c:pt idx="4">
                  <c:v>40587.375864960486</c:v>
                </c:pt>
                <c:pt idx="5">
                  <c:v>62072.651960059178</c:v>
                </c:pt>
                <c:pt idx="6">
                  <c:v>1212789.0336150853</c:v>
                </c:pt>
                <c:pt idx="7">
                  <c:v>-36212.225992432257</c:v>
                </c:pt>
                <c:pt idx="8">
                  <c:v>-11752.153002824527</c:v>
                </c:pt>
                <c:pt idx="9">
                  <c:v>-4503.8650947765718</c:v>
                </c:pt>
                <c:pt idx="10">
                  <c:v>-1901.9597358384426</c:v>
                </c:pt>
                <c:pt idx="11">
                  <c:v>-881.52817896754868</c:v>
                </c:pt>
                <c:pt idx="12">
                  <c:v>-437.02600705557256</c:v>
                </c:pt>
                <c:pt idx="13">
                  <c:v>-271.00096000928653</c:v>
                </c:pt>
                <c:pt idx="14">
                  <c:v>-227.08483963573565</c:v>
                </c:pt>
                <c:pt idx="15">
                  <c:v>-208.6837543483359</c:v>
                </c:pt>
                <c:pt idx="16">
                  <c:v>-210.99557375293912</c:v>
                </c:pt>
                <c:pt idx="17">
                  <c:v>-234.01737548256389</c:v>
                </c:pt>
                <c:pt idx="18">
                  <c:v>-296.35954977328169</c:v>
                </c:pt>
                <c:pt idx="19">
                  <c:v>-429.41885776718681</c:v>
                </c:pt>
                <c:pt idx="20">
                  <c:v>-692.37975154011986</c:v>
                </c:pt>
                <c:pt idx="21">
                  <c:v>-1252.9938049480259</c:v>
                </c:pt>
                <c:pt idx="22">
                  <c:v>-2788.6968539117224</c:v>
                </c:pt>
                <c:pt idx="23">
                  <c:v>-15427.099242529001</c:v>
                </c:pt>
                <c:pt idx="24">
                  <c:v>8200.4451201611373</c:v>
                </c:pt>
                <c:pt idx="25">
                  <c:v>6514.2081393728131</c:v>
                </c:pt>
                <c:pt idx="26">
                  <c:v>5128.0743904844003</c:v>
                </c:pt>
                <c:pt idx="27">
                  <c:v>3264.0953429193382</c:v>
                </c:pt>
                <c:pt idx="28">
                  <c:v>3250.133626922548</c:v>
                </c:pt>
                <c:pt idx="29">
                  <c:v>3047.8499378020801</c:v>
                </c:pt>
                <c:pt idx="30">
                  <c:v>3045.7572818617796</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44396632"/>
        <c:axId val="5443970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443966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7024"/>
        <c:crosses val="autoZero"/>
        <c:crossBetween val="midCat"/>
        <c:majorUnit val="10000"/>
      </c:valAx>
      <c:valAx>
        <c:axId val="54439702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663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0.36075821278502584</c:v>
                </c:pt>
                <c:pt idx="1">
                  <c:v>0.36077235156217125</c:v>
                </c:pt>
                <c:pt idx="2">
                  <c:v>0.3607724109628368</c:v>
                </c:pt>
                <c:pt idx="3">
                  <c:v>0.36077245067394526</c:v>
                </c:pt>
                <c:pt idx="4">
                  <c:v>0.36077248405747009</c:v>
                </c:pt>
                <c:pt idx="5">
                  <c:v>0.36077249518530485</c:v>
                </c:pt>
                <c:pt idx="6">
                  <c:v>0.36077249719059723</c:v>
                </c:pt>
                <c:pt idx="7">
                  <c:v>0.36077250741450745</c:v>
                </c:pt>
                <c:pt idx="8">
                  <c:v>0.36077250741450745</c:v>
                </c:pt>
                <c:pt idx="9">
                  <c:v>0.36077250741450745</c:v>
                </c:pt>
                <c:pt idx="10">
                  <c:v>0.3607725125264627</c:v>
                </c:pt>
                <c:pt idx="11">
                  <c:v>0.36077249919588944</c:v>
                </c:pt>
                <c:pt idx="12">
                  <c:v>0.36077253698486383</c:v>
                </c:pt>
                <c:pt idx="13">
                  <c:v>0.36077279289389885</c:v>
                </c:pt>
                <c:pt idx="14">
                  <c:v>0.36077529773254408</c:v>
                </c:pt>
                <c:pt idx="15">
                  <c:v>0.36080044220027546</c:v>
                </c:pt>
                <c:pt idx="16">
                  <c:v>0.36104632914746104</c:v>
                </c:pt>
                <c:pt idx="17">
                  <c:v>0.36303105764137994</c:v>
                </c:pt>
                <c:pt idx="18">
                  <c:v>0.36808177298075478</c:v>
                </c:pt>
                <c:pt idx="19">
                  <c:v>0.37337068078846036</c:v>
                </c:pt>
                <c:pt idx="20">
                  <c:v>0.3785011301535724</c:v>
                </c:pt>
                <c:pt idx="21">
                  <c:v>0.3809584420082533</c:v>
                </c:pt>
                <c:pt idx="22">
                  <c:v>0.38013288148894225</c:v>
                </c:pt>
                <c:pt idx="23">
                  <c:v>0.37957977179592961</c:v>
                </c:pt>
                <c:pt idx="24">
                  <c:v>0.37967610113491412</c:v>
                </c:pt>
                <c:pt idx="25">
                  <c:v>0.38007223488822078</c:v>
                </c:pt>
                <c:pt idx="26">
                  <c:v>0.38143371375107804</c:v>
                </c:pt>
                <c:pt idx="27">
                  <c:v>0.3832566389252276</c:v>
                </c:pt>
                <c:pt idx="28">
                  <c:v>0.38666528511436832</c:v>
                </c:pt>
                <c:pt idx="29">
                  <c:v>0.39159123749561497</c:v>
                </c:pt>
                <c:pt idx="30">
                  <c:v>0.39884466140666064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0.36034330192910802</c:v>
                </c:pt>
                <c:pt idx="1">
                  <c:v>0.36035794624300349</c:v>
                </c:pt>
                <c:pt idx="2">
                  <c:v>0.36035802072368178</c:v>
                </c:pt>
                <c:pt idx="3">
                  <c:v>0.36035808428868132</c:v>
                </c:pt>
                <c:pt idx="4">
                  <c:v>0.36035811261057327</c:v>
                </c:pt>
                <c:pt idx="5">
                  <c:v>0.36035812374678278</c:v>
                </c:pt>
                <c:pt idx="6">
                  <c:v>0.36035812576326737</c:v>
                </c:pt>
                <c:pt idx="7">
                  <c:v>0.36035813593677452</c:v>
                </c:pt>
                <c:pt idx="8">
                  <c:v>0.36035811760624514</c:v>
                </c:pt>
                <c:pt idx="9">
                  <c:v>0.36035812269299844</c:v>
                </c:pt>
                <c:pt idx="10">
                  <c:v>0.36035814304001162</c:v>
                </c:pt>
                <c:pt idx="11">
                  <c:v>0.36035822836991183</c:v>
                </c:pt>
                <c:pt idx="12">
                  <c:v>0.36035913464067154</c:v>
                </c:pt>
                <c:pt idx="13">
                  <c:v>0.36036820517082785</c:v>
                </c:pt>
                <c:pt idx="14">
                  <c:v>0.36045809300748322</c:v>
                </c:pt>
                <c:pt idx="15">
                  <c:v>0.36128752630445571</c:v>
                </c:pt>
                <c:pt idx="16">
                  <c:v>0.36549577902897135</c:v>
                </c:pt>
                <c:pt idx="17">
                  <c:v>0.37053284467454167</c:v>
                </c:pt>
                <c:pt idx="18">
                  <c:v>0.37560725877333956</c:v>
                </c:pt>
                <c:pt idx="19">
                  <c:v>0.378942421586901</c:v>
                </c:pt>
                <c:pt idx="20">
                  <c:v>0.37883927370483844</c:v>
                </c:pt>
                <c:pt idx="21">
                  <c:v>0.37802082434975703</c:v>
                </c:pt>
                <c:pt idx="22">
                  <c:v>0.37813806734105387</c:v>
                </c:pt>
                <c:pt idx="23">
                  <c:v>0.37869505680899296</c:v>
                </c:pt>
                <c:pt idx="24">
                  <c:v>0.37986015531125017</c:v>
                </c:pt>
                <c:pt idx="25">
                  <c:v>0.38162361900152603</c:v>
                </c:pt>
                <c:pt idx="26">
                  <c:v>0.38426244971585954</c:v>
                </c:pt>
                <c:pt idx="27">
                  <c:v>0.38851043724304701</c:v>
                </c:pt>
                <c:pt idx="28">
                  <c:v>0.39466206083438088</c:v>
                </c:pt>
                <c:pt idx="29">
                  <c:v>0.4042193572787377</c:v>
                </c:pt>
                <c:pt idx="30">
                  <c:v>0.41966918952985927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0.36007959993361766</c:v>
                </c:pt>
                <c:pt idx="1">
                  <c:v>0.36009455957426084</c:v>
                </c:pt>
                <c:pt idx="2">
                  <c:v>0.36009465848176681</c:v>
                </c:pt>
                <c:pt idx="3">
                  <c:v>0.36009471716051339</c:v>
                </c:pt>
                <c:pt idx="4">
                  <c:v>0.36009474551214277</c:v>
                </c:pt>
                <c:pt idx="5">
                  <c:v>0.36009475665284973</c:v>
                </c:pt>
                <c:pt idx="6">
                  <c:v>0.36009475867624846</c:v>
                </c:pt>
                <c:pt idx="7">
                  <c:v>0.36009476881726538</c:v>
                </c:pt>
                <c:pt idx="8">
                  <c:v>0.36009477084066338</c:v>
                </c:pt>
                <c:pt idx="9">
                  <c:v>0.36009486410915376</c:v>
                </c:pt>
                <c:pt idx="10">
                  <c:v>0.36009570449829092</c:v>
                </c:pt>
                <c:pt idx="11">
                  <c:v>0.36010412635753059</c:v>
                </c:pt>
                <c:pt idx="12">
                  <c:v>0.36018776081587062</c:v>
                </c:pt>
                <c:pt idx="13">
                  <c:v>0.36096327323430338</c:v>
                </c:pt>
                <c:pt idx="14">
                  <c:v>0.36504682055873694</c:v>
                </c:pt>
                <c:pt idx="15">
                  <c:v>0.37010785358354592</c:v>
                </c:pt>
                <c:pt idx="16">
                  <c:v>0.37582354135732149</c:v>
                </c:pt>
                <c:pt idx="17">
                  <c:v>0.3822597308778426</c:v>
                </c:pt>
                <c:pt idx="18">
                  <c:v>0.38615340361220812</c:v>
                </c:pt>
                <c:pt idx="19">
                  <c:v>0.38663081927070042</c:v>
                </c:pt>
                <c:pt idx="20">
                  <c:v>0.38556651515378187</c:v>
                </c:pt>
                <c:pt idx="21">
                  <c:v>0.38438805099394219</c:v>
                </c:pt>
                <c:pt idx="22">
                  <c:v>0.38410195379942486</c:v>
                </c:pt>
                <c:pt idx="23">
                  <c:v>0.38495742886912027</c:v>
                </c:pt>
                <c:pt idx="24">
                  <c:v>0.38717310045239967</c:v>
                </c:pt>
                <c:pt idx="25">
                  <c:v>0.39139655377079169</c:v>
                </c:pt>
                <c:pt idx="26">
                  <c:v>0.39742728952438633</c:v>
                </c:pt>
                <c:pt idx="27">
                  <c:v>0.40676609759606197</c:v>
                </c:pt>
                <c:pt idx="28">
                  <c:v>0.42195974426244331</c:v>
                </c:pt>
                <c:pt idx="29">
                  <c:v>0.44008362411093732</c:v>
                </c:pt>
                <c:pt idx="30">
                  <c:v>0.45697800093866831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0.35981245441786447</c:v>
                </c:pt>
                <c:pt idx="1">
                  <c:v>0.35982775903286135</c:v>
                </c:pt>
                <c:pt idx="2">
                  <c:v>0.35982785389671706</c:v>
                </c:pt>
                <c:pt idx="3">
                  <c:v>0.35982791277388299</c:v>
                </c:pt>
                <c:pt idx="4">
                  <c:v>0.35982794115380251</c:v>
                </c:pt>
                <c:pt idx="5">
                  <c:v>0.3598279674599853</c:v>
                </c:pt>
                <c:pt idx="6">
                  <c:v>0.35982804231801491</c:v>
                </c:pt>
                <c:pt idx="7">
                  <c:v>0.3598287927957996</c:v>
                </c:pt>
                <c:pt idx="8">
                  <c:v>0.35983629328050659</c:v>
                </c:pt>
                <c:pt idx="9">
                  <c:v>0.35991086948130546</c:v>
                </c:pt>
                <c:pt idx="10">
                  <c:v>0.36060759081103017</c:v>
                </c:pt>
                <c:pt idx="11">
                  <c:v>0.36448830450349007</c:v>
                </c:pt>
                <c:pt idx="12">
                  <c:v>0.36949596178055943</c:v>
                </c:pt>
                <c:pt idx="13">
                  <c:v>0.37518023115112409</c:v>
                </c:pt>
                <c:pt idx="14">
                  <c:v>0.38217742453001313</c:v>
                </c:pt>
                <c:pt idx="15">
                  <c:v>0.38988561025902041</c:v>
                </c:pt>
                <c:pt idx="16">
                  <c:v>0.3987869017344845</c:v>
                </c:pt>
                <c:pt idx="17">
                  <c:v>0.40657534762972719</c:v>
                </c:pt>
                <c:pt idx="18">
                  <c:v>0.40761974612266944</c:v>
                </c:pt>
                <c:pt idx="19">
                  <c:v>0.40395769813812726</c:v>
                </c:pt>
                <c:pt idx="20">
                  <c:v>0.40049611149866071</c:v>
                </c:pt>
                <c:pt idx="21">
                  <c:v>0.39952771666618203</c:v>
                </c:pt>
                <c:pt idx="22">
                  <c:v>0.40249532381574127</c:v>
                </c:pt>
                <c:pt idx="23">
                  <c:v>0.40835872198177181</c:v>
                </c:pt>
                <c:pt idx="24">
                  <c:v>0.41756908741558713</c:v>
                </c:pt>
                <c:pt idx="25">
                  <c:v>0.43228462532847456</c:v>
                </c:pt>
                <c:pt idx="26">
                  <c:v>0.44944640832174404</c:v>
                </c:pt>
                <c:pt idx="27">
                  <c:v>0.46486088631074041</c:v>
                </c:pt>
                <c:pt idx="28">
                  <c:v>0.47751130507142042</c:v>
                </c:pt>
                <c:pt idx="29">
                  <c:v>0.48303823899388809</c:v>
                </c:pt>
                <c:pt idx="30">
                  <c:v>0.48298510604595052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0.35948725403130255</c:v>
                </c:pt>
                <c:pt idx="1">
                  <c:v>0.35950314980870418</c:v>
                </c:pt>
                <c:pt idx="2">
                  <c:v>0.35950523876912627</c:v>
                </c:pt>
                <c:pt idx="3">
                  <c:v>0.35952503372311995</c:v>
                </c:pt>
                <c:pt idx="4">
                  <c:v>0.35971877859745266</c:v>
                </c:pt>
                <c:pt idx="5">
                  <c:v>0.36134311585472129</c:v>
                </c:pt>
                <c:pt idx="6">
                  <c:v>0.3661764362691331</c:v>
                </c:pt>
                <c:pt idx="7">
                  <c:v>0.37137588933926702</c:v>
                </c:pt>
                <c:pt idx="8">
                  <c:v>0.37754390267552423</c:v>
                </c:pt>
                <c:pt idx="9">
                  <c:v>0.38508679341874646</c:v>
                </c:pt>
                <c:pt idx="10">
                  <c:v>0.39316898307631853</c:v>
                </c:pt>
                <c:pt idx="11">
                  <c:v>0.40389726276124766</c:v>
                </c:pt>
                <c:pt idx="12">
                  <c:v>0.4165064126240301</c:v>
                </c:pt>
                <c:pt idx="13">
                  <c:v>0.42985855321235655</c:v>
                </c:pt>
                <c:pt idx="14">
                  <c:v>0.44536092035938063</c:v>
                </c:pt>
                <c:pt idx="15">
                  <c:v>0.4624481234972439</c:v>
                </c:pt>
                <c:pt idx="16">
                  <c:v>0.48039075532798176</c:v>
                </c:pt>
                <c:pt idx="17">
                  <c:v>0.49119802487754749</c:v>
                </c:pt>
                <c:pt idx="18">
                  <c:v>0.49746286479478913</c:v>
                </c:pt>
                <c:pt idx="19">
                  <c:v>0.50999228355385806</c:v>
                </c:pt>
                <c:pt idx="20">
                  <c:v>0.53011916843146323</c:v>
                </c:pt>
                <c:pt idx="21">
                  <c:v>0.54383764281084046</c:v>
                </c:pt>
                <c:pt idx="22">
                  <c:v>0.54526102632459827</c:v>
                </c:pt>
                <c:pt idx="23">
                  <c:v>0.53824100953015952</c:v>
                </c:pt>
                <c:pt idx="24">
                  <c:v>0.51997413922012958</c:v>
                </c:pt>
                <c:pt idx="25">
                  <c:v>0.50447018658769671</c:v>
                </c:pt>
                <c:pt idx="26">
                  <c:v>0.49557765281295169</c:v>
                </c:pt>
                <c:pt idx="27">
                  <c:v>0.49303610302077072</c:v>
                </c:pt>
                <c:pt idx="28">
                  <c:v>0.48418241807530432</c:v>
                </c:pt>
                <c:pt idx="29">
                  <c:v>0.48406377463273303</c:v>
                </c:pt>
                <c:pt idx="30">
                  <c:v>0.48134369853869274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0.37888694126783645</c:v>
                </c:pt>
                <c:pt idx="1">
                  <c:v>0.38862667797254569</c:v>
                </c:pt>
                <c:pt idx="2">
                  <c:v>0.39830491134469787</c:v>
                </c:pt>
                <c:pt idx="3">
                  <c:v>0.41011716696403283</c:v>
                </c:pt>
                <c:pt idx="4">
                  <c:v>0.42303450549092125</c:v>
                </c:pt>
                <c:pt idx="5">
                  <c:v>0.4374204494871497</c:v>
                </c:pt>
                <c:pt idx="6">
                  <c:v>0.45425193995295127</c:v>
                </c:pt>
                <c:pt idx="7">
                  <c:v>0.47583559749142595</c:v>
                </c:pt>
                <c:pt idx="8">
                  <c:v>0.50802672786244374</c:v>
                </c:pt>
                <c:pt idx="9">
                  <c:v>0.55481705569880313</c:v>
                </c:pt>
                <c:pt idx="10">
                  <c:v>0.62311995765159445</c:v>
                </c:pt>
                <c:pt idx="11">
                  <c:v>0.72024714166073811</c:v>
                </c:pt>
                <c:pt idx="12">
                  <c:v>0.81944840572156641</c:v>
                </c:pt>
                <c:pt idx="13">
                  <c:v>0.89472311936608828</c:v>
                </c:pt>
                <c:pt idx="14">
                  <c:v>0.94335710117558313</c:v>
                </c:pt>
                <c:pt idx="15">
                  <c:v>0.9583911757902861</c:v>
                </c:pt>
                <c:pt idx="16">
                  <c:v>0.94640564294677398</c:v>
                </c:pt>
                <c:pt idx="17">
                  <c:v>0.91293941123073641</c:v>
                </c:pt>
                <c:pt idx="18">
                  <c:v>0.83455311397634313</c:v>
                </c:pt>
                <c:pt idx="19">
                  <c:v>0.7285927639183728</c:v>
                </c:pt>
                <c:pt idx="20">
                  <c:v>0.63917667185650529</c:v>
                </c:pt>
                <c:pt idx="21">
                  <c:v>0.57790711532695727</c:v>
                </c:pt>
                <c:pt idx="22">
                  <c:v>0.5386129069935689</c:v>
                </c:pt>
                <c:pt idx="23">
                  <c:v>0.51397926906476299</c:v>
                </c:pt>
                <c:pt idx="24">
                  <c:v>0.49843173405458169</c:v>
                </c:pt>
                <c:pt idx="25">
                  <c:v>0.48913303891579824</c:v>
                </c:pt>
                <c:pt idx="26">
                  <c:v>0.48750283692417007</c:v>
                </c:pt>
                <c:pt idx="27">
                  <c:v>0.48236867575488179</c:v>
                </c:pt>
                <c:pt idx="28">
                  <c:v>0.48229778836404746</c:v>
                </c:pt>
                <c:pt idx="29">
                  <c:v>0.48082397264822718</c:v>
                </c:pt>
                <c:pt idx="30">
                  <c:v>0.48078199302055891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0.39233060069735937</c:v>
                </c:pt>
                <c:pt idx="1">
                  <c:v>0.40597346665282347</c:v>
                </c:pt>
                <c:pt idx="2">
                  <c:v>0.41898636417726026</c:v>
                </c:pt>
                <c:pt idx="3">
                  <c:v>0.43281088922423544</c:v>
                </c:pt>
                <c:pt idx="4">
                  <c:v>0.44912640347830879</c:v>
                </c:pt>
                <c:pt idx="5">
                  <c:v>0.4689348191146136</c:v>
                </c:pt>
                <c:pt idx="6">
                  <c:v>0.49856189126823414</c:v>
                </c:pt>
                <c:pt idx="7">
                  <c:v>0.54171656342369212</c:v>
                </c:pt>
                <c:pt idx="8">
                  <c:v>0.60421243665876778</c:v>
                </c:pt>
                <c:pt idx="9">
                  <c:v>0.69534610015651555</c:v>
                </c:pt>
                <c:pt idx="10">
                  <c:v>0.79570910128696104</c:v>
                </c:pt>
                <c:pt idx="11">
                  <c:v>0.87793610555921553</c:v>
                </c:pt>
                <c:pt idx="12">
                  <c:v>0.93476335373171815</c:v>
                </c:pt>
                <c:pt idx="13">
                  <c:v>0.96331157781143395</c:v>
                </c:pt>
                <c:pt idx="14">
                  <c:v>0.96903444381540293</c:v>
                </c:pt>
                <c:pt idx="15">
                  <c:v>0.96155254796303102</c:v>
                </c:pt>
                <c:pt idx="16">
                  <c:v>0.93407994864152366</c:v>
                </c:pt>
                <c:pt idx="17">
                  <c:v>0.87443271250747268</c:v>
                </c:pt>
                <c:pt idx="18">
                  <c:v>0.77355324032895589</c:v>
                </c:pt>
                <c:pt idx="19">
                  <c:v>0.67354571620762527</c:v>
                </c:pt>
                <c:pt idx="20">
                  <c:v>0.60064505880193675</c:v>
                </c:pt>
                <c:pt idx="21">
                  <c:v>0.55305926947281125</c:v>
                </c:pt>
                <c:pt idx="22">
                  <c:v>0.52310775136194199</c:v>
                </c:pt>
                <c:pt idx="23">
                  <c:v>0.50409092526538513</c:v>
                </c:pt>
                <c:pt idx="24">
                  <c:v>0.49241029046196377</c:v>
                </c:pt>
                <c:pt idx="25">
                  <c:v>0.49046885047095923</c:v>
                </c:pt>
                <c:pt idx="26">
                  <c:v>0.48793238130258682</c:v>
                </c:pt>
                <c:pt idx="27">
                  <c:v>0.48125251610496006</c:v>
                </c:pt>
                <c:pt idx="28">
                  <c:v>0.48117498593786245</c:v>
                </c:pt>
                <c:pt idx="29">
                  <c:v>0.48001299983791446</c:v>
                </c:pt>
                <c:pt idx="30">
                  <c:v>0.4800012776744671</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44393888"/>
        <c:axId val="5443946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3938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394672"/>
        <c:crosses val="autoZero"/>
        <c:crossBetween val="midCat"/>
        <c:majorUnit val="10000"/>
      </c:valAx>
      <c:valAx>
        <c:axId val="54439467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4439388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44394280"/>
        <c:axId val="54439624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4439428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6240"/>
        <c:crosses val="autoZero"/>
        <c:crossBetween val="midCat"/>
        <c:majorUnit val="10000"/>
      </c:valAx>
      <c:valAx>
        <c:axId val="544396240"/>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39428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1.1977225037387049E-2</c:v>
                </c:pt>
                <c:pt idx="1">
                  <c:v>1.6194677718976501E-2</c:v>
                </c:pt>
                <c:pt idx="2">
                  <c:v>4.4777804716127382E-3</c:v>
                </c:pt>
                <c:pt idx="3">
                  <c:v>7.702921701198015E-4</c:v>
                </c:pt>
                <c:pt idx="4">
                  <c:v>1.132195198834689E-4</c:v>
                </c:pt>
                <c:pt idx="5">
                  <c:v>1.456780708511483E-5</c:v>
                </c:pt>
                <c:pt idx="6">
                  <c:v>2.191521056646048E-6</c:v>
                </c:pt>
                <c:pt idx="7">
                  <c:v>2.2508134401939682E-6</c:v>
                </c:pt>
                <c:pt idx="8">
                  <c:v>4.1876512018660404E-6</c:v>
                </c:pt>
                <c:pt idx="9">
                  <c:v>7.510011638674617E-6</c:v>
                </c:pt>
                <c:pt idx="10">
                  <c:v>1.6706267394039659E-5</c:v>
                </c:pt>
                <c:pt idx="11">
                  <c:v>4.2157688774768492E-5</c:v>
                </c:pt>
                <c:pt idx="12">
                  <c:v>9.4885576157195518E-5</c:v>
                </c:pt>
                <c:pt idx="13">
                  <c:v>1.801968552959879E-4</c:v>
                </c:pt>
                <c:pt idx="14">
                  <c:v>2.9717985882018262E-4</c:v>
                </c:pt>
                <c:pt idx="15">
                  <c:v>3.101098198927838E-4</c:v>
                </c:pt>
                <c:pt idx="16">
                  <c:v>1.9143854429129546E-4</c:v>
                </c:pt>
                <c:pt idx="17">
                  <c:v>8.2647667181681941E-5</c:v>
                </c:pt>
                <c:pt idx="18">
                  <c:v>2.9831428949729163E-5</c:v>
                </c:pt>
                <c:pt idx="19">
                  <c:v>2.4651989729989074E-5</c:v>
                </c:pt>
                <c:pt idx="20">
                  <c:v>2.7922732874654577E-5</c:v>
                </c:pt>
                <c:pt idx="21">
                  <c:v>1.9270616971479501E-5</c:v>
                </c:pt>
                <c:pt idx="22">
                  <c:v>1.4508125755700333E-5</c:v>
                </c:pt>
                <c:pt idx="23">
                  <c:v>3.4653885638762707E-5</c:v>
                </c:pt>
                <c:pt idx="24">
                  <c:v>6.3984445265215055E-5</c:v>
                </c:pt>
                <c:pt idx="25">
                  <c:v>3.3384751874506347E-4</c:v>
                </c:pt>
                <c:pt idx="26">
                  <c:v>7.2292639749182183E-4</c:v>
                </c:pt>
                <c:pt idx="27">
                  <c:v>9.8007767169660089E-4</c:v>
                </c:pt>
                <c:pt idx="28">
                  <c:v>1.3068888592393327E-3</c:v>
                </c:pt>
                <c:pt idx="29">
                  <c:v>7.0536876528109603E-4</c:v>
                </c:pt>
                <c:pt idx="30">
                  <c:v>6.8399329516458248E-5</c:v>
                </c:pt>
              </c:numCache>
            </c:numRef>
          </c:yVal>
          <c:smooth val="1"/>
        </c:ser>
        <c:dLbls>
          <c:showLegendKey val="0"/>
          <c:showVal val="0"/>
          <c:showCatName val="0"/>
          <c:showSerName val="0"/>
          <c:showPercent val="0"/>
          <c:showBubbleSize val="0"/>
        </c:dLbls>
        <c:axId val="551024776"/>
        <c:axId val="551023992"/>
      </c:scatterChart>
      <c:valAx>
        <c:axId val="5510247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3992"/>
        <c:crossesAt val="-1.5000000000000005E-3"/>
        <c:crossBetween val="midCat"/>
      </c:valAx>
      <c:valAx>
        <c:axId val="55102399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4776"/>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5793.4523046389049</c:v>
                </c:pt>
                <c:pt idx="1">
                  <c:v>5700.0318269065447</c:v>
                </c:pt>
                <c:pt idx="2">
                  <c:v>5346.6855609762524</c:v>
                </c:pt>
                <c:pt idx="3">
                  <c:v>5101.8804049000601</c:v>
                </c:pt>
                <c:pt idx="4">
                  <c:v>4820.5005046125943</c:v>
                </c:pt>
                <c:pt idx="5">
                  <c:v>4535.41127213245</c:v>
                </c:pt>
                <c:pt idx="6">
                  <c:v>4228.4837057636532</c:v>
                </c:pt>
                <c:pt idx="7">
                  <c:v>3871.0145013042311</c:v>
                </c:pt>
                <c:pt idx="8">
                  <c:v>3401.741881102319</c:v>
                </c:pt>
                <c:pt idx="9">
                  <c:v>2827.0741372660314</c:v>
                </c:pt>
                <c:pt idx="10">
                  <c:v>2150.7592165929741</c:v>
                </c:pt>
                <c:pt idx="11">
                  <c:v>1410.5793699674709</c:v>
                </c:pt>
                <c:pt idx="12">
                  <c:v>826.60129458505821</c:v>
                </c:pt>
                <c:pt idx="13">
                  <c:v>463.1925994461447</c:v>
                </c:pt>
                <c:pt idx="14">
                  <c:v>257.1972291899055</c:v>
                </c:pt>
                <c:pt idx="15">
                  <c:v>180.03658363020517</c:v>
                </c:pt>
                <c:pt idx="16">
                  <c:v>157.52833381624174</c:v>
                </c:pt>
                <c:pt idx="17">
                  <c:v>143.14220755671209</c:v>
                </c:pt>
                <c:pt idx="18">
                  <c:v>139.03514524805985</c:v>
                </c:pt>
                <c:pt idx="19">
                  <c:v>135.60966136452373</c:v>
                </c:pt>
                <c:pt idx="20">
                  <c:v>132.22568250928234</c:v>
                </c:pt>
                <c:pt idx="21">
                  <c:v>129.59030264237458</c:v>
                </c:pt>
                <c:pt idx="22">
                  <c:v>127.71171468753445</c:v>
                </c:pt>
                <c:pt idx="23">
                  <c:v>126.44111280766575</c:v>
                </c:pt>
                <c:pt idx="24">
                  <c:v>125.52157207744062</c:v>
                </c:pt>
                <c:pt idx="25">
                  <c:v>124.88095562953836</c:v>
                </c:pt>
                <c:pt idx="26">
                  <c:v>124.61402747463876</c:v>
                </c:pt>
                <c:pt idx="27">
                  <c:v>124.04749550578464</c:v>
                </c:pt>
                <c:pt idx="28">
                  <c:v>123.75164370459413</c:v>
                </c:pt>
                <c:pt idx="29">
                  <c:v>123.74189201376467</c:v>
                </c:pt>
                <c:pt idx="30">
                  <c:v>123.64940012605396</c:v>
                </c:pt>
              </c:numCache>
            </c:numRef>
          </c:yVal>
          <c:smooth val="1"/>
        </c:ser>
        <c:dLbls>
          <c:showLegendKey val="0"/>
          <c:showVal val="0"/>
          <c:showCatName val="0"/>
          <c:showSerName val="0"/>
          <c:showPercent val="0"/>
          <c:showBubbleSize val="0"/>
        </c:dLbls>
        <c:axId val="551025168"/>
        <c:axId val="652048152"/>
      </c:scatterChart>
      <c:valAx>
        <c:axId val="551025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152"/>
        <c:crosses val="autoZero"/>
        <c:crossBetween val="midCat"/>
      </c:valAx>
      <c:valAx>
        <c:axId val="65204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5102516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7.6215510305592182E-3</c:v>
                </c:pt>
                <c:pt idx="11">
                  <c:v>7.6876580011266274E-3</c:v>
                </c:pt>
                <c:pt idx="12">
                  <c:v>8.3468627880958438E-3</c:v>
                </c:pt>
                <c:pt idx="13">
                  <c:v>1.4723764225922744E-2</c:v>
                </c:pt>
                <c:pt idx="14">
                  <c:v>6.1131647331774404E-2</c:v>
                </c:pt>
                <c:pt idx="15">
                  <c:v>0.11673288783311336</c:v>
                </c:pt>
                <c:pt idx="16">
                  <c:v>0.11591148774439437</c:v>
                </c:pt>
                <c:pt idx="17">
                  <c:v>0.10817629391992005</c:v>
                </c:pt>
                <c:pt idx="18">
                  <c:v>8.7204066863234161E-2</c:v>
                </c:pt>
                <c:pt idx="19">
                  <c:v>6.4682157533690693E-2</c:v>
                </c:pt>
                <c:pt idx="20">
                  <c:v>3.9145465617649026E-2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3.0967830745568326E-3</c:v>
                </c:pt>
                <c:pt idx="1">
                  <c:v>3.0885486801838988E-3</c:v>
                </c:pt>
                <c:pt idx="2">
                  <c:v>3.0935716520723525E-3</c:v>
                </c:pt>
                <c:pt idx="3">
                  <c:v>3.0944270418544399E-3</c:v>
                </c:pt>
                <c:pt idx="4">
                  <c:v>3.0883224494705182E-3</c:v>
                </c:pt>
                <c:pt idx="5">
                  <c:v>3.0226976501955827E-3</c:v>
                </c:pt>
                <c:pt idx="6">
                  <c:v>2.3672948803974297E-3</c:v>
                </c:pt>
                <c:pt idx="7">
                  <c:v>3.9770950173098714E-3</c:v>
                </c:pt>
                <c:pt idx="8">
                  <c:v>5.0367155330598302E-2</c:v>
                </c:pt>
                <c:pt idx="9">
                  <c:v>0.10696274911833162</c:v>
                </c:pt>
                <c:pt idx="10">
                  <c:v>0.10431463838991235</c:v>
                </c:pt>
                <c:pt idx="11">
                  <c:v>8.7926454331138881E-2</c:v>
                </c:pt>
                <c:pt idx="12">
                  <c:v>6.6754467090573491E-2</c:v>
                </c:pt>
                <c:pt idx="13">
                  <c:v>4.333326563118893E-2</c:v>
                </c:pt>
                <c:pt idx="14">
                  <c:v>2.3480798764214595E-2</c:v>
                </c:pt>
                <c:pt idx="15">
                  <c:v>4.5681236037476231E-2</c:v>
                </c:pt>
                <c:pt idx="16">
                  <c:v>5.0761494223488149E-2</c:v>
                </c:pt>
                <c:pt idx="17">
                  <c:v>3.7057237585717939E-2</c:v>
                </c:pt>
                <c:pt idx="18">
                  <c:v>2.7887930779673625E-3</c:v>
                </c:pt>
                <c:pt idx="19">
                  <c:v>5.0629239034413513E-2</c:v>
                </c:pt>
                <c:pt idx="20">
                  <c:v>8.4245927008820928E-2</c:v>
                </c:pt>
                <c:pt idx="21">
                  <c:v>8.4622603027623339E-2</c:v>
                </c:pt>
                <c:pt idx="22">
                  <c:v>5.8572168952083482E-2</c:v>
                </c:pt>
                <c:pt idx="23">
                  <c:v>1.9435026624474293E-3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6.6537974390487014E-3</c:v>
                </c:pt>
                <c:pt idx="11">
                  <c:v>1.5551698228487558E-2</c:v>
                </c:pt>
                <c:pt idx="12">
                  <c:v>1.1073153950817293E-2</c:v>
                </c:pt>
                <c:pt idx="13">
                  <c:v>1.3896604951848157E-2</c:v>
                </c:pt>
                <c:pt idx="14">
                  <c:v>1.3785213871288596E-2</c:v>
                </c:pt>
                <c:pt idx="15">
                  <c:v>1.6804844473164167E-2</c:v>
                </c:pt>
                <c:pt idx="16">
                  <c:v>7.8486442046398347E-3</c:v>
                </c:pt>
                <c:pt idx="17">
                  <c:v>1.9151680618559725E-2</c:v>
                </c:pt>
                <c:pt idx="18">
                  <c:v>4.4254313722722607E-2</c:v>
                </c:pt>
                <c:pt idx="19">
                  <c:v>3.8051112169560954E-2</c:v>
                </c:pt>
                <c:pt idx="20">
                  <c:v>2.0205667258151806E-2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1.7072534245752462E-3</c:v>
                </c:pt>
                <c:pt idx="11">
                  <c:v>3.6519910919956761E-3</c:v>
                </c:pt>
                <c:pt idx="12">
                  <c:v>2.5968794813270534E-2</c:v>
                </c:pt>
                <c:pt idx="13">
                  <c:v>2.3215917785067711E-2</c:v>
                </c:pt>
                <c:pt idx="14">
                  <c:v>8.8328154722736312E-4</c:v>
                </c:pt>
                <c:pt idx="15">
                  <c:v>1.7511530057838943E-2</c:v>
                </c:pt>
                <c:pt idx="16">
                  <c:v>1.5597284725956735E-2</c:v>
                </c:pt>
                <c:pt idx="17">
                  <c:v>2.7418514948719271E-2</c:v>
                </c:pt>
                <c:pt idx="18">
                  <c:v>3.0347000804790927E-2</c:v>
                </c:pt>
                <c:pt idx="19">
                  <c:v>2.6375417035404712E-2</c:v>
                </c:pt>
                <c:pt idx="20">
                  <c:v>1.7172306102297068E-2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52048544"/>
        <c:axId val="652048936"/>
      </c:scatterChart>
      <c:valAx>
        <c:axId val="6520485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936"/>
        <c:crossesAt val="1.0000000000000005E-9"/>
        <c:crossBetween val="midCat"/>
      </c:valAx>
      <c:valAx>
        <c:axId val="652048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48544"/>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-44.146123426846039</c:v>
                </c:pt>
                <c:pt idx="1">
                  <c:v>-41.134350911465361</c:v>
                </c:pt>
                <c:pt idx="2">
                  <c:v>-36.84655767360919</c:v>
                </c:pt>
                <c:pt idx="3">
                  <c:v>-30.346683987809985</c:v>
                </c:pt>
                <c:pt idx="4">
                  <c:v>-19.423864697261138</c:v>
                </c:pt>
                <c:pt idx="5">
                  <c:v>0</c:v>
                </c:pt>
                <c:pt idx="6">
                  <c:v>4.0125401618223879</c:v>
                </c:pt>
              </c:numCache>
            </c:numRef>
          </c:yVal>
          <c:smooth val="0"/>
        </c:ser>
        <c:dLbls>
          <c:showLegendKey val="0"/>
          <c:showVal val="0"/>
          <c:showCatName val="0"/>
          <c:showSerName val="0"/>
          <c:showPercent val="0"/>
          <c:showBubbleSize val="0"/>
        </c:dLbls>
        <c:axId val="652050112"/>
        <c:axId val="652050896"/>
      </c:scatterChart>
      <c:valAx>
        <c:axId val="652050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896"/>
        <c:crossesAt val="-100"/>
        <c:crossBetween val="midCat"/>
      </c:valAx>
      <c:valAx>
        <c:axId val="652050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5205011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0"/>
        </c:ser>
        <c:dLbls>
          <c:showLegendKey val="0"/>
          <c:showVal val="0"/>
          <c:showCatName val="0"/>
          <c:showSerName val="0"/>
          <c:showPercent val="0"/>
          <c:showBubbleSize val="0"/>
        </c:dLbls>
        <c:axId val="546086056"/>
        <c:axId val="546084880"/>
      </c:scatterChart>
      <c:valAx>
        <c:axId val="54608605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4880"/>
        <c:crosses val="autoZero"/>
        <c:crossBetween val="midCat"/>
      </c:valAx>
      <c:valAx>
        <c:axId val="5460848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605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6.7232954793040819E-35</c:v>
                </c:pt>
                <c:pt idx="1">
                  <c:v>6.7232954793040821E-34</c:v>
                </c:pt>
                <c:pt idx="2">
                  <c:v>6.7232954793040823E-33</c:v>
                </c:pt>
                <c:pt idx="3">
                  <c:v>6.7232954793040815E-32</c:v>
                </c:pt>
                <c:pt idx="4">
                  <c:v>6.7232954793040817E-31</c:v>
                </c:pt>
                <c:pt idx="5">
                  <c:v>6.7232954793040822E-30</c:v>
                </c:pt>
                <c:pt idx="6">
                  <c:v>6.7232954793040819E-29</c:v>
                </c:pt>
                <c:pt idx="7">
                  <c:v>6.7232954793040815E-28</c:v>
                </c:pt>
                <c:pt idx="8">
                  <c:v>6.723295479304082E-27</c:v>
                </c:pt>
                <c:pt idx="9">
                  <c:v>6.7232954793040815E-26</c:v>
                </c:pt>
                <c:pt idx="10">
                  <c:v>6.7232954793040819E-25</c:v>
                </c:pt>
                <c:pt idx="11">
                  <c:v>6.7232954793040821E-24</c:v>
                </c:pt>
                <c:pt idx="12">
                  <c:v>6.7232954793040818E-23</c:v>
                </c:pt>
                <c:pt idx="13">
                  <c:v>6.7232954793040818E-22</c:v>
                </c:pt>
                <c:pt idx="14">
                  <c:v>6.7232954793040818E-21</c:v>
                </c:pt>
                <c:pt idx="15">
                  <c:v>6.7232954793040821E-20</c:v>
                </c:pt>
                <c:pt idx="16">
                  <c:v>6.7232954793040814E-19</c:v>
                </c:pt>
                <c:pt idx="17">
                  <c:v>6.7232954793040818E-18</c:v>
                </c:pt>
                <c:pt idx="18">
                  <c:v>6.7232954793040821E-17</c:v>
                </c:pt>
                <c:pt idx="19">
                  <c:v>6.7232954793040813E-16</c:v>
                </c:pt>
                <c:pt idx="20">
                  <c:v>6.7232954793040813E-15</c:v>
                </c:pt>
                <c:pt idx="21">
                  <c:v>6.7232954793040813E-14</c:v>
                </c:pt>
                <c:pt idx="22">
                  <c:v>6.7232954793040821E-13</c:v>
                </c:pt>
                <c:pt idx="23">
                  <c:v>6.7232954793040821E-12</c:v>
                </c:pt>
                <c:pt idx="24">
                  <c:v>6.7232954793040823E-11</c:v>
                </c:pt>
                <c:pt idx="25">
                  <c:v>6.7232954793040812E-10</c:v>
                </c:pt>
                <c:pt idx="26">
                  <c:v>6.7232954793040816E-9</c:v>
                </c:pt>
                <c:pt idx="27">
                  <c:v>6.7232954793040813E-8</c:v>
                </c:pt>
                <c:pt idx="28">
                  <c:v>6.7232954793040813E-7</c:v>
                </c:pt>
                <c:pt idx="29">
                  <c:v>6.7232954793040822E-6</c:v>
                </c:pt>
                <c:pt idx="30">
                  <c:v>6.7232954793040823E-5</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1.366401664789014E-33</c:v>
                </c:pt>
                <c:pt idx="1">
                  <c:v>1.3664016647890138E-32</c:v>
                </c:pt>
                <c:pt idx="2">
                  <c:v>1.3664016647890139E-31</c:v>
                </c:pt>
                <c:pt idx="3">
                  <c:v>1.3664016647890139E-30</c:v>
                </c:pt>
                <c:pt idx="4">
                  <c:v>1.3664016647890138E-29</c:v>
                </c:pt>
                <c:pt idx="5">
                  <c:v>1.3664016647890138E-28</c:v>
                </c:pt>
                <c:pt idx="6">
                  <c:v>1.3664016647890139E-27</c:v>
                </c:pt>
                <c:pt idx="7">
                  <c:v>1.3664016647890139E-26</c:v>
                </c:pt>
                <c:pt idx="8">
                  <c:v>1.3664016647890137E-25</c:v>
                </c:pt>
                <c:pt idx="9">
                  <c:v>1.3664016647890139E-24</c:v>
                </c:pt>
                <c:pt idx="10">
                  <c:v>1.3664016647890139E-23</c:v>
                </c:pt>
                <c:pt idx="11">
                  <c:v>1.3664016647890139E-22</c:v>
                </c:pt>
                <c:pt idx="12">
                  <c:v>1.3664016647890138E-21</c:v>
                </c:pt>
                <c:pt idx="13">
                  <c:v>1.3664016647890137E-20</c:v>
                </c:pt>
                <c:pt idx="14">
                  <c:v>1.3664016647890138E-19</c:v>
                </c:pt>
                <c:pt idx="15">
                  <c:v>1.3664016647890138E-18</c:v>
                </c:pt>
                <c:pt idx="16">
                  <c:v>1.3664016647890138E-17</c:v>
                </c:pt>
                <c:pt idx="17">
                  <c:v>1.3664016647890138E-16</c:v>
                </c:pt>
                <c:pt idx="18">
                  <c:v>1.3664016647890138E-15</c:v>
                </c:pt>
                <c:pt idx="19">
                  <c:v>1.3664016647890139E-14</c:v>
                </c:pt>
                <c:pt idx="20">
                  <c:v>1.3664016647890139E-13</c:v>
                </c:pt>
                <c:pt idx="21">
                  <c:v>1.3664016647890138E-12</c:v>
                </c:pt>
                <c:pt idx="22">
                  <c:v>1.3664016647890138E-11</c:v>
                </c:pt>
                <c:pt idx="23">
                  <c:v>1.366401664789014E-10</c:v>
                </c:pt>
                <c:pt idx="24">
                  <c:v>1.3664016647890138E-9</c:v>
                </c:pt>
                <c:pt idx="25">
                  <c:v>1.3664016647890139E-8</c:v>
                </c:pt>
                <c:pt idx="26">
                  <c:v>1.366401664789014E-7</c:v>
                </c:pt>
                <c:pt idx="27">
                  <c:v>1.3664016647890138E-6</c:v>
                </c:pt>
                <c:pt idx="28">
                  <c:v>1.3664016647890138E-5</c:v>
                </c:pt>
                <c:pt idx="29">
                  <c:v>1.3664016647890138E-4</c:v>
                </c:pt>
                <c:pt idx="30">
                  <c:v>1.3664016647890139E-3</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9.9481729111568724E-32</c:v>
                </c:pt>
                <c:pt idx="1">
                  <c:v>9.9481729111568719E-31</c:v>
                </c:pt>
                <c:pt idx="2">
                  <c:v>9.9481729111568723E-30</c:v>
                </c:pt>
                <c:pt idx="3">
                  <c:v>9.948172911156872E-29</c:v>
                </c:pt>
                <c:pt idx="4">
                  <c:v>9.9481729111568727E-28</c:v>
                </c:pt>
                <c:pt idx="5">
                  <c:v>9.948172911156873E-27</c:v>
                </c:pt>
                <c:pt idx="6">
                  <c:v>9.9481729111568725E-26</c:v>
                </c:pt>
                <c:pt idx="7">
                  <c:v>9.9481729111568734E-25</c:v>
                </c:pt>
                <c:pt idx="8">
                  <c:v>9.9481729111568727E-24</c:v>
                </c:pt>
                <c:pt idx="9">
                  <c:v>9.9481729111568718E-23</c:v>
                </c:pt>
                <c:pt idx="10">
                  <c:v>9.9481729111568732E-22</c:v>
                </c:pt>
                <c:pt idx="11">
                  <c:v>9.9481729111568728E-21</c:v>
                </c:pt>
                <c:pt idx="12">
                  <c:v>9.9481729111568725E-20</c:v>
                </c:pt>
                <c:pt idx="13">
                  <c:v>9.9481729111568725E-19</c:v>
                </c:pt>
                <c:pt idx="14">
                  <c:v>9.9481729111568733E-18</c:v>
                </c:pt>
                <c:pt idx="15">
                  <c:v>9.9481729111568727E-17</c:v>
                </c:pt>
                <c:pt idx="16">
                  <c:v>9.9481729111568732E-16</c:v>
                </c:pt>
                <c:pt idx="17">
                  <c:v>9.9481729111568728E-15</c:v>
                </c:pt>
                <c:pt idx="18">
                  <c:v>9.9481729111568718E-14</c:v>
                </c:pt>
                <c:pt idx="19">
                  <c:v>9.9481729111568728E-13</c:v>
                </c:pt>
                <c:pt idx="20">
                  <c:v>9.948172911156872E-12</c:v>
                </c:pt>
                <c:pt idx="21">
                  <c:v>9.9481729111568723E-11</c:v>
                </c:pt>
                <c:pt idx="22">
                  <c:v>9.9481729111568716E-10</c:v>
                </c:pt>
                <c:pt idx="23">
                  <c:v>9.9481729111568728E-9</c:v>
                </c:pt>
                <c:pt idx="24">
                  <c:v>9.9481729111568718E-8</c:v>
                </c:pt>
                <c:pt idx="25">
                  <c:v>9.9481729111568726E-7</c:v>
                </c:pt>
                <c:pt idx="26">
                  <c:v>9.9481729111568726E-6</c:v>
                </c:pt>
                <c:pt idx="27">
                  <c:v>9.9481729111568719E-5</c:v>
                </c:pt>
                <c:pt idx="28">
                  <c:v>9.9481729111568717E-4</c:v>
                </c:pt>
                <c:pt idx="29">
                  <c:v>9.9481729111568721E-3</c:v>
                </c:pt>
                <c:pt idx="30">
                  <c:v>9.9481729111568717E-2</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6.6161082147299054E-29</c:v>
                </c:pt>
                <c:pt idx="1">
                  <c:v>6.6161082147299049E-28</c:v>
                </c:pt>
                <c:pt idx="2">
                  <c:v>6.6161082147299058E-27</c:v>
                </c:pt>
                <c:pt idx="3">
                  <c:v>6.6161082147299049E-26</c:v>
                </c:pt>
                <c:pt idx="4">
                  <c:v>6.6161082147299047E-25</c:v>
                </c:pt>
                <c:pt idx="5">
                  <c:v>6.6161082147299053E-24</c:v>
                </c:pt>
                <c:pt idx="6">
                  <c:v>6.6161082147299054E-23</c:v>
                </c:pt>
                <c:pt idx="7">
                  <c:v>6.6161082147299054E-22</c:v>
                </c:pt>
                <c:pt idx="8">
                  <c:v>6.6161082147299047E-21</c:v>
                </c:pt>
                <c:pt idx="9">
                  <c:v>6.6161082147299045E-20</c:v>
                </c:pt>
                <c:pt idx="10">
                  <c:v>6.6161082147299055E-19</c:v>
                </c:pt>
                <c:pt idx="11">
                  <c:v>6.6161082147299057E-18</c:v>
                </c:pt>
                <c:pt idx="12">
                  <c:v>6.6161082147299058E-17</c:v>
                </c:pt>
                <c:pt idx="13">
                  <c:v>6.6161082147299053E-16</c:v>
                </c:pt>
                <c:pt idx="14">
                  <c:v>6.6161082147299055E-15</c:v>
                </c:pt>
                <c:pt idx="15">
                  <c:v>6.6161082147299049E-14</c:v>
                </c:pt>
                <c:pt idx="16">
                  <c:v>6.6161082147299054E-13</c:v>
                </c:pt>
                <c:pt idx="17">
                  <c:v>6.6161082147299052E-12</c:v>
                </c:pt>
                <c:pt idx="18">
                  <c:v>6.6161082147299049E-11</c:v>
                </c:pt>
                <c:pt idx="19">
                  <c:v>6.6161082147299049E-10</c:v>
                </c:pt>
                <c:pt idx="20">
                  <c:v>6.6161082147299055E-9</c:v>
                </c:pt>
                <c:pt idx="21">
                  <c:v>6.6161082147299055E-8</c:v>
                </c:pt>
                <c:pt idx="22">
                  <c:v>6.6161082147299052E-7</c:v>
                </c:pt>
                <c:pt idx="23">
                  <c:v>6.6161082147299048E-6</c:v>
                </c:pt>
                <c:pt idx="24">
                  <c:v>6.6161082147299046E-5</c:v>
                </c:pt>
                <c:pt idx="25">
                  <c:v>6.6161082147299052E-4</c:v>
                </c:pt>
                <c:pt idx="26">
                  <c:v>6.6161082147299047E-3</c:v>
                </c:pt>
                <c:pt idx="27">
                  <c:v>6.6161082147299058E-2</c:v>
                </c:pt>
                <c:pt idx="28">
                  <c:v>0.66161082147299055</c:v>
                </c:pt>
                <c:pt idx="29">
                  <c:v>6.6161082147299055</c:v>
                </c:pt>
                <c:pt idx="30">
                  <c:v>66.161082147299055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3.6670999292974019E-24</c:v>
                </c:pt>
                <c:pt idx="1">
                  <c:v>3.6670999292974019E-23</c:v>
                </c:pt>
                <c:pt idx="2">
                  <c:v>3.6670999292974021E-22</c:v>
                </c:pt>
                <c:pt idx="3">
                  <c:v>3.6670999292974017E-21</c:v>
                </c:pt>
                <c:pt idx="4">
                  <c:v>3.6670999292974017E-20</c:v>
                </c:pt>
                <c:pt idx="5">
                  <c:v>3.6670999292974017E-19</c:v>
                </c:pt>
                <c:pt idx="6">
                  <c:v>3.6670999292974018E-18</c:v>
                </c:pt>
                <c:pt idx="7">
                  <c:v>3.667099929297402E-17</c:v>
                </c:pt>
                <c:pt idx="8">
                  <c:v>3.6670999292974016E-16</c:v>
                </c:pt>
                <c:pt idx="9">
                  <c:v>3.6670999292974018E-15</c:v>
                </c:pt>
                <c:pt idx="10">
                  <c:v>3.6670999292974023E-14</c:v>
                </c:pt>
                <c:pt idx="11">
                  <c:v>3.6670999292974022E-13</c:v>
                </c:pt>
                <c:pt idx="12">
                  <c:v>3.667099929297402E-12</c:v>
                </c:pt>
                <c:pt idx="13">
                  <c:v>3.6670999292974018E-11</c:v>
                </c:pt>
                <c:pt idx="14">
                  <c:v>3.6670999292974022E-10</c:v>
                </c:pt>
                <c:pt idx="15">
                  <c:v>3.6670999292974017E-9</c:v>
                </c:pt>
                <c:pt idx="16">
                  <c:v>3.667099929297402E-8</c:v>
                </c:pt>
                <c:pt idx="17">
                  <c:v>3.6670999292974016E-7</c:v>
                </c:pt>
                <c:pt idx="18">
                  <c:v>3.6670999292974018E-6</c:v>
                </c:pt>
                <c:pt idx="19">
                  <c:v>3.6670999292974018E-5</c:v>
                </c:pt>
                <c:pt idx="20">
                  <c:v>3.6670999292974017E-4</c:v>
                </c:pt>
                <c:pt idx="21">
                  <c:v>3.6670999292974017E-3</c:v>
                </c:pt>
                <c:pt idx="22">
                  <c:v>3.6670999292974016E-2</c:v>
                </c:pt>
                <c:pt idx="23">
                  <c:v>0.36670999292974016</c:v>
                </c:pt>
                <c:pt idx="24">
                  <c:v>3.6670999292974016</c:v>
                </c:pt>
                <c:pt idx="25">
                  <c:v>36.670999292974017</c:v>
                </c:pt>
                <c:pt idx="26">
                  <c:v>366.70999292974017</c:v>
                </c:pt>
                <c:pt idx="27">
                  <c:v>3667.099929297402</c:v>
                </c:pt>
                <c:pt idx="28">
                  <c:v>36670.999292974018</c:v>
                </c:pt>
                <c:pt idx="29">
                  <c:v>366709.99292974017</c:v>
                </c:pt>
                <c:pt idx="30">
                  <c:v>3667099.9292974016</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5.5287130604876425E-14</c:v>
                </c:pt>
                <c:pt idx="1">
                  <c:v>5.5287130604876418E-13</c:v>
                </c:pt>
                <c:pt idx="2">
                  <c:v>5.5287130604876424E-12</c:v>
                </c:pt>
                <c:pt idx="3">
                  <c:v>5.5287130604876419E-11</c:v>
                </c:pt>
                <c:pt idx="4">
                  <c:v>5.528713060487642E-10</c:v>
                </c:pt>
                <c:pt idx="5">
                  <c:v>5.5287130604876424E-9</c:v>
                </c:pt>
                <c:pt idx="6">
                  <c:v>5.5287130604876424E-8</c:v>
                </c:pt>
                <c:pt idx="7">
                  <c:v>5.5287130604876424E-7</c:v>
                </c:pt>
                <c:pt idx="8">
                  <c:v>5.5287130604876416E-6</c:v>
                </c:pt>
                <c:pt idx="9">
                  <c:v>5.5287130604876423E-5</c:v>
                </c:pt>
                <c:pt idx="10">
                  <c:v>5.5287130604876427E-4</c:v>
                </c:pt>
                <c:pt idx="11">
                  <c:v>5.5287130604876429E-3</c:v>
                </c:pt>
                <c:pt idx="12">
                  <c:v>5.5287130604876424E-2</c:v>
                </c:pt>
                <c:pt idx="13">
                  <c:v>0.55287130604876422</c:v>
                </c:pt>
                <c:pt idx="14">
                  <c:v>5.5287130604876422</c:v>
                </c:pt>
                <c:pt idx="15">
                  <c:v>55.287130604876424</c:v>
                </c:pt>
                <c:pt idx="16">
                  <c:v>552.87130604876427</c:v>
                </c:pt>
                <c:pt idx="17">
                  <c:v>5528.713060487642</c:v>
                </c:pt>
                <c:pt idx="18">
                  <c:v>55287.130604876424</c:v>
                </c:pt>
                <c:pt idx="19">
                  <c:v>552871.30604876427</c:v>
                </c:pt>
                <c:pt idx="20">
                  <c:v>5528713.060487642</c:v>
                </c:pt>
                <c:pt idx="21">
                  <c:v>55287130.604876421</c:v>
                </c:pt>
                <c:pt idx="22">
                  <c:v>552871306.04876423</c:v>
                </c:pt>
                <c:pt idx="23">
                  <c:v>5528713060.4876423</c:v>
                </c:pt>
                <c:pt idx="24">
                  <c:v>55287130604.876419</c:v>
                </c:pt>
                <c:pt idx="25">
                  <c:v>552871306048.76416</c:v>
                </c:pt>
                <c:pt idx="26">
                  <c:v>5528713060487.6426</c:v>
                </c:pt>
                <c:pt idx="27">
                  <c:v>55287130604876.422</c:v>
                </c:pt>
                <c:pt idx="28">
                  <c:v>552871306048764.25</c:v>
                </c:pt>
                <c:pt idx="29">
                  <c:v>5528713060487642</c:v>
                </c:pt>
                <c:pt idx="30">
                  <c:v>5.5287130604876424E+16</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46086448"/>
        <c:axId val="544054072"/>
      </c:scatterChart>
      <c:valAx>
        <c:axId val="5460864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4072"/>
        <c:crosses val="autoZero"/>
        <c:crossBetween val="midCat"/>
      </c:valAx>
      <c:valAx>
        <c:axId val="5440540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608644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6.7232954793040819E-35</c:v>
                </c:pt>
                <c:pt idx="1">
                  <c:v>6.7232954793040821E-34</c:v>
                </c:pt>
                <c:pt idx="2">
                  <c:v>6.7232954793040823E-33</c:v>
                </c:pt>
                <c:pt idx="3">
                  <c:v>6.7232954793040815E-32</c:v>
                </c:pt>
                <c:pt idx="4">
                  <c:v>6.7232954793040817E-31</c:v>
                </c:pt>
                <c:pt idx="5">
                  <c:v>6.7232954793040822E-30</c:v>
                </c:pt>
                <c:pt idx="6">
                  <c:v>6.7232954793040819E-29</c:v>
                </c:pt>
                <c:pt idx="7">
                  <c:v>6.7232954793040815E-28</c:v>
                </c:pt>
                <c:pt idx="8">
                  <c:v>6.723295479304082E-27</c:v>
                </c:pt>
                <c:pt idx="9">
                  <c:v>6.7232954793040815E-26</c:v>
                </c:pt>
                <c:pt idx="10">
                  <c:v>6.7232954793040819E-25</c:v>
                </c:pt>
                <c:pt idx="11">
                  <c:v>6.7232954793040821E-24</c:v>
                </c:pt>
                <c:pt idx="12">
                  <c:v>6.7232954793040818E-23</c:v>
                </c:pt>
                <c:pt idx="13">
                  <c:v>6.7232954793040818E-22</c:v>
                </c:pt>
                <c:pt idx="14">
                  <c:v>6.7232954793040818E-21</c:v>
                </c:pt>
                <c:pt idx="15">
                  <c:v>6.7232954793040821E-20</c:v>
                </c:pt>
                <c:pt idx="16">
                  <c:v>6.7232954793040814E-19</c:v>
                </c:pt>
                <c:pt idx="17">
                  <c:v>6.7232954793040818E-18</c:v>
                </c:pt>
                <c:pt idx="18">
                  <c:v>6.7232954793040821E-17</c:v>
                </c:pt>
                <c:pt idx="19">
                  <c:v>6.7232954793040813E-16</c:v>
                </c:pt>
                <c:pt idx="20">
                  <c:v>6.7232954793040813E-15</c:v>
                </c:pt>
                <c:pt idx="21">
                  <c:v>6.7232954793040813E-14</c:v>
                </c:pt>
                <c:pt idx="22">
                  <c:v>6.7232954793040821E-13</c:v>
                </c:pt>
                <c:pt idx="23">
                  <c:v>6.7232954793040821E-12</c:v>
                </c:pt>
                <c:pt idx="24">
                  <c:v>6.7232954793040823E-11</c:v>
                </c:pt>
                <c:pt idx="25">
                  <c:v>6.7232954793040812E-10</c:v>
                </c:pt>
                <c:pt idx="26">
                  <c:v>6.7232954793040816E-9</c:v>
                </c:pt>
                <c:pt idx="27">
                  <c:v>6.7232954793040813E-8</c:v>
                </c:pt>
                <c:pt idx="28">
                  <c:v>6.7232954793040813E-7</c:v>
                </c:pt>
                <c:pt idx="29">
                  <c:v>6.7232954793040822E-6</c:v>
                </c:pt>
                <c:pt idx="30">
                  <c:v>6.7232954793040823E-5</c:v>
                </c:pt>
              </c:numCache>
            </c:numRef>
          </c:xVal>
          <c:yVal>
            <c:numRef>
              <c:f>'Mastercurve bestimmen'!$J$404:$J$434</c:f>
              <c:numCache>
                <c:formatCode>0.00E+00</c:formatCode>
                <c:ptCount val="31"/>
                <c:pt idx="0">
                  <c:v>6574.1423129756067</c:v>
                </c:pt>
                <c:pt idx="1">
                  <c:v>6574.1983504239388</c:v>
                </c:pt>
                <c:pt idx="2">
                  <c:v>6574.1641202956771</c:v>
                </c:pt>
                <c:pt idx="3">
                  <c:v>6574.1538463873376</c:v>
                </c:pt>
                <c:pt idx="4">
                  <c:v>6574.1506604943988</c:v>
                </c:pt>
                <c:pt idx="5">
                  <c:v>6574.149598530772</c:v>
                </c:pt>
                <c:pt idx="6">
                  <c:v>6574.1492527752453</c:v>
                </c:pt>
                <c:pt idx="7">
                  <c:v>6574.149203381603</c:v>
                </c:pt>
                <c:pt idx="8">
                  <c:v>6574.149203381603</c:v>
                </c:pt>
                <c:pt idx="9">
                  <c:v>6574.149203381603</c:v>
                </c:pt>
                <c:pt idx="10">
                  <c:v>6574.1491786847801</c:v>
                </c:pt>
                <c:pt idx="11">
                  <c:v>6574.1489070197567</c:v>
                </c:pt>
                <c:pt idx="12">
                  <c:v>6574.1483883865922</c:v>
                </c:pt>
                <c:pt idx="13">
                  <c:v>6574.141102834109</c:v>
                </c:pt>
                <c:pt idx="14">
                  <c:v>6574.0681741087647</c:v>
                </c:pt>
                <c:pt idx="15">
                  <c:v>6573.3425313051102</c:v>
                </c:pt>
                <c:pt idx="16">
                  <c:v>6566.2492544539882</c:v>
                </c:pt>
                <c:pt idx="17">
                  <c:v>6509.2168204054406</c:v>
                </c:pt>
                <c:pt idx="18">
                  <c:v>6358.877795711509</c:v>
                </c:pt>
                <c:pt idx="19">
                  <c:v>6198.1657141301985</c:v>
                </c:pt>
                <c:pt idx="20">
                  <c:v>5965.2165970487267</c:v>
                </c:pt>
                <c:pt idx="21">
                  <c:v>5562.9083959530062</c:v>
                </c:pt>
                <c:pt idx="22">
                  <c:v>5068.6144859756578</c:v>
                </c:pt>
                <c:pt idx="23">
                  <c:v>4583.1082918040429</c:v>
                </c:pt>
                <c:pt idx="24">
                  <c:v>4165.9762057055259</c:v>
                </c:pt>
                <c:pt idx="25">
                  <c:v>3823.5689905233821</c:v>
                </c:pt>
                <c:pt idx="26">
                  <c:v>3510.558848270296</c:v>
                </c:pt>
                <c:pt idx="27">
                  <c:v>3215.4703591878829</c:v>
                </c:pt>
                <c:pt idx="28">
                  <c:v>2870.194204228324</c:v>
                </c:pt>
                <c:pt idx="29">
                  <c:v>2458.5183678646754</c:v>
                </c:pt>
                <c:pt idx="30">
                  <c:v>1982.6966326072995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1.366401664789014E-33</c:v>
                </c:pt>
                <c:pt idx="1">
                  <c:v>1.3664016647890138E-32</c:v>
                </c:pt>
                <c:pt idx="2">
                  <c:v>1.3664016647890139E-31</c:v>
                </c:pt>
                <c:pt idx="3">
                  <c:v>1.3664016647890139E-30</c:v>
                </c:pt>
                <c:pt idx="4">
                  <c:v>1.3664016647890138E-29</c:v>
                </c:pt>
                <c:pt idx="5">
                  <c:v>1.3664016647890138E-28</c:v>
                </c:pt>
                <c:pt idx="6">
                  <c:v>1.3664016647890139E-27</c:v>
                </c:pt>
                <c:pt idx="7">
                  <c:v>1.3664016647890139E-26</c:v>
                </c:pt>
                <c:pt idx="8">
                  <c:v>1.3664016647890137E-25</c:v>
                </c:pt>
                <c:pt idx="9">
                  <c:v>1.3664016647890139E-24</c:v>
                </c:pt>
                <c:pt idx="10">
                  <c:v>1.3664016647890139E-23</c:v>
                </c:pt>
                <c:pt idx="11">
                  <c:v>1.3664016647890139E-22</c:v>
                </c:pt>
                <c:pt idx="12">
                  <c:v>1.3664016647890138E-21</c:v>
                </c:pt>
                <c:pt idx="13">
                  <c:v>1.3664016647890137E-20</c:v>
                </c:pt>
                <c:pt idx="14">
                  <c:v>1.3664016647890138E-19</c:v>
                </c:pt>
                <c:pt idx="15">
                  <c:v>1.3664016647890138E-18</c:v>
                </c:pt>
                <c:pt idx="16">
                  <c:v>1.3664016647890138E-17</c:v>
                </c:pt>
                <c:pt idx="17">
                  <c:v>1.3664016647890138E-16</c:v>
                </c:pt>
                <c:pt idx="18">
                  <c:v>1.3664016647890138E-15</c:v>
                </c:pt>
                <c:pt idx="19">
                  <c:v>1.3664016647890139E-14</c:v>
                </c:pt>
                <c:pt idx="20">
                  <c:v>1.3664016647890139E-13</c:v>
                </c:pt>
                <c:pt idx="21">
                  <c:v>1.3664016647890138E-12</c:v>
                </c:pt>
                <c:pt idx="22">
                  <c:v>1.3664016647890138E-11</c:v>
                </c:pt>
                <c:pt idx="23">
                  <c:v>1.366401664789014E-10</c:v>
                </c:pt>
                <c:pt idx="24">
                  <c:v>1.3664016647890138E-9</c:v>
                </c:pt>
                <c:pt idx="25">
                  <c:v>1.3664016647890139E-8</c:v>
                </c:pt>
                <c:pt idx="26">
                  <c:v>1.366401664789014E-7</c:v>
                </c:pt>
                <c:pt idx="27">
                  <c:v>1.3664016647890138E-6</c:v>
                </c:pt>
                <c:pt idx="28">
                  <c:v>1.3664016647890138E-5</c:v>
                </c:pt>
                <c:pt idx="29">
                  <c:v>1.3664016647890138E-4</c:v>
                </c:pt>
                <c:pt idx="30">
                  <c:v>1.3664016647890139E-3</c:v>
                </c:pt>
              </c:numCache>
            </c:numRef>
          </c:xVal>
          <c:yVal>
            <c:numRef>
              <c:f>'Mastercurve bestimmen'!$K$404:$K$434</c:f>
              <c:numCache>
                <c:formatCode>0.00E+00</c:formatCode>
                <c:ptCount val="31"/>
                <c:pt idx="0">
                  <c:v>6543.7252261807771</c:v>
                </c:pt>
                <c:pt idx="1">
                  <c:v>6543.7799387981568</c:v>
                </c:pt>
                <c:pt idx="2">
                  <c:v>6543.7462938558028</c:v>
                </c:pt>
                <c:pt idx="3">
                  <c:v>6543.7363350192272</c:v>
                </c:pt>
                <c:pt idx="4">
                  <c:v>6543.7332030080934</c:v>
                </c:pt>
                <c:pt idx="5">
                  <c:v>6543.7321508487757</c:v>
                </c:pt>
                <c:pt idx="6">
                  <c:v>6543.7318082853499</c:v>
                </c:pt>
                <c:pt idx="7">
                  <c:v>6543.7317593477201</c:v>
                </c:pt>
                <c:pt idx="8">
                  <c:v>6543.7315146595847</c:v>
                </c:pt>
                <c:pt idx="9">
                  <c:v>6543.731490190773</c:v>
                </c:pt>
                <c:pt idx="10">
                  <c:v>6543.7313923155243</c:v>
                </c:pt>
                <c:pt idx="11">
                  <c:v>6543.7286518097571</c:v>
                </c:pt>
                <c:pt idx="12">
                  <c:v>6543.7023234963144</c:v>
                </c:pt>
                <c:pt idx="13">
                  <c:v>6543.4393456132884</c:v>
                </c:pt>
                <c:pt idx="14">
                  <c:v>6540.8297975507394</c:v>
                </c:pt>
                <c:pt idx="15">
                  <c:v>6516.7915822655277</c:v>
                </c:pt>
                <c:pt idx="16">
                  <c:v>6390.814079024768</c:v>
                </c:pt>
                <c:pt idx="17">
                  <c:v>6240.1474757230608</c:v>
                </c:pt>
                <c:pt idx="18">
                  <c:v>6044.4265071962272</c:v>
                </c:pt>
                <c:pt idx="19">
                  <c:v>5697.9764219559002</c:v>
                </c:pt>
                <c:pt idx="20">
                  <c:v>5222.1642197271249</c:v>
                </c:pt>
                <c:pt idx="21">
                  <c:v>4741.2273341563377</c:v>
                </c:pt>
                <c:pt idx="22">
                  <c:v>4311.1706397553053</c:v>
                </c:pt>
                <c:pt idx="23">
                  <c:v>3952.2593271118144</c:v>
                </c:pt>
                <c:pt idx="24">
                  <c:v>3639.2172363975619</c:v>
                </c:pt>
                <c:pt idx="25">
                  <c:v>3344.7021990881808</c:v>
                </c:pt>
                <c:pt idx="26">
                  <c:v>3034.0126163953428</c:v>
                </c:pt>
                <c:pt idx="27">
                  <c:v>2653.5608861364908</c:v>
                </c:pt>
                <c:pt idx="28">
                  <c:v>2203.3378680125074</c:v>
                </c:pt>
                <c:pt idx="29">
                  <c:v>1683.4592204898881</c:v>
                </c:pt>
                <c:pt idx="30">
                  <c:v>1118.1414735463829</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9.9481729111568724E-32</c:v>
                </c:pt>
                <c:pt idx="1">
                  <c:v>9.9481729111568719E-31</c:v>
                </c:pt>
                <c:pt idx="2">
                  <c:v>9.9481729111568723E-30</c:v>
                </c:pt>
                <c:pt idx="3">
                  <c:v>9.948172911156872E-29</c:v>
                </c:pt>
                <c:pt idx="4">
                  <c:v>9.9481729111568727E-28</c:v>
                </c:pt>
                <c:pt idx="5">
                  <c:v>9.948172911156873E-27</c:v>
                </c:pt>
                <c:pt idx="6">
                  <c:v>9.9481729111568725E-26</c:v>
                </c:pt>
                <c:pt idx="7">
                  <c:v>9.9481729111568734E-25</c:v>
                </c:pt>
                <c:pt idx="8">
                  <c:v>9.9481729111568727E-24</c:v>
                </c:pt>
                <c:pt idx="9">
                  <c:v>9.9481729111568718E-23</c:v>
                </c:pt>
                <c:pt idx="10">
                  <c:v>9.9481729111568732E-22</c:v>
                </c:pt>
                <c:pt idx="11">
                  <c:v>9.9481729111568728E-21</c:v>
                </c:pt>
                <c:pt idx="12">
                  <c:v>9.9481729111568725E-20</c:v>
                </c:pt>
                <c:pt idx="13">
                  <c:v>9.9481729111568725E-19</c:v>
                </c:pt>
                <c:pt idx="14">
                  <c:v>9.9481729111568733E-18</c:v>
                </c:pt>
                <c:pt idx="15">
                  <c:v>9.9481729111568727E-17</c:v>
                </c:pt>
                <c:pt idx="16">
                  <c:v>9.9481729111568732E-16</c:v>
                </c:pt>
                <c:pt idx="17">
                  <c:v>9.9481729111568728E-15</c:v>
                </c:pt>
                <c:pt idx="18">
                  <c:v>9.9481729111568718E-14</c:v>
                </c:pt>
                <c:pt idx="19">
                  <c:v>9.9481729111568728E-13</c:v>
                </c:pt>
                <c:pt idx="20">
                  <c:v>9.948172911156872E-12</c:v>
                </c:pt>
                <c:pt idx="21">
                  <c:v>9.9481729111568723E-11</c:v>
                </c:pt>
                <c:pt idx="22">
                  <c:v>9.9481729111568716E-10</c:v>
                </c:pt>
                <c:pt idx="23">
                  <c:v>9.9481729111568728E-9</c:v>
                </c:pt>
                <c:pt idx="24">
                  <c:v>9.9481729111568718E-8</c:v>
                </c:pt>
                <c:pt idx="25">
                  <c:v>9.9481729111568726E-7</c:v>
                </c:pt>
                <c:pt idx="26">
                  <c:v>9.9481729111568726E-6</c:v>
                </c:pt>
                <c:pt idx="27">
                  <c:v>9.9481729111568719E-5</c:v>
                </c:pt>
                <c:pt idx="28">
                  <c:v>9.9481729111568717E-4</c:v>
                </c:pt>
                <c:pt idx="29">
                  <c:v>9.9481729111568721E-3</c:v>
                </c:pt>
                <c:pt idx="30">
                  <c:v>9.9481729111568717E-2</c:v>
                </c:pt>
              </c:numCache>
            </c:numRef>
          </c:xVal>
          <c:yVal>
            <c:numRef>
              <c:f>'Mastercurve bestimmen'!$L$404:$L$434</c:f>
              <c:numCache>
                <c:formatCode>0.00E+00</c:formatCode>
                <c:ptCount val="31"/>
                <c:pt idx="0">
                  <c:v>6524.0904126194901</c:v>
                </c:pt>
                <c:pt idx="1">
                  <c:v>6524.1443595856636</c:v>
                </c:pt>
                <c:pt idx="2">
                  <c:v>6524.1111351538066</c:v>
                </c:pt>
                <c:pt idx="3">
                  <c:v>6524.1012603146964</c:v>
                </c:pt>
                <c:pt idx="4">
                  <c:v>6524.0981470711258</c:v>
                </c:pt>
                <c:pt idx="5">
                  <c:v>6524.0971012165301</c:v>
                </c:pt>
                <c:pt idx="6">
                  <c:v>6524.0967607058046</c:v>
                </c:pt>
                <c:pt idx="7">
                  <c:v>6524.0967120614177</c:v>
                </c:pt>
                <c:pt idx="8">
                  <c:v>6524.0963715507314</c:v>
                </c:pt>
                <c:pt idx="9">
                  <c:v>6524.0939393325853</c:v>
                </c:pt>
                <c:pt idx="10">
                  <c:v>6524.06939835293</c:v>
                </c:pt>
                <c:pt idx="11">
                  <c:v>6523.8242419120506</c:v>
                </c:pt>
                <c:pt idx="12">
                  <c:v>6521.3925487999713</c:v>
                </c:pt>
                <c:pt idx="13">
                  <c:v>6498.8766153292054</c:v>
                </c:pt>
                <c:pt idx="14">
                  <c:v>6376.7108933957061</c:v>
                </c:pt>
                <c:pt idx="15">
                  <c:v>6230.3639399807598</c:v>
                </c:pt>
                <c:pt idx="16">
                  <c:v>6066.3152248046426</c:v>
                </c:pt>
                <c:pt idx="17">
                  <c:v>5850.8000974148181</c:v>
                </c:pt>
                <c:pt idx="18">
                  <c:v>5524.1383776461034</c:v>
                </c:pt>
                <c:pt idx="19">
                  <c:v>5037.8540321693981</c:v>
                </c:pt>
                <c:pt idx="20">
                  <c:v>4531.1485912762591</c:v>
                </c:pt>
                <c:pt idx="21">
                  <c:v>4100.3073895013431</c:v>
                </c:pt>
                <c:pt idx="22">
                  <c:v>3736.9018653482362</c:v>
                </c:pt>
                <c:pt idx="23">
                  <c:v>3408.8002756648089</c:v>
                </c:pt>
                <c:pt idx="24">
                  <c:v>3078.2308446927527</c:v>
                </c:pt>
                <c:pt idx="25">
                  <c:v>2685.2498641877337</c:v>
                </c:pt>
                <c:pt idx="26">
                  <c:v>2228.0957655931211</c:v>
                </c:pt>
                <c:pt idx="27">
                  <c:v>1704.9584752004923</c:v>
                </c:pt>
                <c:pt idx="28">
                  <c:v>1135.4901421385146</c:v>
                </c:pt>
                <c:pt idx="29">
                  <c:v>680.51042901870051</c:v>
                </c:pt>
                <c:pt idx="30">
                  <c:v>389.33964903055204</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6.6161082147299054E-29</c:v>
                </c:pt>
                <c:pt idx="1">
                  <c:v>6.6161082147299049E-28</c:v>
                </c:pt>
                <c:pt idx="2">
                  <c:v>6.6161082147299058E-27</c:v>
                </c:pt>
                <c:pt idx="3">
                  <c:v>6.6161082147299049E-26</c:v>
                </c:pt>
                <c:pt idx="4">
                  <c:v>6.6161082147299047E-25</c:v>
                </c:pt>
                <c:pt idx="5">
                  <c:v>6.6161082147299053E-24</c:v>
                </c:pt>
                <c:pt idx="6">
                  <c:v>6.6161082147299054E-23</c:v>
                </c:pt>
                <c:pt idx="7">
                  <c:v>6.6161082147299054E-22</c:v>
                </c:pt>
                <c:pt idx="8">
                  <c:v>6.6161082147299047E-21</c:v>
                </c:pt>
                <c:pt idx="9">
                  <c:v>6.6161082147299045E-20</c:v>
                </c:pt>
                <c:pt idx="10">
                  <c:v>6.6161082147299055E-19</c:v>
                </c:pt>
                <c:pt idx="11">
                  <c:v>6.6161082147299057E-18</c:v>
                </c:pt>
                <c:pt idx="12">
                  <c:v>6.6161082147299058E-17</c:v>
                </c:pt>
                <c:pt idx="13">
                  <c:v>6.6161082147299053E-16</c:v>
                </c:pt>
                <c:pt idx="14">
                  <c:v>6.6161082147299055E-15</c:v>
                </c:pt>
                <c:pt idx="15">
                  <c:v>6.6161082147299049E-14</c:v>
                </c:pt>
                <c:pt idx="16">
                  <c:v>6.6161082147299054E-13</c:v>
                </c:pt>
                <c:pt idx="17">
                  <c:v>6.6161082147299052E-12</c:v>
                </c:pt>
                <c:pt idx="18">
                  <c:v>6.6161082147299049E-11</c:v>
                </c:pt>
                <c:pt idx="19">
                  <c:v>6.6161082147299049E-10</c:v>
                </c:pt>
                <c:pt idx="20">
                  <c:v>6.6161082147299055E-9</c:v>
                </c:pt>
                <c:pt idx="21">
                  <c:v>6.6161082147299055E-8</c:v>
                </c:pt>
                <c:pt idx="22">
                  <c:v>6.6161082147299052E-7</c:v>
                </c:pt>
                <c:pt idx="23">
                  <c:v>6.6161082147299048E-6</c:v>
                </c:pt>
                <c:pt idx="24">
                  <c:v>6.6161082147299046E-5</c:v>
                </c:pt>
                <c:pt idx="25">
                  <c:v>6.6161082147299052E-4</c:v>
                </c:pt>
                <c:pt idx="26">
                  <c:v>6.6161082147299047E-3</c:v>
                </c:pt>
                <c:pt idx="27">
                  <c:v>6.6161082147299058E-2</c:v>
                </c:pt>
                <c:pt idx="28">
                  <c:v>0.66161082147299055</c:v>
                </c:pt>
                <c:pt idx="29">
                  <c:v>6.6161082147299055</c:v>
                </c:pt>
                <c:pt idx="30">
                  <c:v>66.161082147299055</c:v>
                </c:pt>
              </c:numCache>
            </c:numRef>
          </c:xVal>
          <c:yVal>
            <c:numRef>
              <c:f>'Mastercurve bestimmen'!$M$404:$M$434</c:f>
              <c:numCache>
                <c:formatCode>0.00E+00</c:formatCode>
                <c:ptCount val="31"/>
                <c:pt idx="0">
                  <c:v>6503.9509699618966</c:v>
                </c:pt>
                <c:pt idx="1">
                  <c:v>6504.0043184804708</c:v>
                </c:pt>
                <c:pt idx="2">
                  <c:v>6503.9713230315656</c:v>
                </c:pt>
                <c:pt idx="3">
                  <c:v>6503.9615090652051</c:v>
                </c:pt>
                <c:pt idx="4">
                  <c:v>6503.9584150129849</c:v>
                </c:pt>
                <c:pt idx="5">
                  <c:v>6503.9573030886877</c:v>
                </c:pt>
                <c:pt idx="6">
                  <c:v>6503.9546441408229</c:v>
                </c:pt>
                <c:pt idx="7">
                  <c:v>6503.932647473689</c:v>
                </c:pt>
                <c:pt idx="8">
                  <c:v>6503.7133657579243</c:v>
                </c:pt>
                <c:pt idx="9">
                  <c:v>6501.5374241274303</c:v>
                </c:pt>
                <c:pt idx="10">
                  <c:v>6481.233154233405</c:v>
                </c:pt>
                <c:pt idx="11">
                  <c:v>6364.7007036045688</c:v>
                </c:pt>
                <c:pt idx="12">
                  <c:v>6219.55344224686</c:v>
                </c:pt>
                <c:pt idx="13">
                  <c:v>6059.9785511387736</c:v>
                </c:pt>
                <c:pt idx="14">
                  <c:v>5870.6317266704709</c:v>
                </c:pt>
                <c:pt idx="15">
                  <c:v>5669.1325406322439</c:v>
                </c:pt>
                <c:pt idx="16">
                  <c:v>5423.4324257349326</c:v>
                </c:pt>
                <c:pt idx="17">
                  <c:v>5064.9009314494624</c:v>
                </c:pt>
                <c:pt idx="18">
                  <c:v>4580.1850776889687</c:v>
                </c:pt>
                <c:pt idx="19">
                  <c:v>4085.8663253030418</c:v>
                </c:pt>
                <c:pt idx="20">
                  <c:v>3641.7022773125063</c:v>
                </c:pt>
                <c:pt idx="21">
                  <c:v>3231.6591203117327</c:v>
                </c:pt>
                <c:pt idx="22">
                  <c:v>2785.7203085552951</c:v>
                </c:pt>
                <c:pt idx="23">
                  <c:v>2295.1533050928924</c:v>
                </c:pt>
                <c:pt idx="24">
                  <c:v>1754.5150163075152</c:v>
                </c:pt>
                <c:pt idx="25">
                  <c:v>1171.8757952014325</c:v>
                </c:pt>
                <c:pt idx="26">
                  <c:v>704.46209389908893</c:v>
                </c:pt>
                <c:pt idx="27">
                  <c:v>403.25761176970258</c:v>
                </c:pt>
                <c:pt idx="28">
                  <c:v>227.19076746573165</c:v>
                </c:pt>
                <c:pt idx="29">
                  <c:v>157.01371189082064</c:v>
                </c:pt>
                <c:pt idx="30">
                  <c:v>136.97082983111966</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3.6670999292974019E-24</c:v>
                </c:pt>
                <c:pt idx="1">
                  <c:v>3.6670999292974019E-23</c:v>
                </c:pt>
                <c:pt idx="2">
                  <c:v>3.6670999292974021E-22</c:v>
                </c:pt>
                <c:pt idx="3">
                  <c:v>3.6670999292974017E-21</c:v>
                </c:pt>
                <c:pt idx="4">
                  <c:v>3.6670999292974017E-20</c:v>
                </c:pt>
                <c:pt idx="5">
                  <c:v>3.6670999292974017E-19</c:v>
                </c:pt>
                <c:pt idx="6">
                  <c:v>3.6670999292974018E-18</c:v>
                </c:pt>
                <c:pt idx="7">
                  <c:v>3.667099929297402E-17</c:v>
                </c:pt>
                <c:pt idx="8">
                  <c:v>3.6670999292974016E-16</c:v>
                </c:pt>
                <c:pt idx="9">
                  <c:v>3.6670999292974018E-15</c:v>
                </c:pt>
                <c:pt idx="10">
                  <c:v>3.6670999292974023E-14</c:v>
                </c:pt>
                <c:pt idx="11">
                  <c:v>3.6670999292974022E-13</c:v>
                </c:pt>
                <c:pt idx="12">
                  <c:v>3.667099929297402E-12</c:v>
                </c:pt>
                <c:pt idx="13">
                  <c:v>3.6670999292974018E-11</c:v>
                </c:pt>
                <c:pt idx="14">
                  <c:v>3.6670999292974022E-10</c:v>
                </c:pt>
                <c:pt idx="15">
                  <c:v>3.6670999292974017E-9</c:v>
                </c:pt>
                <c:pt idx="16">
                  <c:v>3.667099929297402E-8</c:v>
                </c:pt>
                <c:pt idx="17">
                  <c:v>3.6670999292974016E-7</c:v>
                </c:pt>
                <c:pt idx="18">
                  <c:v>3.6670999292974018E-6</c:v>
                </c:pt>
                <c:pt idx="19">
                  <c:v>3.6670999292974018E-5</c:v>
                </c:pt>
                <c:pt idx="20">
                  <c:v>3.6670999292974017E-4</c:v>
                </c:pt>
                <c:pt idx="21">
                  <c:v>3.6670999292974017E-3</c:v>
                </c:pt>
                <c:pt idx="22">
                  <c:v>3.6670999292974016E-2</c:v>
                </c:pt>
                <c:pt idx="23">
                  <c:v>0.36670999292974016</c:v>
                </c:pt>
                <c:pt idx="24">
                  <c:v>3.6670999292974016</c:v>
                </c:pt>
                <c:pt idx="25">
                  <c:v>36.670999292974017</c:v>
                </c:pt>
                <c:pt idx="26">
                  <c:v>366.70999292974017</c:v>
                </c:pt>
                <c:pt idx="27">
                  <c:v>3667.099929297402</c:v>
                </c:pt>
                <c:pt idx="28">
                  <c:v>36670.999292974018</c:v>
                </c:pt>
                <c:pt idx="29">
                  <c:v>366709.99292974017</c:v>
                </c:pt>
                <c:pt idx="30">
                  <c:v>3667099.9292974016</c:v>
                </c:pt>
              </c:numCache>
            </c:numRef>
          </c:xVal>
          <c:yVal>
            <c:numRef>
              <c:f>'Mastercurve bestimmen'!$N$404:$N$434</c:f>
              <c:numCache>
                <c:formatCode>0.00E+00</c:formatCode>
                <c:ptCount val="31"/>
                <c:pt idx="0">
                  <c:v>6479.0859474371819</c:v>
                </c:pt>
                <c:pt idx="1">
                  <c:v>6479.1324839978006</c:v>
                </c:pt>
                <c:pt idx="2">
                  <c:v>6479.041978197979</c:v>
                </c:pt>
                <c:pt idx="3">
                  <c:v>6478.4539559822069</c:v>
                </c:pt>
                <c:pt idx="4">
                  <c:v>6472.7726535549082</c:v>
                </c:pt>
                <c:pt idx="5">
                  <c:v>6425.3224026678754</c:v>
                </c:pt>
                <c:pt idx="6">
                  <c:v>6280.1372572444334</c:v>
                </c:pt>
                <c:pt idx="7">
                  <c:v>6130.7451181848783</c:v>
                </c:pt>
                <c:pt idx="8">
                  <c:v>5959.459898848826</c:v>
                </c:pt>
                <c:pt idx="9">
                  <c:v>5758.6320512376351</c:v>
                </c:pt>
                <c:pt idx="10">
                  <c:v>5553.7107715147085</c:v>
                </c:pt>
                <c:pt idx="11">
                  <c:v>5296.2160470219478</c:v>
                </c:pt>
                <c:pt idx="12">
                  <c:v>5014.3504980568096</c:v>
                </c:pt>
                <c:pt idx="13">
                  <c:v>4737.7084148388376</c:v>
                </c:pt>
                <c:pt idx="14">
                  <c:v>4438.626264954587</c:v>
                </c:pt>
                <c:pt idx="15">
                  <c:v>4115.3629839514006</c:v>
                </c:pt>
                <c:pt idx="16">
                  <c:v>3662.5886079597385</c:v>
                </c:pt>
                <c:pt idx="17">
                  <c:v>3039.7716426269371</c:v>
                </c:pt>
                <c:pt idx="18">
                  <c:v>2356.5178874385392</c:v>
                </c:pt>
                <c:pt idx="19">
                  <c:v>1664.6092730189016</c:v>
                </c:pt>
                <c:pt idx="20">
                  <c:v>1039.9214556238178</c:v>
                </c:pt>
                <c:pt idx="21">
                  <c:v>595.89522173414423</c:v>
                </c:pt>
                <c:pt idx="22">
                  <c:v>331.71701217899948</c:v>
                </c:pt>
                <c:pt idx="23">
                  <c:v>192.72704730170403</c:v>
                </c:pt>
                <c:pt idx="24">
                  <c:v>148.89299884614732</c:v>
                </c:pt>
                <c:pt idx="25">
                  <c:v>134.12130031566326</c:v>
                </c:pt>
                <c:pt idx="26">
                  <c:v>124.90206072555479</c:v>
                </c:pt>
                <c:pt idx="27">
                  <c:v>124.64007063602084</c:v>
                </c:pt>
                <c:pt idx="28">
                  <c:v>123.89500698166064</c:v>
                </c:pt>
                <c:pt idx="29">
                  <c:v>123.88320178471095</c:v>
                </c:pt>
                <c:pt idx="30">
                  <c:v>123.47472292148701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5863.6829549380891</c:v>
                </c:pt>
                <c:pt idx="1">
                  <c:v>5609.1927579282792</c:v>
                </c:pt>
                <c:pt idx="2">
                  <c:v>5370.7345311781783</c:v>
                </c:pt>
                <c:pt idx="3">
                  <c:v>5097.9534912421213</c:v>
                </c:pt>
                <c:pt idx="4">
                  <c:v>4821.046341164677</c:v>
                </c:pt>
                <c:pt idx="5">
                  <c:v>4535.3452020984814</c:v>
                </c:pt>
                <c:pt idx="6">
                  <c:v>4228.4929725950406</c:v>
                </c:pt>
                <c:pt idx="7">
                  <c:v>3871.0057883923755</c:v>
                </c:pt>
                <c:pt idx="8">
                  <c:v>3401.7561264704505</c:v>
                </c:pt>
                <c:pt idx="9">
                  <c:v>2827.0529060658037</c:v>
                </c:pt>
                <c:pt idx="10">
                  <c:v>2150.7951483518323</c:v>
                </c:pt>
                <c:pt idx="11">
                  <c:v>1410.5199057082755</c:v>
                </c:pt>
                <c:pt idx="12">
                  <c:v>826.67973456797017</c:v>
                </c:pt>
                <c:pt idx="13">
                  <c:v>463.10914863390207</c:v>
                </c:pt>
                <c:pt idx="14">
                  <c:v>257.27368574751409</c:v>
                </c:pt>
                <c:pt idx="15">
                  <c:v>179.98076982609024</c:v>
                </c:pt>
                <c:pt idx="16">
                  <c:v>157.55849658546879</c:v>
                </c:pt>
                <c:pt idx="17">
                  <c:v>143.13037816485394</c:v>
                </c:pt>
                <c:pt idx="18">
                  <c:v>139.03929298884987</c:v>
                </c:pt>
                <c:pt idx="19">
                  <c:v>135.60631839895524</c:v>
                </c:pt>
                <c:pt idx="20">
                  <c:v>132.22937471479068</c:v>
                </c:pt>
                <c:pt idx="21">
                  <c:v>129.58780540541244</c:v>
                </c:pt>
                <c:pt idx="22">
                  <c:v>127.7135675720335</c:v>
                </c:pt>
                <c:pt idx="23">
                  <c:v>126.4367312836393</c:v>
                </c:pt>
                <c:pt idx="24">
                  <c:v>125.52960401951817</c:v>
                </c:pt>
                <c:pt idx="25">
                  <c:v>124.83927834622055</c:v>
                </c:pt>
                <c:pt idx="26">
                  <c:v>124.70417941781746</c:v>
                </c:pt>
                <c:pt idx="27">
                  <c:v>123.9260383626436</c:v>
                </c:pt>
                <c:pt idx="28">
                  <c:v>123.91358498832378</c:v>
                </c:pt>
                <c:pt idx="29">
                  <c:v>123.65466987195585</c:v>
                </c:pt>
                <c:pt idx="30">
                  <c:v>123.64094316844046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5.5287130604876425E-14</c:v>
                </c:pt>
                <c:pt idx="1">
                  <c:v>5.5287130604876418E-13</c:v>
                </c:pt>
                <c:pt idx="2">
                  <c:v>5.5287130604876424E-12</c:v>
                </c:pt>
                <c:pt idx="3">
                  <c:v>5.5287130604876419E-11</c:v>
                </c:pt>
                <c:pt idx="4">
                  <c:v>5.528713060487642E-10</c:v>
                </c:pt>
                <c:pt idx="5">
                  <c:v>5.5287130604876424E-9</c:v>
                </c:pt>
                <c:pt idx="6">
                  <c:v>5.5287130604876424E-8</c:v>
                </c:pt>
                <c:pt idx="7">
                  <c:v>5.5287130604876424E-7</c:v>
                </c:pt>
                <c:pt idx="8">
                  <c:v>5.5287130604876416E-6</c:v>
                </c:pt>
                <c:pt idx="9">
                  <c:v>5.5287130604876423E-5</c:v>
                </c:pt>
                <c:pt idx="10">
                  <c:v>5.5287130604876427E-4</c:v>
                </c:pt>
                <c:pt idx="11">
                  <c:v>5.5287130604876429E-3</c:v>
                </c:pt>
                <c:pt idx="12">
                  <c:v>5.5287130604876424E-2</c:v>
                </c:pt>
                <c:pt idx="13">
                  <c:v>0.55287130604876422</c:v>
                </c:pt>
                <c:pt idx="14">
                  <c:v>5.5287130604876422</c:v>
                </c:pt>
                <c:pt idx="15">
                  <c:v>55.287130604876424</c:v>
                </c:pt>
                <c:pt idx="16">
                  <c:v>552.87130604876427</c:v>
                </c:pt>
                <c:pt idx="17">
                  <c:v>5528.713060487642</c:v>
                </c:pt>
                <c:pt idx="18">
                  <c:v>55287.130604876424</c:v>
                </c:pt>
                <c:pt idx="19">
                  <c:v>552871.30604876427</c:v>
                </c:pt>
                <c:pt idx="20">
                  <c:v>5528713.060487642</c:v>
                </c:pt>
                <c:pt idx="21">
                  <c:v>55287130.604876421</c:v>
                </c:pt>
                <c:pt idx="22">
                  <c:v>552871306.04876423</c:v>
                </c:pt>
                <c:pt idx="23">
                  <c:v>5528713060.4876423</c:v>
                </c:pt>
                <c:pt idx="24">
                  <c:v>55287130604.876419</c:v>
                </c:pt>
                <c:pt idx="25">
                  <c:v>552871306048.76416</c:v>
                </c:pt>
                <c:pt idx="26">
                  <c:v>5528713060487.6426</c:v>
                </c:pt>
                <c:pt idx="27">
                  <c:v>55287130604876.422</c:v>
                </c:pt>
                <c:pt idx="28">
                  <c:v>552871306048764.25</c:v>
                </c:pt>
                <c:pt idx="29">
                  <c:v>5528713060487642</c:v>
                </c:pt>
                <c:pt idx="30">
                  <c:v>5.5287130604876424E+16</c:v>
                </c:pt>
              </c:numCache>
            </c:numRef>
          </c:xVal>
          <c:yVal>
            <c:numRef>
              <c:f>'Mastercurve bestimmen'!$P$404:$P$434</c:f>
              <c:numCache>
                <c:formatCode>0.00E+00</c:formatCode>
                <c:ptCount val="31"/>
                <c:pt idx="0">
                  <c:v>5469.0375175567433</c:v>
                </c:pt>
                <c:pt idx="1">
                  <c:v>5144.4254375399241</c:v>
                </c:pt>
                <c:pt idx="2">
                  <c:v>4859.4796757955091</c:v>
                </c:pt>
                <c:pt idx="3">
                  <c:v>4579.0872874253573</c:v>
                </c:pt>
                <c:pt idx="4">
                  <c:v>4274.6287252900811</c:v>
                </c:pt>
                <c:pt idx="5">
                  <c:v>3938.1560081824523</c:v>
                </c:pt>
                <c:pt idx="6">
                  <c:v>3491.5925245283374</c:v>
                </c:pt>
                <c:pt idx="7">
                  <c:v>2939.5473684961994</c:v>
                </c:pt>
                <c:pt idx="8">
                  <c:v>2290.3210430692648</c:v>
                </c:pt>
                <c:pt idx="9">
                  <c:v>1556.8723374202477</c:v>
                </c:pt>
                <c:pt idx="10">
                  <c:v>939.61789874376836</c:v>
                </c:pt>
                <c:pt idx="11">
                  <c:v>532.22470015904992</c:v>
                </c:pt>
                <c:pt idx="12">
                  <c:v>294.61415856723238</c:v>
                </c:pt>
                <c:pt idx="13">
                  <c:v>191.85627557437303</c:v>
                </c:pt>
                <c:pt idx="14">
                  <c:v>162.27843823453597</c:v>
                </c:pt>
                <c:pt idx="15">
                  <c:v>147.30961753431595</c:v>
                </c:pt>
                <c:pt idx="16">
                  <c:v>142.06591803394016</c:v>
                </c:pt>
                <c:pt idx="17">
                  <c:v>140.2404472955443</c:v>
                </c:pt>
                <c:pt idx="18">
                  <c:v>137.13168564571805</c:v>
                </c:pt>
                <c:pt idx="19">
                  <c:v>133.5914564553571</c:v>
                </c:pt>
                <c:pt idx="20">
                  <c:v>130.60597118111332</c:v>
                </c:pt>
                <c:pt idx="21">
                  <c:v>128.42317853149575</c:v>
                </c:pt>
                <c:pt idx="22">
                  <c:v>126.92571513683149</c:v>
                </c:pt>
                <c:pt idx="23">
                  <c:v>125.87891264299097</c:v>
                </c:pt>
                <c:pt idx="24">
                  <c:v>125.11103067782525</c:v>
                </c:pt>
                <c:pt idx="25">
                  <c:v>124.96985459314666</c:v>
                </c:pt>
                <c:pt idx="26">
                  <c:v>124.77108605330615</c:v>
                </c:pt>
                <c:pt idx="27">
                  <c:v>123.93614365125383</c:v>
                </c:pt>
                <c:pt idx="28">
                  <c:v>123.92285545904397</c:v>
                </c:pt>
                <c:pt idx="29">
                  <c:v>123.48008539289999</c:v>
                </c:pt>
                <c:pt idx="30">
                  <c:v>123.46865182434244</c:v>
                </c:pt>
              </c:numCache>
            </c:numRef>
          </c:yVal>
          <c:smooth val="1"/>
        </c:ser>
        <c:dLbls>
          <c:showLegendKey val="0"/>
          <c:showVal val="0"/>
          <c:showCatName val="0"/>
          <c:showSerName val="0"/>
          <c:showPercent val="0"/>
          <c:showBubbleSize val="0"/>
        </c:dLbls>
        <c:axId val="544052504"/>
        <c:axId val="544053680"/>
      </c:scatterChart>
      <c:valAx>
        <c:axId val="54405250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3680"/>
        <c:crosses val="autoZero"/>
        <c:crossBetween val="midCat"/>
      </c:valAx>
      <c:valAx>
        <c:axId val="544053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405250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-44.146123426846046</c:v>
                </c:pt>
                <c:pt idx="1">
                  <c:v>-44.091281700755133</c:v>
                </c:pt>
                <c:pt idx="2">
                  <c:v>-44.036363229498029</c:v>
                </c:pt>
                <c:pt idx="3">
                  <c:v>-43.981291267908503</c:v>
                </c:pt>
                <c:pt idx="4">
                  <c:v>-43.925989070820378</c:v>
                </c:pt>
                <c:pt idx="5">
                  <c:v>-43.870379893067415</c:v>
                </c:pt>
                <c:pt idx="6">
                  <c:v>-43.814386989483445</c:v>
                </c:pt>
                <c:pt idx="7">
                  <c:v>-43.757933614902228</c:v>
                </c:pt>
                <c:pt idx="8">
                  <c:v>-43.700943024157581</c:v>
                </c:pt>
                <c:pt idx="9">
                  <c:v>-43.643338472083308</c:v>
                </c:pt>
                <c:pt idx="10">
                  <c:v>-43.585043213513174</c:v>
                </c:pt>
                <c:pt idx="11">
                  <c:v>-43.525980503281005</c:v>
                </c:pt>
                <c:pt idx="12">
                  <c:v>-43.466073596220568</c:v>
                </c:pt>
                <c:pt idx="13">
                  <c:v>-43.405245747165687</c:v>
                </c:pt>
                <c:pt idx="14">
                  <c:v>-43.343420210950129</c:v>
                </c:pt>
                <c:pt idx="15">
                  <c:v>-43.280520242407704</c:v>
                </c:pt>
                <c:pt idx="16">
                  <c:v>-43.216469096372208</c:v>
                </c:pt>
                <c:pt idx="17">
                  <c:v>-43.151190027677437</c:v>
                </c:pt>
                <c:pt idx="18">
                  <c:v>-43.084606291157179</c:v>
                </c:pt>
                <c:pt idx="19">
                  <c:v>-43.016641141645238</c:v>
                </c:pt>
                <c:pt idx="20">
                  <c:v>-42.947217833975401</c:v>
                </c:pt>
                <c:pt idx="21">
                  <c:v>-42.876259622981451</c:v>
                </c:pt>
                <c:pt idx="22">
                  <c:v>-42.803689763497211</c:v>
                </c:pt>
                <c:pt idx="23">
                  <c:v>-42.729431510356463</c:v>
                </c:pt>
                <c:pt idx="24">
                  <c:v>-42.653408118392996</c:v>
                </c:pt>
                <c:pt idx="25">
                  <c:v>-42.575542842440612</c:v>
                </c:pt>
                <c:pt idx="26">
                  <c:v>-42.495758937333107</c:v>
                </c:pt>
                <c:pt idx="27">
                  <c:v>-42.413979657904278</c:v>
                </c:pt>
                <c:pt idx="28">
                  <c:v>-42.330128258987912</c:v>
                </c:pt>
                <c:pt idx="29">
                  <c:v>-42.244127995417806</c:v>
                </c:pt>
                <c:pt idx="30">
                  <c:v>-42.155902122027761</c:v>
                </c:pt>
                <c:pt idx="31">
                  <c:v>-42.065373893651568</c:v>
                </c:pt>
                <c:pt idx="32">
                  <c:v>-41.972466565123021</c:v>
                </c:pt>
                <c:pt idx="33">
                  <c:v>-41.877103391275909</c:v>
                </c:pt>
                <c:pt idx="34">
                  <c:v>-41.77920762694405</c:v>
                </c:pt>
                <c:pt idx="35">
                  <c:v>-41.678702526961217</c:v>
                </c:pt>
                <c:pt idx="36">
                  <c:v>-41.575511346161214</c:v>
                </c:pt>
                <c:pt idx="37">
                  <c:v>-41.469557339377822</c:v>
                </c:pt>
                <c:pt idx="38">
                  <c:v>-41.360763761444865</c:v>
                </c:pt>
                <c:pt idx="39">
                  <c:v>-41.249053867196103</c:v>
                </c:pt>
                <c:pt idx="40">
                  <c:v>-41.134350911465368</c:v>
                </c:pt>
                <c:pt idx="41">
                  <c:v>-41.002528489843399</c:v>
                </c:pt>
                <c:pt idx="42">
                  <c:v>-40.867608842072151</c:v>
                </c:pt>
                <c:pt idx="43">
                  <c:v>-40.729564548650501</c:v>
                </c:pt>
                <c:pt idx="44">
                  <c:v>-40.588368190077382</c:v>
                </c:pt>
                <c:pt idx="45">
                  <c:v>-40.443992346851672</c:v>
                </c:pt>
                <c:pt idx="46">
                  <c:v>-40.296409599472298</c:v>
                </c:pt>
                <c:pt idx="47">
                  <c:v>-40.145592528438151</c:v>
                </c:pt>
                <c:pt idx="48">
                  <c:v>-39.991513714248143</c:v>
                </c:pt>
                <c:pt idx="49">
                  <c:v>-39.834145737401165</c:v>
                </c:pt>
                <c:pt idx="50">
                  <c:v>-39.673461178396138</c:v>
                </c:pt>
                <c:pt idx="51">
                  <c:v>-39.50943261773196</c:v>
                </c:pt>
                <c:pt idx="52">
                  <c:v>-39.342032635907543</c:v>
                </c:pt>
                <c:pt idx="53">
                  <c:v>-39.171233813421772</c:v>
                </c:pt>
                <c:pt idx="54">
                  <c:v>-38.997008730773572</c:v>
                </c:pt>
                <c:pt idx="55">
                  <c:v>-38.81932996846183</c:v>
                </c:pt>
                <c:pt idx="56">
                  <c:v>-38.63817010698547</c:v>
                </c:pt>
                <c:pt idx="57">
                  <c:v>-38.453501726843385</c:v>
                </c:pt>
                <c:pt idx="58">
                  <c:v>-38.265297408534472</c:v>
                </c:pt>
                <c:pt idx="59">
                  <c:v>-38.073529732557652</c:v>
                </c:pt>
                <c:pt idx="60">
                  <c:v>-37.878171279411823</c:v>
                </c:pt>
                <c:pt idx="61">
                  <c:v>-37.679194629595891</c:v>
                </c:pt>
                <c:pt idx="62">
                  <c:v>-37.476572363608753</c:v>
                </c:pt>
                <c:pt idx="63">
                  <c:v>-37.270277061949329</c:v>
                </c:pt>
                <c:pt idx="64">
                  <c:v>-37.060281305116504</c:v>
                </c:pt>
                <c:pt idx="65">
                  <c:v>-36.84655767360919</c:v>
                </c:pt>
                <c:pt idx="66">
                  <c:v>-36.629087386544654</c:v>
                </c:pt>
                <c:pt idx="67">
                  <c:v>-36.407886217513578</c:v>
                </c:pt>
                <c:pt idx="68">
                  <c:v>-36.18297857872497</c:v>
                </c:pt>
                <c:pt idx="69">
                  <c:v>-35.954388882387903</c:v>
                </c:pt>
                <c:pt idx="70">
                  <c:v>-35.722141540711377</c:v>
                </c:pt>
                <c:pt idx="71">
                  <c:v>-35.486260965904449</c:v>
                </c:pt>
                <c:pt idx="72">
                  <c:v>-35.246771570176136</c:v>
                </c:pt>
                <c:pt idx="73">
                  <c:v>-35.003697765735481</c:v>
                </c:pt>
                <c:pt idx="74">
                  <c:v>-34.757063964791513</c:v>
                </c:pt>
                <c:pt idx="75">
                  <c:v>-34.506894579553276</c:v>
                </c:pt>
                <c:pt idx="76">
                  <c:v>-34.253214022229805</c:v>
                </c:pt>
                <c:pt idx="77">
                  <c:v>-33.996046705030118</c:v>
                </c:pt>
                <c:pt idx="78">
                  <c:v>-33.73541704016327</c:v>
                </c:pt>
                <c:pt idx="79">
                  <c:v>-33.471349439838271</c:v>
                </c:pt>
                <c:pt idx="80">
                  <c:v>-33.20386831626417</c:v>
                </c:pt>
                <c:pt idx="81">
                  <c:v>-32.932998081649998</c:v>
                </c:pt>
                <c:pt idx="82">
                  <c:v>-32.658763148204798</c:v>
                </c:pt>
                <c:pt idx="83">
                  <c:v>-32.381187928137592</c:v>
                </c:pt>
                <c:pt idx="84">
                  <c:v>-32.100296833657424</c:v>
                </c:pt>
                <c:pt idx="85">
                  <c:v>-31.816114276973316</c:v>
                </c:pt>
                <c:pt idx="86">
                  <c:v>-31.528664670294312</c:v>
                </c:pt>
                <c:pt idx="87">
                  <c:v>-31.23797242582944</c:v>
                </c:pt>
                <c:pt idx="88">
                  <c:v>-30.944061955787742</c:v>
                </c:pt>
                <c:pt idx="89">
                  <c:v>-30.646957672378246</c:v>
                </c:pt>
                <c:pt idx="90">
                  <c:v>-30.346683987809985</c:v>
                </c:pt>
                <c:pt idx="91">
                  <c:v>-30.043244502374538</c:v>
                </c:pt>
                <c:pt idx="92">
                  <c:v>-29.736559568693615</c:v>
                </c:pt>
                <c:pt idx="93">
                  <c:v>-29.426528727471489</c:v>
                </c:pt>
                <c:pt idx="94">
                  <c:v>-29.113051519412412</c:v>
                </c:pt>
                <c:pt idx="95">
                  <c:v>-28.796027485220641</c:v>
                </c:pt>
                <c:pt idx="96">
                  <c:v>-28.475356165600441</c:v>
                </c:pt>
                <c:pt idx="97">
                  <c:v>-28.150937101256073</c:v>
                </c:pt>
                <c:pt idx="98">
                  <c:v>-27.822669832891791</c:v>
                </c:pt>
                <c:pt idx="99">
                  <c:v>-27.490453901211854</c:v>
                </c:pt>
                <c:pt idx="100">
                  <c:v>-27.15418884692053</c:v>
                </c:pt>
                <c:pt idx="101">
                  <c:v>-26.813774210722066</c:v>
                </c:pt>
                <c:pt idx="102">
                  <c:v>-26.469109533320733</c:v>
                </c:pt>
                <c:pt idx="103">
                  <c:v>-26.120094355420786</c:v>
                </c:pt>
                <c:pt idx="104">
                  <c:v>-25.766628217726485</c:v>
                </c:pt>
                <c:pt idx="105">
                  <c:v>-25.408610660942085</c:v>
                </c:pt>
                <c:pt idx="106">
                  <c:v>-25.045941225771848</c:v>
                </c:pt>
                <c:pt idx="107">
                  <c:v>-24.678519452920035</c:v>
                </c:pt>
                <c:pt idx="108">
                  <c:v>-24.306244883090912</c:v>
                </c:pt>
                <c:pt idx="109">
                  <c:v>-23.929017056988727</c:v>
                </c:pt>
                <c:pt idx="110">
                  <c:v>-23.546735515317746</c:v>
                </c:pt>
                <c:pt idx="111">
                  <c:v>-23.159299798782222</c:v>
                </c:pt>
                <c:pt idx="112">
                  <c:v>-22.766609448086424</c:v>
                </c:pt>
                <c:pt idx="113">
                  <c:v>-22.368564003934608</c:v>
                </c:pt>
                <c:pt idx="114">
                  <c:v>-21.965063007031027</c:v>
                </c:pt>
                <c:pt idx="115">
                  <c:v>-21.55600599807995</c:v>
                </c:pt>
                <c:pt idx="116">
                  <c:v>-21.141292517785629</c:v>
                </c:pt>
                <c:pt idx="117">
                  <c:v>-20.720822106852332</c:v>
                </c:pt>
                <c:pt idx="118">
                  <c:v>-20.294494305984308</c:v>
                </c:pt>
                <c:pt idx="119">
                  <c:v>-19.862208655885823</c:v>
                </c:pt>
                <c:pt idx="120">
                  <c:v>-19.423864697261138</c:v>
                </c:pt>
                <c:pt idx="121">
                  <c:v>-18.979451967086067</c:v>
                </c:pt>
                <c:pt idx="122">
                  <c:v>-18.529319987422671</c:v>
                </c:pt>
                <c:pt idx="123">
                  <c:v>-18.073908276604573</c:v>
                </c:pt>
                <c:pt idx="124">
                  <c:v>-17.613656352965389</c:v>
                </c:pt>
                <c:pt idx="125">
                  <c:v>-17.14900373483874</c:v>
                </c:pt>
                <c:pt idx="126">
                  <c:v>-16.680389940558239</c:v>
                </c:pt>
                <c:pt idx="127">
                  <c:v>-16.208254488457516</c:v>
                </c:pt>
                <c:pt idx="128">
                  <c:v>-15.733036896870189</c:v>
                </c:pt>
                <c:pt idx="129">
                  <c:v>-15.255176684129866</c:v>
                </c:pt>
                <c:pt idx="130">
                  <c:v>-14.775113368570176</c:v>
                </c:pt>
                <c:pt idx="131">
                  <c:v>-14.293286468524734</c:v>
                </c:pt>
                <c:pt idx="132">
                  <c:v>-13.810135502327164</c:v>
                </c:pt>
                <c:pt idx="133">
                  <c:v>-13.326099988311078</c:v>
                </c:pt>
                <c:pt idx="134">
                  <c:v>-12.841619444810103</c:v>
                </c:pt>
                <c:pt idx="135">
                  <c:v>-12.357133390157852</c:v>
                </c:pt>
                <c:pt idx="136">
                  <c:v>-11.873081342687952</c:v>
                </c:pt>
                <c:pt idx="137">
                  <c:v>-11.389902820734012</c:v>
                </c:pt>
                <c:pt idx="138">
                  <c:v>-10.90803734262966</c:v>
                </c:pt>
                <c:pt idx="139">
                  <c:v>-10.427924426708509</c:v>
                </c:pt>
                <c:pt idx="140">
                  <c:v>-9.9500035913041831</c:v>
                </c:pt>
                <c:pt idx="141">
                  <c:v>-9.4747143547503008</c:v>
                </c:pt>
                <c:pt idx="142">
                  <c:v>-9.0024962353804803</c:v>
                </c:pt>
                <c:pt idx="143">
                  <c:v>-8.5337887515283377</c:v>
                </c:pt>
                <c:pt idx="144">
                  <c:v>-8.0690314215274981</c:v>
                </c:pt>
                <c:pt idx="145">
                  <c:v>-7.6086637637115775</c:v>
                </c:pt>
                <c:pt idx="146">
                  <c:v>-7.1531252964141956</c:v>
                </c:pt>
                <c:pt idx="147">
                  <c:v>-6.7028555379689738</c:v>
                </c:pt>
                <c:pt idx="148">
                  <c:v>-6.2582940067095283</c:v>
                </c:pt>
                <c:pt idx="149">
                  <c:v>-5.8198802209694787</c:v>
                </c:pt>
                <c:pt idx="150">
                  <c:v>-5.3880536990824464</c:v>
                </c:pt>
                <c:pt idx="151">
                  <c:v>-4.9632539593820475</c:v>
                </c:pt>
                <c:pt idx="152">
                  <c:v>-4.5459205202019053</c:v>
                </c:pt>
                <c:pt idx="153">
                  <c:v>-4.1364928998756376</c:v>
                </c:pt>
                <c:pt idx="154">
                  <c:v>-3.7354106167368619</c:v>
                </c:pt>
                <c:pt idx="155">
                  <c:v>-3.3431131891191979</c:v>
                </c:pt>
                <c:pt idx="156">
                  <c:v>-2.9600401353562673</c:v>
                </c:pt>
                <c:pt idx="157">
                  <c:v>-2.5866309737816873</c:v>
                </c:pt>
                <c:pt idx="158">
                  <c:v>-2.2233252227290774</c:v>
                </c:pt>
                <c:pt idx="159">
                  <c:v>-1.8705624005320574</c:v>
                </c:pt>
                <c:pt idx="160">
                  <c:v>-1.5287820255242464</c:v>
                </c:pt>
                <c:pt idx="161">
                  <c:v>-1.1984236160392623</c:v>
                </c:pt>
                <c:pt idx="162">
                  <c:v>-0.87992669041072791</c:v>
                </c:pt>
                <c:pt idx="163">
                  <c:v>-0.57373076697225933</c:v>
                </c:pt>
                <c:pt idx="164">
                  <c:v>-0.28027536405747711</c:v>
                </c:pt>
                <c:pt idx="165">
                  <c:v>0</c:v>
                </c:pt>
                <c:pt idx="166">
                  <c:v>0.26679391495639793</c:v>
                </c:pt>
                <c:pt idx="167">
                  <c:v>0.52035740292732657</c:v>
                </c:pt>
                <c:pt idx="168">
                  <c:v>0.76107959411824022</c:v>
                </c:pt>
                <c:pt idx="169">
                  <c:v>0.98934961873459437</c:v>
                </c:pt>
                <c:pt idx="170">
                  <c:v>1.2055566069818435</c:v>
                </c:pt>
                <c:pt idx="171">
                  <c:v>1.4100896890654433</c:v>
                </c:pt>
                <c:pt idx="172">
                  <c:v>1.6033379951908477</c:v>
                </c:pt>
                <c:pt idx="173">
                  <c:v>1.785690655563513</c:v>
                </c:pt>
                <c:pt idx="174">
                  <c:v>1.9575368003888935</c:v>
                </c:pt>
                <c:pt idx="175">
                  <c:v>2.1192655598724439</c:v>
                </c:pt>
                <c:pt idx="176">
                  <c:v>2.2712660642196201</c:v>
                </c:pt>
                <c:pt idx="177">
                  <c:v>2.4139274436358762</c:v>
                </c:pt>
                <c:pt idx="178">
                  <c:v>2.5476388283266678</c:v>
                </c:pt>
                <c:pt idx="179">
                  <c:v>2.6727893484974494</c:v>
                </c:pt>
                <c:pt idx="180">
                  <c:v>2.7897681343536758</c:v>
                </c:pt>
                <c:pt idx="181">
                  <c:v>2.8989643161008027</c:v>
                </c:pt>
                <c:pt idx="182">
                  <c:v>3.000767023944285</c:v>
                </c:pt>
                <c:pt idx="183">
                  <c:v>3.095565388089577</c:v>
                </c:pt>
                <c:pt idx="184">
                  <c:v>3.1837485387421345</c:v>
                </c:pt>
                <c:pt idx="185">
                  <c:v>3.2657056061074119</c:v>
                </c:pt>
                <c:pt idx="186">
                  <c:v>3.3418257203908648</c:v>
                </c:pt>
                <c:pt idx="187">
                  <c:v>3.4124980117979478</c:v>
                </c:pt>
                <c:pt idx="188">
                  <c:v>3.4781116105341159</c:v>
                </c:pt>
                <c:pt idx="189">
                  <c:v>3.5390556468048242</c:v>
                </c:pt>
                <c:pt idx="190">
                  <c:v>3.5957192508155269</c:v>
                </c:pt>
                <c:pt idx="191">
                  <c:v>3.6484915527716804</c:v>
                </c:pt>
                <c:pt idx="192">
                  <c:v>3.6977616828787392</c:v>
                </c:pt>
                <c:pt idx="193">
                  <c:v>3.7439187713421576</c:v>
                </c:pt>
                <c:pt idx="194">
                  <c:v>3.787351948367391</c:v>
                </c:pt>
                <c:pt idx="195">
                  <c:v>3.8284503441598945</c:v>
                </c:pt>
                <c:pt idx="196">
                  <c:v>3.8676030889251232</c:v>
                </c:pt>
                <c:pt idx="197">
                  <c:v>3.9051993128685321</c:v>
                </c:pt>
                <c:pt idx="198">
                  <c:v>3.9416281461955758</c:v>
                </c:pt>
                <c:pt idx="199">
                  <c:v>3.9772787191117094</c:v>
                </c:pt>
                <c:pt idx="200">
                  <c:v>4.0125401618223879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-44.146123426846039</c:v>
                </c:pt>
                <c:pt idx="1">
                  <c:v>-41.134350911465361</c:v>
                </c:pt>
                <c:pt idx="2">
                  <c:v>-36.84655767360919</c:v>
                </c:pt>
                <c:pt idx="3">
                  <c:v>-30.346683987809985</c:v>
                </c:pt>
                <c:pt idx="4">
                  <c:v>-19.423864697261138</c:v>
                </c:pt>
                <c:pt idx="5">
                  <c:v>0</c:v>
                </c:pt>
                <c:pt idx="6">
                  <c:v>4.0125401618223879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-44.275224612161139</c:v>
                </c:pt>
                <c:pt idx="1">
                  <c:v>-44.170910371469063</c:v>
                </c:pt>
                <c:pt idx="2">
                  <c:v>-44.075180052629776</c:v>
                </c:pt>
                <c:pt idx="3">
                  <c:v>-43.987096439519235</c:v>
                </c:pt>
                <c:pt idx="4">
                  <c:v>-43.905771643895264</c:v>
                </c:pt>
                <c:pt idx="5">
                  <c:v>-43.830365626960287</c:v>
                </c:pt>
                <c:pt idx="6">
                  <c:v>-43.760084729105557</c:v>
                </c:pt>
                <c:pt idx="7">
                  <c:v>-43.694180208736469</c:v>
                </c:pt>
                <c:pt idx="8">
                  <c:v>-43.631946791069652</c:v>
                </c:pt>
                <c:pt idx="9">
                  <c:v>-43.572721227739265</c:v>
                </c:pt>
                <c:pt idx="10">
                  <c:v>-43.515880868064471</c:v>
                </c:pt>
                <c:pt idx="11">
                  <c:v>-43.460842242786214</c:v>
                </c:pt>
                <c:pt idx="12">
                  <c:v>-43.407059661069042</c:v>
                </c:pt>
                <c:pt idx="13">
                  <c:v>-43.354023821549248</c:v>
                </c:pt>
                <c:pt idx="14">
                  <c:v>-43.301260438169948</c:v>
                </c:pt>
                <c:pt idx="15">
                  <c:v>-43.248328881551913</c:v>
                </c:pt>
                <c:pt idx="16">
                  <c:v>-43.194820836600087</c:v>
                </c:pt>
                <c:pt idx="17">
                  <c:v>-43.140358977048507</c:v>
                </c:pt>
                <c:pt idx="18">
                  <c:v>-43.084595657604524</c:v>
                </c:pt>
                <c:pt idx="19">
                  <c:v>-43.027211624351978</c:v>
                </c:pt>
                <c:pt idx="20">
                  <c:v>-42.967914744040911</c:v>
                </c:pt>
                <c:pt idx="21">
                  <c:v>-42.906438752869704</c:v>
                </c:pt>
                <c:pt idx="22">
                  <c:v>-42.842542025355684</c:v>
                </c:pt>
                <c:pt idx="23">
                  <c:v>-42.776006363855871</c:v>
                </c:pt>
                <c:pt idx="24">
                  <c:v>-42.706635809290773</c:v>
                </c:pt>
                <c:pt idx="25">
                  <c:v>-42.634255473596212</c:v>
                </c:pt>
                <c:pt idx="26">
                  <c:v>-42.558710394408891</c:v>
                </c:pt>
                <c:pt idx="27">
                  <c:v>-42.479864412474782</c:v>
                </c:pt>
                <c:pt idx="28">
                  <c:v>-42.397599072242393</c:v>
                </c:pt>
                <c:pt idx="29">
                  <c:v>-42.311812546087836</c:v>
                </c:pt>
                <c:pt idx="30">
                  <c:v>-42.222418582596141</c:v>
                </c:pt>
                <c:pt idx="31">
                  <c:v>-42.129345479300127</c:v>
                </c:pt>
                <c:pt idx="32">
                  <c:v>-42.032535080262285</c:v>
                </c:pt>
                <c:pt idx="33">
                  <c:v>-41.931941798860535</c:v>
                </c:pt>
                <c:pt idx="34">
                  <c:v>-41.827531666120095</c:v>
                </c:pt>
                <c:pt idx="35">
                  <c:v>-41.719281404912856</c:v>
                </c:pt>
                <c:pt idx="36">
                  <c:v>-41.607177530324904</c:v>
                </c:pt>
                <c:pt idx="37">
                  <c:v>-41.491215476470806</c:v>
                </c:pt>
                <c:pt idx="38">
                  <c:v>-41.371398750015167</c:v>
                </c:pt>
                <c:pt idx="39">
                  <c:v>-41.247738110640697</c:v>
                </c:pt>
                <c:pt idx="40">
                  <c:v>-41.120250778679136</c:v>
                </c:pt>
                <c:pt idx="41">
                  <c:v>-40.988959670104236</c:v>
                </c:pt>
                <c:pt idx="42">
                  <c:v>-40.853892659061543</c:v>
                </c:pt>
                <c:pt idx="43">
                  <c:v>-40.715081868094792</c:v>
                </c:pt>
                <c:pt idx="44">
                  <c:v>-40.572562986200523</c:v>
                </c:pt>
                <c:pt idx="45">
                  <c:v>-40.426374614828177</c:v>
                </c:pt>
                <c:pt idx="46">
                  <c:v>-40.276557641920107</c:v>
                </c:pt>
                <c:pt idx="47">
                  <c:v>-40.123154644064982</c:v>
                </c:pt>
                <c:pt idx="48">
                  <c:v>-39.9662093168171</c:v>
                </c:pt>
                <c:pt idx="49">
                  <c:v>-39.805765933215355</c:v>
                </c:pt>
                <c:pt idx="50">
                  <c:v>-39.641868830513161</c:v>
                </c:pt>
                <c:pt idx="51">
                  <c:v>-39.474561925110685</c:v>
                </c:pt>
                <c:pt idx="52">
                  <c:v>-39.303888255660901</c:v>
                </c:pt>
                <c:pt idx="53">
                  <c:v>-39.12988955429816</c:v>
                </c:pt>
                <c:pt idx="54">
                  <c:v>-38.952605845920374</c:v>
                </c:pt>
                <c:pt idx="55">
                  <c:v>-38.772075075432888</c:v>
                </c:pt>
                <c:pt idx="56">
                  <c:v>-38.588332762842157</c:v>
                </c:pt>
                <c:pt idx="57">
                  <c:v>-38.401411686068052</c:v>
                </c:pt>
                <c:pt idx="58">
                  <c:v>-38.21134159132037</c:v>
                </c:pt>
                <c:pt idx="59">
                  <c:v>-38.018148930867305</c:v>
                </c:pt>
                <c:pt idx="60">
                  <c:v>-37.821856628000909</c:v>
                </c:pt>
                <c:pt idx="61">
                  <c:v>-37.622483868985569</c:v>
                </c:pt>
                <c:pt idx="62">
                  <c:v>-37.420045921753307</c:v>
                </c:pt>
                <c:pt idx="63">
                  <c:v>-37.214553981090646</c:v>
                </c:pt>
                <c:pt idx="64">
                  <c:v>-37.006015040039955</c:v>
                </c:pt>
                <c:pt idx="65">
                  <c:v>-36.794431787218805</c:v>
                </c:pt>
                <c:pt idx="66">
                  <c:v>-36.579802529738508</c:v>
                </c:pt>
                <c:pt idx="67">
                  <c:v>-36.362121141384151</c:v>
                </c:pt>
                <c:pt idx="68">
                  <c:v>-36.141377035697424</c:v>
                </c:pt>
                <c:pt idx="69">
                  <c:v>-35.917555163581667</c:v>
                </c:pt>
                <c:pt idx="70">
                  <c:v>-35.690636035029343</c:v>
                </c:pt>
                <c:pt idx="71">
                  <c:v>-35.460595764551798</c:v>
                </c:pt>
                <c:pt idx="72">
                  <c:v>-35.227406139868265</c:v>
                </c:pt>
                <c:pt idx="73">
                  <c:v>-34.991034713393915</c:v>
                </c:pt>
                <c:pt idx="74">
                  <c:v>-34.751444916042573</c:v>
                </c:pt>
                <c:pt idx="75">
                  <c:v>-34.508596192842184</c:v>
                </c:pt>
                <c:pt idx="76">
                  <c:v>-34.262444159838147</c:v>
                </c:pt>
                <c:pt idx="77">
                  <c:v>-34.012940781740518</c:v>
                </c:pt>
                <c:pt idx="78">
                  <c:v>-33.760034569749941</c:v>
                </c:pt>
                <c:pt idx="79">
                  <c:v>-33.503670798976223</c:v>
                </c:pt>
                <c:pt idx="80">
                  <c:v>-33.243791744843804</c:v>
                </c:pt>
                <c:pt idx="81">
                  <c:v>-32.980336937856471</c:v>
                </c:pt>
                <c:pt idx="82">
                  <c:v>-32.713243436074386</c:v>
                </c:pt>
                <c:pt idx="83">
                  <c:v>-32.442446114634812</c:v>
                </c:pt>
                <c:pt idx="84">
                  <c:v>-32.16787797162803</c:v>
                </c:pt>
                <c:pt idx="85">
                  <c:v>-31.889470449618816</c:v>
                </c:pt>
                <c:pt idx="86">
                  <c:v>-31.607153772083809</c:v>
                </c:pt>
                <c:pt idx="87">
                  <c:v>-31.320857294013603</c:v>
                </c:pt>
                <c:pt idx="88">
                  <c:v>-31.030509865909004</c:v>
                </c:pt>
                <c:pt idx="89">
                  <c:v>-30.736040210379137</c:v>
                </c:pt>
                <c:pt idx="90">
                  <c:v>-30.437377310529101</c:v>
                </c:pt>
                <c:pt idx="91">
                  <c:v>-30.134450809304127</c:v>
                </c:pt>
                <c:pt idx="92">
                  <c:v>-29.827191418936508</c:v>
                </c:pt>
                <c:pt idx="93">
                  <c:v>-29.515531339621173</c:v>
                </c:pt>
                <c:pt idx="94">
                  <c:v>-29.199404686524765</c:v>
                </c:pt>
                <c:pt idx="95">
                  <c:v>-28.878747924213009</c:v>
                </c:pt>
                <c:pt idx="96">
                  <c:v>-28.553500307559975</c:v>
                </c:pt>
                <c:pt idx="97">
                  <c:v>-28.22360432818266</c:v>
                </c:pt>
                <c:pt idx="98">
                  <c:v>-27.889006165423641</c:v>
                </c:pt>
                <c:pt idx="99">
                  <c:v>-27.549656140883673</c:v>
                </c:pt>
                <c:pt idx="100">
                  <c:v>-27.205509175485677</c:v>
                </c:pt>
                <c:pt idx="101">
                  <c:v>-26.856525248031218</c:v>
                </c:pt>
                <c:pt idx="102">
                  <c:v>-26.502669854189268</c:v>
                </c:pt>
                <c:pt idx="103">
                  <c:v>-26.14391446483728</c:v>
                </c:pt>
                <c:pt idx="104">
                  <c:v>-25.780236982653328</c:v>
                </c:pt>
                <c:pt idx="105">
                  <c:v>-25.411622195837744</c:v>
                </c:pt>
                <c:pt idx="106">
                  <c:v>-25.038062227822032</c:v>
                </c:pt>
                <c:pt idx="107">
                  <c:v>-24.659556981802385</c:v>
                </c:pt>
                <c:pt idx="108">
                  <c:v>-24.276114578913987</c:v>
                </c:pt>
                <c:pt idx="109">
                  <c:v>-23.887751788842543</c:v>
                </c:pt>
                <c:pt idx="110">
                  <c:v>-23.494494451647885</c:v>
                </c:pt>
                <c:pt idx="111">
                  <c:v>-23.096377889554759</c:v>
                </c:pt>
                <c:pt idx="112">
                  <c:v>-22.693447307444711</c:v>
                </c:pt>
                <c:pt idx="113">
                  <c:v>-22.285758180762546</c:v>
                </c:pt>
                <c:pt idx="114">
                  <c:v>-21.873376629530465</c:v>
                </c:pt>
                <c:pt idx="115">
                  <c:v>-21.456379777141887</c:v>
                </c:pt>
                <c:pt idx="116">
                  <c:v>-21.0348560925868</c:v>
                </c:pt>
                <c:pt idx="117">
                  <c:v>-20.608905714739748</c:v>
                </c:pt>
                <c:pt idx="118">
                  <c:v>-20.178640757320668</c:v>
                </c:pt>
                <c:pt idx="119">
                  <c:v>-19.744185593118701</c:v>
                </c:pt>
                <c:pt idx="120">
                  <c:v>-19.30567711604796</c:v>
                </c:pt>
                <c:pt idx="121">
                  <c:v>-18.863264979584077</c:v>
                </c:pt>
                <c:pt idx="122">
                  <c:v>-18.417111810109322</c:v>
                </c:pt>
                <c:pt idx="123">
                  <c:v>-17.967393393673976</c:v>
                </c:pt>
                <c:pt idx="124">
                  <c:v>-17.514298834660366</c:v>
                </c:pt>
                <c:pt idx="125">
                  <c:v>-17.058030684816117</c:v>
                </c:pt>
                <c:pt idx="126">
                  <c:v>-16.598805041101905</c:v>
                </c:pt>
                <c:pt idx="127">
                  <c:v>-16.136851610778823</c:v>
                </c:pt>
                <c:pt idx="128">
                  <c:v>-15.672413742139621</c:v>
                </c:pt>
                <c:pt idx="129">
                  <c:v>-15.205748419267564</c:v>
                </c:pt>
                <c:pt idx="130">
                  <c:v>-14.737126219186088</c:v>
                </c:pt>
                <c:pt idx="131">
                  <c:v>-14.266831229741673</c:v>
                </c:pt>
                <c:pt idx="132">
                  <c:v>-13.795160926541872</c:v>
                </c:pt>
                <c:pt idx="133">
                  <c:v>-13.322426007249829</c:v>
                </c:pt>
                <c:pt idx="134">
                  <c:v>-12.848950181515869</c:v>
                </c:pt>
                <c:pt idx="135">
                  <c:v>-12.375069914806319</c:v>
                </c:pt>
                <c:pt idx="136">
                  <c:v>-11.901134124368928</c:v>
                </c:pt>
                <c:pt idx="137">
                  <c:v>-11.427503825553833</c:v>
                </c:pt>
                <c:pt idx="138">
                  <c:v>-10.954551726688196</c:v>
                </c:pt>
                <c:pt idx="139">
                  <c:v>-10.482661770682224</c:v>
                </c:pt>
                <c:pt idx="140">
                  <c:v>-10.012228621523517</c:v>
                </c:pt>
                <c:pt idx="141">
                  <c:v>-9.543657093796206</c:v>
                </c:pt>
                <c:pt idx="142">
                  <c:v>-9.0773615233406151</c:v>
                </c:pt>
                <c:pt idx="143">
                  <c:v>-8.6137650771486687</c:v>
                </c:pt>
                <c:pt idx="144">
                  <c:v>-8.1532990005696089</c:v>
                </c:pt>
                <c:pt idx="145">
                  <c:v>-7.6964017998799354</c:v>
                </c:pt>
                <c:pt idx="146">
                  <c:v>-7.2435183582510012</c:v>
                </c:pt>
                <c:pt idx="147">
                  <c:v>-6.7950989831269082</c:v>
                </c:pt>
                <c:pt idx="148">
                  <c:v>-6.3515983830048874</c:v>
                </c:pt>
                <c:pt idx="149">
                  <c:v>-5.9134745715896813</c:v>
                </c:pt>
                <c:pt idx="150">
                  <c:v>-5.4811876972727882</c:v>
                </c:pt>
                <c:pt idx="151">
                  <c:v>-5.0551987958669002</c:v>
                </c:pt>
                <c:pt idx="152">
                  <c:v>-4.635968464505221</c:v>
                </c:pt>
                <c:pt idx="153">
                  <c:v>-4.2239554545946936</c:v>
                </c:pt>
                <c:pt idx="154">
                  <c:v>-3.8196151816916579</c:v>
                </c:pt>
                <c:pt idx="155">
                  <c:v>-3.4233981501477388</c:v>
                </c:pt>
                <c:pt idx="156">
                  <c:v>-3.0357482903532365</c:v>
                </c:pt>
                <c:pt idx="157">
                  <c:v>-2.6571012063846253</c:v>
                </c:pt>
                <c:pt idx="158">
                  <c:v>-2.2878823318422077</c:v>
                </c:pt>
                <c:pt idx="159">
                  <c:v>-1.9285049916432973</c:v>
                </c:pt>
                <c:pt idx="160">
                  <c:v>-1.5793683675157553</c:v>
                </c:pt>
                <c:pt idx="161">
                  <c:v>-1.2408553649160541</c:v>
                </c:pt>
                <c:pt idx="162">
                  <c:v>-0.9133303790754439</c:v>
                </c:pt>
                <c:pt idx="163">
                  <c:v>-0.5971369578571889</c:v>
                </c:pt>
                <c:pt idx="164">
                  <c:v>-0.29259535908722839</c:v>
                </c:pt>
                <c:pt idx="165">
                  <c:v>0</c:v>
                </c:pt>
                <c:pt idx="166">
                  <c:v>0.28038320357943408</c:v>
                </c:pt>
                <c:pt idx="167">
                  <c:v>0.54831961071644486</c:v>
                </c:pt>
                <c:pt idx="168">
                  <c:v>0.80360874393116188</c:v>
                </c:pt>
                <c:pt idx="169">
                  <c:v>1.0460872952867675</c:v>
                </c:pt>
                <c:pt idx="170">
                  <c:v>1.2756322524630757</c:v>
                </c:pt>
                <c:pt idx="171">
                  <c:v>1.4921641472973051</c:v>
                </c:pt>
                <c:pt idx="172">
                  <c:v>1.6956504292945942</c:v>
                </c:pt>
                <c:pt idx="173">
                  <c:v>1.8861089666313897</c:v>
                </c:pt>
                <c:pt idx="174">
                  <c:v>2.0636116771954676</c:v>
                </c:pt>
                <c:pt idx="175">
                  <c:v>2.2282882922269454</c:v>
                </c:pt>
                <c:pt idx="176">
                  <c:v>2.3803302551452781</c:v>
                </c:pt>
                <c:pt idx="177">
                  <c:v>2.5199947581677944</c:v>
                </c:pt>
                <c:pt idx="178">
                  <c:v>2.6476089193460024</c:v>
                </c:pt>
                <c:pt idx="179">
                  <c:v>2.7635741026664538</c:v>
                </c:pt>
                <c:pt idx="180">
                  <c:v>2.8683703838835806</c:v>
                </c:pt>
                <c:pt idx="181">
                  <c:v>2.9625611647725525</c:v>
                </c:pt>
                <c:pt idx="182">
                  <c:v>3.0467979385107808</c:v>
                </c:pt>
                <c:pt idx="183">
                  <c:v>3.121825208917322</c:v>
                </c:pt>
                <c:pt idx="184">
                  <c:v>3.1884855663000442</c:v>
                </c:pt>
                <c:pt idx="185">
                  <c:v>3.2477249226810332</c:v>
                </c:pt>
                <c:pt idx="186">
                  <c:v>3.3005979091913091</c:v>
                </c:pt>
                <c:pt idx="187">
                  <c:v>3.3482734384465602</c:v>
                </c:pt>
                <c:pt idx="188">
                  <c:v>3.3920404347361943</c:v>
                </c:pt>
                <c:pt idx="189">
                  <c:v>3.4333137348786189</c:v>
                </c:pt>
                <c:pt idx="190">
                  <c:v>3.4736401626162845</c:v>
                </c:pt>
                <c:pt idx="191">
                  <c:v>3.5147047794446169</c:v>
                </c:pt>
                <c:pt idx="192">
                  <c:v>3.5583373147895978</c:v>
                </c:pt>
                <c:pt idx="193">
                  <c:v>3.6065187784693471</c:v>
                </c:pt>
                <c:pt idx="194">
                  <c:v>3.6613882583956783</c:v>
                </c:pt>
                <c:pt idx="195">
                  <c:v>3.7252499064921931</c:v>
                </c:pt>
                <c:pt idx="196">
                  <c:v>3.8005801158261376</c:v>
                </c:pt>
                <c:pt idx="197">
                  <c:v>3.8900348919717898</c:v>
                </c:pt>
                <c:pt idx="198">
                  <c:v>3.9964574216438011</c:v>
                </c:pt>
                <c:pt idx="199">
                  <c:v>4.1228858416595244</c:v>
                </c:pt>
                <c:pt idx="200">
                  <c:v>4.2725612113099585</c:v>
                </c:pt>
              </c:numCache>
            </c:numRef>
          </c:yVal>
          <c:smooth val="1"/>
        </c:ser>
        <c:dLbls>
          <c:showLegendKey val="0"/>
          <c:showVal val="0"/>
          <c:showCatName val="0"/>
          <c:showSerName val="0"/>
          <c:showPercent val="0"/>
          <c:showBubbleSize val="0"/>
        </c:dLbls>
        <c:axId val="548250864"/>
        <c:axId val="548253608"/>
      </c:scatterChart>
      <c:valAx>
        <c:axId val="54825086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253608"/>
        <c:crossesAt val="-1000"/>
        <c:crossBetween val="midCat"/>
      </c:valAx>
      <c:valAx>
        <c:axId val="548253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4825086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2.5270250571428573E-5</v>
      </c>
    </row>
    <row r="26" spans="1:2" s="11" customFormat="1" x14ac:dyDescent="0.25">
      <c r="A26" s="61" t="s">
        <v>148</v>
      </c>
      <c r="B26" s="53">
        <f>CTE!O6</f>
        <v>2.7904964857142861E-5</v>
      </c>
    </row>
    <row r="27" spans="1:2" s="11" customFormat="1" x14ac:dyDescent="0.25">
      <c r="A27" s="61" t="s">
        <v>149</v>
      </c>
      <c r="B27" s="53">
        <f>CTE!O8</f>
        <v>7.0197717142857148E-5</v>
      </c>
    </row>
    <row r="28" spans="1:2" s="11" customFormat="1" x14ac:dyDescent="0.25">
      <c r="A28" s="61" t="s">
        <v>150</v>
      </c>
      <c r="B28" s="53">
        <f>CTE!O9</f>
        <v>6.9821937142857152E-5</v>
      </c>
    </row>
    <row r="29" spans="1:2" s="11" customFormat="1" x14ac:dyDescent="0.25">
      <c r="A29" s="61"/>
    </row>
    <row r="30" spans="1:2" s="11" customFormat="1" x14ac:dyDescent="0.25">
      <c r="A30" s="61" t="s">
        <v>151</v>
      </c>
      <c r="B30" s="52">
        <f>CTE!P5</f>
        <v>2.2752914736842108E-5</v>
      </c>
    </row>
    <row r="31" spans="1:2" s="11" customFormat="1" x14ac:dyDescent="0.25">
      <c r="A31" s="61" t="s">
        <v>152</v>
      </c>
      <c r="B31" s="52">
        <f>CTE!P6</f>
        <v>2.4298146315789474E-5</v>
      </c>
    </row>
    <row r="32" spans="1:2" s="11" customFormat="1" x14ac:dyDescent="0.25">
      <c r="A32" s="61" t="s">
        <v>153</v>
      </c>
      <c r="B32" s="52">
        <f>CTE!P8</f>
        <v>4.5848989473684213E-5</v>
      </c>
    </row>
    <row r="33" spans="1:2" s="11" customFormat="1" x14ac:dyDescent="0.25">
      <c r="A33" s="61" t="s">
        <v>154</v>
      </c>
      <c r="B33" s="52">
        <f>CTE!P9</f>
        <v>4.720299789473684E-5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0.28653108874670191</v>
      </c>
      <c r="D59" s="55">
        <v>1</v>
      </c>
    </row>
    <row r="60" spans="1:4" s="11" customFormat="1" x14ac:dyDescent="0.25">
      <c r="A60" s="54">
        <v>2</v>
      </c>
      <c r="B60" s="56">
        <f>'Shiftfunktion bestimmen'!N2</f>
        <v>-6.1073802349987209E-3</v>
      </c>
      <c r="D60" s="55">
        <v>2</v>
      </c>
    </row>
    <row r="61" spans="1:4" s="11" customFormat="1" x14ac:dyDescent="0.25">
      <c r="A61" s="54">
        <v>3</v>
      </c>
      <c r="B61" s="56">
        <f>'Shiftfunktion bestimmen'!N3</f>
        <v>-4.1830998957542152E-5</v>
      </c>
      <c r="D61" s="55">
        <v>3</v>
      </c>
    </row>
    <row r="62" spans="1:4" s="11" customFormat="1" x14ac:dyDescent="0.25">
      <c r="A62" s="54">
        <v>4</v>
      </c>
      <c r="B62" s="56">
        <f>'Shiftfunktion bestimmen'!N4</f>
        <v>1.3023212703738277E-6</v>
      </c>
      <c r="D62" s="55">
        <v>4</v>
      </c>
    </row>
    <row r="63" spans="1:4" s="11" customFormat="1" x14ac:dyDescent="0.25">
      <c r="A63" s="54">
        <v>5</v>
      </c>
      <c r="B63" s="56">
        <f>'Shiftfunktion bestimmen'!N5</f>
        <v>2.3585104662500178E-8</v>
      </c>
      <c r="D63" s="55">
        <v>5</v>
      </c>
    </row>
    <row r="64" spans="1:4" s="11" customFormat="1" x14ac:dyDescent="0.25">
      <c r="A64" s="54">
        <v>6</v>
      </c>
      <c r="B64" s="56">
        <f>'Shiftfunktion bestimmen'!N6</f>
        <v>1.5983071775219865E-10</v>
      </c>
      <c r="D64" s="55">
        <v>6</v>
      </c>
    </row>
    <row r="65" spans="1:5" s="11" customFormat="1" x14ac:dyDescent="0.25">
      <c r="A65" s="54">
        <v>7</v>
      </c>
      <c r="B65" s="56">
        <f>'Shiftfunktion bestimmen'!N7</f>
        <v>4.8222116154925979E-13</v>
      </c>
      <c r="D65" s="55">
        <v>7</v>
      </c>
    </row>
    <row r="66" spans="1:5" x14ac:dyDescent="0.25">
      <c r="A66" s="54">
        <v>8</v>
      </c>
      <c r="B66" s="56">
        <f>'Shiftfunktion bestimmen'!N8</f>
        <v>5.1117984702427456E-16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0.11019752157474517</v>
      </c>
      <c r="D74" s="51">
        <v>1</v>
      </c>
      <c r="E74" s="56">
        <f>'Mastercurve bestimmen'!A18</f>
        <v>1.0000000000000001E-20</v>
      </c>
    </row>
    <row r="75" spans="1:5" x14ac:dyDescent="0.25">
      <c r="A75" s="50">
        <f>A74+1</f>
        <v>2</v>
      </c>
      <c r="B75" s="56">
        <f>'Mastercurve bestimmen'!C19</f>
        <v>6.7386263954763354E-2</v>
      </c>
      <c r="D75" s="51">
        <v>2</v>
      </c>
      <c r="E75" s="56">
        <f>'Mastercurve bestimmen'!A19</f>
        <v>3.9038946506297401E-14</v>
      </c>
    </row>
    <row r="76" spans="1:5" x14ac:dyDescent="0.25">
      <c r="A76" s="50">
        <f t="shared" ref="A76:A104" si="0">A75+1</f>
        <v>3</v>
      </c>
      <c r="B76" s="56">
        <f>'Mastercurve bestimmen'!C20</f>
        <v>3.4082747841508325E-2</v>
      </c>
      <c r="D76" s="51">
        <v>3</v>
      </c>
      <c r="E76" s="56">
        <f>'Mastercurve bestimmen'!A20</f>
        <v>4.3276437088188502E-13</v>
      </c>
    </row>
    <row r="77" spans="1:5" x14ac:dyDescent="0.25">
      <c r="A77" s="50">
        <f t="shared" si="0"/>
        <v>4</v>
      </c>
      <c r="B77" s="56">
        <f>'Mastercurve bestimmen'!C21</f>
        <v>4.6674257676140619E-2</v>
      </c>
      <c r="D77" s="51">
        <v>4</v>
      </c>
      <c r="E77" s="56">
        <f>'Mastercurve bestimmen'!A21</f>
        <v>4.7973886968128502E-12</v>
      </c>
    </row>
    <row r="78" spans="1:5" x14ac:dyDescent="0.25">
      <c r="A78" s="50">
        <f t="shared" si="0"/>
        <v>5</v>
      </c>
      <c r="B78" s="56">
        <f>'Mastercurve bestimmen'!C22</f>
        <v>4.4764266498867597E-2</v>
      </c>
      <c r="D78" s="51">
        <v>5</v>
      </c>
      <c r="E78" s="56">
        <f>'Mastercurve bestimmen'!A22</f>
        <v>5.31812225239524E-11</v>
      </c>
    </row>
    <row r="79" spans="1:5" x14ac:dyDescent="0.25">
      <c r="A79" s="50">
        <f t="shared" si="0"/>
        <v>6</v>
      </c>
      <c r="B79" s="56">
        <f>'Mastercurve bestimmen'!C23</f>
        <v>4.8577269491505953E-2</v>
      </c>
      <c r="D79" s="51">
        <v>6</v>
      </c>
      <c r="E79" s="56">
        <f>'Mastercurve bestimmen'!A23</f>
        <v>5.8953789402578301E-10</v>
      </c>
    </row>
    <row r="80" spans="1:5" x14ac:dyDescent="0.25">
      <c r="A80" s="50">
        <f t="shared" si="0"/>
        <v>7</v>
      </c>
      <c r="B80" s="56">
        <f>'Mastercurve bestimmen'!C24</f>
        <v>5.5549505588396574E-2</v>
      </c>
      <c r="D80" s="51">
        <v>7</v>
      </c>
      <c r="E80" s="56">
        <f>'Mastercurve bestimmen'!A24</f>
        <v>6.5352940755699598E-9</v>
      </c>
    </row>
    <row r="81" spans="1:5" x14ac:dyDescent="0.25">
      <c r="A81" s="50">
        <f t="shared" si="0"/>
        <v>8</v>
      </c>
      <c r="B81" s="56">
        <f>'Mastercurve bestimmen'!C25</f>
        <v>7.866276737132312E-2</v>
      </c>
      <c r="D81" s="51">
        <v>8</v>
      </c>
      <c r="E81" s="56">
        <f>'Mastercurve bestimmen'!A25</f>
        <v>7.2446689325643296E-8</v>
      </c>
    </row>
    <row r="82" spans="1:5" x14ac:dyDescent="0.25">
      <c r="A82" s="50">
        <f t="shared" si="0"/>
        <v>9</v>
      </c>
      <c r="B82" s="56">
        <f>'Mastercurve bestimmen'!C26</f>
        <v>9.4543741847587029E-2</v>
      </c>
      <c r="D82" s="51">
        <f>A82</f>
        <v>9</v>
      </c>
      <c r="E82" s="56">
        <f>'Mastercurve bestimmen'!A26</f>
        <v>8.03104303120212E-7</v>
      </c>
    </row>
    <row r="83" spans="1:5" x14ac:dyDescent="0.25">
      <c r="A83" s="50">
        <f t="shared" si="0"/>
        <v>10</v>
      </c>
      <c r="B83" s="56">
        <f>'Mastercurve bestimmen'!C27</f>
        <v>0.11359632384203742</v>
      </c>
      <c r="C83" s="11"/>
      <c r="D83" s="51">
        <f t="shared" ref="D83:D104" si="1">A83</f>
        <v>10</v>
      </c>
      <c r="E83" s="56">
        <f>'Mastercurve bestimmen'!A27</f>
        <v>8.9027742702096099E-6</v>
      </c>
    </row>
    <row r="84" spans="1:5" x14ac:dyDescent="0.25">
      <c r="A84" s="50">
        <f t="shared" si="0"/>
        <v>11</v>
      </c>
      <c r="B84" s="56">
        <f>'Mastercurve bestimmen'!C28</f>
        <v>0.12987660327805553</v>
      </c>
      <c r="C84" s="11"/>
      <c r="D84" s="51">
        <f t="shared" si="1"/>
        <v>11</v>
      </c>
      <c r="E84" s="56">
        <f>'Mastercurve bestimmen'!A28</f>
        <v>9.86912775817142E-5</v>
      </c>
    </row>
    <row r="85" spans="1:5" x14ac:dyDescent="0.25">
      <c r="A85" s="50">
        <f t="shared" si="0"/>
        <v>12</v>
      </c>
      <c r="B85" s="56">
        <f>'Mastercurve bestimmen'!C29</f>
        <v>7.5604381501705717E-2</v>
      </c>
      <c r="C85" s="11"/>
      <c r="D85" s="51">
        <f t="shared" si="1"/>
        <v>12</v>
      </c>
      <c r="E85" s="56">
        <f>'Mastercurve bestimmen'!A29</f>
        <v>1.0940374286813801E-3</v>
      </c>
    </row>
    <row r="86" spans="1:5" x14ac:dyDescent="0.25">
      <c r="A86" s="50">
        <f t="shared" si="0"/>
        <v>13</v>
      </c>
      <c r="B86" s="56">
        <f>'Mastercurve bestimmen'!C30</f>
        <v>4.9796050081425132E-2</v>
      </c>
      <c r="C86" s="11"/>
      <c r="D86" s="51">
        <f t="shared" si="1"/>
        <v>13</v>
      </c>
      <c r="E86" s="56">
        <f>'Mastercurve bestimmen'!A30</f>
        <v>1.2127899493091E-2</v>
      </c>
    </row>
    <row r="87" spans="1:5" x14ac:dyDescent="0.25">
      <c r="A87" s="50">
        <f t="shared" si="0"/>
        <v>14</v>
      </c>
      <c r="B87" s="56">
        <f>'Mastercurve bestimmen'!C31</f>
        <v>2.0966447401353387E-2</v>
      </c>
      <c r="C87" s="11"/>
      <c r="D87" s="51">
        <f t="shared" si="1"/>
        <v>14</v>
      </c>
      <c r="E87" s="56">
        <f>'Mastercurve bestimmen'!A31</f>
        <v>0.13444324870292301</v>
      </c>
    </row>
    <row r="88" spans="1:5" x14ac:dyDescent="0.25">
      <c r="A88" s="50">
        <f t="shared" si="0"/>
        <v>15</v>
      </c>
      <c r="B88" s="56">
        <f>'Mastercurve bestimmen'!C32</f>
        <v>3.9443248072899657E-3</v>
      </c>
      <c r="C88" s="11"/>
      <c r="D88" s="51">
        <f t="shared" si="1"/>
        <v>15</v>
      </c>
      <c r="E88" s="56">
        <f>'Mastercurve bestimmen'!A32</f>
        <v>1.49036419143257</v>
      </c>
    </row>
    <row r="89" spans="1:5" x14ac:dyDescent="0.25">
      <c r="A89" s="50">
        <f t="shared" si="0"/>
        <v>16</v>
      </c>
      <c r="B89" s="56">
        <f>'Mastercurve bestimmen'!C33</f>
        <v>3.51380910541953E-3</v>
      </c>
      <c r="C89" s="11"/>
      <c r="D89" s="51">
        <f t="shared" si="1"/>
        <v>16</v>
      </c>
      <c r="E89" s="56">
        <f>'Mastercurve bestimmen'!A33</f>
        <v>16.521360830937301</v>
      </c>
    </row>
    <row r="90" spans="1:5" x14ac:dyDescent="0.25">
      <c r="A90" s="50">
        <f t="shared" si="0"/>
        <v>17</v>
      </c>
      <c r="B90" s="56">
        <f>'Mastercurve bestimmen'!C34</f>
        <v>7.1978944921583432E-4</v>
      </c>
      <c r="C90" s="11"/>
      <c r="D90" s="51">
        <f t="shared" si="1"/>
        <v>17</v>
      </c>
      <c r="E90" s="56">
        <f>'Mastercurve bestimmen'!A34</f>
        <v>183.146753843879</v>
      </c>
    </row>
    <row r="91" spans="1:5" x14ac:dyDescent="0.25">
      <c r="A91" s="50">
        <f t="shared" si="0"/>
        <v>18</v>
      </c>
      <c r="B91" s="56">
        <f>'Mastercurve bestimmen'!C35</f>
        <v>5.3803230598076777E-4</v>
      </c>
      <c r="C91" s="11"/>
      <c r="D91" s="51">
        <f t="shared" si="1"/>
        <v>18</v>
      </c>
      <c r="E91" s="56">
        <f>'Mastercurve bestimmen'!A35</f>
        <v>2030.26456396616</v>
      </c>
    </row>
    <row r="92" spans="1:5" x14ac:dyDescent="0.25">
      <c r="A92" s="50">
        <f t="shared" si="0"/>
        <v>19</v>
      </c>
      <c r="B92" s="56">
        <f>'Mastercurve bestimmen'!C36</f>
        <v>5.6418757759686938E-4</v>
      </c>
      <c r="C92" s="11"/>
      <c r="D92" s="51">
        <f t="shared" si="1"/>
        <v>19</v>
      </c>
      <c r="E92" s="56">
        <f>'Mastercurve bestimmen'!A36</f>
        <v>22506.400540467101</v>
      </c>
    </row>
    <row r="93" spans="1:5" x14ac:dyDescent="0.25">
      <c r="A93" s="50">
        <f t="shared" si="0"/>
        <v>20</v>
      </c>
      <c r="B93" s="56">
        <f>'Mastercurve bestimmen'!C37</f>
        <v>5.289794145093928E-4</v>
      </c>
      <c r="C93" s="11"/>
      <c r="D93" s="51">
        <f t="shared" si="1"/>
        <v>20</v>
      </c>
      <c r="E93" s="56">
        <f>'Mastercurve bestimmen'!A37</f>
        <v>249493.62476110301</v>
      </c>
    </row>
    <row r="94" spans="1:5" x14ac:dyDescent="0.25">
      <c r="A94" s="50">
        <f t="shared" si="0"/>
        <v>21</v>
      </c>
      <c r="B94" s="56">
        <f>'Mastercurve bestimmen'!C38</f>
        <v>5.3547450135887617E-5</v>
      </c>
      <c r="C94" s="11"/>
      <c r="D94" s="51">
        <f t="shared" si="1"/>
        <v>21</v>
      </c>
      <c r="E94" s="56">
        <f>'Mastercurve bestimmen'!A38</f>
        <v>2765749.6224023802</v>
      </c>
    </row>
    <row r="95" spans="1:5" x14ac:dyDescent="0.25">
      <c r="A95" s="50">
        <f t="shared" si="0"/>
        <v>22</v>
      </c>
      <c r="B95" s="56">
        <f>'Mastercurve bestimmen'!C39</f>
        <v>4.4495454548071421E-4</v>
      </c>
      <c r="C95" s="11"/>
      <c r="D95" s="51">
        <f t="shared" si="1"/>
        <v>22</v>
      </c>
      <c r="E95" s="56">
        <f>'Mastercurve bestimmen'!A39</f>
        <v>10000000</v>
      </c>
    </row>
    <row r="96" spans="1:5" x14ac:dyDescent="0.25">
      <c r="A96" s="50">
        <f t="shared" si="0"/>
        <v>23</v>
      </c>
      <c r="B96" s="56">
        <f>'Mastercurve bestimmen'!C40</f>
        <v>1.5289773047840316E-5</v>
      </c>
      <c r="C96" s="11"/>
      <c r="D96" s="51">
        <f t="shared" si="1"/>
        <v>23</v>
      </c>
      <c r="E96" s="56">
        <f>'Mastercurve bestimmen'!A40</f>
        <v>100000000</v>
      </c>
    </row>
    <row r="97" spans="1:5" x14ac:dyDescent="0.25">
      <c r="A97" s="50">
        <f t="shared" si="0"/>
        <v>24</v>
      </c>
      <c r="B97" s="56">
        <f>'Mastercurve bestimmen'!C41</f>
        <v>2.5082649304706281E-4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5.6673676320409674E-5</v>
      </c>
      <c r="C99" s="11"/>
      <c r="D99" s="51">
        <f t="shared" si="1"/>
        <v>26</v>
      </c>
      <c r="E99" s="56">
        <f>'Mastercurve bestimmen'!A43</f>
        <v>100000000000</v>
      </c>
    </row>
    <row r="100" spans="1:5" x14ac:dyDescent="0.25">
      <c r="A100" s="50">
        <f t="shared" si="0"/>
        <v>27</v>
      </c>
      <c r="B100" s="56">
        <f>'Mastercurve bestimmen'!C44</f>
        <v>1.228688753482083E-4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1.663721654170598E-4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17746.768</v>
      </c>
    </row>
    <row r="108" spans="1:5" s="11" customFormat="1" x14ac:dyDescent="0.25">
      <c r="A108" s="61" t="str">
        <f>STUTT!B3</f>
        <v>mp,PRXY,MatID,</v>
      </c>
      <c r="B108" s="52">
        <f>STUTT!C3</f>
        <v>0.29104294000000003</v>
      </c>
    </row>
    <row r="109" spans="1:5" s="11" customFormat="1" x14ac:dyDescent="0.25">
      <c r="A109" s="61" t="str">
        <f>STUTT!B4</f>
        <v>mp,ey,MatID,</v>
      </c>
      <c r="B109" s="52">
        <f>STUTT!C4</f>
        <v>21858.703000000001</v>
      </c>
    </row>
    <row r="110" spans="1:5" s="11" customFormat="1" x14ac:dyDescent="0.25">
      <c r="A110" s="61" t="str">
        <f>STUTT!B5</f>
        <v>mp,PRYZ,MatID,</v>
      </c>
      <c r="B110" s="52">
        <f>STUTT!C5</f>
        <v>0.35853411000000002</v>
      </c>
    </row>
    <row r="111" spans="1:5" s="11" customFormat="1" x14ac:dyDescent="0.25">
      <c r="A111" s="61" t="str">
        <f>STUTT!B6</f>
        <v>mp,ez,MatID,</v>
      </c>
      <c r="B111" s="52">
        <f>STUTT!C6</f>
        <v>17746.768</v>
      </c>
    </row>
    <row r="112" spans="1:5" s="11" customFormat="1" x14ac:dyDescent="0.25">
      <c r="A112" s="61" t="str">
        <f>STUTT!B7</f>
        <v>mp,PRXZ,MatID,</v>
      </c>
      <c r="B112" s="52">
        <f>STUTT!C7</f>
        <v>0.36009481999999998</v>
      </c>
    </row>
    <row r="113" spans="1:4" s="11" customFormat="1" x14ac:dyDescent="0.25">
      <c r="A113" s="61" t="str">
        <f>STUTT!B8</f>
        <v>MP,GXZ,</v>
      </c>
      <c r="B113" s="52" t="str">
        <f>STUTT!C8</f>
        <v>MatID,</v>
      </c>
      <c r="C113" s="112">
        <f>STUTT!D8</f>
        <v>6524.0923000000003</v>
      </c>
      <c r="D113" s="112"/>
    </row>
    <row r="114" spans="1:4" s="11" customFormat="1" x14ac:dyDescent="0.25">
      <c r="A114" s="61" t="str">
        <f>STUTT!B9</f>
        <v>MP,GXY,</v>
      </c>
      <c r="B114" s="52" t="str">
        <f>STUTT!C9</f>
        <v>MatID,</v>
      </c>
      <c r="C114" s="112">
        <f>STUTT!D9</f>
        <v>8117.2861999999996</v>
      </c>
      <c r="D114" s="112"/>
    </row>
    <row r="115" spans="1:4" x14ac:dyDescent="0.25">
      <c r="A115" s="61" t="str">
        <f>STUTT!B10</f>
        <v>MP,GYZ,</v>
      </c>
      <c r="B115" s="52" t="str">
        <f>STUTT!C10</f>
        <v>MatID,</v>
      </c>
      <c r="C115" s="112">
        <f>STUTT!D10</f>
        <v>8117.2861999999996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-2.206E-7</v>
      </c>
      <c r="C3" s="3">
        <v>2.537E-6</v>
      </c>
      <c r="D3" s="3">
        <v>-2.206E-7</v>
      </c>
      <c r="E3" s="3">
        <v>-1.415E-5</v>
      </c>
      <c r="F3" s="3">
        <v>-1.415E-5</v>
      </c>
      <c r="G3" s="3">
        <v>-1.415E-5</v>
      </c>
      <c r="H3" s="3">
        <v>-4.4272276999999998E-6</v>
      </c>
      <c r="I3" s="3">
        <v>-1.0771048000000001E-6</v>
      </c>
      <c r="J3" s="3">
        <v>-4.4272276999999998E-6</v>
      </c>
      <c r="L3" s="48">
        <f>ABS(H3/(-0.5)/$L$1)</f>
        <v>2.5298444000000002E-5</v>
      </c>
      <c r="R3">
        <f>ABS(I3/(-0.5)/$R$1)</f>
        <v>2.2675890526315791E-5</v>
      </c>
    </row>
    <row r="4" spans="1:18" x14ac:dyDescent="0.25">
      <c r="A4">
        <v>-39</v>
      </c>
      <c r="B4" s="3">
        <v>2.2030000000000001E-7</v>
      </c>
      <c r="C4" s="3">
        <v>-2.5359999999999999E-6</v>
      </c>
      <c r="D4" s="3">
        <v>2.2030000000000001E-7</v>
      </c>
      <c r="E4" s="3">
        <v>1.415E-5</v>
      </c>
      <c r="F4" s="3">
        <v>1.415E-5</v>
      </c>
      <c r="G4" s="3">
        <v>1.415E-5</v>
      </c>
      <c r="H4" s="3">
        <v>4.4271084000000003E-6</v>
      </c>
      <c r="I4" s="3">
        <v>1.0771928999999999E-6</v>
      </c>
      <c r="J4" s="3">
        <v>4.4271084000000003E-6</v>
      </c>
      <c r="L4" s="48">
        <f t="shared" ref="L4:L14" si="0">ABS(H4/(-0.5)/$L$1)</f>
        <v>2.5297762285714289E-5</v>
      </c>
      <c r="N4" s="39" t="s">
        <v>27</v>
      </c>
      <c r="O4" s="39" t="s">
        <v>131</v>
      </c>
      <c r="P4" s="85" t="s">
        <v>132</v>
      </c>
      <c r="R4" s="11">
        <f t="shared" ref="R4:R14" si="1">ABS(I4/(-0.5)/$R$1)</f>
        <v>2.2677745263157891E-5</v>
      </c>
    </row>
    <row r="5" spans="1:18" x14ac:dyDescent="0.25">
      <c r="A5">
        <v>0</v>
      </c>
      <c r="B5" s="3">
        <v>-2.0980000000000001E-7</v>
      </c>
      <c r="C5" s="3">
        <v>2.5040000000000001E-6</v>
      </c>
      <c r="D5" s="3">
        <v>-2.0980000000000001E-7</v>
      </c>
      <c r="E5" s="3">
        <v>-1.415E-5</v>
      </c>
      <c r="F5" s="3">
        <v>-1.415E-5</v>
      </c>
      <c r="G5" s="3">
        <v>-1.415E-5</v>
      </c>
      <c r="H5" s="3">
        <v>-4.4223560999999998E-6</v>
      </c>
      <c r="I5" s="3">
        <v>-1.0807171000000001E-6</v>
      </c>
      <c r="J5" s="3">
        <v>-4.4223560999999998E-6</v>
      </c>
      <c r="L5" s="48">
        <f t="shared" si="0"/>
        <v>2.5270606285714287E-5</v>
      </c>
      <c r="M5" s="48"/>
      <c r="N5" s="10">
        <f>(INDEX(A:A,ROW(A2)*2+1)+INDEX(A:A,ROW(A2)*2+2))/2</f>
        <v>0.5</v>
      </c>
      <c r="O5" s="89">
        <f>(INDEX(L:L,ROW(L2)*2+1)+INDEX(L:L,ROW(L2)*2+2))/2</f>
        <v>2.5270250571428573E-5</v>
      </c>
      <c r="P5" s="89">
        <f>(INDEX(R:R,ROW(M2)*2+1)+INDEX(R:R,ROW(R2)*2+2))/2</f>
        <v>2.2752914736842108E-5</v>
      </c>
      <c r="R5" s="11">
        <f t="shared" si="1"/>
        <v>2.2751938947368423E-5</v>
      </c>
    </row>
    <row r="6" spans="1:18" x14ac:dyDescent="0.25">
      <c r="A6">
        <v>1</v>
      </c>
      <c r="B6" s="3">
        <v>2.0949999999999999E-7</v>
      </c>
      <c r="C6" s="3">
        <v>-2.503E-6</v>
      </c>
      <c r="D6" s="3">
        <v>2.0949999999999999E-7</v>
      </c>
      <c r="E6" s="3">
        <v>1.415E-5</v>
      </c>
      <c r="F6" s="3">
        <v>1.415E-5</v>
      </c>
      <c r="G6" s="3">
        <v>1.415E-5</v>
      </c>
      <c r="H6" s="3">
        <v>4.4222316000000001E-6</v>
      </c>
      <c r="I6" s="3">
        <v>1.0808098000000001E-6</v>
      </c>
      <c r="J6" s="3">
        <v>4.4222316000000001E-6</v>
      </c>
      <c r="L6" s="48">
        <f t="shared" si="0"/>
        <v>2.5269894857142858E-5</v>
      </c>
      <c r="M6" s="49"/>
      <c r="N6" s="10">
        <f>(INDEX(A:A,ROW(A3)*2+1)+INDEX(A:A,ROW(A3)*2+2))/2</f>
        <v>85.5</v>
      </c>
      <c r="O6" s="89">
        <f t="shared" ref="O6:O7" si="2">(INDEX(L:L,ROW(L3)*2+1)+INDEX(L:L,ROW(L3)*2+2))/2</f>
        <v>2.7904964857142861E-5</v>
      </c>
      <c r="P6" s="89">
        <f t="shared" ref="P6:P9" si="3">(INDEX(R:R,ROW(M3)*2+1)+INDEX(R:R,ROW(R3)*2+2))/2</f>
        <v>2.4298146315789474E-5</v>
      </c>
      <c r="R6" s="11">
        <f t="shared" si="1"/>
        <v>2.2753890526315792E-5</v>
      </c>
    </row>
    <row r="7" spans="1:18" x14ac:dyDescent="0.25">
      <c r="A7">
        <v>85</v>
      </c>
      <c r="B7" s="3">
        <v>-2.7080000000000002E-7</v>
      </c>
      <c r="C7" s="3">
        <v>3.083E-6</v>
      </c>
      <c r="D7" s="3">
        <v>-2.7080000000000002E-7</v>
      </c>
      <c r="E7" s="3">
        <v>-1.525E-5</v>
      </c>
      <c r="F7" s="3">
        <v>-1.525E-5</v>
      </c>
      <c r="G7" s="3">
        <v>-1.525E-5</v>
      </c>
      <c r="H7" s="3">
        <v>-4.6867119999999999E-6</v>
      </c>
      <c r="I7" s="3">
        <v>-1.1269766E-6</v>
      </c>
      <c r="J7" s="3">
        <v>-4.6867119999999999E-6</v>
      </c>
      <c r="L7" s="48">
        <f t="shared" si="0"/>
        <v>2.6781211428571431E-5</v>
      </c>
      <c r="M7" s="48"/>
      <c r="N7" s="10">
        <f>(INDEX(A:A,ROW(A4)*2+1)+INDEX(A:A,ROW(A4)*2+2))/2</f>
        <v>90.5</v>
      </c>
      <c r="O7" s="89">
        <f t="shared" si="2"/>
        <v>5.0383506285714289E-5</v>
      </c>
      <c r="P7" s="89">
        <f t="shared" si="3"/>
        <v>3.5754844210526318E-5</v>
      </c>
      <c r="R7" s="11">
        <f t="shared" si="1"/>
        <v>2.3725823157894736E-5</v>
      </c>
    </row>
    <row r="8" spans="1:18" x14ac:dyDescent="0.25">
      <c r="A8">
        <v>86</v>
      </c>
      <c r="B8" s="3">
        <v>3.9289999999999998E-7</v>
      </c>
      <c r="C8" s="3">
        <v>-4.0199999999999996E-6</v>
      </c>
      <c r="D8" s="3">
        <v>3.9289999999999998E-7</v>
      </c>
      <c r="E8" s="3">
        <v>1.681E-5</v>
      </c>
      <c r="F8" s="3">
        <v>1.681E-5</v>
      </c>
      <c r="G8" s="3">
        <v>1.681E-5</v>
      </c>
      <c r="H8" s="3">
        <v>5.0800257000000001E-6</v>
      </c>
      <c r="I8" s="3">
        <v>1.1813473000000001E-6</v>
      </c>
      <c r="J8" s="3">
        <v>5.0800257000000001E-6</v>
      </c>
      <c r="L8" s="48">
        <f t="shared" si="0"/>
        <v>2.9028718285714287E-5</v>
      </c>
      <c r="M8" s="49"/>
      <c r="N8" s="10">
        <f>(INDEX(A:A,ROW(A5)*2+1)+INDEX(A:A,ROW(A5)*2+2))/2</f>
        <v>95.5</v>
      </c>
      <c r="O8" s="89">
        <f t="shared" ref="O8:O9" si="4">(INDEX(L:L,ROW(L5)*2+1)+INDEX(L:L,ROW(L5)*2+2))/2</f>
        <v>7.0197717142857148E-5</v>
      </c>
      <c r="P8" s="89">
        <f t="shared" si="3"/>
        <v>4.5848989473684213E-5</v>
      </c>
      <c r="R8" s="11">
        <f t="shared" si="1"/>
        <v>2.4870469473684213E-5</v>
      </c>
    </row>
    <row r="9" spans="1:18" x14ac:dyDescent="0.25">
      <c r="A9">
        <v>90</v>
      </c>
      <c r="B9" s="3">
        <v>-1.4899999999999999E-6</v>
      </c>
      <c r="C9" s="3">
        <v>1.2449999999999999E-5</v>
      </c>
      <c r="D9" s="3">
        <v>-1.4899999999999999E-6</v>
      </c>
      <c r="E9" s="3">
        <v>-3.0899999999999999E-5</v>
      </c>
      <c r="F9" s="3">
        <v>-3.0899999999999999E-5</v>
      </c>
      <c r="G9" s="3">
        <v>-3.0899999999999999E-5</v>
      </c>
      <c r="H9" s="3">
        <v>-8.6203071000000002E-6</v>
      </c>
      <c r="I9" s="3">
        <v>-1.6710444000000001E-6</v>
      </c>
      <c r="J9" s="3">
        <v>-8.6203071000000002E-6</v>
      </c>
      <c r="L9" s="48">
        <f t="shared" si="0"/>
        <v>4.9258897714285715E-5</v>
      </c>
      <c r="M9" s="48"/>
      <c r="N9" s="10">
        <f>(INDEX(A:A,ROW(A6)*2+1)+INDEX(A:A,ROW(A6)*2+2))/2</f>
        <v>180.5</v>
      </c>
      <c r="O9" s="89">
        <f t="shared" si="4"/>
        <v>6.9821937142857152E-5</v>
      </c>
      <c r="P9" s="89">
        <f t="shared" si="3"/>
        <v>4.720299789473684E-5</v>
      </c>
      <c r="R9" s="11">
        <f t="shared" si="1"/>
        <v>3.5179882105263159E-5</v>
      </c>
    </row>
    <row r="10" spans="1:18" x14ac:dyDescent="0.25">
      <c r="A10">
        <v>91</v>
      </c>
      <c r="B10" s="3">
        <v>1.612E-6</v>
      </c>
      <c r="C10" s="3">
        <v>-1.3380000000000001E-5</v>
      </c>
      <c r="D10" s="3">
        <v>1.612E-6</v>
      </c>
      <c r="E10" s="3">
        <v>3.2459999999999998E-5</v>
      </c>
      <c r="F10" s="3">
        <v>3.2459999999999998E-5</v>
      </c>
      <c r="G10" s="3">
        <v>3.2459999999999998E-5</v>
      </c>
      <c r="H10" s="3">
        <v>9.0139200999999999E-6</v>
      </c>
      <c r="I10" s="3">
        <v>1.7256658000000001E-6</v>
      </c>
      <c r="J10" s="3">
        <v>9.0139200999999999E-6</v>
      </c>
      <c r="L10" s="48">
        <f t="shared" si="0"/>
        <v>5.1508114857142862E-5</v>
      </c>
      <c r="M10" s="49"/>
      <c r="N10" s="10"/>
      <c r="O10" s="3"/>
      <c r="R10" s="11">
        <f t="shared" si="1"/>
        <v>3.6329806315789477E-5</v>
      </c>
    </row>
    <row r="11" spans="1:18" x14ac:dyDescent="0.25">
      <c r="A11">
        <v>95</v>
      </c>
      <c r="B11" s="3">
        <v>-2.6340000000000001E-6</v>
      </c>
      <c r="C11" s="3">
        <v>2.1149999999999999E-5</v>
      </c>
      <c r="D11" s="3">
        <v>-2.6340000000000001E-6</v>
      </c>
      <c r="E11" s="3">
        <v>-4.545E-5</v>
      </c>
      <c r="F11" s="3">
        <v>-4.545E-5</v>
      </c>
      <c r="G11" s="3">
        <v>-4.545E-5</v>
      </c>
      <c r="H11" s="3">
        <v>-1.2284985000000001E-5</v>
      </c>
      <c r="I11" s="3">
        <v>-2.1774679999999999E-6</v>
      </c>
      <c r="J11" s="3">
        <v>-1.2284985000000001E-5</v>
      </c>
      <c r="L11" s="48">
        <f t="shared" si="0"/>
        <v>7.01999142857143E-5</v>
      </c>
      <c r="M11" s="48"/>
      <c r="N11" s="10"/>
      <c r="O11" s="3"/>
      <c r="R11" s="11">
        <f t="shared" si="1"/>
        <v>4.5841431578947368E-5</v>
      </c>
    </row>
    <row r="12" spans="1:18" x14ac:dyDescent="0.25">
      <c r="A12">
        <v>96</v>
      </c>
      <c r="B12" s="3">
        <v>2.632E-6</v>
      </c>
      <c r="C12" s="3">
        <v>-2.1149999999999999E-5</v>
      </c>
      <c r="D12" s="3">
        <v>2.632E-6</v>
      </c>
      <c r="E12" s="3">
        <v>4.545E-5</v>
      </c>
      <c r="F12" s="3">
        <v>4.545E-5</v>
      </c>
      <c r="G12" s="3">
        <v>4.545E-5</v>
      </c>
      <c r="H12" s="3">
        <v>1.2284216E-5</v>
      </c>
      <c r="I12" s="3">
        <v>2.1781860000000002E-6</v>
      </c>
      <c r="J12" s="3">
        <v>1.2284216E-5</v>
      </c>
      <c r="L12" s="48">
        <f t="shared" si="0"/>
        <v>7.0195520000000011E-5</v>
      </c>
      <c r="M12" s="49"/>
      <c r="N12" s="10"/>
      <c r="O12" s="3"/>
      <c r="R12" s="11">
        <f t="shared" si="1"/>
        <v>4.5856547368421059E-5</v>
      </c>
    </row>
    <row r="13" spans="1:18" x14ac:dyDescent="0.25">
      <c r="A13">
        <v>180</v>
      </c>
      <c r="B13" s="3">
        <v>-2.4600000000000002E-6</v>
      </c>
      <c r="C13" s="3">
        <v>2.056E-5</v>
      </c>
      <c r="D13" s="3">
        <v>-2.4600000000000002E-6</v>
      </c>
      <c r="E13" s="3">
        <v>-4.545E-5</v>
      </c>
      <c r="F13" s="3">
        <v>-4.545E-5</v>
      </c>
      <c r="G13" s="3">
        <v>-4.545E-5</v>
      </c>
      <c r="H13" s="3">
        <v>-1.2219225999999999E-5</v>
      </c>
      <c r="I13" s="3">
        <v>-2.2417489999999999E-6</v>
      </c>
      <c r="J13" s="3">
        <v>-1.2219225999999999E-5</v>
      </c>
      <c r="L13" s="48">
        <f t="shared" si="0"/>
        <v>6.9824148571428571E-5</v>
      </c>
      <c r="M13" s="48"/>
      <c r="N13" s="10"/>
      <c r="O13" s="3"/>
      <c r="R13" s="11">
        <f t="shared" si="1"/>
        <v>4.7194715789473682E-5</v>
      </c>
    </row>
    <row r="14" spans="1:18" x14ac:dyDescent="0.25">
      <c r="A14" s="11">
        <v>181</v>
      </c>
      <c r="B14" s="3">
        <v>2.458E-6</v>
      </c>
      <c r="C14" s="3">
        <v>-2.0550000000000001E-5</v>
      </c>
      <c r="D14" s="3">
        <v>2.458E-6</v>
      </c>
      <c r="E14" s="3">
        <v>4.545E-5</v>
      </c>
      <c r="F14" s="3">
        <v>4.545E-5</v>
      </c>
      <c r="G14" s="3">
        <v>4.545E-5</v>
      </c>
      <c r="H14" s="3">
        <v>1.2218452E-5</v>
      </c>
      <c r="I14" s="3">
        <v>2.2425358E-6</v>
      </c>
      <c r="J14" s="3">
        <v>1.2218452E-5</v>
      </c>
      <c r="L14" s="48">
        <f t="shared" si="0"/>
        <v>6.981972571428572E-5</v>
      </c>
      <c r="M14" s="49"/>
      <c r="N14" s="10"/>
      <c r="O14" s="3"/>
      <c r="R14" s="11">
        <f t="shared" si="1"/>
        <v>4.7211279999999998E-5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17746.768</v>
      </c>
    </row>
    <row r="3" spans="2:4" x14ac:dyDescent="0.25">
      <c r="B3" t="s">
        <v>119</v>
      </c>
      <c r="C3" s="3">
        <v>0.29104294000000003</v>
      </c>
    </row>
    <row r="4" spans="2:4" x14ac:dyDescent="0.25">
      <c r="B4" t="s">
        <v>120</v>
      </c>
      <c r="C4" s="3">
        <v>21858.703000000001</v>
      </c>
    </row>
    <row r="5" spans="2:4" x14ac:dyDescent="0.25">
      <c r="B5" t="s">
        <v>121</v>
      </c>
      <c r="C5" s="3">
        <v>0.35853411000000002</v>
      </c>
    </row>
    <row r="6" spans="2:4" x14ac:dyDescent="0.25">
      <c r="B6" t="s">
        <v>122</v>
      </c>
      <c r="C6" s="3">
        <v>17746.768</v>
      </c>
    </row>
    <row r="7" spans="2:4" x14ac:dyDescent="0.25">
      <c r="B7" t="s">
        <v>123</v>
      </c>
      <c r="C7" s="3">
        <v>0.36009481999999998</v>
      </c>
    </row>
    <row r="8" spans="2:4" x14ac:dyDescent="0.25">
      <c r="B8" t="s">
        <v>124</v>
      </c>
      <c r="C8" t="s">
        <v>125</v>
      </c>
      <c r="D8" s="3">
        <v>6524.0923000000003</v>
      </c>
    </row>
    <row r="9" spans="2:4" x14ac:dyDescent="0.25">
      <c r="B9" t="s">
        <v>126</v>
      </c>
      <c r="C9" t="s">
        <v>125</v>
      </c>
      <c r="D9" s="3">
        <v>8117.2861999999996</v>
      </c>
    </row>
    <row r="10" spans="2:4" x14ac:dyDescent="0.25">
      <c r="B10" t="s">
        <v>127</v>
      </c>
      <c r="C10" t="s">
        <v>125</v>
      </c>
      <c r="D10" s="3">
        <v>8117.2861999999996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-5.5892037142857146E-4</v>
      </c>
      <c r="C3" s="2">
        <f>IF('Modell einstellen'!$B$2="Ja",creep_res0!O3,creep_res0!C3)</f>
        <v>-5.6168965714285715E-4</v>
      </c>
      <c r="D3" s="2">
        <f>IF('Modell einstellen'!$B$2="Ja",creep_res25!O3,creep_res25!C3)</f>
        <v>-5.6348934285714288E-4</v>
      </c>
      <c r="E3" s="2">
        <f>IF('Modell einstellen'!$B$2="Ja",creep_res50!O3,creep_res50!C3)</f>
        <v>-5.6534522857142858E-4</v>
      </c>
      <c r="F3" s="2">
        <f>IF('Modell einstellen'!$B$2="Ja",creep_res80!O3,creep_res80!C3)</f>
        <v>-5.6765062857142858E-4</v>
      </c>
      <c r="G3" s="2">
        <f>IF('Modell einstellen'!$B$2="Ja",creep_res125!O3,creep_res125!C3)</f>
        <v>-6.1840197142857146E-4</v>
      </c>
      <c r="H3" s="2">
        <f>IF('Modell einstellen'!$B$2="Ja",creep_res160!O3,creep_res160!C3)</f>
        <v>-6.5662397142857143E-4</v>
      </c>
      <c r="M3" s="9">
        <v>-10</v>
      </c>
      <c r="N3" s="2">
        <f t="shared" ref="N3:N33" si="4">A3</f>
        <v>1.0000000000000001E-15</v>
      </c>
      <c r="O3" s="2">
        <f t="shared" ref="O3:O33" si="5">$M$3/B3</f>
        <v>17891.636288798203</v>
      </c>
      <c r="P3" s="2">
        <f t="shared" ref="P3:P33" si="6">$M$3/C3</f>
        <v>17803.425562199114</v>
      </c>
      <c r="Q3" s="2">
        <f t="shared" ref="Q3:Q33" si="7">$M$3/D3</f>
        <v>17746.564556652535</v>
      </c>
      <c r="R3" s="2">
        <f t="shared" ref="R3:R33" si="8">$M$3/E3</f>
        <v>17688.307063754673</v>
      </c>
      <c r="S3" s="2">
        <f t="shared" ref="S3:S33" si="9">$M$3/F3</f>
        <v>17616.469526628349</v>
      </c>
      <c r="T3" s="2">
        <f t="shared" ref="T3:T33" si="10">$M$3/G3</f>
        <v>16170.711708597861</v>
      </c>
      <c r="U3" s="2">
        <f t="shared" ref="U3:U33" si="11">$M$3/H3</f>
        <v>15229.41658411235</v>
      </c>
      <c r="Z3" s="2">
        <v>1.0000000000000001E-15</v>
      </c>
      <c r="AA3" s="3">
        <f>IF('Modell einstellen'!$B$2="Ja",'creep_res-40'!P3,'creep_res-40'!L3)</f>
        <v>0.36075821278502584</v>
      </c>
      <c r="AB3" s="2">
        <f>IF('Modell einstellen'!$B$2="Ja",creep_res0!P3,creep_res0!L3)</f>
        <v>0.36034330192910802</v>
      </c>
      <c r="AC3" s="2">
        <f>IF('Modell einstellen'!$B$2="Ja",creep_res25!P3,creep_res25!L3)</f>
        <v>0.36007959993361766</v>
      </c>
      <c r="AD3" s="2">
        <f>IF('Modell einstellen'!$B$2="Ja",creep_res50!P3,creep_res50!L3)</f>
        <v>0.35981245441786447</v>
      </c>
      <c r="AE3" s="2">
        <f>IF('Modell einstellen'!$B$2="Ja",creep_res80!P3,creep_res80!L3)</f>
        <v>0.35948725403130255</v>
      </c>
      <c r="AF3" s="2">
        <f>IF('Modell einstellen'!$B$2="Ja",creep_res125!P3,creep_res125!L3)</f>
        <v>0.37888694126783645</v>
      </c>
      <c r="AG3" s="2">
        <f>IF('Modell einstellen'!$B$2="Ja",creep_res160!P3,creep_res160!L3)</f>
        <v>0.39233060069735937</v>
      </c>
      <c r="AL3" s="2">
        <f t="shared" ref="AL3:AL33" si="12">Z3</f>
        <v>1.0000000000000001E-15</v>
      </c>
      <c r="AM3" s="2">
        <f t="shared" ref="AM3:AM33" si="13">O3/(2*(1+AA3))</f>
        <v>6574.1423129756067</v>
      </c>
      <c r="AN3" s="2">
        <f t="shared" ref="AN3:AN33" si="14">P3/(2*(1+AB3))</f>
        <v>6543.7252261807771</v>
      </c>
      <c r="AO3" s="2">
        <f t="shared" ref="AO3:AO33" si="15">Q3/(2*(1+AC3))</f>
        <v>6524.0904126194901</v>
      </c>
      <c r="AP3" s="2">
        <f t="shared" ref="AP3:AP33" si="16">R3/(2*(1+AD3))</f>
        <v>6503.9509699618966</v>
      </c>
      <c r="AQ3" s="2">
        <f t="shared" ref="AQ3:AQ33" si="17">S3/(2*(1+AE3))</f>
        <v>6479.0859474371819</v>
      </c>
      <c r="AR3" s="2">
        <f t="shared" ref="AR3:AR33" si="18">T3/(2*(1+AF3))</f>
        <v>5863.6829549380891</v>
      </c>
      <c r="AS3" s="2">
        <f t="shared" ref="AS3:AS33" si="19">U3/(2*(1+AG3))</f>
        <v>5469.0375175567433</v>
      </c>
      <c r="AX3" s="2">
        <f>AL3</f>
        <v>1.0000000000000001E-15</v>
      </c>
      <c r="AY3" s="37">
        <f t="shared" ref="AY3:AY33" si="20">O3/(3*(1-(2*AA3)))</f>
        <v>21415.549463341617</v>
      </c>
      <c r="AZ3" s="37">
        <f t="shared" ref="AZ3:AZ33" si="21">P3/(3*(1-(2*AB3)))</f>
        <v>21246.654365218023</v>
      </c>
      <c r="BA3" s="37">
        <f t="shared" ref="BA3:BA33" si="22">Q3/(3*(1-(2*AC3)))</f>
        <v>21138.881521485364</v>
      </c>
      <c r="BB3" s="37">
        <f t="shared" ref="BB3:BB33" si="23">R3/(3*(1-(2*AD3)))</f>
        <v>21029.337271371158</v>
      </c>
      <c r="BC3" s="37">
        <f t="shared" ref="BC3:BC33" si="24">S3/(3*(1-(2*AE3)))</f>
        <v>20895.458516568593</v>
      </c>
      <c r="BD3" s="37">
        <f t="shared" ref="BD3:BD33" si="25">T3/(3*(1-(2*AF3)))</f>
        <v>22252.915138241082</v>
      </c>
      <c r="BE3" s="37">
        <f t="shared" ref="BE3:BE33" si="26">U3/(3*(1-(2*AG3)))</f>
        <v>23574.349943362293</v>
      </c>
    </row>
    <row r="4" spans="1:308" x14ac:dyDescent="0.25">
      <c r="A4" s="2">
        <f>'creep_res-40'!A4</f>
        <v>1E-14</v>
      </c>
      <c r="B4" s="3">
        <f>'creep_res-40'!O4</f>
        <v>-5.5890980000000007E-4</v>
      </c>
      <c r="C4" s="2">
        <f>IF('Modell einstellen'!$B$2="Ja",creep_res0!O4,creep_res0!C4)</f>
        <v>-5.6167891428571433E-4</v>
      </c>
      <c r="D4" s="2">
        <f>IF('Modell einstellen'!$B$2="Ja",creep_res25!O4,creep_res25!C4)</f>
        <v>-5.6347848571428581E-4</v>
      </c>
      <c r="E4" s="2">
        <f>IF('Modell einstellen'!$B$2="Ja",creep_res50!O4,creep_res50!C4)</f>
        <v>-5.6533422857142862E-4</v>
      </c>
      <c r="F4" s="2">
        <f>IF('Modell einstellen'!$B$2="Ja",creep_res80!O4,creep_res80!C4)</f>
        <v>-5.6763991428571429E-4</v>
      </c>
      <c r="G4" s="2">
        <f>IF('Modell einstellen'!$B$2="Ja",creep_res125!O4,creep_res125!C4)</f>
        <v>-6.4192477142857151E-4</v>
      </c>
      <c r="H4" s="2">
        <f>IF('Modell einstellen'!$B$2="Ja",creep_res160!O4,creep_res160!C4)</f>
        <v>-6.9128320000000007E-4</v>
      </c>
      <c r="M4" s="9">
        <f t="shared" ref="M4:M31" si="27">M3</f>
        <v>-10</v>
      </c>
      <c r="N4" s="2">
        <f t="shared" si="4"/>
        <v>1E-14</v>
      </c>
      <c r="O4" s="2">
        <f t="shared" si="5"/>
        <v>17891.97469788506</v>
      </c>
      <c r="P4" s="2">
        <f t="shared" si="6"/>
        <v>17803.766076419255</v>
      </c>
      <c r="Q4" s="2">
        <f t="shared" si="7"/>
        <v>17746.906498699122</v>
      </c>
      <c r="R4" s="2">
        <f t="shared" si="8"/>
        <v>17688.651234278703</v>
      </c>
      <c r="S4" s="2">
        <f t="shared" si="9"/>
        <v>17616.802040045808</v>
      </c>
      <c r="T4" s="2">
        <f t="shared" si="10"/>
        <v>15578.149411099215</v>
      </c>
      <c r="U4" s="2">
        <f t="shared" si="11"/>
        <v>14465.85133270995</v>
      </c>
      <c r="Z4" s="2">
        <v>1E-14</v>
      </c>
      <c r="AA4" s="3">
        <f>IF('Modell einstellen'!$B$2="Ja",'creep_res-40'!P4,'creep_res-40'!L4)</f>
        <v>0.36077235156217125</v>
      </c>
      <c r="AB4" s="2">
        <f>IF('Modell einstellen'!$B$2="Ja",creep_res0!P4,creep_res0!L4)</f>
        <v>0.36035794624300349</v>
      </c>
      <c r="AC4" s="2">
        <f>IF('Modell einstellen'!$B$2="Ja",creep_res25!P4,creep_res25!L4)</f>
        <v>0.36009455957426084</v>
      </c>
      <c r="AD4" s="2">
        <f>IF('Modell einstellen'!$B$2="Ja",creep_res50!P4,creep_res50!L4)</f>
        <v>0.35982775903286135</v>
      </c>
      <c r="AE4" s="2">
        <f>IF('Modell einstellen'!$B$2="Ja",creep_res80!P4,creep_res80!L4)</f>
        <v>0.35950314980870418</v>
      </c>
      <c r="AF4" s="2">
        <f>IF('Modell einstellen'!$B$2="Ja",creep_res125!P4,creep_res125!L4)</f>
        <v>0.38862667797254569</v>
      </c>
      <c r="AG4" s="2">
        <f>IF('Modell einstellen'!$B$2="Ja",creep_res160!P4,creep_res160!L4)</f>
        <v>0.40597346665282347</v>
      </c>
      <c r="AL4" s="2">
        <f t="shared" si="12"/>
        <v>1E-14</v>
      </c>
      <c r="AM4" s="2">
        <f t="shared" si="13"/>
        <v>6574.1983504239388</v>
      </c>
      <c r="AN4" s="2">
        <f t="shared" si="14"/>
        <v>6543.7799387981568</v>
      </c>
      <c r="AO4" s="2">
        <f t="shared" si="15"/>
        <v>6524.1443595856636</v>
      </c>
      <c r="AP4" s="2">
        <f t="shared" si="16"/>
        <v>6504.0043184804708</v>
      </c>
      <c r="AQ4" s="2">
        <f t="shared" si="17"/>
        <v>6479.1324839978006</v>
      </c>
      <c r="AR4" s="2">
        <f t="shared" si="18"/>
        <v>5609.1927579282792</v>
      </c>
      <c r="AS4" s="2">
        <f t="shared" si="19"/>
        <v>5144.4254375399241</v>
      </c>
      <c r="AX4" s="2">
        <f t="shared" ref="AX4:AX32" si="28">AL4</f>
        <v>1E-14</v>
      </c>
      <c r="AY4" s="37">
        <f t="shared" si="20"/>
        <v>21418.129347436585</v>
      </c>
      <c r="AZ4" s="37">
        <f t="shared" si="21"/>
        <v>21249.288922902317</v>
      </c>
      <c r="BA4" s="37">
        <f t="shared" si="22"/>
        <v>21141.54918337987</v>
      </c>
      <c r="BB4" s="37">
        <f t="shared" si="23"/>
        <v>21032.04256923874</v>
      </c>
      <c r="BC4" s="37">
        <f t="shared" si="24"/>
        <v>20898.217072790078</v>
      </c>
      <c r="BD4" s="37">
        <f t="shared" si="25"/>
        <v>23312.20967390361</v>
      </c>
      <c r="BE4" s="37">
        <f t="shared" si="26"/>
        <v>25641.434776886017</v>
      </c>
      <c r="BF4" s="5"/>
      <c r="BG4" s="5"/>
    </row>
    <row r="5" spans="1:308" x14ac:dyDescent="0.25">
      <c r="A5" s="2">
        <f>'creep_res-40'!A5</f>
        <v>1E-13</v>
      </c>
      <c r="B5" s="3">
        <f>'creep_res-40'!O5</f>
        <v>-5.5891268571428576E-4</v>
      </c>
      <c r="C5" s="2">
        <f>IF('Modell einstellen'!$B$2="Ja",creep_res0!O5,creep_res0!C5)</f>
        <v>-5.6168177142857149E-4</v>
      </c>
      <c r="D5" s="2">
        <f>IF('Modell einstellen'!$B$2="Ja",creep_res25!O5,creep_res25!C5)</f>
        <v>-5.6348131428571432E-4</v>
      </c>
      <c r="E5" s="2">
        <f>IF('Modell einstellen'!$B$2="Ja",creep_res50!O5,creep_res50!C5)</f>
        <v>-5.6533705714285724E-4</v>
      </c>
      <c r="F5" s="2">
        <f>IF('Modell einstellen'!$B$2="Ja",creep_res80!O5,creep_res80!C5)</f>
        <v>-5.6764697142857147E-4</v>
      </c>
      <c r="G5" s="2">
        <f>IF('Modell einstellen'!$B$2="Ja",creep_res125!O5,creep_res125!C5)</f>
        <v>-6.6578565714285718E-4</v>
      </c>
      <c r="H5" s="2">
        <f>IF('Modell einstellen'!$B$2="Ja",creep_res160!O5,creep_res160!C5)</f>
        <v>-7.2510685714285712E-4</v>
      </c>
      <c r="M5" s="9">
        <f t="shared" si="27"/>
        <v>-10</v>
      </c>
      <c r="N5" s="2">
        <f t="shared" si="4"/>
        <v>1E-13</v>
      </c>
      <c r="O5" s="2">
        <f t="shared" si="5"/>
        <v>17891.882320080251</v>
      </c>
      <c r="P5" s="2">
        <f t="shared" si="6"/>
        <v>17803.675512855218</v>
      </c>
      <c r="Q5" s="2">
        <f t="shared" si="7"/>
        <v>17746.817412528217</v>
      </c>
      <c r="R5" s="2">
        <f t="shared" si="8"/>
        <v>17688.562732007609</v>
      </c>
      <c r="S5" s="2">
        <f t="shared" si="9"/>
        <v>17616.583023130472</v>
      </c>
      <c r="T5" s="2">
        <f t="shared" si="10"/>
        <v>15019.848944950021</v>
      </c>
      <c r="U5" s="2">
        <f t="shared" si="11"/>
        <v>13791.070793900722</v>
      </c>
      <c r="Z5" s="2">
        <v>1E-13</v>
      </c>
      <c r="AA5" s="3">
        <f>IF('Modell einstellen'!$B$2="Ja",'creep_res-40'!P5,'creep_res-40'!L5)</f>
        <v>0.3607724109628368</v>
      </c>
      <c r="AB5" s="2">
        <f>IF('Modell einstellen'!$B$2="Ja",creep_res0!P5,creep_res0!L5)</f>
        <v>0.36035802072368178</v>
      </c>
      <c r="AC5" s="2">
        <f>IF('Modell einstellen'!$B$2="Ja",creep_res25!P5,creep_res25!L5)</f>
        <v>0.36009465848176681</v>
      </c>
      <c r="AD5" s="2">
        <f>IF('Modell einstellen'!$B$2="Ja",creep_res50!P5,creep_res50!L5)</f>
        <v>0.35982785389671706</v>
      </c>
      <c r="AE5" s="2">
        <f>IF('Modell einstellen'!$B$2="Ja",creep_res80!P5,creep_res80!L5)</f>
        <v>0.35950523876912627</v>
      </c>
      <c r="AF5" s="2">
        <f>IF('Modell einstellen'!$B$2="Ja",creep_res125!P5,creep_res125!L5)</f>
        <v>0.39830491134469787</v>
      </c>
      <c r="AG5" s="2">
        <f>IF('Modell einstellen'!$B$2="Ja",creep_res160!P5,creep_res160!L5)</f>
        <v>0.41898636417726026</v>
      </c>
      <c r="AL5" s="2">
        <f t="shared" si="12"/>
        <v>1E-13</v>
      </c>
      <c r="AM5" s="2">
        <f t="shared" si="13"/>
        <v>6574.1641202956771</v>
      </c>
      <c r="AN5" s="2">
        <f t="shared" si="14"/>
        <v>6543.7462938558028</v>
      </c>
      <c r="AO5" s="2">
        <f t="shared" si="15"/>
        <v>6524.1111351538066</v>
      </c>
      <c r="AP5" s="2">
        <f t="shared" si="16"/>
        <v>6503.9713230315656</v>
      </c>
      <c r="AQ5" s="2">
        <f t="shared" si="17"/>
        <v>6479.041978197979</v>
      </c>
      <c r="AR5" s="2">
        <f t="shared" si="18"/>
        <v>5370.7345311781783</v>
      </c>
      <c r="AS5" s="2">
        <f t="shared" si="19"/>
        <v>4859.4796757955091</v>
      </c>
      <c r="AX5" s="2">
        <f t="shared" si="28"/>
        <v>1E-13</v>
      </c>
      <c r="AY5" s="37">
        <f t="shared" si="20"/>
        <v>21418.027901668822</v>
      </c>
      <c r="AZ5" s="37">
        <f t="shared" si="21"/>
        <v>21249.192166425808</v>
      </c>
      <c r="BA5" s="37">
        <f t="shared" si="22"/>
        <v>21141.458002892334</v>
      </c>
      <c r="BB5" s="37">
        <f t="shared" si="23"/>
        <v>21031.951572573435</v>
      </c>
      <c r="BC5" s="37">
        <f t="shared" si="24"/>
        <v>20898.267983792535</v>
      </c>
      <c r="BD5" s="37">
        <f t="shared" si="25"/>
        <v>24615.821575972968</v>
      </c>
      <c r="BE5" s="37">
        <f t="shared" si="26"/>
        <v>28371.912649528116</v>
      </c>
    </row>
    <row r="6" spans="1:308" x14ac:dyDescent="0.25">
      <c r="A6" s="2">
        <f>'creep_res-40'!A6</f>
        <v>9.9999999999999998E-13</v>
      </c>
      <c r="B6" s="3">
        <f>'creep_res-40'!O6</f>
        <v>-5.5891354285714288E-4</v>
      </c>
      <c r="C6" s="2">
        <f>IF('Modell einstellen'!$B$2="Ja",creep_res0!O6,creep_res0!C6)</f>
        <v>-5.6168260000000008E-4</v>
      </c>
      <c r="D6" s="2">
        <f>IF('Modell einstellen'!$B$2="Ja",creep_res25!O6,creep_res25!C6)</f>
        <v>-5.6348214285714291E-4</v>
      </c>
      <c r="E6" s="2">
        <f>IF('Modell einstellen'!$B$2="Ja",creep_res50!O6,creep_res50!C6)</f>
        <v>-5.6533788571428573E-4</v>
      </c>
      <c r="F6" s="2">
        <f>IF('Modell einstellen'!$B$2="Ja",creep_res80!O6,creep_res80!C6)</f>
        <v>-5.6769022857142864E-4</v>
      </c>
      <c r="G6" s="2">
        <f>IF('Modell einstellen'!$B$2="Ja",creep_res125!O6,creep_res125!C6)</f>
        <v>-6.9553491428571434E-4</v>
      </c>
      <c r="H6" s="2">
        <f>IF('Modell einstellen'!$B$2="Ja",creep_res160!O6,creep_res160!C6)</f>
        <v>-7.6208288571428585E-4</v>
      </c>
      <c r="M6" s="9">
        <f t="shared" si="27"/>
        <v>-10</v>
      </c>
      <c r="N6" s="2">
        <f t="shared" si="4"/>
        <v>9.9999999999999998E-13</v>
      </c>
      <c r="O6" s="2">
        <f t="shared" si="5"/>
        <v>17891.85488131208</v>
      </c>
      <c r="P6" s="2">
        <f t="shared" si="6"/>
        <v>17803.649249593986</v>
      </c>
      <c r="Q6" s="2">
        <f t="shared" si="7"/>
        <v>17746.791316748531</v>
      </c>
      <c r="R6" s="2">
        <f t="shared" si="8"/>
        <v>17688.536807267625</v>
      </c>
      <c r="S6" s="2">
        <f t="shared" si="9"/>
        <v>17615.24066596078</v>
      </c>
      <c r="T6" s="2">
        <f t="shared" si="10"/>
        <v>14377.423468769482</v>
      </c>
      <c r="U6" s="2">
        <f t="shared" si="11"/>
        <v>13121.932256262637</v>
      </c>
      <c r="Z6" s="2">
        <v>9.9999999999999998E-13</v>
      </c>
      <c r="AA6" s="3">
        <f>IF('Modell einstellen'!$B$2="Ja",'creep_res-40'!P6,'creep_res-40'!L6)</f>
        <v>0.36077245067394526</v>
      </c>
      <c r="AB6" s="2">
        <f>IF('Modell einstellen'!$B$2="Ja",creep_res0!P6,creep_res0!L6)</f>
        <v>0.36035808428868132</v>
      </c>
      <c r="AC6" s="2">
        <f>IF('Modell einstellen'!$B$2="Ja",creep_res25!P6,creep_res25!L6)</f>
        <v>0.36009471716051339</v>
      </c>
      <c r="AD6" s="2">
        <f>IF('Modell einstellen'!$B$2="Ja",creep_res50!P6,creep_res50!L6)</f>
        <v>0.35982791277388299</v>
      </c>
      <c r="AE6" s="2">
        <f>IF('Modell einstellen'!$B$2="Ja",creep_res80!P6,creep_res80!L6)</f>
        <v>0.35952503372311995</v>
      </c>
      <c r="AF6" s="2">
        <f>IF('Modell einstellen'!$B$2="Ja",creep_res125!P6,creep_res125!L6)</f>
        <v>0.41011716696403283</v>
      </c>
      <c r="AG6" s="2">
        <f>IF('Modell einstellen'!$B$2="Ja",creep_res160!P6,creep_res160!L6)</f>
        <v>0.43281088922423544</v>
      </c>
      <c r="AL6" s="2">
        <f t="shared" si="12"/>
        <v>9.9999999999999998E-13</v>
      </c>
      <c r="AM6" s="2">
        <f t="shared" si="13"/>
        <v>6574.1538463873376</v>
      </c>
      <c r="AN6" s="2">
        <f t="shared" si="14"/>
        <v>6543.7363350192272</v>
      </c>
      <c r="AO6" s="2">
        <f t="shared" si="15"/>
        <v>6524.1012603146964</v>
      </c>
      <c r="AP6" s="2">
        <f t="shared" si="16"/>
        <v>6503.9615090652051</v>
      </c>
      <c r="AQ6" s="2">
        <f t="shared" si="17"/>
        <v>6478.4539559822069</v>
      </c>
      <c r="AR6" s="2">
        <f t="shared" si="18"/>
        <v>5097.9534912421213</v>
      </c>
      <c r="AS6" s="2">
        <f t="shared" si="19"/>
        <v>4579.0872874253573</v>
      </c>
      <c r="AX6" s="2">
        <f t="shared" si="28"/>
        <v>9.9999999999999998E-13</v>
      </c>
      <c r="AY6" s="37">
        <f t="shared" si="20"/>
        <v>21418.001164184629</v>
      </c>
      <c r="AZ6" s="37">
        <f t="shared" si="21"/>
        <v>21249.170493095851</v>
      </c>
      <c r="BA6" s="37">
        <f t="shared" si="22"/>
        <v>21141.435782556586</v>
      </c>
      <c r="BB6" s="37">
        <f t="shared" si="23"/>
        <v>21031.929581830798</v>
      </c>
      <c r="BC6" s="37">
        <f t="shared" si="24"/>
        <v>20899.620210907251</v>
      </c>
      <c r="BD6" s="37">
        <f t="shared" si="25"/>
        <v>26659.565167867426</v>
      </c>
      <c r="BE6" s="37">
        <f t="shared" si="26"/>
        <v>32549.74926928135</v>
      </c>
    </row>
    <row r="7" spans="1:308" x14ac:dyDescent="0.25">
      <c r="A7" s="2">
        <f>'creep_res-40'!A7</f>
        <v>9.9999999999999994E-12</v>
      </c>
      <c r="B7" s="3">
        <f>'creep_res-40'!O7</f>
        <v>-5.5891380000000002E-4</v>
      </c>
      <c r="C7" s="2">
        <f>IF('Modell einstellen'!$B$2="Ja",creep_res0!O7,creep_res0!C7)</f>
        <v>-5.6168285714285721E-4</v>
      </c>
      <c r="D7" s="2">
        <f>IF('Modell einstellen'!$B$2="Ja",creep_res25!O7,creep_res25!C7)</f>
        <v>-5.6348240000000005E-4</v>
      </c>
      <c r="E7" s="2">
        <f>IF('Modell einstellen'!$B$2="Ja",creep_res50!O7,creep_res50!C7)</f>
        <v>-5.6533814285714286E-4</v>
      </c>
      <c r="F7" s="2">
        <f>IF('Modell einstellen'!$B$2="Ja",creep_res80!O7,creep_res80!C7)</f>
        <v>-5.6810754285714291E-4</v>
      </c>
      <c r="G7" s="2">
        <f>IF('Modell einstellen'!$B$2="Ja",creep_res125!O7,creep_res125!C7)</f>
        <v>-7.2880822857142866E-4</v>
      </c>
      <c r="H7" s="2">
        <f>IF('Modell einstellen'!$B$2="Ja",creep_res160!O7,creep_res160!C7)</f>
        <v>-8.0717060000000005E-4</v>
      </c>
      <c r="M7" s="9">
        <f t="shared" si="27"/>
        <v>-10</v>
      </c>
      <c r="N7" s="2">
        <f t="shared" si="4"/>
        <v>9.9999999999999994E-12</v>
      </c>
      <c r="O7" s="2">
        <f t="shared" si="5"/>
        <v>17891.84664969804</v>
      </c>
      <c r="P7" s="2">
        <f t="shared" si="6"/>
        <v>17803.641098942462</v>
      </c>
      <c r="Q7" s="2">
        <f t="shared" si="7"/>
        <v>17746.783218073891</v>
      </c>
      <c r="R7" s="2">
        <f t="shared" si="8"/>
        <v>17688.528761674112</v>
      </c>
      <c r="S7" s="2">
        <f t="shared" si="9"/>
        <v>17602.301053261344</v>
      </c>
      <c r="T7" s="2">
        <f t="shared" si="10"/>
        <v>13721.030592096184</v>
      </c>
      <c r="U7" s="2">
        <f t="shared" si="11"/>
        <v>12388.954701769366</v>
      </c>
      <c r="Z7" s="2">
        <v>9.9999999999999994E-12</v>
      </c>
      <c r="AA7" s="3">
        <f>IF('Modell einstellen'!$B$2="Ja",'creep_res-40'!P7,'creep_res-40'!L7)</f>
        <v>0.36077248405747009</v>
      </c>
      <c r="AB7" s="2">
        <f>IF('Modell einstellen'!$B$2="Ja",creep_res0!P7,creep_res0!L7)</f>
        <v>0.36035811261057327</v>
      </c>
      <c r="AC7" s="2">
        <f>IF('Modell einstellen'!$B$2="Ja",creep_res25!P7,creep_res25!L7)</f>
        <v>0.36009474551214277</v>
      </c>
      <c r="AD7" s="2">
        <f>IF('Modell einstellen'!$B$2="Ja",creep_res50!P7,creep_res50!L7)</f>
        <v>0.35982794115380251</v>
      </c>
      <c r="AE7" s="2">
        <f>IF('Modell einstellen'!$B$2="Ja",creep_res80!P7,creep_res80!L7)</f>
        <v>0.35971877859745266</v>
      </c>
      <c r="AF7" s="2">
        <f>IF('Modell einstellen'!$B$2="Ja",creep_res125!P7,creep_res125!L7)</f>
        <v>0.42303450549092125</v>
      </c>
      <c r="AG7" s="2">
        <f>IF('Modell einstellen'!$B$2="Ja",creep_res160!P7,creep_res160!L7)</f>
        <v>0.44912640347830879</v>
      </c>
      <c r="AL7" s="2">
        <f t="shared" si="12"/>
        <v>9.9999999999999994E-12</v>
      </c>
      <c r="AM7" s="2">
        <f t="shared" si="13"/>
        <v>6574.1506604943988</v>
      </c>
      <c r="AN7" s="2">
        <f t="shared" si="14"/>
        <v>6543.7332030080934</v>
      </c>
      <c r="AO7" s="2">
        <f t="shared" si="15"/>
        <v>6524.0981470711258</v>
      </c>
      <c r="AP7" s="2">
        <f t="shared" si="16"/>
        <v>6503.9584150129849</v>
      </c>
      <c r="AQ7" s="2">
        <f t="shared" si="17"/>
        <v>6472.7726535549082</v>
      </c>
      <c r="AR7" s="2">
        <f t="shared" si="18"/>
        <v>4821.046341164677</v>
      </c>
      <c r="AS7" s="2">
        <f t="shared" si="19"/>
        <v>4274.6287252900811</v>
      </c>
      <c r="AX7" s="2">
        <f t="shared" si="28"/>
        <v>9.9999999999999994E-12</v>
      </c>
      <c r="AY7" s="37">
        <f t="shared" si="20"/>
        <v>21417.996445812005</v>
      </c>
      <c r="AZ7" s="37">
        <f t="shared" si="21"/>
        <v>21249.165074770277</v>
      </c>
      <c r="BA7" s="37">
        <f t="shared" si="22"/>
        <v>21141.430419034266</v>
      </c>
      <c r="BB7" s="37">
        <f t="shared" si="23"/>
        <v>21031.924273727393</v>
      </c>
      <c r="BC7" s="37">
        <f t="shared" si="24"/>
        <v>20913.111625908266</v>
      </c>
      <c r="BD7" s="37">
        <f t="shared" si="25"/>
        <v>29712.515284966801</v>
      </c>
      <c r="BE7" s="37">
        <f t="shared" si="26"/>
        <v>40587.375864960486</v>
      </c>
    </row>
    <row r="8" spans="1:308" x14ac:dyDescent="0.25">
      <c r="A8" s="2">
        <f>'creep_res-40'!A8</f>
        <v>1E-10</v>
      </c>
      <c r="B8" s="3">
        <f>'creep_res-40'!O8</f>
        <v>-5.5891388571428573E-4</v>
      </c>
      <c r="C8" s="2">
        <f>IF('Modell einstellen'!$B$2="Ja",creep_res0!O8,creep_res0!C8)</f>
        <v>-5.6168294285714293E-4</v>
      </c>
      <c r="D8" s="2">
        <f>IF('Modell einstellen'!$B$2="Ja",creep_res25!O8,creep_res25!C8)</f>
        <v>-5.6348248571428576E-4</v>
      </c>
      <c r="E8" s="2">
        <f>IF('Modell einstellen'!$B$2="Ja",creep_res50!O8,creep_res50!C8)</f>
        <v>-5.6533822857142858E-4</v>
      </c>
      <c r="F8" s="2">
        <f>IF('Modell einstellen'!$B$2="Ja",creep_res80!O8,creep_res80!C8)</f>
        <v>-5.7162008571428572E-4</v>
      </c>
      <c r="G8" s="2">
        <f>IF('Modell einstellen'!$B$2="Ja",creep_res125!O8,creep_res125!C8)</f>
        <v>-7.6696551428571426E-4</v>
      </c>
      <c r="H8" s="2">
        <f>IF('Modell einstellen'!$B$2="Ja",creep_res160!O8,creep_res160!C8)</f>
        <v>-8.6432000000000013E-4</v>
      </c>
      <c r="M8" s="9">
        <f t="shared" si="27"/>
        <v>-10</v>
      </c>
      <c r="N8" s="2">
        <f t="shared" si="4"/>
        <v>1E-10</v>
      </c>
      <c r="O8" s="2">
        <f t="shared" si="5"/>
        <v>17891.843905828377</v>
      </c>
      <c r="P8" s="2">
        <f t="shared" si="6"/>
        <v>17803.638382060279</v>
      </c>
      <c r="Q8" s="2">
        <f t="shared" si="7"/>
        <v>17746.78051851732</v>
      </c>
      <c r="R8" s="2">
        <f t="shared" si="8"/>
        <v>17688.526079811236</v>
      </c>
      <c r="S8" s="2">
        <f t="shared" si="9"/>
        <v>17494.13684003806</v>
      </c>
      <c r="T8" s="2">
        <f t="shared" si="10"/>
        <v>13038.395877959572</v>
      </c>
      <c r="U8" s="2">
        <f t="shared" si="11"/>
        <v>11569.788967049239</v>
      </c>
      <c r="Z8" s="2">
        <v>1E-10</v>
      </c>
      <c r="AA8" s="3">
        <f>IF('Modell einstellen'!$B$2="Ja",'creep_res-40'!P8,'creep_res-40'!L8)</f>
        <v>0.36077249518530485</v>
      </c>
      <c r="AB8" s="2">
        <f>IF('Modell einstellen'!$B$2="Ja",creep_res0!P8,creep_res0!L8)</f>
        <v>0.36035812374678278</v>
      </c>
      <c r="AC8" s="2">
        <f>IF('Modell einstellen'!$B$2="Ja",creep_res25!P8,creep_res25!L8)</f>
        <v>0.36009475665284973</v>
      </c>
      <c r="AD8" s="2">
        <f>IF('Modell einstellen'!$B$2="Ja",creep_res50!P8,creep_res50!L8)</f>
        <v>0.3598279674599853</v>
      </c>
      <c r="AE8" s="2">
        <f>IF('Modell einstellen'!$B$2="Ja",creep_res80!P8,creep_res80!L8)</f>
        <v>0.36134311585472129</v>
      </c>
      <c r="AF8" s="2">
        <f>IF('Modell einstellen'!$B$2="Ja",creep_res125!P8,creep_res125!L8)</f>
        <v>0.4374204494871497</v>
      </c>
      <c r="AG8" s="2">
        <f>IF('Modell einstellen'!$B$2="Ja",creep_res160!P8,creep_res160!L8)</f>
        <v>0.4689348191146136</v>
      </c>
      <c r="AL8" s="2">
        <f t="shared" si="12"/>
        <v>1E-10</v>
      </c>
      <c r="AM8" s="2">
        <f t="shared" si="13"/>
        <v>6574.149598530772</v>
      </c>
      <c r="AN8" s="2">
        <f t="shared" si="14"/>
        <v>6543.7321508487757</v>
      </c>
      <c r="AO8" s="2">
        <f t="shared" si="15"/>
        <v>6524.0971012165301</v>
      </c>
      <c r="AP8" s="2">
        <f t="shared" si="16"/>
        <v>6503.9573030886877</v>
      </c>
      <c r="AQ8" s="2">
        <f t="shared" si="17"/>
        <v>6425.3224026678754</v>
      </c>
      <c r="AR8" s="2">
        <f t="shared" si="18"/>
        <v>4535.3452020984814</v>
      </c>
      <c r="AS8" s="2">
        <f t="shared" si="19"/>
        <v>3938.1560081824523</v>
      </c>
      <c r="AX8" s="2">
        <f t="shared" si="28"/>
        <v>1E-10</v>
      </c>
      <c r="AY8" s="37">
        <f t="shared" si="20"/>
        <v>21417.994873021591</v>
      </c>
      <c r="AZ8" s="37">
        <f t="shared" si="21"/>
        <v>21249.163526677763</v>
      </c>
      <c r="BA8" s="37">
        <f t="shared" si="22"/>
        <v>21141.428886599821</v>
      </c>
      <c r="BB8" s="37">
        <f t="shared" si="23"/>
        <v>21031.925032027721</v>
      </c>
      <c r="BC8" s="37">
        <f t="shared" si="24"/>
        <v>21028.090248189499</v>
      </c>
      <c r="BD8" s="37">
        <f t="shared" si="25"/>
        <v>34724.857590878732</v>
      </c>
      <c r="BE8" s="37">
        <f t="shared" si="26"/>
        <v>62072.651960059178</v>
      </c>
    </row>
    <row r="9" spans="1:308" x14ac:dyDescent="0.25">
      <c r="A9" s="2">
        <f>'creep_res-40'!A9</f>
        <v>1.0000000000000001E-9</v>
      </c>
      <c r="B9" s="3">
        <f>'creep_res-40'!O9</f>
        <v>-5.5891391428571438E-4</v>
      </c>
      <c r="C9" s="2">
        <f>IF('Modell einstellen'!$B$2="Ja",creep_res0!O9,creep_res0!C9)</f>
        <v>-5.6168297142857146E-4</v>
      </c>
      <c r="D9" s="2">
        <f>IF('Modell einstellen'!$B$2="Ja",creep_res25!O9,creep_res25!C9)</f>
        <v>-5.634825142857143E-4</v>
      </c>
      <c r="E9" s="2">
        <f>IF('Modell einstellen'!$B$2="Ja",creep_res50!O9,creep_res50!C9)</f>
        <v>-5.6533842857142854E-4</v>
      </c>
      <c r="F9" s="2">
        <f>IF('Modell einstellen'!$B$2="Ja",creep_res80!O9,creep_res80!C9)</f>
        <v>-5.8276582857142865E-4</v>
      </c>
      <c r="G9" s="2">
        <f>IF('Modell einstellen'!$B$2="Ja",creep_res125!O9,creep_res125!C9)</f>
        <v>-8.1310145714285709E-4</v>
      </c>
      <c r="H9" s="2">
        <f>IF('Modell einstellen'!$B$2="Ja",creep_res160!O9,creep_res160!C9)</f>
        <v>-9.5559037142857147E-4</v>
      </c>
      <c r="M9" s="9">
        <f t="shared" si="27"/>
        <v>-10</v>
      </c>
      <c r="N9" s="2">
        <f t="shared" si="4"/>
        <v>1.0000000000000001E-9</v>
      </c>
      <c r="O9" s="2">
        <f t="shared" si="5"/>
        <v>17891.84299120534</v>
      </c>
      <c r="P9" s="2">
        <f t="shared" si="6"/>
        <v>17803.637476433069</v>
      </c>
      <c r="Q9" s="2">
        <f t="shared" si="7"/>
        <v>17746.77961866531</v>
      </c>
      <c r="R9" s="2">
        <f t="shared" si="8"/>
        <v>17688.519822134353</v>
      </c>
      <c r="S9" s="2">
        <f t="shared" si="9"/>
        <v>17159.551074766416</v>
      </c>
      <c r="T9" s="2">
        <f t="shared" si="10"/>
        <v>12298.588216947519</v>
      </c>
      <c r="U9" s="2">
        <f t="shared" si="11"/>
        <v>10464.734994190427</v>
      </c>
      <c r="Z9" s="2">
        <v>1.0000000000000001E-9</v>
      </c>
      <c r="AA9" s="3">
        <f>IF('Modell einstellen'!$B$2="Ja",'creep_res-40'!P9,'creep_res-40'!L9)</f>
        <v>0.36077249719059723</v>
      </c>
      <c r="AB9" s="2">
        <f>IF('Modell einstellen'!$B$2="Ja",creep_res0!P9,creep_res0!L9)</f>
        <v>0.36035812576326737</v>
      </c>
      <c r="AC9" s="2">
        <f>IF('Modell einstellen'!$B$2="Ja",creep_res25!P9,creep_res25!L9)</f>
        <v>0.36009475867624846</v>
      </c>
      <c r="AD9" s="2">
        <f>IF('Modell einstellen'!$B$2="Ja",creep_res50!P9,creep_res50!L9)</f>
        <v>0.35982804231801491</v>
      </c>
      <c r="AE9" s="2">
        <f>IF('Modell einstellen'!$B$2="Ja",creep_res80!P9,creep_res80!L9)</f>
        <v>0.3661764362691331</v>
      </c>
      <c r="AF9" s="2">
        <f>IF('Modell einstellen'!$B$2="Ja",creep_res125!P9,creep_res125!L9)</f>
        <v>0.45425193995295127</v>
      </c>
      <c r="AG9" s="2">
        <f>IF('Modell einstellen'!$B$2="Ja",creep_res160!P9,creep_res160!L9)</f>
        <v>0.49856189126823414</v>
      </c>
      <c r="AL9" s="2">
        <f t="shared" si="12"/>
        <v>1.0000000000000001E-9</v>
      </c>
      <c r="AM9" s="2">
        <f t="shared" si="13"/>
        <v>6574.1492527752453</v>
      </c>
      <c r="AN9" s="2">
        <f t="shared" si="14"/>
        <v>6543.7318082853499</v>
      </c>
      <c r="AO9" s="2">
        <f t="shared" si="15"/>
        <v>6524.0967607058046</v>
      </c>
      <c r="AP9" s="2">
        <f t="shared" si="16"/>
        <v>6503.9546441408229</v>
      </c>
      <c r="AQ9" s="2">
        <f t="shared" si="17"/>
        <v>6280.1372572444334</v>
      </c>
      <c r="AR9" s="2">
        <f t="shared" si="18"/>
        <v>4228.4929725950406</v>
      </c>
      <c r="AS9" s="2">
        <f t="shared" si="19"/>
        <v>3491.5925245283374</v>
      </c>
      <c r="AX9" s="2">
        <f t="shared" si="28"/>
        <v>1.0000000000000001E-9</v>
      </c>
      <c r="AY9" s="37">
        <f t="shared" si="20"/>
        <v>21417.994086626455</v>
      </c>
      <c r="AZ9" s="37">
        <f t="shared" si="21"/>
        <v>21249.162752631597</v>
      </c>
      <c r="BA9" s="37">
        <f t="shared" si="22"/>
        <v>21141.428120382676</v>
      </c>
      <c r="BB9" s="37">
        <f t="shared" si="23"/>
        <v>21031.928823530161</v>
      </c>
      <c r="BC9" s="37">
        <f t="shared" si="24"/>
        <v>21370.863989837715</v>
      </c>
      <c r="BD9" s="37">
        <f t="shared" si="25"/>
        <v>44805.499964731716</v>
      </c>
      <c r="BE9" s="37">
        <f t="shared" si="26"/>
        <v>1212789.0336150853</v>
      </c>
    </row>
    <row r="10" spans="1:308" x14ac:dyDescent="0.25">
      <c r="A10" s="2">
        <f>'creep_res-40'!A10</f>
        <v>1E-8</v>
      </c>
      <c r="B10" s="3">
        <f>'creep_res-40'!O10</f>
        <v>-5.5891391428571438E-4</v>
      </c>
      <c r="C10" s="2">
        <f>IF('Modell einstellen'!$B$2="Ja",creep_res0!O10,creep_res0!C10)</f>
        <v>-5.6168297142857146E-4</v>
      </c>
      <c r="D10" s="2">
        <f>IF('Modell einstellen'!$B$2="Ja",creep_res25!O10,creep_res25!C10)</f>
        <v>-5.634825142857143E-4</v>
      </c>
      <c r="E10" s="2">
        <f>IF('Modell einstellen'!$B$2="Ja",creep_res50!O10,creep_res50!C10)</f>
        <v>-5.6534002857142865E-4</v>
      </c>
      <c r="F10" s="2">
        <f>IF('Modell einstellen'!$B$2="Ja",creep_res80!O10,creep_res80!C10)</f>
        <v>-5.9470314285714281E-4</v>
      </c>
      <c r="G10" s="2">
        <f>IF('Modell einstellen'!$B$2="Ja",creep_res125!O10,creep_res125!C10)</f>
        <v>-8.7520179999999999E-4</v>
      </c>
      <c r="H10" s="2">
        <f>IF('Modell einstellen'!$B$2="Ja",creep_res160!O10,creep_res160!C10)</f>
        <v>-1.1032781142857142E-3</v>
      </c>
      <c r="M10" s="9">
        <f t="shared" si="27"/>
        <v>-10</v>
      </c>
      <c r="N10" s="2">
        <f t="shared" si="4"/>
        <v>1E-8</v>
      </c>
      <c r="O10" s="2">
        <f t="shared" si="5"/>
        <v>17891.84299120534</v>
      </c>
      <c r="P10" s="2">
        <f t="shared" si="6"/>
        <v>17803.637476433069</v>
      </c>
      <c r="Q10" s="2">
        <f t="shared" si="7"/>
        <v>17746.77961866531</v>
      </c>
      <c r="R10" s="2">
        <f t="shared" si="8"/>
        <v>17688.46976087867</v>
      </c>
      <c r="S10" s="2">
        <f t="shared" si="9"/>
        <v>16815.112077526315</v>
      </c>
      <c r="T10" s="2">
        <f t="shared" si="10"/>
        <v>11425.936281209659</v>
      </c>
      <c r="U10" s="2">
        <f t="shared" si="11"/>
        <v>9063.8977339582361</v>
      </c>
      <c r="Z10" s="2">
        <v>1E-8</v>
      </c>
      <c r="AA10" s="3">
        <f>IF('Modell einstellen'!$B$2="Ja",'creep_res-40'!P10,'creep_res-40'!L10)</f>
        <v>0.36077250741450745</v>
      </c>
      <c r="AB10" s="2">
        <f>IF('Modell einstellen'!$B$2="Ja",creep_res0!P10,creep_res0!L10)</f>
        <v>0.36035813593677452</v>
      </c>
      <c r="AC10" s="2">
        <f>IF('Modell einstellen'!$B$2="Ja",creep_res25!P10,creep_res25!L10)</f>
        <v>0.36009476881726538</v>
      </c>
      <c r="AD10" s="2">
        <f>IF('Modell einstellen'!$B$2="Ja",creep_res50!P10,creep_res50!L10)</f>
        <v>0.3598287927957996</v>
      </c>
      <c r="AE10" s="2">
        <f>IF('Modell einstellen'!$B$2="Ja",creep_res80!P10,creep_res80!L10)</f>
        <v>0.37137588933926702</v>
      </c>
      <c r="AF10" s="2">
        <f>IF('Modell einstellen'!$B$2="Ja",creep_res125!P10,creep_res125!L10)</f>
        <v>0.47583559749142595</v>
      </c>
      <c r="AG10" s="2">
        <f>IF('Modell einstellen'!$B$2="Ja",creep_res160!P10,creep_res160!L10)</f>
        <v>0.54171656342369212</v>
      </c>
      <c r="AL10" s="2">
        <f t="shared" si="12"/>
        <v>1E-8</v>
      </c>
      <c r="AM10" s="2">
        <f t="shared" si="13"/>
        <v>6574.149203381603</v>
      </c>
      <c r="AN10" s="2">
        <f t="shared" si="14"/>
        <v>6543.7317593477201</v>
      </c>
      <c r="AO10" s="2">
        <f t="shared" si="15"/>
        <v>6524.0967120614177</v>
      </c>
      <c r="AP10" s="2">
        <f t="shared" si="16"/>
        <v>6503.932647473689</v>
      </c>
      <c r="AQ10" s="2">
        <f t="shared" si="17"/>
        <v>6130.7451181848783</v>
      </c>
      <c r="AR10" s="2">
        <f t="shared" si="18"/>
        <v>3871.0057883923755</v>
      </c>
      <c r="AS10" s="2">
        <f t="shared" si="19"/>
        <v>2939.5473684961994</v>
      </c>
      <c r="AX10" s="2">
        <f t="shared" si="28"/>
        <v>1E-8</v>
      </c>
      <c r="AY10" s="37">
        <f t="shared" si="20"/>
        <v>21417.995659416745</v>
      </c>
      <c r="AZ10" s="37">
        <f t="shared" si="21"/>
        <v>21249.164300724002</v>
      </c>
      <c r="BA10" s="37">
        <f t="shared" si="22"/>
        <v>21141.429652817013</v>
      </c>
      <c r="BB10" s="37">
        <f t="shared" si="23"/>
        <v>21031.981904707714</v>
      </c>
      <c r="BC10" s="37">
        <f t="shared" si="24"/>
        <v>21788.439703811193</v>
      </c>
      <c r="BD10" s="37">
        <f t="shared" si="25"/>
        <v>78806.943927508604</v>
      </c>
      <c r="BE10" s="37">
        <f t="shared" si="26"/>
        <v>-36212.225992432257</v>
      </c>
    </row>
    <row r="11" spans="1:308" x14ac:dyDescent="0.25">
      <c r="A11" s="2">
        <f>'creep_res-40'!A11</f>
        <v>9.9999999999999995E-8</v>
      </c>
      <c r="B11" s="3">
        <f>'creep_res-40'!O11</f>
        <v>-5.5891391428571438E-4</v>
      </c>
      <c r="C11" s="2">
        <f>IF('Modell einstellen'!$B$2="Ja",creep_res0!O11,creep_res0!C11)</f>
        <v>-5.61683E-4</v>
      </c>
      <c r="D11" s="2">
        <f>IF('Modell einstellen'!$B$2="Ja",creep_res25!O11,creep_res25!C11)</f>
        <v>-5.6348254285714294E-4</v>
      </c>
      <c r="E11" s="2">
        <f>IF('Modell einstellen'!$B$2="Ja",creep_res50!O11,creep_res50!C11)</f>
        <v>-5.6535597142857151E-4</v>
      </c>
      <c r="F11" s="2">
        <f>IF('Modell einstellen'!$B$2="Ja",creep_res80!O11,creep_res80!C11)</f>
        <v>-6.0905660000000006E-4</v>
      </c>
      <c r="G11" s="2">
        <f>IF('Modell einstellen'!$B$2="Ja",creep_res125!O11,creep_res125!C11)</f>
        <v>-9.7467042857142863E-4</v>
      </c>
      <c r="H11" s="2">
        <f>IF('Modell einstellen'!$B$2="Ja",creep_res160!O11,creep_res160!C11)</f>
        <v>-1.3608547142857144E-3</v>
      </c>
      <c r="M11" s="9">
        <f t="shared" si="27"/>
        <v>-10</v>
      </c>
      <c r="N11" s="2">
        <f t="shared" si="4"/>
        <v>9.9999999999999995E-8</v>
      </c>
      <c r="O11" s="2">
        <f t="shared" si="5"/>
        <v>17891.84299120534</v>
      </c>
      <c r="P11" s="2">
        <f t="shared" si="6"/>
        <v>17803.636570805953</v>
      </c>
      <c r="Q11" s="2">
        <f t="shared" si="7"/>
        <v>17746.778718813392</v>
      </c>
      <c r="R11" s="2">
        <f t="shared" si="8"/>
        <v>17687.970951702286</v>
      </c>
      <c r="S11" s="2">
        <f t="shared" si="9"/>
        <v>16418.835293796994</v>
      </c>
      <c r="T11" s="2">
        <f t="shared" si="10"/>
        <v>10259.878320774509</v>
      </c>
      <c r="U11" s="2">
        <f t="shared" si="11"/>
        <v>7348.3230024659915</v>
      </c>
      <c r="Z11" s="2">
        <v>9.9999999999999995E-8</v>
      </c>
      <c r="AA11" s="3">
        <f>IF('Modell einstellen'!$B$2="Ja",'creep_res-40'!P11,'creep_res-40'!L11)</f>
        <v>0.36077250741450745</v>
      </c>
      <c r="AB11" s="2">
        <f>IF('Modell einstellen'!$B$2="Ja",creep_res0!P11,creep_res0!L11)</f>
        <v>0.36035811760624514</v>
      </c>
      <c r="AC11" s="2">
        <f>IF('Modell einstellen'!$B$2="Ja",creep_res25!P11,creep_res25!L11)</f>
        <v>0.36009477084066338</v>
      </c>
      <c r="AD11" s="2">
        <f>IF('Modell einstellen'!$B$2="Ja",creep_res50!P11,creep_res50!L11)</f>
        <v>0.35983629328050659</v>
      </c>
      <c r="AE11" s="2">
        <f>IF('Modell einstellen'!$B$2="Ja",creep_res80!P11,creep_res80!L11)</f>
        <v>0.37754390267552423</v>
      </c>
      <c r="AF11" s="2">
        <f>IF('Modell einstellen'!$B$2="Ja",creep_res125!P11,creep_res125!L11)</f>
        <v>0.50802672786244374</v>
      </c>
      <c r="AG11" s="2">
        <f>IF('Modell einstellen'!$B$2="Ja",creep_res160!P11,creep_res160!L11)</f>
        <v>0.60421243665876778</v>
      </c>
      <c r="AL11" s="2">
        <f t="shared" si="12"/>
        <v>9.9999999999999995E-8</v>
      </c>
      <c r="AM11" s="2">
        <f t="shared" si="13"/>
        <v>6574.149203381603</v>
      </c>
      <c r="AN11" s="2">
        <f t="shared" si="14"/>
        <v>6543.7315146595847</v>
      </c>
      <c r="AO11" s="2">
        <f t="shared" si="15"/>
        <v>6524.0963715507314</v>
      </c>
      <c r="AP11" s="2">
        <f t="shared" si="16"/>
        <v>6503.7133657579243</v>
      </c>
      <c r="AQ11" s="2">
        <f t="shared" si="17"/>
        <v>5959.459898848826</v>
      </c>
      <c r="AR11" s="2">
        <f t="shared" si="18"/>
        <v>3401.7561264704505</v>
      </c>
      <c r="AS11" s="2">
        <f t="shared" si="19"/>
        <v>2290.3210430692648</v>
      </c>
      <c r="AX11" s="2">
        <f t="shared" si="28"/>
        <v>9.9999999999999995E-8</v>
      </c>
      <c r="AY11" s="37">
        <f t="shared" si="20"/>
        <v>21417.995659416745</v>
      </c>
      <c r="AZ11" s="37">
        <f t="shared" si="21"/>
        <v>21249.160430493426</v>
      </c>
      <c r="BA11" s="37">
        <f t="shared" si="22"/>
        <v>21141.42888659981</v>
      </c>
      <c r="BB11" s="37">
        <f t="shared" si="23"/>
        <v>21032.514247905889</v>
      </c>
      <c r="BC11" s="37">
        <f t="shared" si="24"/>
        <v>22346.560185690454</v>
      </c>
      <c r="BD11" s="37">
        <f t="shared" si="25"/>
        <v>-213035.71635085696</v>
      </c>
      <c r="BE11" s="37">
        <f t="shared" si="26"/>
        <v>-11752.153002824527</v>
      </c>
    </row>
    <row r="12" spans="1:308" x14ac:dyDescent="0.25">
      <c r="A12" s="2">
        <f>'creep_res-40'!A12</f>
        <v>9.9999999999999995E-7</v>
      </c>
      <c r="B12" s="3">
        <f>'creep_res-40'!O12</f>
        <v>-5.5891391428571438E-4</v>
      </c>
      <c r="C12" s="2">
        <f>IF('Modell einstellen'!$B$2="Ja",creep_res0!O12,creep_res0!C12)</f>
        <v>-5.61683E-4</v>
      </c>
      <c r="D12" s="2">
        <f>IF('Modell einstellen'!$B$2="Ja",creep_res25!O12,creep_res25!C12)</f>
        <v>-5.6348271428571437E-4</v>
      </c>
      <c r="E12" s="2">
        <f>IF('Modell einstellen'!$B$2="Ja",creep_res50!O12,creep_res50!C12)</f>
        <v>-5.6551417142857146E-4</v>
      </c>
      <c r="F12" s="2">
        <f>IF('Modell einstellen'!$B$2="Ja",creep_res80!O12,creep_res80!C12)</f>
        <v>-6.2686451428571436E-4</v>
      </c>
      <c r="G12" s="2">
        <f>IF('Modell einstellen'!$B$2="Ja",creep_res125!O12,creep_res125!C12)</f>
        <v>-1.1375140571428571E-3</v>
      </c>
      <c r="H12" s="2">
        <f>IF('Modell einstellen'!$B$2="Ja",creep_res160!O12,creep_res160!C12)</f>
        <v>-1.8943430571428572E-3</v>
      </c>
      <c r="M12" s="9">
        <f t="shared" si="27"/>
        <v>-10</v>
      </c>
      <c r="N12" s="2">
        <f t="shared" si="4"/>
        <v>9.9999999999999995E-7</v>
      </c>
      <c r="O12" s="2">
        <f t="shared" si="5"/>
        <v>17891.84299120534</v>
      </c>
      <c r="P12" s="2">
        <f t="shared" si="6"/>
        <v>17803.636570805953</v>
      </c>
      <c r="Q12" s="2">
        <f t="shared" si="7"/>
        <v>17746.773319703811</v>
      </c>
      <c r="R12" s="2">
        <f t="shared" si="8"/>
        <v>17683.02282282076</v>
      </c>
      <c r="S12" s="2">
        <f t="shared" si="9"/>
        <v>15952.410404654309</v>
      </c>
      <c r="T12" s="2">
        <f t="shared" si="10"/>
        <v>8791.100151427956</v>
      </c>
      <c r="U12" s="2">
        <f t="shared" si="11"/>
        <v>5278.8748913739519</v>
      </c>
      <c r="Z12" s="2">
        <v>9.9999999999999995E-7</v>
      </c>
      <c r="AA12" s="3">
        <f>IF('Modell einstellen'!$B$2="Ja",'creep_res-40'!P12,'creep_res-40'!L12)</f>
        <v>0.36077250741450745</v>
      </c>
      <c r="AB12" s="2">
        <f>IF('Modell einstellen'!$B$2="Ja",creep_res0!P12,creep_res0!L12)</f>
        <v>0.36035812269299844</v>
      </c>
      <c r="AC12" s="2">
        <f>IF('Modell einstellen'!$B$2="Ja",creep_res25!P12,creep_res25!L12)</f>
        <v>0.36009486410915376</v>
      </c>
      <c r="AD12" s="2">
        <f>IF('Modell einstellen'!$B$2="Ja",creep_res50!P12,creep_res50!L12)</f>
        <v>0.35991086948130546</v>
      </c>
      <c r="AE12" s="2">
        <f>IF('Modell einstellen'!$B$2="Ja",creep_res80!P12,creep_res80!L12)</f>
        <v>0.38508679341874646</v>
      </c>
      <c r="AF12" s="2">
        <f>IF('Modell einstellen'!$B$2="Ja",creep_res125!P12,creep_res125!L12)</f>
        <v>0.55481705569880313</v>
      </c>
      <c r="AG12" s="2">
        <f>IF('Modell einstellen'!$B$2="Ja",creep_res160!P12,creep_res160!L12)</f>
        <v>0.69534610015651555</v>
      </c>
      <c r="AL12" s="2">
        <f t="shared" si="12"/>
        <v>9.9999999999999995E-7</v>
      </c>
      <c r="AM12" s="2">
        <f t="shared" si="13"/>
        <v>6574.149203381603</v>
      </c>
      <c r="AN12" s="2">
        <f t="shared" si="14"/>
        <v>6543.731490190773</v>
      </c>
      <c r="AO12" s="2">
        <f t="shared" si="15"/>
        <v>6524.0939393325853</v>
      </c>
      <c r="AP12" s="2">
        <f t="shared" si="16"/>
        <v>6501.5374241274303</v>
      </c>
      <c r="AQ12" s="2">
        <f t="shared" si="17"/>
        <v>5758.6320512376351</v>
      </c>
      <c r="AR12" s="2">
        <f t="shared" si="18"/>
        <v>2827.0529060658037</v>
      </c>
      <c r="AS12" s="2">
        <f t="shared" si="19"/>
        <v>1556.8723374202477</v>
      </c>
      <c r="AX12" s="2">
        <f t="shared" si="28"/>
        <v>9.9999999999999995E-7</v>
      </c>
      <c r="AY12" s="37">
        <f t="shared" si="20"/>
        <v>21417.995659416745</v>
      </c>
      <c r="AZ12" s="37">
        <f t="shared" si="21"/>
        <v>21249.161204539429</v>
      </c>
      <c r="BA12" s="37">
        <f t="shared" si="22"/>
        <v>21141.436548774276</v>
      </c>
      <c r="BB12" s="37">
        <f t="shared" si="23"/>
        <v>21037.823987899148</v>
      </c>
      <c r="BC12" s="37">
        <f t="shared" si="24"/>
        <v>23136.897372735224</v>
      </c>
      <c r="BD12" s="37">
        <f t="shared" si="25"/>
        <v>-26728.603714542747</v>
      </c>
      <c r="BE12" s="37">
        <f t="shared" si="26"/>
        <v>-4503.8650947765718</v>
      </c>
    </row>
    <row r="13" spans="1:308" x14ac:dyDescent="0.25">
      <c r="A13" s="2">
        <f>'creep_res-40'!A13</f>
        <v>1.0000000000000001E-5</v>
      </c>
      <c r="B13" s="3">
        <f>'creep_res-40'!O13</f>
        <v>-5.5891391428571438E-4</v>
      </c>
      <c r="C13" s="2">
        <f>IF('Modell einstellen'!$B$2="Ja",creep_res0!O13,creep_res0!C13)</f>
        <v>-5.61683E-4</v>
      </c>
      <c r="D13" s="2">
        <f>IF('Modell einstellen'!$B$2="Ja",creep_res25!O13,creep_res25!C13)</f>
        <v>-5.6348448571428569E-4</v>
      </c>
      <c r="E13" s="2">
        <f>IF('Modell einstellen'!$B$2="Ja",creep_res50!O13,creep_res50!C13)</f>
        <v>-5.6699531428571425E-4</v>
      </c>
      <c r="F13" s="2">
        <f>IF('Modell einstellen'!$B$2="Ja",creep_res80!O13,creep_res80!C13)</f>
        <v>-6.4622380000000008E-4</v>
      </c>
      <c r="G13" s="2">
        <f>IF('Modell einstellen'!$B$2="Ja",creep_res125!O13,creep_res125!C13)</f>
        <v>-1.4322549714285717E-3</v>
      </c>
      <c r="H13" s="2">
        <f>IF('Modell einstellen'!$B$2="Ja",creep_res160!O13,creep_res160!C13)</f>
        <v>-2.9633485714285718E-3</v>
      </c>
      <c r="M13" s="9">
        <f t="shared" si="27"/>
        <v>-10</v>
      </c>
      <c r="N13" s="2">
        <f t="shared" si="4"/>
        <v>1.0000000000000001E-5</v>
      </c>
      <c r="O13" s="2">
        <f t="shared" si="5"/>
        <v>17891.84299120534</v>
      </c>
      <c r="P13" s="2">
        <f t="shared" si="6"/>
        <v>17803.636570805953</v>
      </c>
      <c r="Q13" s="2">
        <f t="shared" si="7"/>
        <v>17746.717529097139</v>
      </c>
      <c r="R13" s="2">
        <f t="shared" si="8"/>
        <v>17636.830054932176</v>
      </c>
      <c r="S13" s="2">
        <f t="shared" si="9"/>
        <v>15474.515175702285</v>
      </c>
      <c r="T13" s="2">
        <f t="shared" si="10"/>
        <v>6981.997060220162</v>
      </c>
      <c r="U13" s="2">
        <f t="shared" si="11"/>
        <v>3374.5608250126302</v>
      </c>
      <c r="Z13" s="2">
        <v>1.0000000000000001E-5</v>
      </c>
      <c r="AA13" s="3">
        <f>IF('Modell einstellen'!$B$2="Ja",'creep_res-40'!P13,'creep_res-40'!L13)</f>
        <v>0.3607725125264627</v>
      </c>
      <c r="AB13" s="2">
        <f>IF('Modell einstellen'!$B$2="Ja",creep_res0!P13,creep_res0!L13)</f>
        <v>0.36035814304001162</v>
      </c>
      <c r="AC13" s="2">
        <f>IF('Modell einstellen'!$B$2="Ja",creep_res25!P13,creep_res25!L13)</f>
        <v>0.36009570449829092</v>
      </c>
      <c r="AD13" s="2">
        <f>IF('Modell einstellen'!$B$2="Ja",creep_res50!P13,creep_res50!L13)</f>
        <v>0.36060759081103017</v>
      </c>
      <c r="AE13" s="2">
        <f>IF('Modell einstellen'!$B$2="Ja",creep_res80!P13,creep_res80!L13)</f>
        <v>0.39316898307631853</v>
      </c>
      <c r="AF13" s="2">
        <f>IF('Modell einstellen'!$B$2="Ja",creep_res125!P13,creep_res125!L13)</f>
        <v>0.62311995765159445</v>
      </c>
      <c r="AG13" s="2">
        <f>IF('Modell einstellen'!$B$2="Ja",creep_res160!P13,creep_res160!L13)</f>
        <v>0.79570910128696104</v>
      </c>
      <c r="AL13" s="2">
        <f t="shared" si="12"/>
        <v>1.0000000000000001E-5</v>
      </c>
      <c r="AM13" s="2">
        <f t="shared" si="13"/>
        <v>6574.1491786847801</v>
      </c>
      <c r="AN13" s="2">
        <f t="shared" si="14"/>
        <v>6543.7313923155243</v>
      </c>
      <c r="AO13" s="2">
        <f t="shared" si="15"/>
        <v>6524.06939835293</v>
      </c>
      <c r="AP13" s="2">
        <f t="shared" si="16"/>
        <v>6481.233154233405</v>
      </c>
      <c r="AQ13" s="2">
        <f t="shared" si="17"/>
        <v>5553.7107715147085</v>
      </c>
      <c r="AR13" s="2">
        <f t="shared" si="18"/>
        <v>2150.7951483518323</v>
      </c>
      <c r="AS13" s="2">
        <f t="shared" si="19"/>
        <v>939.61789874376836</v>
      </c>
      <c r="AX13" s="2">
        <f t="shared" si="28"/>
        <v>1.0000000000000001E-5</v>
      </c>
      <c r="AY13" s="37">
        <f t="shared" si="20"/>
        <v>21417.996445811998</v>
      </c>
      <c r="AZ13" s="37">
        <f t="shared" si="21"/>
        <v>21249.164300723998</v>
      </c>
      <c r="BA13" s="37">
        <f t="shared" si="22"/>
        <v>21141.497080147841</v>
      </c>
      <c r="BB13" s="37">
        <f t="shared" si="23"/>
        <v>21087.745688053081</v>
      </c>
      <c r="BC13" s="37">
        <f t="shared" si="24"/>
        <v>24141.732774663273</v>
      </c>
      <c r="BD13" s="37">
        <f t="shared" si="25"/>
        <v>-9451.4829187669911</v>
      </c>
      <c r="BE13" s="37">
        <f t="shared" si="26"/>
        <v>-1901.9597358384426</v>
      </c>
    </row>
    <row r="14" spans="1:308" x14ac:dyDescent="0.25">
      <c r="A14" s="2">
        <f>'creep_res-40'!A14</f>
        <v>1E-4</v>
      </c>
      <c r="B14" s="3">
        <f>'creep_res-40'!O14</f>
        <v>-5.5891394285714291E-4</v>
      </c>
      <c r="C14" s="2">
        <f>IF('Modell einstellen'!$B$2="Ja",creep_res0!O14,creep_res0!C14)</f>
        <v>-5.6168320000000006E-4</v>
      </c>
      <c r="D14" s="2">
        <f>IF('Modell einstellen'!$B$2="Ja",creep_res25!O14,creep_res25!C14)</f>
        <v>-5.6350217142857144E-4</v>
      </c>
      <c r="E14" s="2">
        <f>IF('Modell einstellen'!$B$2="Ja",creep_res50!O14,creep_res50!C14)</f>
        <v>-5.7573442857142862E-4</v>
      </c>
      <c r="F14" s="2">
        <f>IF('Modell einstellen'!$B$2="Ja",creep_res80!O14,creep_res80!C14)</f>
        <v>-6.724639142857144E-4</v>
      </c>
      <c r="G14" s="2">
        <f>IF('Modell einstellen'!$B$2="Ja",creep_res125!O14,creep_res125!C14)</f>
        <v>-2.0606296285714289E-3</v>
      </c>
      <c r="H14" s="2">
        <f>IF('Modell einstellen'!$B$2="Ja",creep_res160!O14,creep_res160!C14)</f>
        <v>-5.0025814285714291E-3</v>
      </c>
      <c r="M14" s="9">
        <f t="shared" si="27"/>
        <v>-10</v>
      </c>
      <c r="N14" s="2">
        <f t="shared" si="4"/>
        <v>1E-4</v>
      </c>
      <c r="O14" s="2">
        <f t="shared" si="5"/>
        <v>17891.842076582398</v>
      </c>
      <c r="P14" s="2">
        <f t="shared" si="6"/>
        <v>17803.630231418705</v>
      </c>
      <c r="Q14" s="2">
        <f t="shared" si="7"/>
        <v>17746.160542111738</v>
      </c>
      <c r="R14" s="2">
        <f t="shared" si="8"/>
        <v>17369.119343467137</v>
      </c>
      <c r="S14" s="2">
        <f t="shared" si="9"/>
        <v>14870.686422812616</v>
      </c>
      <c r="T14" s="2">
        <f t="shared" si="10"/>
        <v>4852.8856721004695</v>
      </c>
      <c r="U14" s="2">
        <f t="shared" si="11"/>
        <v>1998.967961398215</v>
      </c>
      <c r="Z14" s="2">
        <v>1E-4</v>
      </c>
      <c r="AA14" s="3">
        <f>IF('Modell einstellen'!$B$2="Ja",'creep_res-40'!P14,'creep_res-40'!L14)</f>
        <v>0.36077249919588944</v>
      </c>
      <c r="AB14" s="2">
        <f>IF('Modell einstellen'!$B$2="Ja",creep_res0!P14,creep_res0!L14)</f>
        <v>0.36035822836991183</v>
      </c>
      <c r="AC14" s="2">
        <f>IF('Modell einstellen'!$B$2="Ja",creep_res25!P14,creep_res25!L14)</f>
        <v>0.36010412635753059</v>
      </c>
      <c r="AD14" s="2">
        <f>IF('Modell einstellen'!$B$2="Ja",creep_res50!P14,creep_res50!L14)</f>
        <v>0.36448830450349007</v>
      </c>
      <c r="AE14" s="2">
        <f>IF('Modell einstellen'!$B$2="Ja",creep_res80!P14,creep_res80!L14)</f>
        <v>0.40389726276124766</v>
      </c>
      <c r="AF14" s="2">
        <f>IF('Modell einstellen'!$B$2="Ja",creep_res125!P14,creep_res125!L14)</f>
        <v>0.72024714166073811</v>
      </c>
      <c r="AG14" s="2">
        <f>IF('Modell einstellen'!$B$2="Ja",creep_res160!P14,creep_res160!L14)</f>
        <v>0.87793610555921553</v>
      </c>
      <c r="AL14" s="2">
        <f t="shared" si="12"/>
        <v>1E-4</v>
      </c>
      <c r="AM14" s="2">
        <f t="shared" si="13"/>
        <v>6574.1489070197567</v>
      </c>
      <c r="AN14" s="2">
        <f t="shared" si="14"/>
        <v>6543.7286518097571</v>
      </c>
      <c r="AO14" s="2">
        <f t="shared" si="15"/>
        <v>6523.8242419120506</v>
      </c>
      <c r="AP14" s="2">
        <f t="shared" si="16"/>
        <v>6364.7007036045688</v>
      </c>
      <c r="AQ14" s="2">
        <f t="shared" si="17"/>
        <v>5296.2160470219478</v>
      </c>
      <c r="AR14" s="2">
        <f t="shared" si="18"/>
        <v>1410.5199057082755</v>
      </c>
      <c r="AS14" s="2">
        <f t="shared" si="19"/>
        <v>532.22470015904992</v>
      </c>
      <c r="AX14" s="2">
        <f t="shared" si="28"/>
        <v>1E-4</v>
      </c>
      <c r="AY14" s="37">
        <f t="shared" si="20"/>
        <v>21417.993300231385</v>
      </c>
      <c r="AZ14" s="37">
        <f t="shared" si="21"/>
        <v>21249.169719049183</v>
      </c>
      <c r="BA14" s="37">
        <f t="shared" si="22"/>
        <v>21142.106244278795</v>
      </c>
      <c r="BB14" s="37">
        <f t="shared" si="23"/>
        <v>21362.386569694612</v>
      </c>
      <c r="BC14" s="37">
        <f t="shared" si="24"/>
        <v>25789.564463477425</v>
      </c>
      <c r="BD14" s="37">
        <f t="shared" si="25"/>
        <v>-3672.303179894539</v>
      </c>
      <c r="BE14" s="37">
        <f t="shared" si="26"/>
        <v>-881.52817896754868</v>
      </c>
    </row>
    <row r="15" spans="1:308" x14ac:dyDescent="0.25">
      <c r="A15" s="2">
        <f>'creep_res-40'!A15</f>
        <v>1E-3</v>
      </c>
      <c r="B15" s="3">
        <f>'creep_res-40'!O15</f>
        <v>-5.5891397142857145E-4</v>
      </c>
      <c r="C15" s="2">
        <f>IF('Modell einstellen'!$B$2="Ja",creep_res0!O15,creep_res0!C15)</f>
        <v>-5.6168508571428574E-4</v>
      </c>
      <c r="D15" s="2">
        <f>IF('Modell einstellen'!$B$2="Ja",creep_res25!O15,creep_res25!C15)</f>
        <v>-5.6367762857142858E-4</v>
      </c>
      <c r="E15" s="2">
        <f>IF('Modell einstellen'!$B$2="Ja",creep_res50!O15,creep_res50!C15)</f>
        <v>-5.8701614285714288E-4</v>
      </c>
      <c r="F15" s="2">
        <f>IF('Modell einstellen'!$B$2="Ja",creep_res80!O15,creep_res80!C15)</f>
        <v>-7.0394182857142862E-4</v>
      </c>
      <c r="G15" s="2">
        <f>IF('Modell einstellen'!$B$2="Ja",creep_res125!O15,creep_res125!C15)</f>
        <v>-3.3242445714285712E-3</v>
      </c>
      <c r="H15" s="2">
        <f>IF('Modell einstellen'!$B$2="Ja",creep_res160!O15,creep_res160!C15)</f>
        <v>-8.7717962857142857E-3</v>
      </c>
      <c r="M15" s="9">
        <f t="shared" si="27"/>
        <v>-10</v>
      </c>
      <c r="N15" s="2">
        <f t="shared" si="4"/>
        <v>1E-3</v>
      </c>
      <c r="O15" s="2">
        <f t="shared" si="5"/>
        <v>17891.841161959554</v>
      </c>
      <c r="P15" s="2">
        <f t="shared" si="6"/>
        <v>17803.570460275198</v>
      </c>
      <c r="Q15" s="2">
        <f t="shared" si="7"/>
        <v>17740.636656707073</v>
      </c>
      <c r="R15" s="2">
        <f t="shared" si="8"/>
        <v>17035.306646470905</v>
      </c>
      <c r="S15" s="2">
        <f t="shared" si="9"/>
        <v>14205.719271283941</v>
      </c>
      <c r="T15" s="2">
        <f t="shared" si="10"/>
        <v>3008.2022502040422</v>
      </c>
      <c r="U15" s="2">
        <f t="shared" si="11"/>
        <v>1140.0173549727735</v>
      </c>
      <c r="Z15" s="2">
        <v>1E-3</v>
      </c>
      <c r="AA15" s="3">
        <f>IF('Modell einstellen'!$B$2="Ja",'creep_res-40'!P15,'creep_res-40'!L15)</f>
        <v>0.36077253698486383</v>
      </c>
      <c r="AB15" s="2">
        <f>IF('Modell einstellen'!$B$2="Ja",creep_res0!P15,creep_res0!L15)</f>
        <v>0.36035913464067154</v>
      </c>
      <c r="AC15" s="2">
        <f>IF('Modell einstellen'!$B$2="Ja",creep_res25!P15,creep_res25!L15)</f>
        <v>0.36018776081587062</v>
      </c>
      <c r="AD15" s="2">
        <f>IF('Modell einstellen'!$B$2="Ja",creep_res50!P15,creep_res50!L15)</f>
        <v>0.36949596178055943</v>
      </c>
      <c r="AE15" s="2">
        <f>IF('Modell einstellen'!$B$2="Ja",creep_res80!P15,creep_res80!L15)</f>
        <v>0.4165064126240301</v>
      </c>
      <c r="AF15" s="2">
        <f>IF('Modell einstellen'!$B$2="Ja",creep_res125!P15,creep_res125!L15)</f>
        <v>0.81944840572156641</v>
      </c>
      <c r="AG15" s="2">
        <f>IF('Modell einstellen'!$B$2="Ja",creep_res160!P15,creep_res160!L15)</f>
        <v>0.93476335373171815</v>
      </c>
      <c r="AL15" s="2">
        <f t="shared" si="12"/>
        <v>1E-3</v>
      </c>
      <c r="AM15" s="2">
        <f t="shared" si="13"/>
        <v>6574.1483883865922</v>
      </c>
      <c r="AN15" s="2">
        <f t="shared" si="14"/>
        <v>6543.7023234963144</v>
      </c>
      <c r="AO15" s="2">
        <f t="shared" si="15"/>
        <v>6521.3925487999713</v>
      </c>
      <c r="AP15" s="2">
        <f t="shared" si="16"/>
        <v>6219.55344224686</v>
      </c>
      <c r="AQ15" s="2">
        <f t="shared" si="17"/>
        <v>5014.3504980568096</v>
      </c>
      <c r="AR15" s="2">
        <f t="shared" si="18"/>
        <v>826.67973456797017</v>
      </c>
      <c r="AS15" s="2">
        <f t="shared" si="19"/>
        <v>294.61415856723238</v>
      </c>
      <c r="AX15" s="2">
        <f t="shared" si="28"/>
        <v>1E-3</v>
      </c>
      <c r="AY15" s="37">
        <f t="shared" si="20"/>
        <v>21417.998018602641</v>
      </c>
      <c r="AZ15" s="37">
        <f t="shared" si="21"/>
        <v>21249.236287269807</v>
      </c>
      <c r="BA15" s="37">
        <f t="shared" si="22"/>
        <v>21148.168381910014</v>
      </c>
      <c r="BB15" s="37">
        <f t="shared" si="23"/>
        <v>21755.784825889568</v>
      </c>
      <c r="BC15" s="37">
        <f t="shared" si="24"/>
        <v>28356.906835083992</v>
      </c>
      <c r="BD15" s="37">
        <f t="shared" si="25"/>
        <v>-1569.4773638584659</v>
      </c>
      <c r="BE15" s="37">
        <f t="shared" si="26"/>
        <v>-437.02600705557256</v>
      </c>
    </row>
    <row r="16" spans="1:308" x14ac:dyDescent="0.25">
      <c r="A16" s="2">
        <f>'creep_res-40'!A16</f>
        <v>0.01</v>
      </c>
      <c r="B16" s="3">
        <f>'creep_res-40'!O16</f>
        <v>-5.5891448571428572E-4</v>
      </c>
      <c r="C16" s="2">
        <f>IF('Modell einstellen'!$B$2="Ja",creep_res0!O16,creep_res0!C16)</f>
        <v>-5.617039142857144E-4</v>
      </c>
      <c r="D16" s="2">
        <f>IF('Modell einstellen'!$B$2="Ja",creep_res25!O16,creep_res25!C16)</f>
        <v>-5.6530822857142854E-4</v>
      </c>
      <c r="E16" s="2">
        <f>IF('Modell einstellen'!$B$2="Ja",creep_res50!O16,creep_res50!C16)</f>
        <v>-5.9998348571428575E-4</v>
      </c>
      <c r="F16" s="2">
        <f>IF('Modell einstellen'!$B$2="Ja",creep_res80!O16,creep_res80!C16)</f>
        <v>-7.3808877142857144E-4</v>
      </c>
      <c r="G16" s="2">
        <f>IF('Modell einstellen'!$B$2="Ja",creep_res125!O16,creep_res125!C16)</f>
        <v>-5.6982420000000001E-3</v>
      </c>
      <c r="H16" s="2">
        <f>IF('Modell einstellen'!$B$2="Ja",creep_res160!O16,creep_res160!C16)</f>
        <v>-1.3274090285714286E-2</v>
      </c>
      <c r="M16" s="9">
        <f t="shared" si="27"/>
        <v>-10</v>
      </c>
      <c r="N16" s="2">
        <f t="shared" si="4"/>
        <v>0.01</v>
      </c>
      <c r="O16" s="2">
        <f t="shared" si="5"/>
        <v>17891.824698764292</v>
      </c>
      <c r="P16" s="2">
        <f t="shared" si="6"/>
        <v>17802.973676472251</v>
      </c>
      <c r="Q16" s="2">
        <f t="shared" si="7"/>
        <v>17689.464781488612</v>
      </c>
      <c r="R16" s="2">
        <f t="shared" si="8"/>
        <v>16667.125409451746</v>
      </c>
      <c r="S16" s="2">
        <f t="shared" si="9"/>
        <v>13548.505799166936</v>
      </c>
      <c r="T16" s="2">
        <f t="shared" si="10"/>
        <v>1754.9272214132006</v>
      </c>
      <c r="U16" s="2">
        <f t="shared" si="11"/>
        <v>753.34729422189514</v>
      </c>
      <c r="Z16" s="2">
        <v>0.01</v>
      </c>
      <c r="AA16" s="3">
        <f>IF('Modell einstellen'!$B$2="Ja",'creep_res-40'!P16,'creep_res-40'!L16)</f>
        <v>0.36077279289389885</v>
      </c>
      <c r="AB16" s="2">
        <f>IF('Modell einstellen'!$B$2="Ja",creep_res0!P16,creep_res0!L16)</f>
        <v>0.36036820517082785</v>
      </c>
      <c r="AC16" s="2">
        <f>IF('Modell einstellen'!$B$2="Ja",creep_res25!P16,creep_res25!L16)</f>
        <v>0.36096327323430338</v>
      </c>
      <c r="AD16" s="2">
        <f>IF('Modell einstellen'!$B$2="Ja",creep_res50!P16,creep_res50!L16)</f>
        <v>0.37518023115112409</v>
      </c>
      <c r="AE16" s="2">
        <f>IF('Modell einstellen'!$B$2="Ja",creep_res80!P16,creep_res80!L16)</f>
        <v>0.42985855321235655</v>
      </c>
      <c r="AF16" s="2">
        <f>IF('Modell einstellen'!$B$2="Ja",creep_res125!P16,creep_res125!L16)</f>
        <v>0.89472311936608828</v>
      </c>
      <c r="AG16" s="2">
        <f>IF('Modell einstellen'!$B$2="Ja",creep_res160!P16,creep_res160!L16)</f>
        <v>0.96331157781143395</v>
      </c>
      <c r="AL16" s="2">
        <f t="shared" si="12"/>
        <v>0.01</v>
      </c>
      <c r="AM16" s="2">
        <f t="shared" si="13"/>
        <v>6574.141102834109</v>
      </c>
      <c r="AN16" s="2">
        <f t="shared" si="14"/>
        <v>6543.4393456132884</v>
      </c>
      <c r="AO16" s="2">
        <f t="shared" si="15"/>
        <v>6498.8766153292054</v>
      </c>
      <c r="AP16" s="2">
        <f t="shared" si="16"/>
        <v>6059.9785511387736</v>
      </c>
      <c r="AQ16" s="2">
        <f t="shared" si="17"/>
        <v>4737.7084148388376</v>
      </c>
      <c r="AR16" s="2">
        <f t="shared" si="18"/>
        <v>463.10914863390207</v>
      </c>
      <c r="AS16" s="2">
        <f t="shared" si="19"/>
        <v>191.85627557437303</v>
      </c>
      <c r="AX16" s="2">
        <f t="shared" si="28"/>
        <v>0.01</v>
      </c>
      <c r="AY16" s="37">
        <f t="shared" si="20"/>
        <v>21418.017678505221</v>
      </c>
      <c r="AZ16" s="37">
        <f t="shared" si="21"/>
        <v>21249.904314716554</v>
      </c>
      <c r="BA16" s="37">
        <f t="shared" si="22"/>
        <v>21204.786669183137</v>
      </c>
      <c r="BB16" s="37">
        <f t="shared" si="23"/>
        <v>22254.922121125535</v>
      </c>
      <c r="BC16" s="37">
        <f t="shared" si="24"/>
        <v>32193.295166802207</v>
      </c>
      <c r="BD16" s="37">
        <f t="shared" si="25"/>
        <v>-740.99503141660125</v>
      </c>
      <c r="BE16" s="37">
        <f t="shared" si="26"/>
        <v>-271.00096000928653</v>
      </c>
    </row>
    <row r="17" spans="1:57" x14ac:dyDescent="0.25">
      <c r="A17" s="2">
        <f>'creep_res-40'!A17</f>
        <v>0.1</v>
      </c>
      <c r="B17" s="3">
        <f>'creep_res-40'!O17</f>
        <v>-5.5891965714285712E-4</v>
      </c>
      <c r="C17" s="2">
        <f>IF('Modell einstellen'!$B$2="Ja",creep_res0!O17,creep_res0!C17)</f>
        <v>-5.6189088571428577E-4</v>
      </c>
      <c r="D17" s="2">
        <f>IF('Modell einstellen'!$B$2="Ja",creep_res25!O17,creep_res25!C17)</f>
        <v>-5.7441494285714293E-4</v>
      </c>
      <c r="E17" s="2">
        <f>IF('Modell einstellen'!$B$2="Ja",creep_res50!O17,creep_res50!C17)</f>
        <v>-6.1619954285714292E-4</v>
      </c>
      <c r="F17" s="2">
        <f>IF('Modell einstellen'!$B$2="Ja",creep_res80!O17,creep_res80!C17)</f>
        <v>-7.7937257142857153E-4</v>
      </c>
      <c r="G17" s="2">
        <f>IF('Modell einstellen'!$B$2="Ja",creep_res125!O17,creep_res125!C17)</f>
        <v>-1.0000507142857143E-2</v>
      </c>
      <c r="H17" s="2">
        <f>IF('Modell einstellen'!$B$2="Ja",creep_res160!O17,creep_res160!C17)</f>
        <v>-1.5647893142857142E-2</v>
      </c>
      <c r="M17" s="9">
        <f t="shared" si="27"/>
        <v>-10</v>
      </c>
      <c r="N17" s="2">
        <f t="shared" si="4"/>
        <v>0.1</v>
      </c>
      <c r="O17" s="2">
        <f t="shared" si="5"/>
        <v>17891.659153873792</v>
      </c>
      <c r="P17" s="2">
        <f t="shared" si="6"/>
        <v>17797.049666124803</v>
      </c>
      <c r="Q17" s="2">
        <f t="shared" si="7"/>
        <v>17409.017861304143</v>
      </c>
      <c r="R17" s="2">
        <f t="shared" si="8"/>
        <v>16228.509280667151</v>
      </c>
      <c r="S17" s="2">
        <f t="shared" si="9"/>
        <v>12830.833886892166</v>
      </c>
      <c r="T17" s="2">
        <f t="shared" si="10"/>
        <v>999.94928828609397</v>
      </c>
      <c r="U17" s="2">
        <f t="shared" si="11"/>
        <v>639.0636687447435</v>
      </c>
      <c r="Z17" s="2">
        <v>0.1</v>
      </c>
      <c r="AA17" s="3">
        <f>IF('Modell einstellen'!$B$2="Ja",'creep_res-40'!P17,'creep_res-40'!L17)</f>
        <v>0.36077529773254408</v>
      </c>
      <c r="AB17" s="2">
        <f>IF('Modell einstellen'!$B$2="Ja",creep_res0!P17,creep_res0!L17)</f>
        <v>0.36045809300748322</v>
      </c>
      <c r="AC17" s="2">
        <f>IF('Modell einstellen'!$B$2="Ja",creep_res25!P17,creep_res25!L17)</f>
        <v>0.36504682055873694</v>
      </c>
      <c r="AD17" s="2">
        <f>IF('Modell einstellen'!$B$2="Ja",creep_res50!P17,creep_res50!L17)</f>
        <v>0.38217742453001313</v>
      </c>
      <c r="AE17" s="2">
        <f>IF('Modell einstellen'!$B$2="Ja",creep_res80!P17,creep_res80!L17)</f>
        <v>0.44536092035938063</v>
      </c>
      <c r="AF17" s="2">
        <f>IF('Modell einstellen'!$B$2="Ja",creep_res125!P17,creep_res125!L17)</f>
        <v>0.94335710117558313</v>
      </c>
      <c r="AG17" s="2">
        <f>IF('Modell einstellen'!$B$2="Ja",creep_res160!P17,creep_res160!L17)</f>
        <v>0.96903444381540293</v>
      </c>
      <c r="AL17" s="2">
        <f t="shared" si="12"/>
        <v>0.1</v>
      </c>
      <c r="AM17" s="2">
        <f t="shared" si="13"/>
        <v>6574.0681741087647</v>
      </c>
      <c r="AN17" s="2">
        <f t="shared" si="14"/>
        <v>6540.8297975507394</v>
      </c>
      <c r="AO17" s="2">
        <f t="shared" si="15"/>
        <v>6376.7108933957061</v>
      </c>
      <c r="AP17" s="2">
        <f t="shared" si="16"/>
        <v>5870.6317266704709</v>
      </c>
      <c r="AQ17" s="2">
        <f t="shared" si="17"/>
        <v>4438.626264954587</v>
      </c>
      <c r="AR17" s="2">
        <f t="shared" si="18"/>
        <v>257.27368574751409</v>
      </c>
      <c r="AS17" s="2">
        <f t="shared" si="19"/>
        <v>162.27843823453597</v>
      </c>
      <c r="AX17" s="2">
        <f t="shared" si="28"/>
        <v>0.1</v>
      </c>
      <c r="AY17" s="37">
        <f t="shared" si="20"/>
        <v>21418.204842585139</v>
      </c>
      <c r="AZ17" s="37">
        <f t="shared" si="21"/>
        <v>21256.517187436755</v>
      </c>
      <c r="BA17" s="37">
        <f t="shared" si="22"/>
        <v>21500.071275807713</v>
      </c>
      <c r="BB17" s="37">
        <f t="shared" si="23"/>
        <v>22956.140077474745</v>
      </c>
      <c r="BC17" s="37">
        <f t="shared" si="24"/>
        <v>39138.146699166959</v>
      </c>
      <c r="BD17" s="37">
        <f t="shared" si="25"/>
        <v>-375.90063240770604</v>
      </c>
      <c r="BE17" s="37">
        <f t="shared" si="26"/>
        <v>-227.08483963573565</v>
      </c>
    </row>
    <row r="18" spans="1:57" x14ac:dyDescent="0.25">
      <c r="A18" s="2">
        <f>'creep_res-40'!A18</f>
        <v>1</v>
      </c>
      <c r="B18" s="3">
        <f>'creep_res-40'!O18</f>
        <v>-5.5897102857142866E-4</v>
      </c>
      <c r="C18" s="2">
        <f>IF('Modell einstellen'!$B$2="Ja",creep_res0!O18,creep_res0!C18)</f>
        <v>-5.6361988571428567E-4</v>
      </c>
      <c r="D18" s="2">
        <f>IF('Modell einstellen'!$B$2="Ja",creep_res25!O18,creep_res25!C18)</f>
        <v>-5.8573588571428576E-4</v>
      </c>
      <c r="E18" s="2">
        <f>IF('Modell einstellen'!$B$2="Ja",creep_res50!O18,creep_res50!C18)</f>
        <v>-6.345624E-4</v>
      </c>
      <c r="F18" s="2">
        <f>IF('Modell einstellen'!$B$2="Ja",creep_res80!O18,creep_res80!C18)</f>
        <v>-8.3077111428571425E-4</v>
      </c>
      <c r="G18" s="2">
        <f>IF('Modell einstellen'!$B$2="Ja",creep_res125!O18,creep_res125!C18)</f>
        <v>-1.4185493714285716E-2</v>
      </c>
      <c r="H18" s="2">
        <f>IF('Modell einstellen'!$B$2="Ja",creep_res160!O18,creep_res160!C18)</f>
        <v>-1.7303699142857145E-2</v>
      </c>
      <c r="M18" s="9">
        <f t="shared" si="27"/>
        <v>-10</v>
      </c>
      <c r="N18" s="2">
        <f t="shared" si="4"/>
        <v>1</v>
      </c>
      <c r="O18" s="2">
        <f t="shared" si="5"/>
        <v>17890.014846667746</v>
      </c>
      <c r="P18" s="2">
        <f t="shared" si="6"/>
        <v>17742.454184927879</v>
      </c>
      <c r="Q18" s="2">
        <f t="shared" si="7"/>
        <v>17072.541129702728</v>
      </c>
      <c r="R18" s="2">
        <f t="shared" si="8"/>
        <v>15758.891481751834</v>
      </c>
      <c r="S18" s="2">
        <f t="shared" si="9"/>
        <v>12037.009746779489</v>
      </c>
      <c r="T18" s="2">
        <f t="shared" si="10"/>
        <v>704.94550287871539</v>
      </c>
      <c r="U18" s="2">
        <f t="shared" si="11"/>
        <v>577.91111122779409</v>
      </c>
      <c r="Z18" s="2">
        <v>1</v>
      </c>
      <c r="AA18" s="3">
        <f>IF('Modell einstellen'!$B$2="Ja",'creep_res-40'!P18,'creep_res-40'!L18)</f>
        <v>0.36080044220027546</v>
      </c>
      <c r="AB18" s="2">
        <f>IF('Modell einstellen'!$B$2="Ja",creep_res0!P18,creep_res0!L18)</f>
        <v>0.36128752630445571</v>
      </c>
      <c r="AC18" s="2">
        <f>IF('Modell einstellen'!$B$2="Ja",creep_res25!P18,creep_res25!L18)</f>
        <v>0.37010785358354592</v>
      </c>
      <c r="AD18" s="2">
        <f>IF('Modell einstellen'!$B$2="Ja",creep_res50!P18,creep_res50!L18)</f>
        <v>0.38988561025902041</v>
      </c>
      <c r="AE18" s="2">
        <f>IF('Modell einstellen'!$B$2="Ja",creep_res80!P18,creep_res80!L18)</f>
        <v>0.4624481234972439</v>
      </c>
      <c r="AF18" s="2">
        <f>IF('Modell einstellen'!$B$2="Ja",creep_res125!P18,creep_res125!L18)</f>
        <v>0.9583911757902861</v>
      </c>
      <c r="AG18" s="2">
        <f>IF('Modell einstellen'!$B$2="Ja",creep_res160!P18,creep_res160!L18)</f>
        <v>0.96155254796303102</v>
      </c>
      <c r="AL18" s="2">
        <f t="shared" si="12"/>
        <v>1</v>
      </c>
      <c r="AM18" s="2">
        <f t="shared" si="13"/>
        <v>6573.3425313051102</v>
      </c>
      <c r="AN18" s="2">
        <f t="shared" si="14"/>
        <v>6516.7915822655277</v>
      </c>
      <c r="AO18" s="2">
        <f t="shared" si="15"/>
        <v>6230.3639399807598</v>
      </c>
      <c r="AP18" s="2">
        <f t="shared" si="16"/>
        <v>5669.1325406322439</v>
      </c>
      <c r="AQ18" s="2">
        <f t="shared" si="17"/>
        <v>4115.3629839514006</v>
      </c>
      <c r="AR18" s="2">
        <f t="shared" si="18"/>
        <v>179.98076982609024</v>
      </c>
      <c r="AS18" s="2">
        <f t="shared" si="19"/>
        <v>147.30961753431595</v>
      </c>
      <c r="AX18" s="2">
        <f t="shared" si="28"/>
        <v>1</v>
      </c>
      <c r="AY18" s="37">
        <f t="shared" si="20"/>
        <v>21420.104979077681</v>
      </c>
      <c r="AZ18" s="37">
        <f t="shared" si="21"/>
        <v>21318.022948522812</v>
      </c>
      <c r="BA18" s="37">
        <f t="shared" si="22"/>
        <v>21906.047441038187</v>
      </c>
      <c r="BB18" s="37">
        <f t="shared" si="23"/>
        <v>23852.304133942343</v>
      </c>
      <c r="BC18" s="37">
        <f t="shared" si="24"/>
        <v>53423.91587229132</v>
      </c>
      <c r="BD18" s="37">
        <f t="shared" si="25"/>
        <v>-256.31147227887442</v>
      </c>
      <c r="BE18" s="37">
        <f t="shared" si="26"/>
        <v>-208.6837543483359</v>
      </c>
    </row>
    <row r="19" spans="1:57" x14ac:dyDescent="0.25">
      <c r="A19" s="2">
        <f>'creep_res-40'!A19</f>
        <v>10</v>
      </c>
      <c r="B19" s="3">
        <f>'creep_res-40'!O19</f>
        <v>-5.5947377142857152E-4</v>
      </c>
      <c r="C19" s="2">
        <f>IF('Modell einstellen'!$B$2="Ja",creep_res0!O19,creep_res0!C19)</f>
        <v>-5.7295888571428581E-4</v>
      </c>
      <c r="D19" s="2">
        <f>IF('Modell einstellen'!$B$2="Ja",creep_res25!O19,creep_res25!C19)</f>
        <v>-5.9907651428571431E-4</v>
      </c>
      <c r="E19" s="2">
        <f>IF('Modell einstellen'!$B$2="Ja",creep_res50!O19,creep_res50!C19)</f>
        <v>-6.5908922857142857E-4</v>
      </c>
      <c r="F19" s="2">
        <f>IF('Modell einstellen'!$B$2="Ja",creep_res80!O19,creep_res80!C19)</f>
        <v>-9.2215834285714292E-4</v>
      </c>
      <c r="G19" s="2">
        <f>IF('Modell einstellen'!$B$2="Ja",creep_res125!O19,creep_res125!C19)</f>
        <v>-1.6304024571428571E-2</v>
      </c>
      <c r="H19" s="2">
        <f>IF('Modell einstellen'!$B$2="Ja",creep_res160!O19,creep_res160!C19)</f>
        <v>-1.8197246571428575E-2</v>
      </c>
      <c r="M19" s="9">
        <f t="shared" si="27"/>
        <v>-10</v>
      </c>
      <c r="N19" s="2">
        <f t="shared" si="4"/>
        <v>10</v>
      </c>
      <c r="O19" s="2">
        <f t="shared" si="5"/>
        <v>17873.938888083707</v>
      </c>
      <c r="P19" s="2">
        <f t="shared" si="6"/>
        <v>17453.259298934485</v>
      </c>
      <c r="Q19" s="2">
        <f t="shared" si="7"/>
        <v>16692.358591161119</v>
      </c>
      <c r="R19" s="2">
        <f t="shared" si="8"/>
        <v>15172.452479120213</v>
      </c>
      <c r="S19" s="2">
        <f t="shared" si="9"/>
        <v>10844.124631586357</v>
      </c>
      <c r="T19" s="2">
        <f t="shared" si="10"/>
        <v>613.34549369633294</v>
      </c>
      <c r="U19" s="2">
        <f t="shared" si="11"/>
        <v>549.5336869095878</v>
      </c>
      <c r="Z19" s="2">
        <v>10</v>
      </c>
      <c r="AA19" s="3">
        <f>IF('Modell einstellen'!$B$2="Ja",'creep_res-40'!P19,'creep_res-40'!L19)</f>
        <v>0.36104632914746104</v>
      </c>
      <c r="AB19" s="2">
        <f>IF('Modell einstellen'!$B$2="Ja",creep_res0!P19,creep_res0!L19)</f>
        <v>0.36549577902897135</v>
      </c>
      <c r="AC19" s="2">
        <f>IF('Modell einstellen'!$B$2="Ja",creep_res25!P19,creep_res25!L19)</f>
        <v>0.37582354135732149</v>
      </c>
      <c r="AD19" s="2">
        <f>IF('Modell einstellen'!$B$2="Ja",creep_res50!P19,creep_res50!L19)</f>
        <v>0.3987869017344845</v>
      </c>
      <c r="AE19" s="2">
        <f>IF('Modell einstellen'!$B$2="Ja",creep_res80!P19,creep_res80!L19)</f>
        <v>0.48039075532798176</v>
      </c>
      <c r="AF19" s="2">
        <f>IF('Modell einstellen'!$B$2="Ja",creep_res125!P19,creep_res125!L19)</f>
        <v>0.94640564294677398</v>
      </c>
      <c r="AG19" s="2">
        <f>IF('Modell einstellen'!$B$2="Ja",creep_res160!P19,creep_res160!L19)</f>
        <v>0.93407994864152366</v>
      </c>
      <c r="AL19" s="2">
        <f t="shared" si="12"/>
        <v>10</v>
      </c>
      <c r="AM19" s="2">
        <f t="shared" si="13"/>
        <v>6566.2492544539882</v>
      </c>
      <c r="AN19" s="2">
        <f t="shared" si="14"/>
        <v>6390.814079024768</v>
      </c>
      <c r="AO19" s="2">
        <f t="shared" si="15"/>
        <v>6066.3152248046426</v>
      </c>
      <c r="AP19" s="2">
        <f t="shared" si="16"/>
        <v>5423.4324257349326</v>
      </c>
      <c r="AQ19" s="2">
        <f t="shared" si="17"/>
        <v>3662.5886079597385</v>
      </c>
      <c r="AR19" s="2">
        <f t="shared" si="18"/>
        <v>157.55849658546879</v>
      </c>
      <c r="AS19" s="2">
        <f t="shared" si="19"/>
        <v>142.06591803394016</v>
      </c>
      <c r="AX19" s="2">
        <f t="shared" si="28"/>
        <v>10</v>
      </c>
      <c r="AY19" s="37">
        <f t="shared" si="20"/>
        <v>21438.72699730254</v>
      </c>
      <c r="AZ19" s="37">
        <f t="shared" si="21"/>
        <v>21626.656240393881</v>
      </c>
      <c r="BA19" s="37">
        <f t="shared" si="22"/>
        <v>22404.083637132706</v>
      </c>
      <c r="BB19" s="37">
        <f t="shared" si="23"/>
        <v>24984.336248848347</v>
      </c>
      <c r="BC19" s="37">
        <f t="shared" si="24"/>
        <v>92168.471325335064</v>
      </c>
      <c r="BD19" s="37">
        <f t="shared" si="25"/>
        <v>-228.99407873653888</v>
      </c>
      <c r="BE19" s="37">
        <f t="shared" si="26"/>
        <v>-210.99557375293912</v>
      </c>
    </row>
    <row r="20" spans="1:57" x14ac:dyDescent="0.25">
      <c r="A20" s="2">
        <f>'creep_res-40'!A20</f>
        <v>100</v>
      </c>
      <c r="B20" s="3">
        <f>'creep_res-40'!O20</f>
        <v>-5.6355397142857143E-4</v>
      </c>
      <c r="C20" s="2">
        <f>IF('Modell einstellen'!$B$2="Ja",creep_res0!O20,creep_res0!C20)</f>
        <v>-5.846362000000001E-4</v>
      </c>
      <c r="D20" s="2">
        <f>IF('Modell einstellen'!$B$2="Ja",creep_res25!O20,creep_res25!C20)</f>
        <v>-6.1825137142857149E-4</v>
      </c>
      <c r="E20" s="2">
        <f>IF('Modell einstellen'!$B$2="Ja",creep_res50!O20,creep_res50!C20)</f>
        <v>-7.0183665714285723E-4</v>
      </c>
      <c r="F20" s="2">
        <f>IF('Modell einstellen'!$B$2="Ja",creep_res80!O20,creep_res80!C20)</f>
        <v>-1.1030462571428572E-3</v>
      </c>
      <c r="G20" s="2">
        <f>IF('Modell einstellen'!$B$2="Ja",creep_res125!O20,creep_res125!C20)</f>
        <v>-1.8261522000000002E-2</v>
      </c>
      <c r="H20" s="2">
        <f>IF('Modell einstellen'!$B$2="Ja",creep_res160!O20,creep_res160!C20)</f>
        <v>-1.9020716E-2</v>
      </c>
      <c r="M20" s="9">
        <f t="shared" si="27"/>
        <v>-10</v>
      </c>
      <c r="N20" s="2">
        <f t="shared" si="4"/>
        <v>100</v>
      </c>
      <c r="O20" s="2">
        <f t="shared" si="5"/>
        <v>17744.529374268575</v>
      </c>
      <c r="P20" s="2">
        <f t="shared" si="6"/>
        <v>17104.654142182775</v>
      </c>
      <c r="Q20" s="2">
        <f t="shared" si="7"/>
        <v>16174.650736145324</v>
      </c>
      <c r="R20" s="2">
        <f t="shared" si="8"/>
        <v>14248.329576727314</v>
      </c>
      <c r="S20" s="2">
        <f t="shared" si="9"/>
        <v>9065.8029391281325</v>
      </c>
      <c r="T20" s="2">
        <f t="shared" si="10"/>
        <v>547.59948267181665</v>
      </c>
      <c r="U20" s="2">
        <f t="shared" si="11"/>
        <v>525.74256405489677</v>
      </c>
      <c r="Z20" s="2">
        <v>100</v>
      </c>
      <c r="AA20" s="3">
        <f>IF('Modell einstellen'!$B$2="Ja",'creep_res-40'!P20,'creep_res-40'!L20)</f>
        <v>0.36303105764137994</v>
      </c>
      <c r="AB20" s="2">
        <f>IF('Modell einstellen'!$B$2="Ja",creep_res0!P20,creep_res0!L20)</f>
        <v>0.37053284467454167</v>
      </c>
      <c r="AC20" s="2">
        <f>IF('Modell einstellen'!$B$2="Ja",creep_res25!P20,creep_res25!L20)</f>
        <v>0.3822597308778426</v>
      </c>
      <c r="AD20" s="2">
        <f>IF('Modell einstellen'!$B$2="Ja",creep_res50!P20,creep_res50!L20)</f>
        <v>0.40657534762972719</v>
      </c>
      <c r="AE20" s="2">
        <f>IF('Modell einstellen'!$B$2="Ja",creep_res80!P20,creep_res80!L20)</f>
        <v>0.49119802487754749</v>
      </c>
      <c r="AF20" s="2">
        <f>IF('Modell einstellen'!$B$2="Ja",creep_res125!P20,creep_res125!L20)</f>
        <v>0.91293941123073641</v>
      </c>
      <c r="AG20" s="2">
        <f>IF('Modell einstellen'!$B$2="Ja",creep_res160!P20,creep_res160!L20)</f>
        <v>0.87443271250747268</v>
      </c>
      <c r="AL20" s="2">
        <f t="shared" si="12"/>
        <v>100</v>
      </c>
      <c r="AM20" s="2">
        <f t="shared" si="13"/>
        <v>6509.2168204054406</v>
      </c>
      <c r="AN20" s="2">
        <f t="shared" si="14"/>
        <v>6240.1474757230608</v>
      </c>
      <c r="AO20" s="2">
        <f t="shared" si="15"/>
        <v>5850.8000974148181</v>
      </c>
      <c r="AP20" s="2">
        <f t="shared" si="16"/>
        <v>5064.9009314494624</v>
      </c>
      <c r="AQ20" s="2">
        <f t="shared" si="17"/>
        <v>3039.7716426269371</v>
      </c>
      <c r="AR20" s="2">
        <f t="shared" si="18"/>
        <v>143.13037816485394</v>
      </c>
      <c r="AS20" s="2">
        <f t="shared" si="19"/>
        <v>140.2404472955443</v>
      </c>
      <c r="AX20" s="2">
        <f t="shared" si="28"/>
        <v>100</v>
      </c>
      <c r="AY20" s="37">
        <f t="shared" si="20"/>
        <v>21591.91354953156</v>
      </c>
      <c r="AZ20" s="37">
        <f t="shared" si="21"/>
        <v>22019.296579100948</v>
      </c>
      <c r="BA20" s="37">
        <f t="shared" si="22"/>
        <v>22895.94836830191</v>
      </c>
      <c r="BB20" s="37">
        <f t="shared" si="23"/>
        <v>25418.575674324286</v>
      </c>
      <c r="BC20" s="37">
        <f t="shared" si="24"/>
        <v>171662.28437377722</v>
      </c>
      <c r="BD20" s="37">
        <f t="shared" si="25"/>
        <v>-221.01688035368008</v>
      </c>
      <c r="BE20" s="37">
        <f t="shared" si="26"/>
        <v>-234.01737548256389</v>
      </c>
    </row>
    <row r="21" spans="1:57" x14ac:dyDescent="0.25">
      <c r="A21" s="2">
        <f>'creep_res-40'!A21</f>
        <v>1000</v>
      </c>
      <c r="B21" s="3">
        <f>'creep_res-40'!O21</f>
        <v>-5.7474800000000003E-4</v>
      </c>
      <c r="C21" s="2">
        <f>IF('Modell einstellen'!$B$2="Ja",creep_res0!O21,creep_res0!C21)</f>
        <v>-6.0134048571428575E-4</v>
      </c>
      <c r="D21" s="2">
        <f>IF('Modell einstellen'!$B$2="Ja",creep_res25!O21,creep_res25!C21)</f>
        <v>-6.5297140000000005E-4</v>
      </c>
      <c r="E21" s="2">
        <f>IF('Modell einstellen'!$B$2="Ja",creep_res50!O21,creep_res50!C21)</f>
        <v>-7.7553539999999997E-4</v>
      </c>
      <c r="F21" s="2">
        <f>IF('Modell einstellen'!$B$2="Ja",creep_res80!O21,creep_res80!C21)</f>
        <v>-1.4169130571428574E-3</v>
      </c>
      <c r="G21" s="2">
        <f>IF('Modell einstellen'!$B$2="Ja",creep_res125!O21,creep_res125!C21)</f>
        <v>-1.960208028571429E-2</v>
      </c>
      <c r="H21" s="2">
        <f>IF('Modell einstellen'!$B$2="Ja",creep_res160!O21,creep_res160!C21)</f>
        <v>-2.0558336000000003E-2</v>
      </c>
      <c r="M21" s="9">
        <f t="shared" si="27"/>
        <v>-10</v>
      </c>
      <c r="N21" s="2">
        <f t="shared" si="4"/>
        <v>1000</v>
      </c>
      <c r="O21" s="2">
        <f t="shared" si="5"/>
        <v>17398.92961784991</v>
      </c>
      <c r="P21" s="2">
        <f t="shared" si="6"/>
        <v>16629.513956842227</v>
      </c>
      <c r="Q21" s="2">
        <f t="shared" si="7"/>
        <v>15314.606428397934</v>
      </c>
      <c r="R21" s="2">
        <f t="shared" si="8"/>
        <v>12894.317912502769</v>
      </c>
      <c r="S21" s="2">
        <f t="shared" si="9"/>
        <v>7057.5960533277594</v>
      </c>
      <c r="T21" s="2">
        <f t="shared" si="10"/>
        <v>510.14993583552734</v>
      </c>
      <c r="U21" s="2">
        <f t="shared" si="11"/>
        <v>486.42069085747011</v>
      </c>
      <c r="Z21" s="2">
        <v>1000</v>
      </c>
      <c r="AA21" s="3">
        <f>IF('Modell einstellen'!$B$2="Ja",'creep_res-40'!P21,'creep_res-40'!L21)</f>
        <v>0.36808177298075478</v>
      </c>
      <c r="AB21" s="2">
        <f>IF('Modell einstellen'!$B$2="Ja",creep_res0!P21,creep_res0!L21)</f>
        <v>0.37560725877333956</v>
      </c>
      <c r="AC21" s="2">
        <f>IF('Modell einstellen'!$B$2="Ja",creep_res25!P21,creep_res25!L21)</f>
        <v>0.38615340361220812</v>
      </c>
      <c r="AD21" s="2">
        <f>IF('Modell einstellen'!$B$2="Ja",creep_res50!P21,creep_res50!L21)</f>
        <v>0.40761974612266944</v>
      </c>
      <c r="AE21" s="2">
        <f>IF('Modell einstellen'!$B$2="Ja",creep_res80!P21,creep_res80!L21)</f>
        <v>0.49746286479478913</v>
      </c>
      <c r="AF21" s="2">
        <f>IF('Modell einstellen'!$B$2="Ja",creep_res125!P21,creep_res125!L21)</f>
        <v>0.83455311397634313</v>
      </c>
      <c r="AG21" s="2">
        <f>IF('Modell einstellen'!$B$2="Ja",creep_res160!P21,creep_res160!L21)</f>
        <v>0.77355324032895589</v>
      </c>
      <c r="AL21" s="2">
        <f t="shared" si="12"/>
        <v>1000</v>
      </c>
      <c r="AM21" s="2">
        <f t="shared" si="13"/>
        <v>6358.877795711509</v>
      </c>
      <c r="AN21" s="2">
        <f t="shared" si="14"/>
        <v>6044.4265071962272</v>
      </c>
      <c r="AO21" s="2">
        <f t="shared" si="15"/>
        <v>5524.1383776461034</v>
      </c>
      <c r="AP21" s="2">
        <f t="shared" si="16"/>
        <v>4580.1850776889687</v>
      </c>
      <c r="AQ21" s="2">
        <f t="shared" si="17"/>
        <v>2356.5178874385392</v>
      </c>
      <c r="AR21" s="2">
        <f t="shared" si="18"/>
        <v>139.03929298884987</v>
      </c>
      <c r="AS21" s="2">
        <f t="shared" si="19"/>
        <v>137.13168564571805</v>
      </c>
      <c r="AX21" s="2">
        <f t="shared" si="28"/>
        <v>1000</v>
      </c>
      <c r="AY21" s="37">
        <f t="shared" si="20"/>
        <v>21981.9631335095</v>
      </c>
      <c r="AZ21" s="37">
        <f t="shared" si="21"/>
        <v>22280.927585826728</v>
      </c>
      <c r="BA21" s="37">
        <f t="shared" si="22"/>
        <v>22419.944782878854</v>
      </c>
      <c r="BB21" s="37">
        <f t="shared" si="23"/>
        <v>23263.120582790365</v>
      </c>
      <c r="BC21" s="37">
        <f t="shared" si="24"/>
        <v>463619.75761957688</v>
      </c>
      <c r="BD21" s="37">
        <f t="shared" si="25"/>
        <v>-254.14496459277763</v>
      </c>
      <c r="BE21" s="37">
        <f t="shared" si="26"/>
        <v>-296.35954977328169</v>
      </c>
    </row>
    <row r="22" spans="1:57" x14ac:dyDescent="0.25">
      <c r="A22" s="2">
        <f>'creep_res-40'!A22</f>
        <v>10000</v>
      </c>
      <c r="B22" s="3">
        <f>'creep_res-40'!O22</f>
        <v>-5.8737985714285719E-4</v>
      </c>
      <c r="C22" s="2">
        <f>IF('Modell einstellen'!$B$2="Ja",creep_res0!O22,creep_res0!C22)</f>
        <v>-6.3636051428571437E-4</v>
      </c>
      <c r="D22" s="2">
        <f>IF('Modell einstellen'!$B$2="Ja",creep_res25!O22,creep_res25!C22)</f>
        <v>-7.1575365714285713E-4</v>
      </c>
      <c r="E22" s="2">
        <f>IF('Modell einstellen'!$B$2="Ja",creep_res50!O22,creep_res50!C22)</f>
        <v>-8.7162931428571438E-4</v>
      </c>
      <c r="F22" s="2">
        <f>IF('Modell einstellen'!$B$2="Ja",creep_res80!O22,creep_res80!C22)</f>
        <v>-1.989220685714286E-3</v>
      </c>
      <c r="G22" s="2">
        <f>IF('Modell einstellen'!$B$2="Ja",creep_res125!O22,creep_res125!C22)</f>
        <v>-2.1330320857142857E-2</v>
      </c>
      <c r="H22" s="2">
        <f>IF('Modell einstellen'!$B$2="Ja",creep_res160!O22,creep_res160!C22)</f>
        <v>-2.2364219142857147E-2</v>
      </c>
      <c r="M22" s="9">
        <f t="shared" si="27"/>
        <v>-10</v>
      </c>
      <c r="N22" s="2">
        <f t="shared" si="4"/>
        <v>10000</v>
      </c>
      <c r="O22" s="2">
        <f t="shared" si="5"/>
        <v>17024.758132909366</v>
      </c>
      <c r="P22" s="2">
        <f t="shared" si="6"/>
        <v>15714.36281087387</v>
      </c>
      <c r="Q22" s="2">
        <f t="shared" si="7"/>
        <v>13971.287327986509</v>
      </c>
      <c r="R22" s="2">
        <f t="shared" si="8"/>
        <v>11472.766961945093</v>
      </c>
      <c r="S22" s="2">
        <f t="shared" si="9"/>
        <v>5027.0943147814778</v>
      </c>
      <c r="T22" s="2">
        <f t="shared" si="10"/>
        <v>468.8162014520899</v>
      </c>
      <c r="U22" s="2">
        <f t="shared" si="11"/>
        <v>447.1428193456008</v>
      </c>
      <c r="Z22" s="2">
        <v>10000</v>
      </c>
      <c r="AA22" s="3">
        <f>IF('Modell einstellen'!$B$2="Ja",'creep_res-40'!P22,'creep_res-40'!L22)</f>
        <v>0.37337068078846036</v>
      </c>
      <c r="AB22" s="2">
        <f>IF('Modell einstellen'!$B$2="Ja",creep_res0!P22,creep_res0!L22)</f>
        <v>0.378942421586901</v>
      </c>
      <c r="AC22" s="2">
        <f>IF('Modell einstellen'!$B$2="Ja",creep_res25!P22,creep_res25!L22)</f>
        <v>0.38663081927070042</v>
      </c>
      <c r="AD22" s="2">
        <f>IF('Modell einstellen'!$B$2="Ja",creep_res50!P22,creep_res50!L22)</f>
        <v>0.40395769813812726</v>
      </c>
      <c r="AE22" s="2">
        <f>IF('Modell einstellen'!$B$2="Ja",creep_res80!P22,creep_res80!L22)</f>
        <v>0.50999228355385806</v>
      </c>
      <c r="AF22" s="2">
        <f>IF('Modell einstellen'!$B$2="Ja",creep_res125!P22,creep_res125!L22)</f>
        <v>0.7285927639183728</v>
      </c>
      <c r="AG22" s="2">
        <f>IF('Modell einstellen'!$B$2="Ja",creep_res160!P22,creep_res160!L22)</f>
        <v>0.67354571620762527</v>
      </c>
      <c r="AL22" s="2">
        <f t="shared" si="12"/>
        <v>10000</v>
      </c>
      <c r="AM22" s="2">
        <f t="shared" si="13"/>
        <v>6198.1657141301985</v>
      </c>
      <c r="AN22" s="2">
        <f t="shared" si="14"/>
        <v>5697.9764219559002</v>
      </c>
      <c r="AO22" s="2">
        <f t="shared" si="15"/>
        <v>5037.8540321693981</v>
      </c>
      <c r="AP22" s="2">
        <f t="shared" si="16"/>
        <v>4085.8663253030418</v>
      </c>
      <c r="AQ22" s="2">
        <f t="shared" si="17"/>
        <v>1664.6092730189016</v>
      </c>
      <c r="AR22" s="2">
        <f t="shared" si="18"/>
        <v>135.60631839895524</v>
      </c>
      <c r="AS22" s="2">
        <f t="shared" si="19"/>
        <v>133.5914564553571</v>
      </c>
      <c r="AX22" s="2">
        <f t="shared" si="28"/>
        <v>10000</v>
      </c>
      <c r="AY22" s="37">
        <f t="shared" si="20"/>
        <v>22407.604388033797</v>
      </c>
      <c r="AZ22" s="37">
        <f t="shared" si="21"/>
        <v>21634.832802797777</v>
      </c>
      <c r="BA22" s="37">
        <f t="shared" si="22"/>
        <v>20539.514116784583</v>
      </c>
      <c r="BB22" s="37">
        <f t="shared" si="23"/>
        <v>19909.225309289814</v>
      </c>
      <c r="BC22" s="37">
        <f t="shared" si="24"/>
        <v>-83849.607344267439</v>
      </c>
      <c r="BD22" s="37">
        <f t="shared" si="25"/>
        <v>-341.81324131173977</v>
      </c>
      <c r="BE22" s="37">
        <f t="shared" si="26"/>
        <v>-429.41885776718681</v>
      </c>
    </row>
    <row r="23" spans="1:57" x14ac:dyDescent="0.25">
      <c r="A23" s="2">
        <f>'creep_res-40'!A23</f>
        <v>100000</v>
      </c>
      <c r="B23" s="3">
        <f>'creep_res-40'!O23</f>
        <v>-6.0804631428571431E-4</v>
      </c>
      <c r="C23" s="2">
        <f>IF('Modell einstellen'!$B$2="Ja",creep_res0!O23,creep_res0!C23)</f>
        <v>-6.9439380000000002E-4</v>
      </c>
      <c r="D23" s="2">
        <f>IF('Modell einstellen'!$B$2="Ja",creep_res25!O23,creep_res25!C23)</f>
        <v>-7.9640562857142866E-4</v>
      </c>
      <c r="E23" s="2">
        <f>IF('Modell einstellen'!$B$2="Ja",creep_res50!O23,creep_res50!C23)</f>
        <v>-9.803556571428573E-4</v>
      </c>
      <c r="F23" s="2">
        <f>IF('Modell einstellen'!$B$2="Ja",creep_res80!O23,creep_res80!C23)</f>
        <v>-3.1422751428571431E-3</v>
      </c>
      <c r="G23" s="2">
        <f>IF('Modell einstellen'!$B$2="Ja",creep_res125!O23,creep_res125!C23)</f>
        <v>-2.3068337428571433E-2</v>
      </c>
      <c r="H23" s="2">
        <f>IF('Modell einstellen'!$B$2="Ja",creep_res160!O23,creep_res160!C23)</f>
        <v>-2.3917288000000002E-2</v>
      </c>
      <c r="M23" s="9">
        <f t="shared" si="27"/>
        <v>-10</v>
      </c>
      <c r="N23" s="2">
        <f t="shared" si="4"/>
        <v>100000</v>
      </c>
      <c r="O23" s="2">
        <f t="shared" si="5"/>
        <v>16446.115641285032</v>
      </c>
      <c r="P23" s="2">
        <f t="shared" si="6"/>
        <v>14401.050239791886</v>
      </c>
      <c r="Q23" s="2">
        <f t="shared" si="7"/>
        <v>12556.415526517228</v>
      </c>
      <c r="R23" s="2">
        <f t="shared" si="8"/>
        <v>10200.379757223965</v>
      </c>
      <c r="S23" s="2">
        <f t="shared" si="9"/>
        <v>3182.4075058263061</v>
      </c>
      <c r="T23" s="2">
        <f t="shared" si="10"/>
        <v>433.49461273331463</v>
      </c>
      <c r="U23" s="2">
        <f t="shared" si="11"/>
        <v>418.10760484215433</v>
      </c>
      <c r="Z23" s="2">
        <v>100000</v>
      </c>
      <c r="AA23" s="3">
        <f>IF('Modell einstellen'!$B$2="Ja",'creep_res-40'!P23,'creep_res-40'!L23)</f>
        <v>0.3785011301535724</v>
      </c>
      <c r="AB23" s="2">
        <f>IF('Modell einstellen'!$B$2="Ja",creep_res0!P23,creep_res0!L23)</f>
        <v>0.37883927370483844</v>
      </c>
      <c r="AC23" s="2">
        <f>IF('Modell einstellen'!$B$2="Ja",creep_res25!P23,creep_res25!L23)</f>
        <v>0.38556651515378187</v>
      </c>
      <c r="AD23" s="2">
        <f>IF('Modell einstellen'!$B$2="Ja",creep_res50!P23,creep_res50!L23)</f>
        <v>0.40049611149866071</v>
      </c>
      <c r="AE23" s="2">
        <f>IF('Modell einstellen'!$B$2="Ja",creep_res80!P23,creep_res80!L23)</f>
        <v>0.53011916843146323</v>
      </c>
      <c r="AF23" s="2">
        <f>IF('Modell einstellen'!$B$2="Ja",creep_res125!P23,creep_res125!L23)</f>
        <v>0.63917667185650529</v>
      </c>
      <c r="AG23" s="2">
        <f>IF('Modell einstellen'!$B$2="Ja",creep_res160!P23,creep_res160!L23)</f>
        <v>0.60064505880193675</v>
      </c>
      <c r="AL23" s="2">
        <f t="shared" si="12"/>
        <v>100000</v>
      </c>
      <c r="AM23" s="2">
        <f t="shared" si="13"/>
        <v>5965.2165970487267</v>
      </c>
      <c r="AN23" s="2">
        <f t="shared" si="14"/>
        <v>5222.1642197271249</v>
      </c>
      <c r="AO23" s="2">
        <f t="shared" si="15"/>
        <v>4531.1485912762591</v>
      </c>
      <c r="AP23" s="2">
        <f t="shared" si="16"/>
        <v>3641.7022773125063</v>
      </c>
      <c r="AQ23" s="2">
        <f t="shared" si="17"/>
        <v>1039.9214556238178</v>
      </c>
      <c r="AR23" s="2">
        <f t="shared" si="18"/>
        <v>132.22937471479068</v>
      </c>
      <c r="AS23" s="2">
        <f t="shared" si="19"/>
        <v>130.60597118111332</v>
      </c>
      <c r="AX23" s="2">
        <f t="shared" si="28"/>
        <v>100000</v>
      </c>
      <c r="AY23" s="37">
        <f t="shared" si="20"/>
        <v>22560.039258077912</v>
      </c>
      <c r="AZ23" s="37">
        <f t="shared" si="21"/>
        <v>19809.843613170575</v>
      </c>
      <c r="BA23" s="37">
        <f t="shared" si="22"/>
        <v>18287.793331633096</v>
      </c>
      <c r="BB23" s="37">
        <f t="shared" si="23"/>
        <v>17085.395540575068</v>
      </c>
      <c r="BC23" s="37">
        <f t="shared" si="24"/>
        <v>-17610.089474348857</v>
      </c>
      <c r="BD23" s="37">
        <f t="shared" si="25"/>
        <v>-519.11790358595283</v>
      </c>
      <c r="BE23" s="37">
        <f t="shared" si="26"/>
        <v>-692.37975154011986</v>
      </c>
    </row>
    <row r="24" spans="1:57" x14ac:dyDescent="0.25">
      <c r="A24" s="2">
        <f>'creep_res-40'!A24</f>
        <v>1000000</v>
      </c>
      <c r="B24" s="3">
        <f>'creep_res-40'!O24</f>
        <v>-6.5085985714285718E-4</v>
      </c>
      <c r="C24" s="2">
        <f>IF('Modell einstellen'!$B$2="Ja",creep_res0!O24,creep_res0!C24)</f>
        <v>-7.6528542857142866E-4</v>
      </c>
      <c r="D24" s="2">
        <f>IF('Modell einstellen'!$B$2="Ja",creep_res25!O24,creep_res25!C24)</f>
        <v>-8.8083740000000001E-4</v>
      </c>
      <c r="E24" s="2">
        <f>IF('Modell einstellen'!$B$2="Ja",creep_res50!O24,creep_res50!C24)</f>
        <v>-1.1055107142857144E-3</v>
      </c>
      <c r="F24" s="2">
        <f>IF('Modell einstellen'!$B$2="Ja",creep_res80!O24,creep_res80!C24)</f>
        <v>-5.4349865714285722E-3</v>
      </c>
      <c r="G24" s="2">
        <f>IF('Modell einstellen'!$B$2="Ja",creep_res125!O24,creep_res125!C24)</f>
        <v>-2.4452565714285716E-2</v>
      </c>
      <c r="H24" s="2">
        <f>IF('Modell einstellen'!$B$2="Ja",creep_res160!O24,creep_res160!C24)</f>
        <v>-2.5069089428571428E-2</v>
      </c>
      <c r="M24" s="9">
        <f t="shared" si="27"/>
        <v>-10</v>
      </c>
      <c r="N24" s="2">
        <f t="shared" si="4"/>
        <v>1000000</v>
      </c>
      <c r="O24" s="2">
        <f t="shared" si="5"/>
        <v>15364.29062301979</v>
      </c>
      <c r="P24" s="2">
        <f t="shared" si="6"/>
        <v>13067.019998887436</v>
      </c>
      <c r="Q24" s="2">
        <f t="shared" si="7"/>
        <v>11352.833110855647</v>
      </c>
      <c r="R24" s="2">
        <f t="shared" si="8"/>
        <v>9045.5930193866425</v>
      </c>
      <c r="S24" s="2">
        <f t="shared" si="9"/>
        <v>1839.9309489685686</v>
      </c>
      <c r="T24" s="2">
        <f t="shared" si="10"/>
        <v>408.9550404176108</v>
      </c>
      <c r="U24" s="2">
        <f t="shared" si="11"/>
        <v>398.89761566700247</v>
      </c>
      <c r="Z24" s="2">
        <v>1000000</v>
      </c>
      <c r="AA24" s="3">
        <f>IF('Modell einstellen'!$B$2="Ja",'creep_res-40'!P24,'creep_res-40'!L24)</f>
        <v>0.3809584420082533</v>
      </c>
      <c r="AB24" s="2">
        <f>IF('Modell einstellen'!$B$2="Ja",creep_res0!P24,creep_res0!L24)</f>
        <v>0.37802082434975703</v>
      </c>
      <c r="AC24" s="2">
        <f>IF('Modell einstellen'!$B$2="Ja",creep_res25!P24,creep_res25!L24)</f>
        <v>0.38438805099394219</v>
      </c>
      <c r="AD24" s="2">
        <f>IF('Modell einstellen'!$B$2="Ja",creep_res50!P24,creep_res50!L24)</f>
        <v>0.39952771666618203</v>
      </c>
      <c r="AE24" s="2">
        <f>IF('Modell einstellen'!$B$2="Ja",creep_res80!P24,creep_res80!L24)</f>
        <v>0.54383764281084046</v>
      </c>
      <c r="AF24" s="2">
        <f>IF('Modell einstellen'!$B$2="Ja",creep_res125!P24,creep_res125!L24)</f>
        <v>0.57790711532695727</v>
      </c>
      <c r="AG24" s="2">
        <f>IF('Modell einstellen'!$B$2="Ja",creep_res160!P24,creep_res160!L24)</f>
        <v>0.55305926947281125</v>
      </c>
      <c r="AL24" s="2">
        <f t="shared" si="12"/>
        <v>1000000</v>
      </c>
      <c r="AM24" s="2">
        <f t="shared" si="13"/>
        <v>5562.9083959530062</v>
      </c>
      <c r="AN24" s="2">
        <f t="shared" si="14"/>
        <v>4741.2273341563377</v>
      </c>
      <c r="AO24" s="2">
        <f t="shared" si="15"/>
        <v>4100.3073895013431</v>
      </c>
      <c r="AP24" s="2">
        <f t="shared" si="16"/>
        <v>3231.6591203117327</v>
      </c>
      <c r="AQ24" s="2">
        <f t="shared" si="17"/>
        <v>595.89522173414423</v>
      </c>
      <c r="AR24" s="2">
        <f t="shared" si="18"/>
        <v>129.58780540541244</v>
      </c>
      <c r="AS24" s="2">
        <f t="shared" si="19"/>
        <v>128.42317853149575</v>
      </c>
      <c r="AX24" s="2">
        <f t="shared" si="28"/>
        <v>1000000</v>
      </c>
      <c r="AY24" s="37">
        <f t="shared" si="20"/>
        <v>21511.102064156192</v>
      </c>
      <c r="AZ24" s="37">
        <f t="shared" si="21"/>
        <v>17854.167769799165</v>
      </c>
      <c r="BA24" s="37">
        <f t="shared" si="22"/>
        <v>16366.291443716864</v>
      </c>
      <c r="BB24" s="37">
        <f t="shared" si="23"/>
        <v>15005.121676746025</v>
      </c>
      <c r="BC24" s="37">
        <f t="shared" si="24"/>
        <v>-6995.2474288968015</v>
      </c>
      <c r="BD24" s="37">
        <f t="shared" si="25"/>
        <v>-874.87738593436063</v>
      </c>
      <c r="BE24" s="37">
        <f t="shared" si="26"/>
        <v>-1252.9938049480259</v>
      </c>
    </row>
    <row r="25" spans="1:57" x14ac:dyDescent="0.25">
      <c r="A25" s="2">
        <f>'creep_res-40'!A25</f>
        <v>10000000</v>
      </c>
      <c r="B25" s="3">
        <f>'creep_res-40'!O25</f>
        <v>-7.1475934285714299E-4</v>
      </c>
      <c r="C25" s="2">
        <f>IF('Modell einstellen'!$B$2="Ja",creep_res0!O25,creep_res0!C25)</f>
        <v>-8.4155414285714278E-4</v>
      </c>
      <c r="D25" s="2">
        <f>IF('Modell einstellen'!$B$2="Ja",creep_res25!O25,creep_res25!C25)</f>
        <v>-9.6669668571428577E-4</v>
      </c>
      <c r="E25" s="2">
        <f>IF('Modell einstellen'!$B$2="Ja",creep_res50!O25,creep_res50!C25)</f>
        <v>-1.2797674857142859E-3</v>
      </c>
      <c r="F25" s="2">
        <f>IF('Modell einstellen'!$B$2="Ja",creep_res80!O25,creep_res80!C25)</f>
        <v>-9.7543965714285731E-3</v>
      </c>
      <c r="G25" s="2">
        <f>IF('Modell einstellen'!$B$2="Ja",creep_res125!O25,creep_res125!C25)</f>
        <v>-2.5445066857142859E-2</v>
      </c>
      <c r="H25" s="2">
        <f>IF('Modell einstellen'!$B$2="Ja",creep_res160!O25,creep_res160!C25)</f>
        <v>-2.5863646571428575E-2</v>
      </c>
      <c r="M25" s="9">
        <f t="shared" si="27"/>
        <v>-10</v>
      </c>
      <c r="N25" s="2">
        <f t="shared" si="4"/>
        <v>10000000</v>
      </c>
      <c r="O25" s="2">
        <f t="shared" si="5"/>
        <v>13990.723031372356</v>
      </c>
      <c r="P25" s="2">
        <f t="shared" si="6"/>
        <v>11882.776746899743</v>
      </c>
      <c r="Q25" s="2">
        <f t="shared" si="7"/>
        <v>10344.506345970418</v>
      </c>
      <c r="R25" s="2">
        <f t="shared" si="8"/>
        <v>7813.9194124146916</v>
      </c>
      <c r="S25" s="2">
        <f t="shared" si="9"/>
        <v>1025.1787413781001</v>
      </c>
      <c r="T25" s="2">
        <f t="shared" si="10"/>
        <v>393.00348692905209</v>
      </c>
      <c r="U25" s="2">
        <f t="shared" si="11"/>
        <v>386.6430811441316</v>
      </c>
      <c r="Z25" s="2">
        <v>10000000</v>
      </c>
      <c r="AA25" s="3">
        <f>IF('Modell einstellen'!$B$2="Ja",'creep_res-40'!P25,'creep_res-40'!L25)</f>
        <v>0.38013288148894225</v>
      </c>
      <c r="AB25" s="2">
        <f>IF('Modell einstellen'!$B$2="Ja",creep_res0!P25,creep_res0!L25)</f>
        <v>0.37813806734105387</v>
      </c>
      <c r="AC25" s="2">
        <f>IF('Modell einstellen'!$B$2="Ja",creep_res25!P25,creep_res25!L25)</f>
        <v>0.38410195379942486</v>
      </c>
      <c r="AD25" s="2">
        <f>IF('Modell einstellen'!$B$2="Ja",creep_res50!P25,creep_res50!L25)</f>
        <v>0.40249532381574127</v>
      </c>
      <c r="AE25" s="2">
        <f>IF('Modell einstellen'!$B$2="Ja",creep_res80!P25,creep_res80!L25)</f>
        <v>0.54526102632459827</v>
      </c>
      <c r="AF25" s="2">
        <f>IF('Modell einstellen'!$B$2="Ja",creep_res125!P25,creep_res125!L25)</f>
        <v>0.5386129069935689</v>
      </c>
      <c r="AG25" s="2">
        <f>IF('Modell einstellen'!$B$2="Ja",creep_res160!P25,creep_res160!L25)</f>
        <v>0.52310775136194199</v>
      </c>
      <c r="AL25" s="2">
        <f t="shared" si="12"/>
        <v>10000000</v>
      </c>
      <c r="AM25" s="2">
        <f t="shared" si="13"/>
        <v>5068.6144859756578</v>
      </c>
      <c r="AN25" s="2">
        <f t="shared" si="14"/>
        <v>4311.1706397553053</v>
      </c>
      <c r="AO25" s="2">
        <f t="shared" si="15"/>
        <v>3736.9018653482362</v>
      </c>
      <c r="AP25" s="2">
        <f t="shared" si="16"/>
        <v>2785.7203085552951</v>
      </c>
      <c r="AQ25" s="2">
        <f t="shared" si="17"/>
        <v>331.71701217899948</v>
      </c>
      <c r="AR25" s="2">
        <f t="shared" si="18"/>
        <v>127.7135675720335</v>
      </c>
      <c r="AS25" s="2">
        <f t="shared" si="19"/>
        <v>126.92571513683149</v>
      </c>
      <c r="AX25" s="2">
        <f t="shared" si="28"/>
        <v>10000000</v>
      </c>
      <c r="AY25" s="37">
        <f t="shared" si="20"/>
        <v>19453.10107442255</v>
      </c>
      <c r="AZ25" s="37">
        <f t="shared" si="21"/>
        <v>16251.693600598475</v>
      </c>
      <c r="BA25" s="37">
        <f t="shared" si="22"/>
        <v>14875.871056629718</v>
      </c>
      <c r="BB25" s="37">
        <f t="shared" si="23"/>
        <v>13356.486612068389</v>
      </c>
      <c r="BC25" s="37">
        <f t="shared" si="24"/>
        <v>-3775.0607407273196</v>
      </c>
      <c r="BD25" s="37">
        <f t="shared" si="25"/>
        <v>-1696.3390289612576</v>
      </c>
      <c r="BE25" s="37">
        <f t="shared" si="26"/>
        <v>-2788.6968539117224</v>
      </c>
    </row>
    <row r="26" spans="1:57" x14ac:dyDescent="0.25">
      <c r="A26" s="2">
        <f>'creep_res-40'!A26</f>
        <v>100000000</v>
      </c>
      <c r="B26" s="3">
        <f>'creep_res-40'!O26</f>
        <v>-7.9079345714285724E-4</v>
      </c>
      <c r="C26" s="2">
        <f>IF('Modell einstellen'!$B$2="Ja",creep_res0!O26,creep_res0!C26)</f>
        <v>-9.1760622857142856E-4</v>
      </c>
      <c r="D26" s="2">
        <f>IF('Modell einstellen'!$B$2="Ja",creep_res25!O26,creep_res25!C26)</f>
        <v>-1.0590879428571428E-3</v>
      </c>
      <c r="E26" s="2">
        <f>IF('Modell einstellen'!$B$2="Ja",creep_res50!O26,creep_res50!C26)</f>
        <v>-1.5468386571428571E-3</v>
      </c>
      <c r="F26" s="2">
        <f>IF('Modell einstellen'!$B$2="Ja",creep_res80!O26,creep_res80!C26)</f>
        <v>-1.6865644857142859E-2</v>
      </c>
      <c r="G26" s="2">
        <f>IF('Modell einstellen'!$B$2="Ja",creep_res125!O26,creep_res125!C26)</f>
        <v>-2.6120219142857143E-2</v>
      </c>
      <c r="H26" s="2">
        <f>IF('Modell einstellen'!$B$2="Ja",creep_res160!O26,creep_res160!C26)</f>
        <v>-2.6408451142857142E-2</v>
      </c>
      <c r="M26" s="9">
        <f t="shared" si="27"/>
        <v>-10</v>
      </c>
      <c r="N26" s="2">
        <f t="shared" si="4"/>
        <v>100000000</v>
      </c>
      <c r="O26" s="2">
        <f t="shared" si="5"/>
        <v>12645.526982646108</v>
      </c>
      <c r="P26" s="2">
        <f t="shared" si="6"/>
        <v>10897.920795032591</v>
      </c>
      <c r="Q26" s="2">
        <f t="shared" si="7"/>
        <v>9442.0865306261639</v>
      </c>
      <c r="R26" s="2">
        <f t="shared" si="8"/>
        <v>6464.7983510257318</v>
      </c>
      <c r="S26" s="2">
        <f t="shared" si="9"/>
        <v>592.92129561028003</v>
      </c>
      <c r="T26" s="2">
        <f t="shared" si="10"/>
        <v>382.84518002348415</v>
      </c>
      <c r="U26" s="2">
        <f t="shared" si="11"/>
        <v>378.66666037719375</v>
      </c>
      <c r="Z26" s="2">
        <v>100000000</v>
      </c>
      <c r="AA26" s="3">
        <f>IF('Modell einstellen'!$B$2="Ja",'creep_res-40'!P26,'creep_res-40'!L26)</f>
        <v>0.37957977179592961</v>
      </c>
      <c r="AB26" s="2">
        <f>IF('Modell einstellen'!$B$2="Ja",creep_res0!P26,creep_res0!L26)</f>
        <v>0.37869505680899296</v>
      </c>
      <c r="AC26" s="2">
        <f>IF('Modell einstellen'!$B$2="Ja",creep_res25!P26,creep_res25!L26)</f>
        <v>0.38495742886912027</v>
      </c>
      <c r="AD26" s="2">
        <f>IF('Modell einstellen'!$B$2="Ja",creep_res50!P26,creep_res50!L26)</f>
        <v>0.40835872198177181</v>
      </c>
      <c r="AE26" s="2">
        <f>IF('Modell einstellen'!$B$2="Ja",creep_res80!P26,creep_res80!L26)</f>
        <v>0.53824100953015952</v>
      </c>
      <c r="AF26" s="2">
        <f>IF('Modell einstellen'!$B$2="Ja",creep_res125!P26,creep_res125!L26)</f>
        <v>0.51397926906476299</v>
      </c>
      <c r="AG26" s="2">
        <f>IF('Modell einstellen'!$B$2="Ja",creep_res160!P26,creep_res160!L26)</f>
        <v>0.50409092526538513</v>
      </c>
      <c r="AL26" s="2">
        <f t="shared" si="12"/>
        <v>100000000</v>
      </c>
      <c r="AM26" s="2">
        <f t="shared" si="13"/>
        <v>4583.1082918040429</v>
      </c>
      <c r="AN26" s="2">
        <f t="shared" si="14"/>
        <v>3952.2593271118144</v>
      </c>
      <c r="AO26" s="2">
        <f t="shared" si="15"/>
        <v>3408.8002756648089</v>
      </c>
      <c r="AP26" s="2">
        <f t="shared" si="16"/>
        <v>2295.1533050928924</v>
      </c>
      <c r="AQ26" s="2">
        <f t="shared" si="17"/>
        <v>192.72704730170403</v>
      </c>
      <c r="AR26" s="2">
        <f t="shared" si="18"/>
        <v>126.4367312836393</v>
      </c>
      <c r="AS26" s="2">
        <f t="shared" si="19"/>
        <v>125.87891264299097</v>
      </c>
      <c r="AX26" s="2">
        <f t="shared" si="28"/>
        <v>100000000</v>
      </c>
      <c r="AY26" s="37">
        <f t="shared" si="20"/>
        <v>17501.941840447187</v>
      </c>
      <c r="AZ26" s="37">
        <f t="shared" si="21"/>
        <v>14973.174915431517</v>
      </c>
      <c r="BA26" s="37">
        <f t="shared" si="22"/>
        <v>13679.119589976604</v>
      </c>
      <c r="BB26" s="37">
        <f t="shared" si="23"/>
        <v>11757.435242482163</v>
      </c>
      <c r="BC26" s="37">
        <f t="shared" si="24"/>
        <v>-2584.1424467915831</v>
      </c>
      <c r="BD26" s="37">
        <f t="shared" si="25"/>
        <v>-4564.4396504786673</v>
      </c>
      <c r="BE26" s="37">
        <f t="shared" si="26"/>
        <v>-15427.099242529001</v>
      </c>
    </row>
    <row r="27" spans="1:57" x14ac:dyDescent="0.25">
      <c r="A27" s="2">
        <f>'creep_res-40'!A27</f>
        <v>1000000000</v>
      </c>
      <c r="B27" s="3">
        <f>'creep_res-40'!O27</f>
        <v>-8.6991351428571432E-4</v>
      </c>
      <c r="C27" s="2">
        <f>IF('Modell einstellen'!$B$2="Ja",creep_res0!O27,creep_res0!C27)</f>
        <v>-9.9569642857142869E-4</v>
      </c>
      <c r="D27" s="2">
        <f>IF('Modell einstellen'!$B$2="Ja",creep_res25!O27,creep_res25!C27)</f>
        <v>-1.1709494857142858E-3</v>
      </c>
      <c r="E27" s="2">
        <f>IF('Modell einstellen'!$B$2="Ja",creep_res50!O27,creep_res50!C27)</f>
        <v>-2.0103361428571429E-3</v>
      </c>
      <c r="F27" s="2">
        <f>IF('Modell einstellen'!$B$2="Ja",creep_res80!O27,creep_res80!C27)</f>
        <v>-2.2093246E-2</v>
      </c>
      <c r="G27" s="2">
        <f>IF('Modell einstellen'!$B$2="Ja",creep_res125!O27,creep_res125!C27)</f>
        <v>-2.6581952857142859E-2</v>
      </c>
      <c r="H27" s="2">
        <f>IF('Modell einstellen'!$B$2="Ja",creep_res160!O27,creep_res160!C27)</f>
        <v>-2.6778495142857142E-2</v>
      </c>
      <c r="M27" s="9">
        <f t="shared" si="27"/>
        <v>-10</v>
      </c>
      <c r="N27" s="2">
        <f t="shared" si="4"/>
        <v>1000000000</v>
      </c>
      <c r="O27" s="2">
        <f t="shared" si="5"/>
        <v>11495.395617817245</v>
      </c>
      <c r="P27" s="2">
        <f t="shared" si="6"/>
        <v>10043.221722053837</v>
      </c>
      <c r="Q27" s="2">
        <f t="shared" si="7"/>
        <v>8540.0780494813098</v>
      </c>
      <c r="R27" s="2">
        <f t="shared" si="8"/>
        <v>4974.2925010479767</v>
      </c>
      <c r="S27" s="2">
        <f t="shared" si="9"/>
        <v>452.62701551415307</v>
      </c>
      <c r="T27" s="2">
        <f t="shared" si="10"/>
        <v>376.19508445230321</v>
      </c>
      <c r="U27" s="2">
        <f t="shared" si="11"/>
        <v>373.43397926777772</v>
      </c>
      <c r="Z27" s="2">
        <v>1000000000</v>
      </c>
      <c r="AA27" s="3">
        <f>IF('Modell einstellen'!$B$2="Ja",'creep_res-40'!P27,'creep_res-40'!L27)</f>
        <v>0.37967610113491412</v>
      </c>
      <c r="AB27" s="2">
        <f>IF('Modell einstellen'!$B$2="Ja",creep_res0!P27,creep_res0!L27)</f>
        <v>0.37986015531125017</v>
      </c>
      <c r="AC27" s="2">
        <f>IF('Modell einstellen'!$B$2="Ja",creep_res25!P27,creep_res25!L27)</f>
        <v>0.38717310045239967</v>
      </c>
      <c r="AD27" s="2">
        <f>IF('Modell einstellen'!$B$2="Ja",creep_res50!P27,creep_res50!L27)</f>
        <v>0.41756908741558713</v>
      </c>
      <c r="AE27" s="2">
        <f>IF('Modell einstellen'!$B$2="Ja",creep_res80!P27,creep_res80!L27)</f>
        <v>0.51997413922012958</v>
      </c>
      <c r="AF27" s="2">
        <f>IF('Modell einstellen'!$B$2="Ja",creep_res125!P27,creep_res125!L27)</f>
        <v>0.49843173405458169</v>
      </c>
      <c r="AG27" s="2">
        <f>IF('Modell einstellen'!$B$2="Ja",creep_res160!P27,creep_res160!L27)</f>
        <v>0.49241029046196377</v>
      </c>
      <c r="AL27" s="2">
        <f t="shared" si="12"/>
        <v>1000000000</v>
      </c>
      <c r="AM27" s="2">
        <f t="shared" si="13"/>
        <v>4165.9762057055259</v>
      </c>
      <c r="AN27" s="2">
        <f t="shared" si="14"/>
        <v>3639.2172363975619</v>
      </c>
      <c r="AO27" s="2">
        <f t="shared" si="15"/>
        <v>3078.2308446927527</v>
      </c>
      <c r="AP27" s="2">
        <f t="shared" si="16"/>
        <v>1754.5150163075152</v>
      </c>
      <c r="AQ27" s="2">
        <f t="shared" si="17"/>
        <v>148.89299884614732</v>
      </c>
      <c r="AR27" s="2">
        <f t="shared" si="18"/>
        <v>125.52960401951817</v>
      </c>
      <c r="AS27" s="2">
        <f t="shared" si="19"/>
        <v>125.11103067782525</v>
      </c>
      <c r="AX27" s="2">
        <f t="shared" si="28"/>
        <v>1000000000</v>
      </c>
      <c r="AY27" s="37">
        <f t="shared" si="20"/>
        <v>15922.848974370625</v>
      </c>
      <c r="AZ27" s="37">
        <f t="shared" si="21"/>
        <v>13932.682294916583</v>
      </c>
      <c r="BA27" s="37">
        <f t="shared" si="22"/>
        <v>12615.310243278691</v>
      </c>
      <c r="BB27" s="37">
        <f t="shared" si="23"/>
        <v>10057.498142164573</v>
      </c>
      <c r="BC27" s="37">
        <f t="shared" si="24"/>
        <v>-3776.7753137016589</v>
      </c>
      <c r="BD27" s="37">
        <f t="shared" si="25"/>
        <v>39979.941492210644</v>
      </c>
      <c r="BE27" s="37">
        <f t="shared" si="26"/>
        <v>8200.4451201611373</v>
      </c>
    </row>
    <row r="28" spans="1:57" x14ac:dyDescent="0.25">
      <c r="A28" s="2">
        <f>'creep_res-40'!A28</f>
        <v>10000000000</v>
      </c>
      <c r="B28" s="3">
        <f>'creep_res-40'!O28</f>
        <v>-9.4754371428571436E-4</v>
      </c>
      <c r="C28" s="2">
        <f>IF('Modell einstellen'!$B$2="Ja",creep_res0!O28,creep_res0!C28)</f>
        <v>-1.0819888857142856E-3</v>
      </c>
      <c r="D28" s="2">
        <f>IF('Modell einstellen'!$B$2="Ja",creep_res25!O28,creep_res25!C28)</f>
        <v>-1.338241142857143E-3</v>
      </c>
      <c r="E28" s="2">
        <f>IF('Modell einstellen'!$B$2="Ja",creep_res50!O28,creep_res50!C28)</f>
        <v>-2.9789217142857146E-3</v>
      </c>
      <c r="F28" s="2">
        <f>IF('Modell einstellen'!$B$2="Ja",creep_res80!O28,creep_res80!C28)</f>
        <v>-2.4779278857142862E-2</v>
      </c>
      <c r="G28" s="2">
        <f>IF('Modell einstellen'!$B$2="Ja",creep_res125!O28,creep_res125!C28)</f>
        <v>-2.6895848857142857E-2</v>
      </c>
      <c r="H28" s="2">
        <f>IF('Modell einstellen'!$B$2="Ja",creep_res160!O28,creep_res160!C28)</f>
        <v>-2.6843666571428573E-2</v>
      </c>
      <c r="M28" s="9">
        <f t="shared" si="27"/>
        <v>-10</v>
      </c>
      <c r="N28" s="2">
        <f t="shared" si="4"/>
        <v>10000000000</v>
      </c>
      <c r="O28" s="2">
        <f t="shared" si="5"/>
        <v>10553.602804001805</v>
      </c>
      <c r="P28" s="2">
        <f t="shared" si="6"/>
        <v>9242.2391135731505</v>
      </c>
      <c r="Q28" s="2">
        <f t="shared" si="7"/>
        <v>7472.4948140885981</v>
      </c>
      <c r="R28" s="2">
        <f t="shared" si="8"/>
        <v>3356.9193685231835</v>
      </c>
      <c r="S28" s="2">
        <f t="shared" si="9"/>
        <v>403.56299542258085</v>
      </c>
      <c r="T28" s="2">
        <f t="shared" si="10"/>
        <v>371.80458787952523</v>
      </c>
      <c r="U28" s="2">
        <f t="shared" si="11"/>
        <v>372.52735103794049</v>
      </c>
      <c r="Z28" s="2">
        <v>10000000000</v>
      </c>
      <c r="AA28" s="3">
        <f>IF('Modell einstellen'!$B$2="Ja",'creep_res-40'!P28,'creep_res-40'!L28)</f>
        <v>0.38007223488822078</v>
      </c>
      <c r="AB28" s="2">
        <f>IF('Modell einstellen'!$B$2="Ja",creep_res0!P28,creep_res0!L28)</f>
        <v>0.38162361900152603</v>
      </c>
      <c r="AC28" s="2">
        <f>IF('Modell einstellen'!$B$2="Ja",creep_res25!P28,creep_res25!L28)</f>
        <v>0.39139655377079169</v>
      </c>
      <c r="AD28" s="2">
        <f>IF('Modell einstellen'!$B$2="Ja",creep_res50!P28,creep_res50!L28)</f>
        <v>0.43228462532847456</v>
      </c>
      <c r="AE28" s="2">
        <f>IF('Modell einstellen'!$B$2="Ja",creep_res80!P28,creep_res80!L28)</f>
        <v>0.50447018658769671</v>
      </c>
      <c r="AF28" s="2">
        <f>IF('Modell einstellen'!$B$2="Ja",creep_res125!P28,creep_res125!L28)</f>
        <v>0.48913303891579824</v>
      </c>
      <c r="AG28" s="2">
        <f>IF('Modell einstellen'!$B$2="Ja",creep_res160!P28,creep_res160!L28)</f>
        <v>0.49046885047095923</v>
      </c>
      <c r="AL28" s="2">
        <f t="shared" si="12"/>
        <v>10000000000</v>
      </c>
      <c r="AM28" s="2">
        <f t="shared" si="13"/>
        <v>3823.5689905233821</v>
      </c>
      <c r="AN28" s="2">
        <f t="shared" si="14"/>
        <v>3344.7021990881808</v>
      </c>
      <c r="AO28" s="2">
        <f t="shared" si="15"/>
        <v>2685.2498641877337</v>
      </c>
      <c r="AP28" s="2">
        <f t="shared" si="16"/>
        <v>1171.8757952014325</v>
      </c>
      <c r="AQ28" s="2">
        <f t="shared" si="17"/>
        <v>134.12130031566326</v>
      </c>
      <c r="AR28" s="2">
        <f t="shared" si="18"/>
        <v>124.83927834622055</v>
      </c>
      <c r="AS28" s="2">
        <f t="shared" si="19"/>
        <v>124.96985459314666</v>
      </c>
      <c r="AX28" s="2">
        <f t="shared" si="28"/>
        <v>10000000000</v>
      </c>
      <c r="AY28" s="37">
        <f t="shared" si="20"/>
        <v>14666.610346882935</v>
      </c>
      <c r="AZ28" s="37">
        <f t="shared" si="21"/>
        <v>13012.504459106436</v>
      </c>
      <c r="BA28" s="37">
        <f t="shared" si="22"/>
        <v>11467.553246143232</v>
      </c>
      <c r="BB28" s="37">
        <f t="shared" si="23"/>
        <v>8262.3268959892011</v>
      </c>
      <c r="BC28" s="37">
        <f t="shared" si="24"/>
        <v>-15046.463479224287</v>
      </c>
      <c r="BD28" s="37">
        <f t="shared" si="25"/>
        <v>5702.3698560346911</v>
      </c>
      <c r="BE28" s="37">
        <f t="shared" si="26"/>
        <v>6514.2081393728131</v>
      </c>
    </row>
    <row r="29" spans="1:57" x14ac:dyDescent="0.25">
      <c r="A29" s="2">
        <f>'creep_res-40'!A29</f>
        <v>100000000000</v>
      </c>
      <c r="B29" s="3">
        <f>'creep_res-40'!O29</f>
        <v>-1.0310119428571429E-3</v>
      </c>
      <c r="C29" s="2">
        <f>IF('Modell einstellen'!$B$2="Ja",creep_res0!O29,creep_res0!C29)</f>
        <v>-1.1905131142857144E-3</v>
      </c>
      <c r="D29" s="2">
        <f>IF('Modell einstellen'!$B$2="Ja",creep_res25!O29,creep_res25!C29)</f>
        <v>-1.6058572285714287E-3</v>
      </c>
      <c r="E29" s="2">
        <f>IF('Modell einstellen'!$B$2="Ja",creep_res50!O29,creep_res50!C29)</f>
        <v>-4.8967757142857147E-3</v>
      </c>
      <c r="F29" s="2">
        <f>IF('Modell einstellen'!$B$2="Ja",creep_res80!O29,creep_res80!C29)</f>
        <v>-2.6766490571428572E-2</v>
      </c>
      <c r="G29" s="2">
        <f>IF('Modell einstellen'!$B$2="Ja",creep_res125!O29,creep_res125!C29)</f>
        <v>-2.6954494571428574E-2</v>
      </c>
      <c r="H29" s="2">
        <f>IF('Modell einstellen'!$B$2="Ja",creep_res160!O29,creep_res160!C29)</f>
        <v>-2.693226342857143E-2</v>
      </c>
      <c r="M29" s="9">
        <f t="shared" si="27"/>
        <v>-10</v>
      </c>
      <c r="N29" s="2">
        <f t="shared" si="4"/>
        <v>100000000000</v>
      </c>
      <c r="O29" s="2">
        <f t="shared" si="5"/>
        <v>9699.2086942154856</v>
      </c>
      <c r="P29" s="2">
        <f t="shared" si="6"/>
        <v>8399.7394736804836</v>
      </c>
      <c r="Q29" s="2">
        <f t="shared" si="7"/>
        <v>6227.2036530271153</v>
      </c>
      <c r="R29" s="2">
        <f t="shared" si="8"/>
        <v>2042.1601036016993</v>
      </c>
      <c r="S29" s="2">
        <f t="shared" si="9"/>
        <v>373.60146162285196</v>
      </c>
      <c r="T29" s="2">
        <f t="shared" si="10"/>
        <v>370.99564132060834</v>
      </c>
      <c r="U29" s="2">
        <f t="shared" si="11"/>
        <v>371.30187837801162</v>
      </c>
      <c r="Z29" s="2">
        <v>100000000000</v>
      </c>
      <c r="AA29" s="3">
        <f>IF('Modell einstellen'!$B$2="Ja",'creep_res-40'!P29,'creep_res-40'!L29)</f>
        <v>0.38143371375107804</v>
      </c>
      <c r="AB29" s="2">
        <f>IF('Modell einstellen'!$B$2="Ja",creep_res0!P29,creep_res0!L29)</f>
        <v>0.38426244971585954</v>
      </c>
      <c r="AC29" s="2">
        <f>IF('Modell einstellen'!$B$2="Ja",creep_res25!P29,creep_res25!L29)</f>
        <v>0.39742728952438633</v>
      </c>
      <c r="AD29" s="2">
        <f>IF('Modell einstellen'!$B$2="Ja",creep_res50!P29,creep_res50!L29)</f>
        <v>0.44944640832174404</v>
      </c>
      <c r="AE29" s="2">
        <f>IF('Modell einstellen'!$B$2="Ja",creep_res80!P29,creep_res80!L29)</f>
        <v>0.49557765281295169</v>
      </c>
      <c r="AF29" s="2">
        <f>IF('Modell einstellen'!$B$2="Ja",creep_res125!P29,creep_res125!L29)</f>
        <v>0.48750283692417007</v>
      </c>
      <c r="AG29" s="2">
        <f>IF('Modell einstellen'!$B$2="Ja",creep_res160!P29,creep_res160!L29)</f>
        <v>0.48793238130258682</v>
      </c>
      <c r="AL29" s="2">
        <f t="shared" si="12"/>
        <v>100000000000</v>
      </c>
      <c r="AM29" s="2">
        <f t="shared" si="13"/>
        <v>3510.558848270296</v>
      </c>
      <c r="AN29" s="2">
        <f t="shared" si="14"/>
        <v>3034.0126163953428</v>
      </c>
      <c r="AO29" s="2">
        <f t="shared" si="15"/>
        <v>2228.0957655931211</v>
      </c>
      <c r="AP29" s="2">
        <f t="shared" si="16"/>
        <v>704.46209389908893</v>
      </c>
      <c r="AQ29" s="2">
        <f t="shared" si="17"/>
        <v>124.90206072555479</v>
      </c>
      <c r="AR29" s="2">
        <f t="shared" si="18"/>
        <v>124.70417941781746</v>
      </c>
      <c r="AS29" s="2">
        <f t="shared" si="19"/>
        <v>124.77108605330615</v>
      </c>
      <c r="AX29" s="2">
        <f t="shared" si="28"/>
        <v>100000000000</v>
      </c>
      <c r="AY29" s="37">
        <f t="shared" si="20"/>
        <v>13634.017168889319</v>
      </c>
      <c r="AZ29" s="37">
        <f t="shared" si="21"/>
        <v>12095.958273782331</v>
      </c>
      <c r="BA29" s="37">
        <f t="shared" si="22"/>
        <v>10118.356731455086</v>
      </c>
      <c r="BB29" s="37">
        <f t="shared" si="23"/>
        <v>6732.657482244631</v>
      </c>
      <c r="BC29" s="37">
        <f t="shared" si="24"/>
        <v>14080.059216706419</v>
      </c>
      <c r="BD29" s="37">
        <f t="shared" si="25"/>
        <v>4947.7314580582743</v>
      </c>
      <c r="BE29" s="37">
        <f t="shared" si="26"/>
        <v>5128.0743904844003</v>
      </c>
    </row>
    <row r="30" spans="1:57" x14ac:dyDescent="0.25">
      <c r="A30" s="2">
        <f>'creep_res-40'!A30</f>
        <v>1000000000000</v>
      </c>
      <c r="B30" s="3">
        <f>'creep_res-40'!O30</f>
        <v>-1.1241460285714286E-3</v>
      </c>
      <c r="C30" s="2">
        <f>IF('Modell einstellen'!$B$2="Ja",creep_res0!O30,creep_res0!C30)</f>
        <v>-1.357037342857143E-3</v>
      </c>
      <c r="D30" s="2">
        <f>IF('Modell einstellen'!$B$2="Ja",creep_res25!O30,creep_res25!C30)</f>
        <v>-2.0846555428571428E-3</v>
      </c>
      <c r="E30" s="2">
        <f>IF('Modell einstellen'!$B$2="Ja",creep_res50!O30,creep_res50!C30)</f>
        <v>-8.4642999999999993E-3</v>
      </c>
      <c r="F30" s="2">
        <f>IF('Modell einstellen'!$B$2="Ja",creep_res80!O30,creep_res80!C30)</f>
        <v>-2.6868412571428572E-2</v>
      </c>
      <c r="G30" s="2">
        <f>IF('Modell einstellen'!$B$2="Ja",creep_res125!O30,creep_res125!C30)</f>
        <v>-2.7217686571428569E-2</v>
      </c>
      <c r="H30" s="2">
        <f>IF('Modell einstellen'!$B$2="Ja",creep_res160!O30,creep_res160!C30)</f>
        <v>-2.7235974857142856E-2</v>
      </c>
      <c r="M30" s="9">
        <f t="shared" si="27"/>
        <v>-10</v>
      </c>
      <c r="N30" s="2">
        <f t="shared" si="4"/>
        <v>1000000000000</v>
      </c>
      <c r="O30" s="2">
        <f t="shared" si="5"/>
        <v>8895.6414432278507</v>
      </c>
      <c r="P30" s="2">
        <f t="shared" si="6"/>
        <v>7368.9939725208524</v>
      </c>
      <c r="Q30" s="2">
        <f t="shared" si="7"/>
        <v>4796.9555614422579</v>
      </c>
      <c r="R30" s="2">
        <f t="shared" si="8"/>
        <v>1181.4326051770379</v>
      </c>
      <c r="S30" s="2">
        <f t="shared" si="9"/>
        <v>372.18425068527625</v>
      </c>
      <c r="T30" s="2">
        <f t="shared" si="10"/>
        <v>367.40815475836132</v>
      </c>
      <c r="U30" s="2">
        <f t="shared" si="11"/>
        <v>367.16144923953101</v>
      </c>
      <c r="Z30" s="2">
        <v>1000000000000</v>
      </c>
      <c r="AA30" s="3">
        <f>IF('Modell einstellen'!$B$2="Ja",'creep_res-40'!P30,'creep_res-40'!L30)</f>
        <v>0.3832566389252276</v>
      </c>
      <c r="AB30" s="2">
        <f>IF('Modell einstellen'!$B$2="Ja",creep_res0!P30,creep_res0!L30)</f>
        <v>0.38851043724304701</v>
      </c>
      <c r="AC30" s="2">
        <f>IF('Modell einstellen'!$B$2="Ja",creep_res25!P30,creep_res25!L30)</f>
        <v>0.40676609759606197</v>
      </c>
      <c r="AD30" s="2">
        <f>IF('Modell einstellen'!$B$2="Ja",creep_res50!P30,creep_res50!L30)</f>
        <v>0.46486088631074041</v>
      </c>
      <c r="AE30" s="2">
        <f>IF('Modell einstellen'!$B$2="Ja",creep_res80!P30,creep_res80!L30)</f>
        <v>0.49303610302077072</v>
      </c>
      <c r="AF30" s="2">
        <f>IF('Modell einstellen'!$B$2="Ja",creep_res125!P30,creep_res125!L30)</f>
        <v>0.48236867575488179</v>
      </c>
      <c r="AG30" s="2">
        <f>IF('Modell einstellen'!$B$2="Ja",creep_res160!P30,creep_res160!L30)</f>
        <v>0.48125251610496006</v>
      </c>
      <c r="AL30" s="2">
        <f t="shared" si="12"/>
        <v>1000000000000</v>
      </c>
      <c r="AM30" s="2">
        <f t="shared" si="13"/>
        <v>3215.4703591878829</v>
      </c>
      <c r="AN30" s="2">
        <f t="shared" si="14"/>
        <v>2653.5608861364908</v>
      </c>
      <c r="AO30" s="2">
        <f t="shared" si="15"/>
        <v>1704.9584752004923</v>
      </c>
      <c r="AP30" s="2">
        <f t="shared" si="16"/>
        <v>403.25761176970258</v>
      </c>
      <c r="AQ30" s="2">
        <f t="shared" si="17"/>
        <v>124.64007063602084</v>
      </c>
      <c r="AR30" s="2">
        <f t="shared" si="18"/>
        <v>123.9260383626436</v>
      </c>
      <c r="AS30" s="2">
        <f t="shared" si="19"/>
        <v>123.93614365125383</v>
      </c>
      <c r="AX30" s="2">
        <f t="shared" si="28"/>
        <v>1000000000000</v>
      </c>
      <c r="AY30" s="37">
        <f t="shared" si="20"/>
        <v>12699.710660677774</v>
      </c>
      <c r="AZ30" s="37">
        <f t="shared" si="21"/>
        <v>11015.969851493697</v>
      </c>
      <c r="BA30" s="37">
        <f t="shared" si="22"/>
        <v>8575.1274263935629</v>
      </c>
      <c r="BB30" s="37">
        <f t="shared" si="23"/>
        <v>5603.5970610254153</v>
      </c>
      <c r="BC30" s="37">
        <f t="shared" si="24"/>
        <v>8907.4707211437271</v>
      </c>
      <c r="BD30" s="37">
        <f t="shared" si="25"/>
        <v>3473.062579328473</v>
      </c>
      <c r="BE30" s="37">
        <f t="shared" si="26"/>
        <v>3264.0953429193382</v>
      </c>
    </row>
    <row r="31" spans="1:57" x14ac:dyDescent="0.25">
      <c r="A31" s="2">
        <f>'creep_res-40'!A31</f>
        <v>10000000000000</v>
      </c>
      <c r="B31" s="3">
        <f>'creep_res-40'!O31</f>
        <v>-1.2562818285714286E-3</v>
      </c>
      <c r="C31" s="2">
        <f>IF('Modell einstellen'!$B$2="Ja",creep_res0!O31,creep_res0!C31)</f>
        <v>-1.6271212571428572E-3</v>
      </c>
      <c r="D31" s="2">
        <f>IF('Modell einstellen'!$B$2="Ja",creep_res25!O31,creep_res25!C31)</f>
        <v>-3.0967014285714287E-3</v>
      </c>
      <c r="E31" s="2">
        <f>IF('Modell einstellen'!$B$2="Ja",creep_res50!O31,creep_res50!C31)</f>
        <v>-1.4895274571428573E-2</v>
      </c>
      <c r="F31" s="2">
        <f>IF('Modell einstellen'!$B$2="Ja",creep_res80!O31,creep_res80!C31)</f>
        <v>-2.7191233999999998E-2</v>
      </c>
      <c r="G31" s="2">
        <f>IF('Modell einstellen'!$B$2="Ja",creep_res125!O31,creep_res125!C31)</f>
        <v>-2.7221723714285714E-2</v>
      </c>
      <c r="H31" s="2">
        <f>IF('Modell einstellen'!$B$2="Ja",creep_res160!O31,creep_res160!C31)</f>
        <v>-2.7240321142857141E-2</v>
      </c>
      <c r="M31" s="9">
        <f t="shared" si="27"/>
        <v>-10</v>
      </c>
      <c r="N31" s="2">
        <f t="shared" si="4"/>
        <v>10000000000000</v>
      </c>
      <c r="O31" s="2">
        <f t="shared" si="5"/>
        <v>7959.9973290797534</v>
      </c>
      <c r="P31" s="2">
        <f t="shared" si="6"/>
        <v>6145.8234634335095</v>
      </c>
      <c r="Q31" s="2">
        <f t="shared" si="7"/>
        <v>3229.2425442556155</v>
      </c>
      <c r="R31" s="2">
        <f t="shared" si="8"/>
        <v>671.35385467694152</v>
      </c>
      <c r="S31" s="2">
        <f t="shared" si="9"/>
        <v>367.76558209899559</v>
      </c>
      <c r="T31" s="2">
        <f t="shared" si="10"/>
        <v>367.35366595290549</v>
      </c>
      <c r="U31" s="2">
        <f t="shared" si="11"/>
        <v>367.10286738385844</v>
      </c>
      <c r="Z31" s="2">
        <v>10000000000000</v>
      </c>
      <c r="AA31" s="3">
        <f>IF('Modell einstellen'!$B$2="Ja",'creep_res-40'!P31,'creep_res-40'!L31)</f>
        <v>0.38666528511436832</v>
      </c>
      <c r="AB31" s="2">
        <f>IF('Modell einstellen'!$B$2="Ja",creep_res0!P31,creep_res0!L31)</f>
        <v>0.39466206083438088</v>
      </c>
      <c r="AC31" s="2">
        <f>IF('Modell einstellen'!$B$2="Ja",creep_res25!P31,creep_res25!L31)</f>
        <v>0.42195974426244331</v>
      </c>
      <c r="AD31" s="2">
        <f>IF('Modell einstellen'!$B$2="Ja",creep_res50!P31,creep_res50!L31)</f>
        <v>0.47751130507142042</v>
      </c>
      <c r="AE31" s="2">
        <f>IF('Modell einstellen'!$B$2="Ja",creep_res80!P31,creep_res80!L31)</f>
        <v>0.48418241807530432</v>
      </c>
      <c r="AF31" s="2">
        <f>IF('Modell einstellen'!$B$2="Ja",creep_res125!P31,creep_res125!L31)</f>
        <v>0.48229778836404746</v>
      </c>
      <c r="AG31" s="2">
        <f>IF('Modell einstellen'!$B$2="Ja",creep_res160!P31,creep_res160!L31)</f>
        <v>0.48117498593786245</v>
      </c>
      <c r="AL31" s="2">
        <f t="shared" si="12"/>
        <v>10000000000000</v>
      </c>
      <c r="AM31" s="2">
        <f t="shared" si="13"/>
        <v>2870.194204228324</v>
      </c>
      <c r="AN31" s="2">
        <f t="shared" si="14"/>
        <v>2203.3378680125074</v>
      </c>
      <c r="AO31" s="2">
        <f t="shared" si="15"/>
        <v>1135.4901421385146</v>
      </c>
      <c r="AP31" s="2">
        <f t="shared" si="16"/>
        <v>227.19076746573165</v>
      </c>
      <c r="AQ31" s="2">
        <f t="shared" si="17"/>
        <v>123.89500698166064</v>
      </c>
      <c r="AR31" s="2">
        <f t="shared" si="18"/>
        <v>123.91358498832378</v>
      </c>
      <c r="AS31" s="2">
        <f t="shared" si="19"/>
        <v>123.92285545904397</v>
      </c>
      <c r="AX31" s="2">
        <f t="shared" si="28"/>
        <v>10000000000000</v>
      </c>
      <c r="AY31" s="37">
        <f t="shared" si="20"/>
        <v>11705.735730239914</v>
      </c>
      <c r="AZ31" s="37">
        <f t="shared" si="21"/>
        <v>9723.9790210987012</v>
      </c>
      <c r="BA31" s="37">
        <f t="shared" si="22"/>
        <v>6896.5316120851512</v>
      </c>
      <c r="BB31" s="37">
        <f t="shared" si="23"/>
        <v>4975.4914399512863</v>
      </c>
      <c r="BC31" s="37">
        <f t="shared" si="24"/>
        <v>3875.0716749864532</v>
      </c>
      <c r="BD31" s="37">
        <f t="shared" si="25"/>
        <v>3458.6419059528112</v>
      </c>
      <c r="BE31" s="37">
        <f t="shared" si="26"/>
        <v>3250.133626922548</v>
      </c>
    </row>
    <row r="32" spans="1:57" x14ac:dyDescent="0.25">
      <c r="A32" s="2">
        <f>'creep_res-40'!A32</f>
        <v>100000000000000</v>
      </c>
      <c r="B32" s="3">
        <f>'creep_res-40'!O32</f>
        <v>-1.4614530285714286E-3</v>
      </c>
      <c r="C32" s="2">
        <f>IF('Modell einstellen'!$B$2="Ja",creep_res0!O32,creep_res0!C32)</f>
        <v>-2.1151075142857145E-3</v>
      </c>
      <c r="D32" s="2">
        <f>IF('Modell einstellen'!$B$2="Ja",creep_res25!O32,creep_res25!C32)</f>
        <v>-5.1020828571428575E-3</v>
      </c>
      <c r="E32" s="2">
        <f>IF('Modell einstellen'!$B$2="Ja",creep_res50!O32,creep_res50!C32)</f>
        <v>-2.1472374571428574E-2</v>
      </c>
      <c r="F32" s="2">
        <f>IF('Modell einstellen'!$B$2="Ja",creep_res80!O32,creep_res80!C32)</f>
        <v>-2.7195999142857145E-2</v>
      </c>
      <c r="G32" s="2">
        <f>IF('Modell einstellen'!$B$2="Ja",creep_res125!O32,creep_res125!C32)</f>
        <v>-2.7305871714285716E-2</v>
      </c>
      <c r="H32" s="2">
        <f>IF('Modell einstellen'!$B$2="Ja",creep_res160!O32,creep_res160!C32)</f>
        <v>-2.7359462000000005E-2</v>
      </c>
      <c r="M32" s="9">
        <v>-1</v>
      </c>
      <c r="N32" s="2">
        <f t="shared" si="4"/>
        <v>100000000000000</v>
      </c>
      <c r="O32" s="2">
        <f t="shared" si="5"/>
        <v>6842.5052358850062</v>
      </c>
      <c r="P32" s="2">
        <f t="shared" si="6"/>
        <v>4727.8920492025509</v>
      </c>
      <c r="Q32" s="2">
        <f t="shared" si="7"/>
        <v>1959.9838497330782</v>
      </c>
      <c r="R32" s="2">
        <f t="shared" si="8"/>
        <v>465.71467756091272</v>
      </c>
      <c r="S32" s="2">
        <f t="shared" si="9"/>
        <v>367.7011441084133</v>
      </c>
      <c r="T32" s="2">
        <f t="shared" si="10"/>
        <v>366.22159895258943</v>
      </c>
      <c r="U32" s="2">
        <f t="shared" si="11"/>
        <v>365.50426320517556</v>
      </c>
      <c r="Z32" s="2">
        <v>100000000000000</v>
      </c>
      <c r="AA32" s="3">
        <f>IF('Modell einstellen'!$B$2="Ja",'creep_res-40'!P32,'creep_res-40'!L32)</f>
        <v>0.39159123749561497</v>
      </c>
      <c r="AB32" s="2">
        <f>IF('Modell einstellen'!$B$2="Ja",creep_res0!P32,creep_res0!L32)</f>
        <v>0.4042193572787377</v>
      </c>
      <c r="AC32" s="2">
        <f>IF('Modell einstellen'!$B$2="Ja",creep_res25!P32,creep_res25!L32)</f>
        <v>0.44008362411093732</v>
      </c>
      <c r="AD32" s="2">
        <f>IF('Modell einstellen'!$B$2="Ja",creep_res50!P32,creep_res50!L32)</f>
        <v>0.48303823899388809</v>
      </c>
      <c r="AE32" s="2">
        <f>IF('Modell einstellen'!$B$2="Ja",creep_res80!P32,creep_res80!L32)</f>
        <v>0.48406377463273303</v>
      </c>
      <c r="AF32" s="2">
        <f>IF('Modell einstellen'!$B$2="Ja",creep_res125!P32,creep_res125!L32)</f>
        <v>0.48082397264822718</v>
      </c>
      <c r="AG32" s="2">
        <f>IF('Modell einstellen'!$B$2="Ja",creep_res160!P32,creep_res160!L32)</f>
        <v>0.48001299983791446</v>
      </c>
      <c r="AL32" s="2">
        <f t="shared" si="12"/>
        <v>100000000000000</v>
      </c>
      <c r="AM32" s="2">
        <f t="shared" si="13"/>
        <v>2458.5183678646754</v>
      </c>
      <c r="AN32" s="2">
        <f t="shared" si="14"/>
        <v>1683.4592204898881</v>
      </c>
      <c r="AO32" s="2">
        <f t="shared" si="15"/>
        <v>680.51042901870051</v>
      </c>
      <c r="AP32" s="2">
        <f t="shared" si="16"/>
        <v>157.01371189082064</v>
      </c>
      <c r="AQ32" s="2">
        <f t="shared" si="17"/>
        <v>123.88320178471095</v>
      </c>
      <c r="AR32" s="2">
        <f t="shared" si="18"/>
        <v>123.65466987195585</v>
      </c>
      <c r="AS32" s="2">
        <f t="shared" si="19"/>
        <v>123.48008539289999</v>
      </c>
      <c r="AX32" s="2">
        <f t="shared" si="28"/>
        <v>100000000000000</v>
      </c>
      <c r="AY32" s="37">
        <f t="shared" si="20"/>
        <v>10519.606653272505</v>
      </c>
      <c r="AZ32" s="37">
        <f t="shared" si="21"/>
        <v>8226.9442531679888</v>
      </c>
      <c r="BA32" s="37">
        <f t="shared" si="22"/>
        <v>5451.9982243309096</v>
      </c>
      <c r="BB32" s="37">
        <f t="shared" si="23"/>
        <v>4576.1234873460335</v>
      </c>
      <c r="BC32" s="37">
        <f t="shared" si="24"/>
        <v>3845.5482779470067</v>
      </c>
      <c r="BD32" s="37">
        <f t="shared" si="25"/>
        <v>3182.9811273773585</v>
      </c>
      <c r="BE32" s="37">
        <f t="shared" si="26"/>
        <v>3047.8499378020801</v>
      </c>
    </row>
    <row r="33" spans="1:60" x14ac:dyDescent="0.25">
      <c r="A33" s="2">
        <f>'creep_res-40'!A33</f>
        <v>1000000000000000</v>
      </c>
      <c r="B33" s="3">
        <f>'creep_res-40'!O33</f>
        <v>-1.802786285714286E-3</v>
      </c>
      <c r="C33" s="2">
        <f>IF('Modell einstellen'!$B$2="Ja",creep_res0!O33,creep_res0!C33)</f>
        <v>-3.1498225714285716E-3</v>
      </c>
      <c r="D33" s="2">
        <f>IF('Modell einstellen'!$B$2="Ja",creep_res25!O33,creep_res25!C33)</f>
        <v>-8.8143111428571428E-3</v>
      </c>
      <c r="E33" s="2">
        <f>IF('Modell einstellen'!$B$2="Ja",creep_res50!O33,creep_res50!C33)</f>
        <v>-2.4615299714285718E-2</v>
      </c>
      <c r="F33" s="2">
        <f>IF('Modell einstellen'!$B$2="Ja",creep_res80!O33,creep_res80!C33)</f>
        <v>-2.7336072000000003E-2</v>
      </c>
      <c r="G33" s="2">
        <f>IF('Modell einstellen'!$B$2="Ja",creep_res125!O33,creep_res125!C33)</f>
        <v>-2.7309677428571429E-2</v>
      </c>
      <c r="H33" s="2">
        <f>IF('Modell einstellen'!$B$2="Ja",creep_res160!O33,creep_res160!C33)</f>
        <v>-2.7362212285714289E-2</v>
      </c>
      <c r="M33" s="9">
        <f>M31</f>
        <v>-10</v>
      </c>
      <c r="N33" s="2">
        <f t="shared" si="4"/>
        <v>1000000000000000</v>
      </c>
      <c r="O33" s="2">
        <f t="shared" si="5"/>
        <v>5546.9691994233681</v>
      </c>
      <c r="P33" s="2">
        <f t="shared" si="6"/>
        <v>3174.7819990586318</v>
      </c>
      <c r="Q33" s="2">
        <f t="shared" si="7"/>
        <v>1134.5186070613929</v>
      </c>
      <c r="R33" s="2">
        <f t="shared" si="8"/>
        <v>406.25140120460964</v>
      </c>
      <c r="S33" s="2">
        <f t="shared" si="9"/>
        <v>365.81700545711175</v>
      </c>
      <c r="T33" s="2">
        <f t="shared" si="10"/>
        <v>366.17056448780988</v>
      </c>
      <c r="U33" s="2">
        <f t="shared" si="11"/>
        <v>365.4675249055415</v>
      </c>
      <c r="Z33" s="2">
        <v>1000000000000000</v>
      </c>
      <c r="AA33" s="3">
        <f>IF('Modell einstellen'!$B$2="Ja",'creep_res-40'!P33,'creep_res-40'!L33)</f>
        <v>0.39884466140666064</v>
      </c>
      <c r="AB33" s="2">
        <f>IF('Modell einstellen'!$B$2="Ja",creep_res0!P33,creep_res0!L33)</f>
        <v>0.41966918952985927</v>
      </c>
      <c r="AC33" s="2">
        <f>IF('Modell einstellen'!$B$2="Ja",creep_res25!P33,creep_res25!L33)</f>
        <v>0.45697800093866831</v>
      </c>
      <c r="AD33" s="2">
        <f>IF('Modell einstellen'!$B$2="Ja",creep_res50!P33,creep_res50!L33)</f>
        <v>0.48298510604595052</v>
      </c>
      <c r="AE33" s="2">
        <f>IF('Modell einstellen'!$B$2="Ja",creep_res80!P33,creep_res80!L33)</f>
        <v>0.48134369853869274</v>
      </c>
      <c r="AF33" s="2">
        <f>IF('Modell einstellen'!$B$2="Ja",creep_res125!P33,creep_res125!L33)</f>
        <v>0.48078199302055891</v>
      </c>
      <c r="AG33" s="2">
        <f>IF('Modell einstellen'!$B$2="Ja",creep_res160!P33,creep_res160!L33)</f>
        <v>0.4800012776744671</v>
      </c>
      <c r="AL33" s="2">
        <f t="shared" si="12"/>
        <v>1000000000000000</v>
      </c>
      <c r="AM33" s="2">
        <f t="shared" si="13"/>
        <v>1982.6966326072995</v>
      </c>
      <c r="AN33" s="2">
        <f t="shared" si="14"/>
        <v>1118.1414735463829</v>
      </c>
      <c r="AO33" s="2">
        <f t="shared" si="15"/>
        <v>389.33964903055204</v>
      </c>
      <c r="AP33" s="2">
        <f t="shared" si="16"/>
        <v>136.97082983111966</v>
      </c>
      <c r="AQ33" s="2">
        <f t="shared" si="17"/>
        <v>123.47472292148701</v>
      </c>
      <c r="AR33" s="2">
        <f t="shared" si="18"/>
        <v>123.64094316844046</v>
      </c>
      <c r="AS33" s="2">
        <f t="shared" si="19"/>
        <v>123.46865182434244</v>
      </c>
      <c r="AX33" s="2">
        <f>AL33</f>
        <v>1000000000000000</v>
      </c>
      <c r="AY33" s="37">
        <f t="shared" si="20"/>
        <v>9139.358134000011</v>
      </c>
      <c r="AZ33" s="37">
        <f t="shared" si="21"/>
        <v>6586.8915062561</v>
      </c>
      <c r="BA33" s="37">
        <f t="shared" si="22"/>
        <v>4395.1103769183901</v>
      </c>
      <c r="BB33" s="37">
        <f t="shared" si="23"/>
        <v>3979.3704886018731</v>
      </c>
      <c r="BC33" s="37">
        <f t="shared" si="24"/>
        <v>3268.0379353843514</v>
      </c>
      <c r="BD33" s="37">
        <f t="shared" si="25"/>
        <v>3175.5856619222559</v>
      </c>
      <c r="BE33" s="37">
        <f t="shared" si="26"/>
        <v>3045.7572818617796</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44" zoomScale="120" zoomScaleNormal="120" zoomScaleSheetLayoutView="110" workbookViewId="0">
      <selection activeCell="C68" sqref="C68"/>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111</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8" t="s">
        <v>26</v>
      </c>
      <c r="B15" s="118"/>
      <c r="C15" s="118"/>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5863.6829549380891</v>
      </c>
      <c r="G16" s="26">
        <f>INDEX(Comparison!$AM$3:$AS$33,G14,$B$3)</f>
        <v>5609.1927579282792</v>
      </c>
      <c r="H16" s="26">
        <f>INDEX(Comparison!$AM$3:$AS$33,H14,$B$3)</f>
        <v>5370.7345311781783</v>
      </c>
      <c r="I16" s="26">
        <f>INDEX(Comparison!$AM$3:$AS$33,I14,$B$3)</f>
        <v>5097.9534912421213</v>
      </c>
      <c r="J16" s="26">
        <f>INDEX(Comparison!$AM$3:$AS$33,J14,$B$3)</f>
        <v>4821.046341164677</v>
      </c>
      <c r="K16" s="26">
        <f>INDEX(Comparison!$AM$3:$AS$33,K14,$B$3)</f>
        <v>4535.3452020984814</v>
      </c>
      <c r="L16" s="26">
        <f>INDEX(Comparison!$AM$3:$AS$33,L14,$B$3)</f>
        <v>4228.4929725950406</v>
      </c>
      <c r="M16" s="26">
        <f>INDEX(Comparison!$AM$3:$AS$33,M14,$B$3)</f>
        <v>3871.0057883923755</v>
      </c>
      <c r="N16" s="26">
        <f>INDEX(Comparison!$AM$3:$AS$33,N14,$B$3)</f>
        <v>3401.7561264704505</v>
      </c>
      <c r="O16" s="26">
        <f>INDEX(Comparison!$AM$3:$AS$33,O14,$B$3)</f>
        <v>2827.0529060658037</v>
      </c>
      <c r="P16" s="26">
        <f>INDEX(Comparison!$AM$3:$AS$33,P14,$B$3)</f>
        <v>2150.7951483518323</v>
      </c>
      <c r="Q16" s="26">
        <f>INDEX(Comparison!$AM$3:$AS$33,Q14,$B$3)</f>
        <v>1410.5199057082755</v>
      </c>
      <c r="R16" s="26">
        <f>INDEX(Comparison!$AM$3:$AS$33,R14,$B$3)</f>
        <v>826.67973456797017</v>
      </c>
      <c r="S16" s="26">
        <f>INDEX(Comparison!$AM$3:$AS$33,S14,$B$3)</f>
        <v>463.10914863390207</v>
      </c>
      <c r="T16" s="26">
        <f>INDEX(Comparison!$AM$3:$AS$33,T14,$B$3)</f>
        <v>257.27368574751409</v>
      </c>
      <c r="U16" s="26">
        <f>INDEX(Comparison!$AM$3:$AS$33,U14,$B$3)</f>
        <v>179.98076982609024</v>
      </c>
      <c r="V16" s="26">
        <f>INDEX(Comparison!$AM$3:$AS$33,V14,$B$3)</f>
        <v>157.55849658546879</v>
      </c>
      <c r="W16" s="26">
        <f>INDEX(Comparison!$AM$3:$AS$33,W14,$B$3)</f>
        <v>143.13037816485394</v>
      </c>
      <c r="X16" s="26">
        <f>INDEX(Comparison!$AM$3:$AS$33,X14,$B$3)</f>
        <v>139.03929298884987</v>
      </c>
      <c r="Y16" s="26">
        <f>INDEX(Comparison!$AM$3:$AS$33,Y14,$B$3)</f>
        <v>135.60631839895524</v>
      </c>
      <c r="Z16" s="26">
        <f>INDEX(Comparison!$AM$3:$AS$33,Z14,$B$3)</f>
        <v>132.22937471479068</v>
      </c>
      <c r="AA16" s="26">
        <f>INDEX(Comparison!$AM$3:$AS$33,AA14,$B$3)</f>
        <v>129.58780540541244</v>
      </c>
      <c r="AB16" s="26">
        <f>INDEX(Comparison!$AM$3:$AS$33,AB14,$B$3)</f>
        <v>127.7135675720335</v>
      </c>
      <c r="AC16" s="26">
        <f>INDEX(Comparison!$AM$3:$AS$33,AC14,$B$3)</f>
        <v>126.4367312836393</v>
      </c>
      <c r="AD16" s="26">
        <f>INDEX(Comparison!$AM$3:$AS$33,AD14,$B$3)</f>
        <v>125.52960401951817</v>
      </c>
      <c r="AE16" s="26">
        <f>INDEX(Comparison!$AM$3:$AS$33,AE14,$B$3)</f>
        <v>124.83927834622055</v>
      </c>
      <c r="AF16" s="26">
        <f>INDEX(Comparison!$AM$3:$AS$33,AF14,$B$3)</f>
        <v>124.70417941781746</v>
      </c>
      <c r="AG16" s="26">
        <f>INDEX(Comparison!$AM$3:$AS$33,AG14,$B$3)</f>
        <v>123.9260383626436</v>
      </c>
      <c r="AH16" s="26">
        <f>INDEX(Comparison!$AM$3:$AS$33,AH14,$B$3)</f>
        <v>123.91358498832378</v>
      </c>
      <c r="AI16" s="26">
        <f>INDEX(Comparison!$AM$3:$AS$33,AI14,$B$3)</f>
        <v>123.65466987195585</v>
      </c>
      <c r="AJ16" s="26">
        <f>INDEX(Comparison!$AM$3:$AS$33,AJ14,$B$3)</f>
        <v>123.64094316844046</v>
      </c>
    </row>
    <row r="17" spans="1:36" x14ac:dyDescent="0.25">
      <c r="A17" s="14" t="s">
        <v>20</v>
      </c>
      <c r="B17" s="105">
        <v>1.2893349255277117E-2</v>
      </c>
      <c r="C17" s="18">
        <f t="shared" ref="C17:C48" si="3">ABS(B17/$B$49)</f>
        <v>1.8802196411775361E-2</v>
      </c>
      <c r="D17" s="66"/>
      <c r="E17" s="65" t="s">
        <v>22</v>
      </c>
      <c r="F17" s="27">
        <f>($C$17+SUM(F18:F48))*$B$51</f>
        <v>5793.4523046389049</v>
      </c>
      <c r="G17" s="27">
        <f t="shared" ref="G17:M17" si="4">($C$17+SUM(G18:G48))*$B$51</f>
        <v>5700.0318269065447</v>
      </c>
      <c r="H17" s="27">
        <f t="shared" si="4"/>
        <v>5346.6855609762524</v>
      </c>
      <c r="I17" s="27">
        <f t="shared" si="4"/>
        <v>5101.8804049000601</v>
      </c>
      <c r="J17" s="27">
        <f t="shared" si="4"/>
        <v>4820.5005046125943</v>
      </c>
      <c r="K17" s="27">
        <f t="shared" si="4"/>
        <v>4535.41127213245</v>
      </c>
      <c r="L17" s="27">
        <f t="shared" si="4"/>
        <v>4228.4837057636532</v>
      </c>
      <c r="M17" s="27">
        <f t="shared" si="4"/>
        <v>3871.0145013042311</v>
      </c>
      <c r="N17" s="27">
        <f t="shared" ref="N17" si="5">($C$17+SUM(N18:N48))*$B$51</f>
        <v>3401.741881102319</v>
      </c>
      <c r="O17" s="27">
        <f t="shared" ref="O17" si="6">($C$17+SUM(O18:O48))*$B$51</f>
        <v>2827.0741372660314</v>
      </c>
      <c r="P17" s="27">
        <f t="shared" ref="P17" si="7">($C$17+SUM(P18:P48))*$B$51</f>
        <v>2150.7592165929741</v>
      </c>
      <c r="Q17" s="27">
        <f t="shared" ref="Q17" si="8">($C$17+SUM(Q18:Q48))*$B$51</f>
        <v>1410.5793699674709</v>
      </c>
      <c r="R17" s="27">
        <f t="shared" ref="R17" si="9">($C$17+SUM(R18:R48))*$B$51</f>
        <v>826.60129458505821</v>
      </c>
      <c r="S17" s="27">
        <f t="shared" ref="S17:T17" si="10">($C$17+SUM(S18:S48))*$B$51</f>
        <v>463.1925994461447</v>
      </c>
      <c r="T17" s="27">
        <f t="shared" si="10"/>
        <v>257.1972291899055</v>
      </c>
      <c r="U17" s="27">
        <f t="shared" ref="U17" si="11">($C$17+SUM(U18:U48))*$B$51</f>
        <v>180.03658363020517</v>
      </c>
      <c r="V17" s="27">
        <f t="shared" ref="V17" si="12">($C$17+SUM(V18:V48))*$B$51</f>
        <v>157.52833381624174</v>
      </c>
      <c r="W17" s="27">
        <f t="shared" ref="W17" si="13">($C$17+SUM(W18:W48))*$B$51</f>
        <v>143.14220755671209</v>
      </c>
      <c r="X17" s="27">
        <f t="shared" ref="X17" si="14">($C$17+SUM(X18:X48))*$B$51</f>
        <v>139.03514524805985</v>
      </c>
      <c r="Y17" s="27">
        <f t="shared" ref="Y17" si="15">($C$17+SUM(Y18:Y48))*$B$51</f>
        <v>135.60966136452373</v>
      </c>
      <c r="Z17" s="27">
        <f t="shared" ref="Z17:AA17" si="16">($C$17+SUM(Z18:Z48))*$B$51</f>
        <v>132.22568250928234</v>
      </c>
      <c r="AA17" s="27">
        <f t="shared" si="16"/>
        <v>129.59030264237458</v>
      </c>
      <c r="AB17" s="27">
        <f t="shared" ref="AB17" si="17">($C$17+SUM(AB18:AB48))*$B$51</f>
        <v>127.71171468753445</v>
      </c>
      <c r="AC17" s="27">
        <f t="shared" ref="AC17" si="18">($C$17+SUM(AC18:AC48))*$B$51</f>
        <v>126.44111280766575</v>
      </c>
      <c r="AD17" s="27">
        <f t="shared" ref="AD17" si="19">($C$17+SUM(AD18:AD48))*$B$51</f>
        <v>125.52157207744062</v>
      </c>
      <c r="AE17" s="27">
        <f t="shared" ref="AE17" si="20">($C$17+SUM(AE18:AE48))*$B$51</f>
        <v>124.88095562953836</v>
      </c>
      <c r="AF17" s="27">
        <f t="shared" ref="AF17" si="21">($C$17+SUM(AF18:AF48))*$B$51</f>
        <v>124.61402747463876</v>
      </c>
      <c r="AG17" s="27">
        <f t="shared" ref="AG17:AH17" si="22">($C$17+SUM(AG18:AG48))*$B$51</f>
        <v>124.04749550578464</v>
      </c>
      <c r="AH17" s="27">
        <f t="shared" si="22"/>
        <v>123.75164370459413</v>
      </c>
      <c r="AI17" s="27">
        <f t="shared" ref="AI17" si="23">($C$17+SUM(AI18:AI48))*$B$51</f>
        <v>123.74189201376467</v>
      </c>
      <c r="AJ17" s="27">
        <f t="shared" ref="AJ17" si="24">($C$17+SUM(AJ18:AJ48))*$B$51</f>
        <v>123.64940012605396</v>
      </c>
    </row>
    <row r="18" spans="1:36" x14ac:dyDescent="0.25">
      <c r="A18" s="3">
        <f>0.000000000000001/10^5</f>
        <v>1.0000000000000001E-20</v>
      </c>
      <c r="B18" s="106">
        <v>7.5566444558535867E-2</v>
      </c>
      <c r="C18" s="18">
        <f t="shared" si="3"/>
        <v>0.11019752157474517</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4.620920966621353E-2</v>
      </c>
      <c r="C19" s="18">
        <f t="shared" si="3"/>
        <v>6.7386263954763354E-2</v>
      </c>
      <c r="D19" s="17"/>
      <c r="F19" s="3">
        <f t="shared" si="25"/>
        <v>6.5682055013724247E-2</v>
      </c>
      <c r="G19" s="3">
        <f t="shared" si="25"/>
        <v>5.2158478375850054E-2</v>
      </c>
      <c r="H19" s="3">
        <f t="shared" si="25"/>
        <v>5.2012379532591644E-3</v>
      </c>
      <c r="I19" s="3">
        <f t="shared" si="25"/>
        <v>5.0573710730366803E-13</v>
      </c>
      <c r="J19" s="3">
        <f t="shared" si="25"/>
        <v>3.8203732247101323E-113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2.3371778587787648E-2</v>
      </c>
      <c r="C20" s="18">
        <f t="shared" si="3"/>
        <v>3.4082747841508325E-2</v>
      </c>
      <c r="D20" s="17"/>
      <c r="F20" s="3">
        <f t="shared" si="25"/>
        <v>3.4004082862377071E-2</v>
      </c>
      <c r="G20" s="3">
        <f t="shared" si="25"/>
        <v>3.3304218317836171E-2</v>
      </c>
      <c r="H20" s="3">
        <f t="shared" si="25"/>
        <v>2.7050857382000078E-2</v>
      </c>
      <c r="I20" s="3">
        <f t="shared" si="25"/>
        <v>3.3806400621162105E-3</v>
      </c>
      <c r="J20" s="3">
        <f t="shared" si="25"/>
        <v>3.1417955784456221E-12</v>
      </c>
      <c r="K20" s="3">
        <f t="shared" si="25"/>
        <v>1.5099682946572227E-102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3.2006234392509325E-2</v>
      </c>
      <c r="C21" s="18">
        <f t="shared" si="3"/>
        <v>4.6674257676140619E-2</v>
      </c>
      <c r="D21" s="17"/>
      <c r="F21" s="3">
        <f t="shared" si="25"/>
        <v>4.6664529593549171E-2</v>
      </c>
      <c r="G21" s="3">
        <f t="shared" si="25"/>
        <v>4.6577068040439679E-2</v>
      </c>
      <c r="H21" s="3">
        <f t="shared" si="25"/>
        <v>4.5711417926725173E-2</v>
      </c>
      <c r="I21" s="3">
        <f t="shared" si="25"/>
        <v>3.7892229033246225E-2</v>
      </c>
      <c r="J21" s="3">
        <f t="shared" si="25"/>
        <v>5.8050339110584138E-3</v>
      </c>
      <c r="K21" s="3">
        <f t="shared" si="25"/>
        <v>4.1338130820670484E-11</v>
      </c>
      <c r="L21" s="3">
        <f t="shared" si="25"/>
        <v>1.3861543034592251E-92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3.0696484042935471E-2</v>
      </c>
      <c r="C22" s="18">
        <f t="shared" si="3"/>
        <v>4.4764266498867597E-2</v>
      </c>
      <c r="D22" s="17"/>
      <c r="F22" s="3">
        <f t="shared" si="25"/>
        <v>4.4763424776103213E-2</v>
      </c>
      <c r="G22" s="3">
        <f t="shared" si="25"/>
        <v>4.4755849983416279E-2</v>
      </c>
      <c r="H22" s="3">
        <f t="shared" si="25"/>
        <v>4.4680172519433889E-2</v>
      </c>
      <c r="I22" s="3">
        <f t="shared" si="25"/>
        <v>4.3930400246214196E-2</v>
      </c>
      <c r="J22" s="3">
        <f t="shared" si="25"/>
        <v>3.7090983370536026E-2</v>
      </c>
      <c r="K22" s="3">
        <f t="shared" si="25"/>
        <v>6.8281055088343116E-3</v>
      </c>
      <c r="L22" s="3">
        <f t="shared" si="25"/>
        <v>3.0522421071303997E-10</v>
      </c>
      <c r="M22" s="3">
        <f t="shared" si="25"/>
        <v>9.7231400252355237E-84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3.3311198740028733E-2</v>
      </c>
      <c r="C23" s="18">
        <f t="shared" si="3"/>
        <v>4.8577269491505953E-2</v>
      </c>
      <c r="D23" s="17"/>
      <c r="F23" s="3">
        <f t="shared" si="25"/>
        <v>4.8577187092683445E-2</v>
      </c>
      <c r="G23" s="3">
        <f t="shared" si="25"/>
        <v>4.8576445509570416E-2</v>
      </c>
      <c r="H23" s="3">
        <f t="shared" si="25"/>
        <v>4.8569030301070182E-2</v>
      </c>
      <c r="I23" s="3">
        <f t="shared" si="25"/>
        <v>4.8494940443921303E-2</v>
      </c>
      <c r="J23" s="3">
        <f t="shared" si="25"/>
        <v>4.7760229651497045E-2</v>
      </c>
      <c r="K23" s="3">
        <f t="shared" si="25"/>
        <v>4.0998330040520961E-2</v>
      </c>
      <c r="L23" s="3">
        <f t="shared" si="25"/>
        <v>8.9076629464204197E-3</v>
      </c>
      <c r="M23" s="3">
        <f t="shared" si="25"/>
        <v>2.088045023825986E-9</v>
      </c>
      <c r="N23" s="3">
        <f t="shared" si="25"/>
        <v>1.0459253595373973E-75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3.809231436709247E-2</v>
      </c>
      <c r="C24" s="18">
        <f t="shared" si="3"/>
        <v>5.5549505588396574E-2</v>
      </c>
      <c r="D24" s="17"/>
      <c r="F24" s="3">
        <f t="shared" si="25"/>
        <v>5.5549497088472823E-2</v>
      </c>
      <c r="G24" s="3">
        <f t="shared" si="25"/>
        <v>5.5549420589217587E-2</v>
      </c>
      <c r="H24" s="3">
        <f t="shared" si="25"/>
        <v>5.5548655602459411E-2</v>
      </c>
      <c r="I24" s="3">
        <f t="shared" si="25"/>
        <v>5.5541006314270475E-2</v>
      </c>
      <c r="J24" s="3">
        <f t="shared" si="25"/>
        <v>5.5464571342143505E-2</v>
      </c>
      <c r="K24" s="3">
        <f t="shared" si="25"/>
        <v>5.4705983198104963E-2</v>
      </c>
      <c r="L24" s="3">
        <f t="shared" si="25"/>
        <v>4.7667952332178611E-2</v>
      </c>
      <c r="M24" s="3">
        <f t="shared" si="25"/>
        <v>1.2026608747191241E-2</v>
      </c>
      <c r="N24" s="3">
        <f t="shared" si="25"/>
        <v>1.2569269698885589E-8</v>
      </c>
      <c r="O24" s="3">
        <f t="shared" si="25"/>
        <v>1.9542434667752512E-68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5.3941917789450414E-2</v>
      </c>
      <c r="C25" s="18">
        <f t="shared" si="3"/>
        <v>7.866276737132312E-2</v>
      </c>
      <c r="D25" s="17"/>
      <c r="F25" s="3">
        <f t="shared" si="25"/>
        <v>7.8662766285521019E-2</v>
      </c>
      <c r="G25" s="3">
        <f t="shared" si="25"/>
        <v>7.8662756513302873E-2</v>
      </c>
      <c r="H25" s="3">
        <f t="shared" si="25"/>
        <v>7.8662658791188111E-2</v>
      </c>
      <c r="I25" s="3">
        <f t="shared" si="25"/>
        <v>7.8661681576717379E-2</v>
      </c>
      <c r="J25" s="3">
        <f t="shared" si="25"/>
        <v>7.8651910099673747E-2</v>
      </c>
      <c r="K25" s="3">
        <f t="shared" si="25"/>
        <v>7.8554262064912603E-2</v>
      </c>
      <c r="L25" s="3">
        <f t="shared" si="25"/>
        <v>7.7584424711552705E-2</v>
      </c>
      <c r="M25" s="3">
        <f t="shared" si="25"/>
        <v>6.8520804555850121E-2</v>
      </c>
      <c r="N25" s="3">
        <f t="shared" si="25"/>
        <v>1.978342810107412E-2</v>
      </c>
      <c r="O25" s="3">
        <f t="shared" si="25"/>
        <v>7.9632894438718262E-8</v>
      </c>
      <c r="P25" s="3">
        <f t="shared" si="25"/>
        <v>8.8920526640587E-62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6.4832079021272068E-2</v>
      </c>
      <c r="C26" s="18">
        <f t="shared" si="3"/>
        <v>9.4543741847587029E-2</v>
      </c>
      <c r="D26" s="17"/>
      <c r="F26" s="3">
        <f t="shared" si="25"/>
        <v>9.4543741729864156E-2</v>
      </c>
      <c r="G26" s="3">
        <f t="shared" si="25"/>
        <v>9.4543740670358353E-2</v>
      </c>
      <c r="H26" s="3">
        <f t="shared" si="25"/>
        <v>9.4543730075300966E-2</v>
      </c>
      <c r="I26" s="3">
        <f t="shared" si="25"/>
        <v>9.4543624124792336E-2</v>
      </c>
      <c r="J26" s="3">
        <f t="shared" si="25"/>
        <v>9.4542564626236475E-2</v>
      </c>
      <c r="K26" s="3">
        <f t="shared" si="25"/>
        <v>9.4531970293682863E-2</v>
      </c>
      <c r="L26" s="3">
        <f t="shared" si="25"/>
        <v>9.4426092241589765E-2</v>
      </c>
      <c r="M26" s="3">
        <f t="shared" si="25"/>
        <v>9.3373812080854074E-2</v>
      </c>
      <c r="N26" s="3">
        <f t="shared" si="25"/>
        <v>8.3474882362098143E-2</v>
      </c>
      <c r="O26" s="3">
        <f t="shared" si="25"/>
        <v>2.72184303108359E-2</v>
      </c>
      <c r="P26" s="3">
        <f t="shared" si="25"/>
        <v>3.6977340868914948E-7</v>
      </c>
      <c r="Q26" s="3">
        <f t="shared" si="25"/>
        <v>7.9188421587172363E-56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7.7897126768321848E-2</v>
      </c>
      <c r="C27" s="18">
        <f t="shared" si="3"/>
        <v>0.11359632384203742</v>
      </c>
      <c r="D27" s="17"/>
      <c r="F27" s="3">
        <f t="shared" si="25"/>
        <v>0.11359632382927777</v>
      </c>
      <c r="G27" s="3">
        <f t="shared" si="25"/>
        <v>0.11359632371444088</v>
      </c>
      <c r="H27" s="3">
        <f t="shared" si="25"/>
        <v>0.11359632256607198</v>
      </c>
      <c r="I27" s="3">
        <f t="shared" si="25"/>
        <v>0.11359631108238363</v>
      </c>
      <c r="J27" s="3">
        <f t="shared" si="25"/>
        <v>0.11359619624556401</v>
      </c>
      <c r="K27" s="3">
        <f t="shared" si="25"/>
        <v>0.11359504788375281</v>
      </c>
      <c r="L27" s="3">
        <f t="shared" si="25"/>
        <v>0.1135835649041147</v>
      </c>
      <c r="M27" s="3">
        <f t="shared" si="25"/>
        <v>0.11346879893125794</v>
      </c>
      <c r="N27" s="3">
        <f t="shared" si="25"/>
        <v>0.11232749774694281</v>
      </c>
      <c r="O27" s="3">
        <f t="shared" si="25"/>
        <v>0.10152718630468174</v>
      </c>
      <c r="P27" s="3">
        <f t="shared" si="25"/>
        <v>3.6944093108821324E-2</v>
      </c>
      <c r="Q27" s="3">
        <f t="shared" si="25"/>
        <v>1.5037360339777236E-6</v>
      </c>
      <c r="R27" s="3">
        <f t="shared" si="25"/>
        <v>1.8768846137331558E-50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8.9061105919748418E-2</v>
      </c>
      <c r="C28" s="18">
        <f t="shared" si="3"/>
        <v>0.12987660327805553</v>
      </c>
      <c r="D28" s="17"/>
      <c r="F28" s="3">
        <f t="shared" si="25"/>
        <v>0.12987660327673956</v>
      </c>
      <c r="G28" s="3">
        <f t="shared" si="25"/>
        <v>0.12987660326489564</v>
      </c>
      <c r="H28" s="3">
        <f t="shared" si="25"/>
        <v>0.12987660314645666</v>
      </c>
      <c r="I28" s="3">
        <f t="shared" si="25"/>
        <v>0.12987660196206688</v>
      </c>
      <c r="J28" s="3">
        <f t="shared" si="25"/>
        <v>0.12987659011816949</v>
      </c>
      <c r="K28" s="3">
        <f t="shared" si="25"/>
        <v>0.12987647167925506</v>
      </c>
      <c r="L28" s="3">
        <f t="shared" si="25"/>
        <v>0.12987528729605116</v>
      </c>
      <c r="M28" s="3">
        <f t="shared" si="25"/>
        <v>0.1298634440580374</v>
      </c>
      <c r="N28" s="3">
        <f t="shared" si="25"/>
        <v>0.12974507106037261</v>
      </c>
      <c r="O28" s="3">
        <f t="shared" si="25"/>
        <v>0.12856725934321289</v>
      </c>
      <c r="P28" s="3">
        <f t="shared" si="25"/>
        <v>0.11736147677366299</v>
      </c>
      <c r="Q28" s="3">
        <f t="shared" si="25"/>
        <v>4.7149529170835709E-2</v>
      </c>
      <c r="R28" s="3">
        <f t="shared" si="25"/>
        <v>5.1641078847250514E-6</v>
      </c>
      <c r="S28" s="3">
        <f t="shared" si="25"/>
        <v>1.2828467263728754E-45</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5.1844671472542153E-2</v>
      </c>
      <c r="C29" s="18">
        <f t="shared" si="3"/>
        <v>7.5604381501705717E-2</v>
      </c>
      <c r="D29" s="17"/>
      <c r="F29" s="3">
        <f t="shared" si="25"/>
        <v>7.5604381501636606E-2</v>
      </c>
      <c r="G29" s="3">
        <f t="shared" si="25"/>
        <v>7.5604381501014659E-2</v>
      </c>
      <c r="H29" s="3">
        <f t="shared" si="25"/>
        <v>7.5604381494795134E-2</v>
      </c>
      <c r="I29" s="3">
        <f t="shared" si="25"/>
        <v>7.5604381432599871E-2</v>
      </c>
      <c r="J29" s="3">
        <f t="shared" si="25"/>
        <v>7.560438081064727E-2</v>
      </c>
      <c r="K29" s="3">
        <f t="shared" si="25"/>
        <v>7.5604374591121487E-2</v>
      </c>
      <c r="L29" s="3">
        <f t="shared" si="25"/>
        <v>7.5604312395891812E-2</v>
      </c>
      <c r="M29" s="3">
        <f t="shared" si="25"/>
        <v>7.5603690446409147E-2</v>
      </c>
      <c r="N29" s="3">
        <f t="shared" si="25"/>
        <v>7.5597471232976984E-2</v>
      </c>
      <c r="O29" s="3">
        <f t="shared" si="25"/>
        <v>7.5535307229543672E-2</v>
      </c>
      <c r="P29" s="3">
        <f t="shared" si="25"/>
        <v>7.4916471740441984E-2</v>
      </c>
      <c r="Q29" s="3">
        <f t="shared" si="25"/>
        <v>6.9000219574292809E-2</v>
      </c>
      <c r="R29" s="3">
        <f t="shared" si="25"/>
        <v>3.030972831186084E-2</v>
      </c>
      <c r="S29" s="3">
        <f t="shared" si="25"/>
        <v>8.1077014958339102E-6</v>
      </c>
      <c r="T29" s="3">
        <f t="shared" si="25"/>
        <v>1.5207394884698648E-41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3.414696087479397E-2</v>
      </c>
      <c r="C30" s="18">
        <f t="shared" si="3"/>
        <v>4.9796050081425132E-2</v>
      </c>
      <c r="D30" s="17"/>
      <c r="F30" s="3">
        <f t="shared" si="25"/>
        <v>4.9796050081421024E-2</v>
      </c>
      <c r="G30" s="3">
        <f t="shared" si="25"/>
        <v>4.9796050081384075E-2</v>
      </c>
      <c r="H30" s="3">
        <f t="shared" si="25"/>
        <v>4.9796050081014544E-2</v>
      </c>
      <c r="I30" s="3">
        <f t="shared" si="25"/>
        <v>4.9796050077319222E-2</v>
      </c>
      <c r="J30" s="3">
        <f t="shared" si="25"/>
        <v>4.9796050040366045E-2</v>
      </c>
      <c r="K30" s="3">
        <f t="shared" si="25"/>
        <v>4.9796049670834244E-2</v>
      </c>
      <c r="L30" s="3">
        <f t="shared" si="25"/>
        <v>4.9796045975516436E-2</v>
      </c>
      <c r="M30" s="3">
        <f t="shared" si="25"/>
        <v>4.9796009022353378E-2</v>
      </c>
      <c r="N30" s="3">
        <f t="shared" si="25"/>
        <v>4.9795639492231057E-2</v>
      </c>
      <c r="O30" s="3">
        <f t="shared" si="25"/>
        <v>4.9791944341827619E-2</v>
      </c>
      <c r="P30" s="3">
        <f t="shared" si="25"/>
        <v>4.9755007915626523E-2</v>
      </c>
      <c r="Q30" s="3">
        <f t="shared" si="25"/>
        <v>4.9387147305175849E-2</v>
      </c>
      <c r="R30" s="3">
        <f t="shared" si="25"/>
        <v>4.5854858403060271E-2</v>
      </c>
      <c r="S30" s="3">
        <f t="shared" si="25"/>
        <v>2.1832301067905343E-2</v>
      </c>
      <c r="T30" s="3">
        <f t="shared" si="25"/>
        <v>1.3068960967360508E-5</v>
      </c>
      <c r="U30" s="3">
        <f t="shared" si="25"/>
        <v>7.7206977897989896E-38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1.4377454796650611E-2</v>
      </c>
      <c r="C31" s="18">
        <f t="shared" si="3"/>
        <v>2.0966447401353387E-2</v>
      </c>
      <c r="D31" s="17"/>
      <c r="F31" s="3">
        <f t="shared" si="25"/>
        <v>2.0966447401353231E-2</v>
      </c>
      <c r="G31" s="3">
        <f t="shared" si="25"/>
        <v>2.0966447401351826E-2</v>
      </c>
      <c r="H31" s="3">
        <f t="shared" si="25"/>
        <v>2.0966447401337792E-2</v>
      </c>
      <c r="I31" s="3">
        <f t="shared" si="25"/>
        <v>2.0966447401197439E-2</v>
      </c>
      <c r="J31" s="3">
        <f t="shared" si="25"/>
        <v>2.0966447399793885E-2</v>
      </c>
      <c r="K31" s="3">
        <f t="shared" si="25"/>
        <v>2.0966447385758372E-2</v>
      </c>
      <c r="L31" s="3">
        <f t="shared" si="25"/>
        <v>2.0966447245403218E-2</v>
      </c>
      <c r="M31" s="3">
        <f t="shared" si="25"/>
        <v>2.0966445841851752E-2</v>
      </c>
      <c r="N31" s="3">
        <f t="shared" si="25"/>
        <v>2.0966431806342254E-2</v>
      </c>
      <c r="O31" s="3">
        <f t="shared" si="25"/>
        <v>2.0966291451764034E-2</v>
      </c>
      <c r="P31" s="3">
        <f t="shared" si="25"/>
        <v>2.0964887957657097E-2</v>
      </c>
      <c r="Q31" s="3">
        <f t="shared" si="25"/>
        <v>2.0950858182833293E-2</v>
      </c>
      <c r="R31" s="3">
        <f t="shared" si="25"/>
        <v>2.0811075781821536E-2</v>
      </c>
      <c r="S31" s="3">
        <f t="shared" si="25"/>
        <v>1.9463532575103682E-2</v>
      </c>
      <c r="T31" s="3">
        <f t="shared" si="25"/>
        <v>9.965360692006724E-3</v>
      </c>
      <c r="U31" s="3">
        <f t="shared" si="25"/>
        <v>1.2336915322156608E-5</v>
      </c>
      <c r="V31" s="3">
        <f t="shared" si="26"/>
        <v>1.0431390367036203E-34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2.7047668369634486E-3</v>
      </c>
      <c r="C32" s="18">
        <f t="shared" si="3"/>
        <v>3.9443248072899657E-3</v>
      </c>
      <c r="D32" s="17"/>
      <c r="F32" s="3">
        <f t="shared" si="25"/>
        <v>3.9443248072899631E-3</v>
      </c>
      <c r="G32" s="3">
        <f t="shared" si="25"/>
        <v>3.9443248072899397E-3</v>
      </c>
      <c r="H32" s="3">
        <f t="shared" si="25"/>
        <v>3.9443248072897012E-3</v>
      </c>
      <c r="I32" s="3">
        <f t="shared" si="25"/>
        <v>3.9443248072873194E-3</v>
      </c>
      <c r="J32" s="3">
        <f t="shared" si="25"/>
        <v>3.9443248072634999E-3</v>
      </c>
      <c r="K32" s="3">
        <f t="shared" si="25"/>
        <v>3.9443248070253111E-3</v>
      </c>
      <c r="L32" s="3">
        <f t="shared" si="25"/>
        <v>3.9443248046434143E-3</v>
      </c>
      <c r="M32" s="3">
        <f t="shared" si="25"/>
        <v>3.9443247808244562E-3</v>
      </c>
      <c r="N32" s="3">
        <f t="shared" si="25"/>
        <v>3.9443245426348771E-3</v>
      </c>
      <c r="O32" s="3">
        <f t="shared" si="25"/>
        <v>3.9443221607398764E-3</v>
      </c>
      <c r="P32" s="3">
        <f t="shared" si="25"/>
        <v>3.9442983418689816E-3</v>
      </c>
      <c r="Q32" s="3">
        <f t="shared" si="25"/>
        <v>3.9440601610709154E-3</v>
      </c>
      <c r="R32" s="3">
        <f t="shared" si="25"/>
        <v>3.9416791440015017E-3</v>
      </c>
      <c r="S32" s="3">
        <f t="shared" si="25"/>
        <v>3.9179478879995868E-3</v>
      </c>
      <c r="T32" s="3">
        <f t="shared" si="25"/>
        <v>3.6883532858552983E-3</v>
      </c>
      <c r="U32" s="3">
        <f t="shared" si="25"/>
        <v>2.0163740048086969E-3</v>
      </c>
      <c r="V32" s="3">
        <f t="shared" si="26"/>
        <v>4.807915866067007E-6</v>
      </c>
      <c r="W32" s="3">
        <f t="shared" si="26"/>
        <v>2.8563705977380536E-32</v>
      </c>
      <c r="X32" s="3">
        <f t="shared" si="26"/>
        <v>1.5645573983888399E-294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2.4095465774505776E-3</v>
      </c>
      <c r="C33" s="18">
        <f t="shared" si="3"/>
        <v>3.51380910541953E-3</v>
      </c>
      <c r="D33" s="17"/>
      <c r="F33" s="3">
        <f t="shared" si="25"/>
        <v>3.5138091054195296E-3</v>
      </c>
      <c r="G33" s="3">
        <f t="shared" si="25"/>
        <v>3.5138091054195283E-3</v>
      </c>
      <c r="H33" s="3">
        <f t="shared" si="25"/>
        <v>3.5138091054195087E-3</v>
      </c>
      <c r="I33" s="3">
        <f t="shared" si="25"/>
        <v>3.5138091054193175E-3</v>
      </c>
      <c r="J33" s="3">
        <f t="shared" si="25"/>
        <v>3.5138091054174032E-3</v>
      </c>
      <c r="K33" s="3">
        <f t="shared" si="25"/>
        <v>3.5138091053982614E-3</v>
      </c>
      <c r="L33" s="3">
        <f t="shared" si="25"/>
        <v>3.5138091052068473E-3</v>
      </c>
      <c r="M33" s="3">
        <f t="shared" si="25"/>
        <v>3.5138091032927018E-3</v>
      </c>
      <c r="N33" s="3">
        <f t="shared" si="25"/>
        <v>3.5138090841512512E-3</v>
      </c>
      <c r="O33" s="3">
        <f t="shared" si="25"/>
        <v>3.5138088927367471E-3</v>
      </c>
      <c r="P33" s="3">
        <f t="shared" si="25"/>
        <v>3.5138069785922801E-3</v>
      </c>
      <c r="Q33" s="3">
        <f t="shared" si="25"/>
        <v>3.5137878372049607E-3</v>
      </c>
      <c r="R33" s="3">
        <f t="shared" si="25"/>
        <v>3.513596429066648E-3</v>
      </c>
      <c r="S33" s="3">
        <f t="shared" si="25"/>
        <v>3.5116829210561839E-3</v>
      </c>
      <c r="T33" s="3">
        <f t="shared" si="25"/>
        <v>3.4926050628185158E-3</v>
      </c>
      <c r="U33" s="3">
        <f t="shared" ref="P33:AE48" si="27">$C33*EXP(-U$15/$A33)</f>
        <v>3.3074349936211486E-3</v>
      </c>
      <c r="V33" s="3">
        <f t="shared" si="27"/>
        <v>1.9182698256633688E-3</v>
      </c>
      <c r="W33" s="3">
        <f t="shared" si="27"/>
        <v>8.2621576785130464E-6</v>
      </c>
      <c r="X33" s="3">
        <f t="shared" si="27"/>
        <v>1.8152285548608833E-29</v>
      </c>
      <c r="Y33" s="3">
        <f t="shared" si="27"/>
        <v>4.7567428262288774E-266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4.9358577879715974E-4</v>
      </c>
      <c r="C34" s="18">
        <f t="shared" si="3"/>
        <v>7.1978944921583432E-4</v>
      </c>
      <c r="D34" s="17"/>
      <c r="F34" s="3">
        <f t="shared" ref="F34:O48" si="28">$C34*EXP(-F$15/$A34)</f>
        <v>7.1978944921583432E-4</v>
      </c>
      <c r="G34" s="3">
        <f t="shared" si="28"/>
        <v>7.1978944921583432E-4</v>
      </c>
      <c r="H34" s="3">
        <f t="shared" si="28"/>
        <v>7.1978944921583389E-4</v>
      </c>
      <c r="I34" s="3">
        <f t="shared" si="28"/>
        <v>7.1978944921583042E-4</v>
      </c>
      <c r="J34" s="3">
        <f t="shared" si="28"/>
        <v>7.1978944921579496E-4</v>
      </c>
      <c r="K34" s="3">
        <f t="shared" si="28"/>
        <v>7.197894492154413E-4</v>
      </c>
      <c r="L34" s="3">
        <f t="shared" si="28"/>
        <v>7.197894492119042E-4</v>
      </c>
      <c r="M34" s="3">
        <f t="shared" si="28"/>
        <v>7.1978944917653308E-4</v>
      </c>
      <c r="N34" s="3">
        <f t="shared" si="28"/>
        <v>7.1978944882282187E-4</v>
      </c>
      <c r="O34" s="3">
        <f t="shared" si="28"/>
        <v>7.197894452857103E-4</v>
      </c>
      <c r="P34" s="3">
        <f t="shared" si="27"/>
        <v>7.1978940991459562E-4</v>
      </c>
      <c r="Q34" s="3">
        <f t="shared" si="27"/>
        <v>7.1978905620354353E-4</v>
      </c>
      <c r="R34" s="3">
        <f t="shared" si="27"/>
        <v>7.1978551910258331E-4</v>
      </c>
      <c r="S34" s="3">
        <f t="shared" si="27"/>
        <v>7.1975014904895461E-4</v>
      </c>
      <c r="T34" s="3">
        <f t="shared" si="27"/>
        <v>7.1939654409266184E-4</v>
      </c>
      <c r="U34" s="3">
        <f t="shared" si="27"/>
        <v>7.1587003517347206E-4</v>
      </c>
      <c r="V34" s="3">
        <f t="shared" si="27"/>
        <v>6.8154188907975277E-4</v>
      </c>
      <c r="W34" s="3">
        <f t="shared" si="27"/>
        <v>4.1694257984193381E-4</v>
      </c>
      <c r="X34" s="3">
        <f t="shared" si="27"/>
        <v>3.0613515534265403E-6</v>
      </c>
      <c r="Y34" s="3">
        <f t="shared" si="27"/>
        <v>1.3940641643900575E-27</v>
      </c>
      <c r="Z34" s="3">
        <f t="shared" si="27"/>
        <v>5.3453770737379403E-241</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3.6894830155521956E-4</v>
      </c>
      <c r="C35" s="18">
        <f t="shared" si="3"/>
        <v>5.3803230598076777E-4</v>
      </c>
      <c r="D35" s="17"/>
      <c r="F35" s="3">
        <f t="shared" si="28"/>
        <v>5.3803230598076777E-4</v>
      </c>
      <c r="G35" s="3">
        <f t="shared" si="28"/>
        <v>5.3803230598076777E-4</v>
      </c>
      <c r="H35" s="3">
        <f t="shared" si="28"/>
        <v>5.3803230598076777E-4</v>
      </c>
      <c r="I35" s="3">
        <f t="shared" si="28"/>
        <v>5.3803230598076755E-4</v>
      </c>
      <c r="J35" s="3">
        <f t="shared" si="28"/>
        <v>5.3803230598076517E-4</v>
      </c>
      <c r="K35" s="3">
        <f t="shared" si="28"/>
        <v>5.3803230598074121E-4</v>
      </c>
      <c r="L35" s="3">
        <f t="shared" si="28"/>
        <v>5.3803230598050279E-4</v>
      </c>
      <c r="M35" s="3">
        <f t="shared" si="28"/>
        <v>5.3803230597811765E-4</v>
      </c>
      <c r="N35" s="3">
        <f t="shared" si="28"/>
        <v>5.3803230595426716E-4</v>
      </c>
      <c r="O35" s="3">
        <f t="shared" si="28"/>
        <v>5.3803230571576176E-4</v>
      </c>
      <c r="P35" s="3">
        <f t="shared" si="27"/>
        <v>5.3803230333070769E-4</v>
      </c>
      <c r="Q35" s="3">
        <f t="shared" si="27"/>
        <v>5.3803227948016766E-4</v>
      </c>
      <c r="R35" s="3">
        <f t="shared" si="27"/>
        <v>5.3803204097482567E-4</v>
      </c>
      <c r="S35" s="3">
        <f t="shared" si="27"/>
        <v>5.3802965592722061E-4</v>
      </c>
      <c r="T35" s="3">
        <f t="shared" si="27"/>
        <v>5.3800580603266014E-4</v>
      </c>
      <c r="U35" s="3">
        <f t="shared" si="27"/>
        <v>5.3776736522660404E-4</v>
      </c>
      <c r="V35" s="3">
        <f t="shared" si="27"/>
        <v>5.3538876159617288E-4</v>
      </c>
      <c r="W35" s="3">
        <f t="shared" si="27"/>
        <v>5.1217375982489798E-4</v>
      </c>
      <c r="X35" s="3">
        <f t="shared" si="27"/>
        <v>3.2877445263887874E-4</v>
      </c>
      <c r="Y35" s="3">
        <f t="shared" si="27"/>
        <v>3.9057590910402145E-6</v>
      </c>
      <c r="Z35" s="3">
        <f t="shared" si="27"/>
        <v>2.1866503363944043E-25</v>
      </c>
      <c r="AA35" s="3">
        <f t="shared" si="27"/>
        <v>6.6148230506259202E-218</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3.8688392165127573E-4</v>
      </c>
      <c r="C36" s="18">
        <f t="shared" si="3"/>
        <v>5.6418757759686938E-4</v>
      </c>
      <c r="D36" s="17"/>
      <c r="F36" s="3">
        <f t="shared" si="28"/>
        <v>5.6418757759686938E-4</v>
      </c>
      <c r="G36" s="3">
        <f t="shared" si="28"/>
        <v>5.6418757759686938E-4</v>
      </c>
      <c r="H36" s="3">
        <f t="shared" si="28"/>
        <v>5.6418757759686938E-4</v>
      </c>
      <c r="I36" s="3">
        <f t="shared" si="28"/>
        <v>5.6418757759686938E-4</v>
      </c>
      <c r="J36" s="3">
        <f t="shared" si="28"/>
        <v>5.6418757759686916E-4</v>
      </c>
      <c r="K36" s="3">
        <f t="shared" si="28"/>
        <v>5.6418757759686688E-4</v>
      </c>
      <c r="L36" s="3">
        <f t="shared" si="28"/>
        <v>5.6418757759684433E-4</v>
      </c>
      <c r="M36" s="3">
        <f t="shared" si="28"/>
        <v>5.6418757759661871E-4</v>
      </c>
      <c r="N36" s="3">
        <f t="shared" si="28"/>
        <v>5.6418757759436259E-4</v>
      </c>
      <c r="O36" s="3">
        <f t="shared" si="28"/>
        <v>5.6418757757180154E-4</v>
      </c>
      <c r="P36" s="3">
        <f t="shared" si="27"/>
        <v>5.6418757734619067E-4</v>
      </c>
      <c r="Q36" s="3">
        <f t="shared" si="27"/>
        <v>5.6418757509008217E-4</v>
      </c>
      <c r="R36" s="3">
        <f t="shared" si="27"/>
        <v>5.6418755252899756E-4</v>
      </c>
      <c r="S36" s="3">
        <f t="shared" si="27"/>
        <v>5.641873269182008E-4</v>
      </c>
      <c r="T36" s="3">
        <f t="shared" si="27"/>
        <v>5.6418507081519554E-4</v>
      </c>
      <c r="U36" s="3">
        <f t="shared" si="27"/>
        <v>5.6416251028133693E-4</v>
      </c>
      <c r="V36" s="3">
        <f t="shared" si="27"/>
        <v>5.6393695455486757E-4</v>
      </c>
      <c r="W36" s="3">
        <f t="shared" si="27"/>
        <v>5.61686351169061E-4</v>
      </c>
      <c r="X36" s="3">
        <f t="shared" si="27"/>
        <v>5.3966845328423316E-4</v>
      </c>
      <c r="Y36" s="3">
        <f t="shared" si="27"/>
        <v>3.6179173573716545E-4</v>
      </c>
      <c r="Z36" s="3">
        <f t="shared" si="27"/>
        <v>6.6339889899826828E-6</v>
      </c>
      <c r="AA36" s="3">
        <f t="shared" si="27"/>
        <v>2.8505967673788485E-23</v>
      </c>
      <c r="AB36" s="3">
        <f t="shared" si="27"/>
        <v>6.1171088315211221E-197</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3.6274040493748948E-4</v>
      </c>
      <c r="C37" s="18">
        <f t="shared" si="3"/>
        <v>5.289794145093928E-4</v>
      </c>
      <c r="D37" s="17"/>
      <c r="F37" s="3">
        <f t="shared" si="28"/>
        <v>5.289794145093928E-4</v>
      </c>
      <c r="G37" s="3">
        <f t="shared" si="28"/>
        <v>5.289794145093928E-4</v>
      </c>
      <c r="H37" s="3">
        <f t="shared" si="28"/>
        <v>5.289794145093928E-4</v>
      </c>
      <c r="I37" s="3">
        <f t="shared" si="28"/>
        <v>5.289794145093928E-4</v>
      </c>
      <c r="J37" s="3">
        <f t="shared" si="28"/>
        <v>5.289794145093928E-4</v>
      </c>
      <c r="K37" s="3">
        <f t="shared" si="28"/>
        <v>5.2897941450939258E-4</v>
      </c>
      <c r="L37" s="3">
        <f t="shared" si="28"/>
        <v>5.2897941450939063E-4</v>
      </c>
      <c r="M37" s="3">
        <f t="shared" si="28"/>
        <v>5.2897941450937155E-4</v>
      </c>
      <c r="N37" s="3">
        <f t="shared" si="28"/>
        <v>5.2897941450918084E-4</v>
      </c>
      <c r="O37" s="3">
        <f t="shared" si="28"/>
        <v>5.2897941450727253E-4</v>
      </c>
      <c r="P37" s="3">
        <f t="shared" si="27"/>
        <v>5.2897941448819068E-4</v>
      </c>
      <c r="Q37" s="3">
        <f t="shared" si="27"/>
        <v>5.2897941429737164E-4</v>
      </c>
      <c r="R37" s="3">
        <f t="shared" si="27"/>
        <v>5.289794123891807E-4</v>
      </c>
      <c r="S37" s="3">
        <f t="shared" si="27"/>
        <v>5.2897939330727168E-4</v>
      </c>
      <c r="T37" s="3">
        <f t="shared" si="27"/>
        <v>5.2897920248822026E-4</v>
      </c>
      <c r="U37" s="3">
        <f t="shared" si="27"/>
        <v>5.2897729430149206E-4</v>
      </c>
      <c r="V37" s="3">
        <f t="shared" si="27"/>
        <v>5.2895821281279251E-4</v>
      </c>
      <c r="W37" s="3">
        <f t="shared" si="27"/>
        <v>5.2876743577904629E-4</v>
      </c>
      <c r="X37" s="3">
        <f t="shared" si="27"/>
        <v>5.2686344571914619E-4</v>
      </c>
      <c r="Y37" s="3">
        <f t="shared" si="27"/>
        <v>5.0819657564137673E-4</v>
      </c>
      <c r="Z37" s="3">
        <f t="shared" si="27"/>
        <v>3.5429775391667193E-4</v>
      </c>
      <c r="AA37" s="3">
        <f t="shared" si="27"/>
        <v>9.6102579973864377E-6</v>
      </c>
      <c r="AB37" s="3">
        <f t="shared" si="27"/>
        <v>2.0720561730616121E-21</v>
      </c>
      <c r="AC37" s="3">
        <f t="shared" si="27"/>
        <v>4.4984852882606864E-178</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3.6719432198844102E-5</v>
      </c>
      <c r="C38" s="18">
        <f t="shared" si="3"/>
        <v>5.3547450135887617E-5</v>
      </c>
      <c r="D38" s="17"/>
      <c r="F38" s="3">
        <f t="shared" si="28"/>
        <v>5.3547450135887617E-5</v>
      </c>
      <c r="G38" s="3">
        <f t="shared" si="28"/>
        <v>5.3547450135887617E-5</v>
      </c>
      <c r="H38" s="3">
        <f t="shared" si="28"/>
        <v>5.3547450135887617E-5</v>
      </c>
      <c r="I38" s="3">
        <f t="shared" si="28"/>
        <v>5.3547450135887617E-5</v>
      </c>
      <c r="J38" s="3">
        <f t="shared" si="28"/>
        <v>5.3547450135887617E-5</v>
      </c>
      <c r="K38" s="3">
        <f t="shared" si="28"/>
        <v>5.3547450135887617E-5</v>
      </c>
      <c r="L38" s="3">
        <f t="shared" si="28"/>
        <v>5.3547450135887597E-5</v>
      </c>
      <c r="M38" s="3">
        <f t="shared" si="28"/>
        <v>5.3547450135887421E-5</v>
      </c>
      <c r="N38" s="3">
        <f t="shared" si="28"/>
        <v>5.3547450135885679E-5</v>
      </c>
      <c r="O38" s="3">
        <f t="shared" si="28"/>
        <v>5.3547450135868257E-5</v>
      </c>
      <c r="P38" s="3">
        <f t="shared" si="27"/>
        <v>5.3547450135694006E-5</v>
      </c>
      <c r="Q38" s="3">
        <f t="shared" si="27"/>
        <v>5.354745013395153E-5</v>
      </c>
      <c r="R38" s="3">
        <f t="shared" si="27"/>
        <v>5.35474501165267E-5</v>
      </c>
      <c r="S38" s="3">
        <f t="shared" si="27"/>
        <v>5.3547449942278437E-5</v>
      </c>
      <c r="T38" s="3">
        <f t="shared" si="27"/>
        <v>5.3547448199795909E-5</v>
      </c>
      <c r="U38" s="3">
        <f t="shared" si="27"/>
        <v>5.3547430774973663E-5</v>
      </c>
      <c r="V38" s="3">
        <f t="shared" si="27"/>
        <v>5.3547256527063095E-5</v>
      </c>
      <c r="W38" s="3">
        <f t="shared" si="27"/>
        <v>5.3545514079143075E-5</v>
      </c>
      <c r="X38" s="3">
        <f t="shared" si="27"/>
        <v>5.3528092718133633E-5</v>
      </c>
      <c r="Y38" s="3">
        <f t="shared" si="27"/>
        <v>5.3354190552008462E-5</v>
      </c>
      <c r="Z38" s="3">
        <f t="shared" si="27"/>
        <v>5.1645941546481539E-5</v>
      </c>
      <c r="AA38" s="3">
        <f t="shared" si="27"/>
        <v>3.7300344067236452E-5</v>
      </c>
      <c r="AB38" s="3">
        <f t="shared" si="27"/>
        <v>1.440387098764328E-6</v>
      </c>
      <c r="AC38" s="3">
        <f t="shared" si="27"/>
        <v>1.062045376339023E-20</v>
      </c>
      <c r="AD38" s="3">
        <f t="shared" si="27"/>
        <v>5.0440753988655737E-162</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3.0512149921022095E-4</v>
      </c>
      <c r="C39" s="18">
        <f t="shared" si="3"/>
        <v>4.4495454548071421E-4</v>
      </c>
      <c r="D39" s="17"/>
      <c r="F39" s="3">
        <f t="shared" si="28"/>
        <v>4.4495454548071421E-4</v>
      </c>
      <c r="G39" s="3">
        <f t="shared" si="28"/>
        <v>4.4495454548071421E-4</v>
      </c>
      <c r="H39" s="3">
        <f t="shared" si="28"/>
        <v>4.4495454548071421E-4</v>
      </c>
      <c r="I39" s="3">
        <f t="shared" si="28"/>
        <v>4.4495454548071421E-4</v>
      </c>
      <c r="J39" s="3">
        <f t="shared" si="28"/>
        <v>4.4495454548071421E-4</v>
      </c>
      <c r="K39" s="3">
        <f t="shared" si="28"/>
        <v>4.4495454548071421E-4</v>
      </c>
      <c r="L39" s="3">
        <f t="shared" si="28"/>
        <v>4.4495454548071416E-4</v>
      </c>
      <c r="M39" s="3">
        <f t="shared" si="28"/>
        <v>4.4495454548071378E-4</v>
      </c>
      <c r="N39" s="3">
        <f t="shared" si="28"/>
        <v>4.4495454548070976E-4</v>
      </c>
      <c r="O39" s="3">
        <f t="shared" si="28"/>
        <v>4.449545454806697E-4</v>
      </c>
      <c r="P39" s="3">
        <f t="shared" si="27"/>
        <v>4.4495454548026925E-4</v>
      </c>
      <c r="Q39" s="3">
        <f t="shared" si="27"/>
        <v>4.4495454547626464E-4</v>
      </c>
      <c r="R39" s="3">
        <f t="shared" si="27"/>
        <v>4.4495454543621877E-4</v>
      </c>
      <c r="S39" s="3">
        <f t="shared" si="27"/>
        <v>4.449545450357597E-4</v>
      </c>
      <c r="T39" s="3">
        <f t="shared" si="27"/>
        <v>4.4495454103116877E-4</v>
      </c>
      <c r="U39" s="3">
        <f t="shared" si="27"/>
        <v>4.4495450098526191E-4</v>
      </c>
      <c r="V39" s="3">
        <f t="shared" si="27"/>
        <v>4.449541005263912E-4</v>
      </c>
      <c r="W39" s="3">
        <f t="shared" si="27"/>
        <v>4.4495009595750708E-4</v>
      </c>
      <c r="X39" s="3">
        <f t="shared" si="27"/>
        <v>4.4491005225086473E-4</v>
      </c>
      <c r="Y39" s="3">
        <f t="shared" si="27"/>
        <v>4.4450981333836567E-4</v>
      </c>
      <c r="Z39" s="3">
        <f t="shared" si="27"/>
        <v>4.4052717377911774E-4</v>
      </c>
      <c r="AA39" s="3">
        <f t="shared" si="27"/>
        <v>4.0261152207613334E-4</v>
      </c>
      <c r="AB39" s="3">
        <f t="shared" si="27"/>
        <v>1.6368962953813826E-4</v>
      </c>
      <c r="AC39" s="3">
        <f t="shared" si="27"/>
        <v>2.0200905112322799E-8</v>
      </c>
      <c r="AD39" s="3">
        <f t="shared" si="27"/>
        <v>1.6552647150640754E-47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1.0484752931113214E-5</v>
      </c>
      <c r="C40" s="18">
        <f t="shared" si="3"/>
        <v>1.5289773047840316E-5</v>
      </c>
      <c r="D40" s="17"/>
      <c r="F40" s="3">
        <f t="shared" si="28"/>
        <v>1.5289773047840316E-5</v>
      </c>
      <c r="G40" s="3">
        <f t="shared" si="28"/>
        <v>1.5289773047840316E-5</v>
      </c>
      <c r="H40" s="3">
        <f t="shared" si="28"/>
        <v>1.5289773047840316E-5</v>
      </c>
      <c r="I40" s="3">
        <f t="shared" si="28"/>
        <v>1.5289773047840316E-5</v>
      </c>
      <c r="J40" s="3">
        <f t="shared" si="28"/>
        <v>1.5289773047840316E-5</v>
      </c>
      <c r="K40" s="3">
        <f t="shared" si="28"/>
        <v>1.5289773047840316E-5</v>
      </c>
      <c r="L40" s="3">
        <f t="shared" si="28"/>
        <v>1.5289773047840316E-5</v>
      </c>
      <c r="M40" s="3">
        <f t="shared" si="28"/>
        <v>1.5289773047840312E-5</v>
      </c>
      <c r="N40" s="3">
        <f t="shared" si="28"/>
        <v>1.5289773047840299E-5</v>
      </c>
      <c r="O40" s="3">
        <f t="shared" si="28"/>
        <v>1.5289773047840163E-5</v>
      </c>
      <c r="P40" s="3">
        <f t="shared" si="27"/>
        <v>1.5289773047838788E-5</v>
      </c>
      <c r="Q40" s="3">
        <f t="shared" si="27"/>
        <v>1.5289773047825025E-5</v>
      </c>
      <c r="R40" s="3">
        <f t="shared" si="27"/>
        <v>1.528977304768742E-5</v>
      </c>
      <c r="S40" s="3">
        <f t="shared" si="27"/>
        <v>1.528977304631134E-5</v>
      </c>
      <c r="T40" s="3">
        <f t="shared" si="27"/>
        <v>1.5289773032550544E-5</v>
      </c>
      <c r="U40" s="3">
        <f t="shared" si="27"/>
        <v>1.5289772894942585E-5</v>
      </c>
      <c r="V40" s="3">
        <f t="shared" si="27"/>
        <v>1.5289771518863088E-5</v>
      </c>
      <c r="W40" s="3">
        <f t="shared" si="27"/>
        <v>1.5289757758074914E-5</v>
      </c>
      <c r="X40" s="3">
        <f t="shared" si="27"/>
        <v>1.5289620150874323E-5</v>
      </c>
      <c r="Y40" s="3">
        <f t="shared" si="27"/>
        <v>1.528824414698185E-5</v>
      </c>
      <c r="Z40" s="3">
        <f t="shared" si="27"/>
        <v>1.5274490917131341E-5</v>
      </c>
      <c r="AA40" s="3">
        <f t="shared" si="27"/>
        <v>1.5137637264076816E-5</v>
      </c>
      <c r="AB40" s="3">
        <f t="shared" si="27"/>
        <v>1.3834758766963634E-5</v>
      </c>
      <c r="AC40" s="3">
        <f t="shared" si="27"/>
        <v>5.6247931644776759E-6</v>
      </c>
      <c r="AD40" s="3">
        <f t="shared" si="27"/>
        <v>6.9415462245628432E-10</v>
      </c>
      <c r="AE40" s="3">
        <f t="shared" si="27"/>
        <v>5.6879117394081636E-49</v>
      </c>
      <c r="AF40" s="3">
        <f t="shared" si="29"/>
        <v>0</v>
      </c>
      <c r="AG40" s="3">
        <f t="shared" si="29"/>
        <v>0</v>
      </c>
      <c r="AH40" s="3">
        <f t="shared" si="29"/>
        <v>0</v>
      </c>
      <c r="AI40" s="3">
        <f t="shared" si="29"/>
        <v>0</v>
      </c>
      <c r="AJ40" s="3">
        <f t="shared" si="29"/>
        <v>0</v>
      </c>
    </row>
    <row r="41" spans="1:36" x14ac:dyDescent="0.25">
      <c r="A41" s="3">
        <f t="shared" si="30"/>
        <v>1000000000</v>
      </c>
      <c r="B41" s="106">
        <v>1.7200084003519647E-4</v>
      </c>
      <c r="C41" s="18">
        <f t="shared" si="3"/>
        <v>2.5082649304706281E-4</v>
      </c>
      <c r="D41" s="17"/>
      <c r="F41" s="3">
        <f t="shared" si="28"/>
        <v>2.5082649304706281E-4</v>
      </c>
      <c r="G41" s="3">
        <f t="shared" si="28"/>
        <v>2.5082649304706281E-4</v>
      </c>
      <c r="H41" s="3">
        <f t="shared" si="28"/>
        <v>2.5082649304706281E-4</v>
      </c>
      <c r="I41" s="3">
        <f t="shared" si="28"/>
        <v>2.5082649304706281E-4</v>
      </c>
      <c r="J41" s="3">
        <f t="shared" si="28"/>
        <v>2.5082649304706281E-4</v>
      </c>
      <c r="K41" s="3">
        <f t="shared" si="28"/>
        <v>2.5082649304706281E-4</v>
      </c>
      <c r="L41" s="3">
        <f t="shared" si="28"/>
        <v>2.5082649304706281E-4</v>
      </c>
      <c r="M41" s="3">
        <f t="shared" si="28"/>
        <v>2.5082649304706281E-4</v>
      </c>
      <c r="N41" s="3">
        <f t="shared" si="28"/>
        <v>2.5082649304706276E-4</v>
      </c>
      <c r="O41" s="3">
        <f t="shared" si="28"/>
        <v>2.5082649304706254E-4</v>
      </c>
      <c r="P41" s="3">
        <f t="shared" si="27"/>
        <v>2.5082649304706032E-4</v>
      </c>
      <c r="Q41" s="3">
        <f t="shared" si="27"/>
        <v>2.5082649304703771E-4</v>
      </c>
      <c r="R41" s="3">
        <f t="shared" si="27"/>
        <v>2.5082649304681198E-4</v>
      </c>
      <c r="S41" s="3">
        <f t="shared" si="27"/>
        <v>2.5082649304455457E-4</v>
      </c>
      <c r="T41" s="3">
        <f t="shared" si="27"/>
        <v>2.5082649302198018E-4</v>
      </c>
      <c r="U41" s="3">
        <f t="shared" si="27"/>
        <v>2.5082649279623633E-4</v>
      </c>
      <c r="V41" s="3">
        <f t="shared" si="27"/>
        <v>2.508264905387979E-4</v>
      </c>
      <c r="W41" s="3">
        <f t="shared" si="27"/>
        <v>2.5082646796441478E-4</v>
      </c>
      <c r="X41" s="3">
        <f t="shared" si="27"/>
        <v>2.5082624222069516E-4</v>
      </c>
      <c r="Y41" s="3">
        <f t="shared" si="27"/>
        <v>2.508239847946736E-4</v>
      </c>
      <c r="Z41" s="3">
        <f t="shared" si="27"/>
        <v>2.5080141165184877E-4</v>
      </c>
      <c r="AA41" s="3">
        <f t="shared" si="27"/>
        <v>2.505757919254683E-4</v>
      </c>
      <c r="AB41" s="3">
        <f t="shared" si="27"/>
        <v>2.4833072774113141E-4</v>
      </c>
      <c r="AC41" s="3">
        <f t="shared" si="27"/>
        <v>2.2695719634371886E-4</v>
      </c>
      <c r="AD41" s="3">
        <f t="shared" si="27"/>
        <v>9.2273910093146138E-5</v>
      </c>
      <c r="AE41" s="3">
        <f t="shared" si="27"/>
        <v>1.1387505166907047E-8</v>
      </c>
      <c r="AF41" s="3">
        <f t="shared" si="29"/>
        <v>9.3309361093393562E-48</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3.8863199084652806E-5</v>
      </c>
      <c r="C43" s="18">
        <f t="shared" si="3"/>
        <v>5.6673676320409674E-5</v>
      </c>
      <c r="D43" s="17"/>
      <c r="F43" s="3">
        <f t="shared" si="28"/>
        <v>5.6673676320409674E-5</v>
      </c>
      <c r="G43" s="3">
        <f t="shared" si="28"/>
        <v>5.6673676320409674E-5</v>
      </c>
      <c r="H43" s="3">
        <f t="shared" si="28"/>
        <v>5.6673676320409674E-5</v>
      </c>
      <c r="I43" s="3">
        <f t="shared" si="28"/>
        <v>5.6673676320409674E-5</v>
      </c>
      <c r="J43" s="3">
        <f t="shared" si="28"/>
        <v>5.6673676320409674E-5</v>
      </c>
      <c r="K43" s="3">
        <f t="shared" si="28"/>
        <v>5.6673676320409674E-5</v>
      </c>
      <c r="L43" s="3">
        <f t="shared" si="28"/>
        <v>5.6673676320409674E-5</v>
      </c>
      <c r="M43" s="3">
        <f t="shared" si="28"/>
        <v>5.6673676320409674E-5</v>
      </c>
      <c r="N43" s="3">
        <f t="shared" si="28"/>
        <v>5.6673676320409674E-5</v>
      </c>
      <c r="O43" s="3">
        <f t="shared" si="28"/>
        <v>5.6673676320409674E-5</v>
      </c>
      <c r="P43" s="3">
        <f t="shared" si="27"/>
        <v>5.6673676320409667E-5</v>
      </c>
      <c r="Q43" s="3">
        <f t="shared" si="27"/>
        <v>5.667367632040962E-5</v>
      </c>
      <c r="R43" s="3">
        <f t="shared" si="27"/>
        <v>5.6673676320409105E-5</v>
      </c>
      <c r="S43" s="3">
        <f t="shared" si="27"/>
        <v>5.6673676320404002E-5</v>
      </c>
      <c r="T43" s="3">
        <f t="shared" si="27"/>
        <v>5.6673676320353004E-5</v>
      </c>
      <c r="U43" s="3">
        <f t="shared" si="27"/>
        <v>5.6673676319842934E-5</v>
      </c>
      <c r="V43" s="3">
        <f t="shared" si="27"/>
        <v>5.6673676314742305E-5</v>
      </c>
      <c r="W43" s="3">
        <f t="shared" si="27"/>
        <v>5.6673676263736E-5</v>
      </c>
      <c r="X43" s="3">
        <f t="shared" si="27"/>
        <v>5.6673675753672912E-5</v>
      </c>
      <c r="Y43" s="3">
        <f t="shared" si="27"/>
        <v>5.6673670653042328E-5</v>
      </c>
      <c r="Z43" s="3">
        <f t="shared" si="27"/>
        <v>5.6673619646761694E-5</v>
      </c>
      <c r="AA43" s="3">
        <f t="shared" si="27"/>
        <v>5.6673109586480147E-5</v>
      </c>
      <c r="AB43" s="3">
        <f t="shared" si="27"/>
        <v>5.6668009236136568E-5</v>
      </c>
      <c r="AC43" s="3">
        <f t="shared" si="27"/>
        <v>5.6617030971484177E-5</v>
      </c>
      <c r="AD43" s="3">
        <f t="shared" si="27"/>
        <v>5.6109763818975762E-5</v>
      </c>
      <c r="AE43" s="3">
        <f t="shared" si="27"/>
        <v>5.1280462952365188E-5</v>
      </c>
      <c r="AF43" s="3">
        <f t="shared" si="29"/>
        <v>2.0849080373883516E-5</v>
      </c>
      <c r="AG43" s="3">
        <f t="shared" si="29"/>
        <v>2.5729809243284003E-9</v>
      </c>
      <c r="AH43" s="3">
        <f t="shared" si="29"/>
        <v>2.1083038175233696E-48</v>
      </c>
      <c r="AI43" s="3">
        <f t="shared" si="29"/>
        <v>0</v>
      </c>
      <c r="AJ43" s="3">
        <f t="shared" si="29"/>
        <v>0</v>
      </c>
    </row>
    <row r="44" spans="1:36" x14ac:dyDescent="0.25">
      <c r="A44" s="3">
        <f t="shared" si="30"/>
        <v>1000000000000</v>
      </c>
      <c r="B44" s="106">
        <v>8.4255652253234509E-5</v>
      </c>
      <c r="C44" s="18">
        <f t="shared" si="3"/>
        <v>1.228688753482083E-4</v>
      </c>
      <c r="D44" s="17"/>
      <c r="F44" s="3">
        <f t="shared" si="28"/>
        <v>1.228688753482083E-4</v>
      </c>
      <c r="G44" s="3">
        <f t="shared" si="28"/>
        <v>1.228688753482083E-4</v>
      </c>
      <c r="H44" s="3">
        <f t="shared" si="28"/>
        <v>1.228688753482083E-4</v>
      </c>
      <c r="I44" s="3">
        <f t="shared" si="28"/>
        <v>1.228688753482083E-4</v>
      </c>
      <c r="J44" s="3">
        <f t="shared" si="28"/>
        <v>1.228688753482083E-4</v>
      </c>
      <c r="K44" s="3">
        <f t="shared" si="28"/>
        <v>1.228688753482083E-4</v>
      </c>
      <c r="L44" s="3">
        <f t="shared" si="28"/>
        <v>1.228688753482083E-4</v>
      </c>
      <c r="M44" s="3">
        <f t="shared" si="28"/>
        <v>1.228688753482083E-4</v>
      </c>
      <c r="N44" s="3">
        <f t="shared" si="28"/>
        <v>1.228688753482083E-4</v>
      </c>
      <c r="O44" s="3">
        <f t="shared" si="28"/>
        <v>1.228688753482083E-4</v>
      </c>
      <c r="P44" s="3">
        <f t="shared" si="27"/>
        <v>1.228688753482083E-4</v>
      </c>
      <c r="Q44" s="3">
        <f t="shared" si="27"/>
        <v>1.2286887534820827E-4</v>
      </c>
      <c r="R44" s="3">
        <f t="shared" si="27"/>
        <v>1.2286887534820816E-4</v>
      </c>
      <c r="S44" s="3">
        <f t="shared" si="27"/>
        <v>1.2286887534820708E-4</v>
      </c>
      <c r="T44" s="3">
        <f t="shared" si="27"/>
        <v>1.2286887534819602E-4</v>
      </c>
      <c r="U44" s="3">
        <f t="shared" si="27"/>
        <v>1.2286887534808543E-4</v>
      </c>
      <c r="V44" s="3">
        <f t="shared" si="27"/>
        <v>1.228688753469796E-4</v>
      </c>
      <c r="W44" s="3">
        <f t="shared" si="27"/>
        <v>1.2286887533592141E-4</v>
      </c>
      <c r="X44" s="3">
        <f t="shared" si="27"/>
        <v>1.2286887522533943E-4</v>
      </c>
      <c r="Y44" s="3">
        <f t="shared" si="27"/>
        <v>1.2286887411951954E-4</v>
      </c>
      <c r="Z44" s="3">
        <f t="shared" si="27"/>
        <v>1.2286886306132137E-4</v>
      </c>
      <c r="AA44" s="3">
        <f t="shared" si="27"/>
        <v>1.2286875247939438E-4</v>
      </c>
      <c r="AB44" s="3">
        <f t="shared" si="27"/>
        <v>1.2286764666559824E-4</v>
      </c>
      <c r="AC44" s="3">
        <f t="shared" si="27"/>
        <v>1.2285658907499738E-4</v>
      </c>
      <c r="AD44" s="3">
        <f t="shared" si="27"/>
        <v>1.2274606788682474E-4</v>
      </c>
      <c r="AE44" s="3">
        <f t="shared" si="27"/>
        <v>1.2164630961144088E-4</v>
      </c>
      <c r="AF44" s="3">
        <f t="shared" si="29"/>
        <v>1.1117635592705495E-4</v>
      </c>
      <c r="AG44" s="3">
        <f t="shared" si="29"/>
        <v>4.5200933200462476E-5</v>
      </c>
      <c r="AH44" s="3">
        <f t="shared" si="29"/>
        <v>5.5782383108041636E-9</v>
      </c>
      <c r="AI44" s="3">
        <f t="shared" si="29"/>
        <v>4.5708155138356845E-48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1.1408743894066911E-4</v>
      </c>
      <c r="C48" s="18">
        <f t="shared" si="3"/>
        <v>1.663721654170598E-4</v>
      </c>
      <c r="D48" s="17"/>
      <c r="F48" s="3">
        <f t="shared" si="28"/>
        <v>1.663721654170598E-4</v>
      </c>
      <c r="G48" s="3">
        <f t="shared" si="28"/>
        <v>1.663721654170598E-4</v>
      </c>
      <c r="H48" s="3">
        <f t="shared" si="28"/>
        <v>1.663721654170598E-4</v>
      </c>
      <c r="I48" s="3">
        <f t="shared" si="28"/>
        <v>1.663721654170598E-4</v>
      </c>
      <c r="J48" s="3">
        <f t="shared" si="28"/>
        <v>1.663721654170598E-4</v>
      </c>
      <c r="K48" s="3">
        <f t="shared" si="28"/>
        <v>1.663721654170598E-4</v>
      </c>
      <c r="L48" s="3">
        <f t="shared" si="28"/>
        <v>1.663721654170598E-4</v>
      </c>
      <c r="M48" s="3">
        <f t="shared" si="28"/>
        <v>1.663721654170598E-4</v>
      </c>
      <c r="N48" s="3">
        <f t="shared" si="28"/>
        <v>1.663721654170598E-4</v>
      </c>
      <c r="O48" s="3">
        <f t="shared" si="28"/>
        <v>1.663721654170598E-4</v>
      </c>
      <c r="P48" s="3">
        <f t="shared" si="27"/>
        <v>1.663721654170598E-4</v>
      </c>
      <c r="Q48" s="3">
        <f t="shared" si="27"/>
        <v>1.663721654170598E-4</v>
      </c>
      <c r="R48" s="3">
        <f t="shared" si="27"/>
        <v>1.663721654170598E-4</v>
      </c>
      <c r="S48" s="3">
        <f t="shared" si="27"/>
        <v>1.663721654170598E-4</v>
      </c>
      <c r="T48" s="3">
        <f t="shared" si="27"/>
        <v>1.663721654170598E-4</v>
      </c>
      <c r="U48" s="3">
        <f t="shared" si="27"/>
        <v>1.6637216541705977E-4</v>
      </c>
      <c r="V48" s="3">
        <f t="shared" si="27"/>
        <v>1.6637216541705963E-4</v>
      </c>
      <c r="W48" s="3">
        <f t="shared" si="27"/>
        <v>1.6637216541705814E-4</v>
      </c>
      <c r="X48" s="3">
        <f t="shared" si="27"/>
        <v>1.6637216541704315E-4</v>
      </c>
      <c r="Y48" s="3">
        <f t="shared" si="27"/>
        <v>1.6637216541689342E-4</v>
      </c>
      <c r="Z48" s="3">
        <f t="shared" si="27"/>
        <v>1.6637216541539609E-4</v>
      </c>
      <c r="AA48" s="3">
        <f t="shared" si="27"/>
        <v>1.6637216540042258E-4</v>
      </c>
      <c r="AB48" s="3">
        <f t="shared" si="27"/>
        <v>1.6637216525068764E-4</v>
      </c>
      <c r="AC48" s="3">
        <f t="shared" si="27"/>
        <v>1.6637216375333815E-4</v>
      </c>
      <c r="AD48" s="3">
        <f t="shared" si="27"/>
        <v>1.663721487798441E-4</v>
      </c>
      <c r="AE48" s="3">
        <f t="shared" si="27"/>
        <v>1.6637199904497756E-4</v>
      </c>
      <c r="AF48" s="3">
        <f t="shared" si="29"/>
        <v>1.6637050170372421E-4</v>
      </c>
      <c r="AG48" s="3">
        <f t="shared" si="29"/>
        <v>1.6635552903235119E-4</v>
      </c>
      <c r="AH48" s="3">
        <f t="shared" si="29"/>
        <v>1.6620587641000368E-4</v>
      </c>
      <c r="AI48" s="3">
        <f t="shared" si="29"/>
        <v>1.6471673471164916E-4</v>
      </c>
      <c r="AJ48" s="3">
        <f t="shared" si="29"/>
        <v>1.5053976058902394E-4</v>
      </c>
    </row>
    <row r="49" spans="1:36" x14ac:dyDescent="0.25">
      <c r="B49" s="16">
        <f>SUM(B17:B48)</f>
        <v>0.68573633488916885</v>
      </c>
      <c r="C49" s="18">
        <f>SUM(C17:C48)</f>
        <v>1</v>
      </c>
      <c r="F49" s="3">
        <f t="shared" ref="F49:AJ49" si="31">F16-F17</f>
        <v>70.230650299184163</v>
      </c>
      <c r="G49" s="3">
        <f t="shared" si="31"/>
        <v>-90.839068978265459</v>
      </c>
      <c r="H49" s="3">
        <f t="shared" si="31"/>
        <v>24.04897020192584</v>
      </c>
      <c r="I49" s="3">
        <f t="shared" si="31"/>
        <v>-3.9269136579387123</v>
      </c>
      <c r="J49" s="3">
        <f t="shared" si="31"/>
        <v>0.54583655208261916</v>
      </c>
      <c r="K49" s="3">
        <f t="shared" si="31"/>
        <v>-6.6070033968571806E-2</v>
      </c>
      <c r="L49" s="3">
        <f t="shared" si="31"/>
        <v>9.2668313873218722E-3</v>
      </c>
      <c r="M49" s="3">
        <f t="shared" si="31"/>
        <v>-8.712911855582206E-3</v>
      </c>
      <c r="N49" s="3">
        <f t="shared" si="31"/>
        <v>1.4245368131469149E-2</v>
      </c>
      <c r="O49" s="3">
        <f t="shared" si="31"/>
        <v>-2.1231200227703084E-2</v>
      </c>
      <c r="P49" s="3">
        <f t="shared" si="31"/>
        <v>3.5931758858168905E-2</v>
      </c>
      <c r="Q49" s="3">
        <f t="shared" si="31"/>
        <v>-5.9464259195465274E-2</v>
      </c>
      <c r="R49" s="3">
        <f t="shared" si="31"/>
        <v>7.8439982911959305E-2</v>
      </c>
      <c r="S49" s="3">
        <f t="shared" si="31"/>
        <v>-8.34508122426314E-2</v>
      </c>
      <c r="T49" s="3">
        <f t="shared" si="31"/>
        <v>7.6456557608594267E-2</v>
      </c>
      <c r="U49" s="3">
        <f t="shared" si="31"/>
        <v>-5.5813804114933419E-2</v>
      </c>
      <c r="V49" s="3">
        <f t="shared" si="31"/>
        <v>3.0162769227047193E-2</v>
      </c>
      <c r="W49" s="3">
        <f t="shared" si="31"/>
        <v>-1.1829391858157123E-2</v>
      </c>
      <c r="X49" s="3">
        <f t="shared" si="31"/>
        <v>4.1477407900174512E-3</v>
      </c>
      <c r="Y49" s="3">
        <f t="shared" si="31"/>
        <v>-3.3429655684926729E-3</v>
      </c>
      <c r="Z49" s="3">
        <f t="shared" si="31"/>
        <v>3.6922055083437044E-3</v>
      </c>
      <c r="AA49" s="3">
        <f t="shared" si="31"/>
        <v>-2.497236962142324E-3</v>
      </c>
      <c r="AB49" s="3">
        <f t="shared" si="31"/>
        <v>1.8528844990441939E-3</v>
      </c>
      <c r="AC49" s="3">
        <f t="shared" si="31"/>
        <v>-4.3815240264422073E-3</v>
      </c>
      <c r="AD49" s="3">
        <f t="shared" si="31"/>
        <v>8.0319420775509798E-3</v>
      </c>
      <c r="AE49" s="3">
        <f t="shared" si="31"/>
        <v>-4.1677283317810065E-2</v>
      </c>
      <c r="AF49" s="3">
        <f t="shared" si="31"/>
        <v>9.015194317869657E-2</v>
      </c>
      <c r="AG49" s="3">
        <f t="shared" si="31"/>
        <v>-0.12145714314104339</v>
      </c>
      <c r="AH49" s="3">
        <f t="shared" si="31"/>
        <v>0.16194128372964656</v>
      </c>
      <c r="AI49" s="3">
        <f t="shared" si="31"/>
        <v>-8.7222141808823039E-2</v>
      </c>
      <c r="AJ49" s="3">
        <f t="shared" si="31"/>
        <v>-8.456957613503846E-3</v>
      </c>
    </row>
    <row r="50" spans="1:36" x14ac:dyDescent="0.25">
      <c r="F50" s="57">
        <f t="shared" ref="F50:AJ50" si="32">F49/F17</f>
        <v>1.2122417965355375E-2</v>
      </c>
      <c r="G50" s="57">
        <f t="shared" si="32"/>
        <v>-1.5936589783493296E-2</v>
      </c>
      <c r="H50" s="57">
        <f t="shared" si="32"/>
        <v>4.4979211752139642E-3</v>
      </c>
      <c r="I50" s="57">
        <f t="shared" si="32"/>
        <v>-7.6969927679354055E-4</v>
      </c>
      <c r="J50" s="57">
        <f t="shared" si="32"/>
        <v>1.1323233999463838E-4</v>
      </c>
      <c r="K50" s="57">
        <f t="shared" si="32"/>
        <v>-1.456759486720311E-5</v>
      </c>
      <c r="L50" s="57">
        <f t="shared" si="32"/>
        <v>2.1915258594211151E-6</v>
      </c>
      <c r="M50" s="57">
        <f t="shared" si="32"/>
        <v>-2.2508083740442285E-6</v>
      </c>
      <c r="N50" s="57">
        <f t="shared" si="32"/>
        <v>4.1876687383620664E-6</v>
      </c>
      <c r="O50" s="57">
        <f t="shared" si="32"/>
        <v>-7.5099552388233674E-6</v>
      </c>
      <c r="P50" s="57">
        <f t="shared" si="32"/>
        <v>1.6706546498072686E-5</v>
      </c>
      <c r="Q50" s="57">
        <f t="shared" si="32"/>
        <v>-4.2155911578968125E-5</v>
      </c>
      <c r="R50" s="57">
        <f t="shared" si="32"/>
        <v>9.4894580284119966E-5</v>
      </c>
      <c r="S50" s="57">
        <f t="shared" si="32"/>
        <v>-1.8016439023943044E-4</v>
      </c>
      <c r="T50" s="57">
        <f t="shared" si="32"/>
        <v>2.9726820094217035E-4</v>
      </c>
      <c r="U50" s="57">
        <f t="shared" si="32"/>
        <v>-3.100136816058167E-4</v>
      </c>
      <c r="V50" s="57">
        <f t="shared" si="32"/>
        <v>1.9147520002485611E-4</v>
      </c>
      <c r="W50" s="57">
        <f t="shared" si="32"/>
        <v>-8.2640837109280909E-5</v>
      </c>
      <c r="X50" s="57">
        <f t="shared" si="32"/>
        <v>2.983231889043055E-5</v>
      </c>
      <c r="Y50" s="57">
        <f t="shared" si="32"/>
        <v>-2.465138202437258E-5</v>
      </c>
      <c r="Z50" s="57">
        <f t="shared" si="32"/>
        <v>2.7923512575437143E-5</v>
      </c>
      <c r="AA50" s="57">
        <f t="shared" si="32"/>
        <v>-1.9270245621957174E-5</v>
      </c>
      <c r="AB50" s="57">
        <f t="shared" si="32"/>
        <v>1.4508336244467073E-5</v>
      </c>
      <c r="AC50" s="57">
        <f t="shared" si="32"/>
        <v>-3.4652684788586966E-5</v>
      </c>
      <c r="AD50" s="57">
        <f t="shared" si="32"/>
        <v>6.3988539536420625E-5</v>
      </c>
      <c r="AE50" s="57">
        <f t="shared" si="32"/>
        <v>-3.3373610177557007E-4</v>
      </c>
      <c r="AF50" s="57">
        <f t="shared" si="32"/>
        <v>7.2344939815900059E-4</v>
      </c>
      <c r="AG50" s="57">
        <f t="shared" si="32"/>
        <v>-9.7911805994809094E-4</v>
      </c>
      <c r="AH50" s="57">
        <f t="shared" si="32"/>
        <v>1.3085990527625993E-3</v>
      </c>
      <c r="AI50" s="57">
        <f t="shared" si="32"/>
        <v>-7.0487157089145459E-4</v>
      </c>
      <c r="AJ50" s="57">
        <f t="shared" si="32"/>
        <v>-6.8394651368162149E-5</v>
      </c>
    </row>
    <row r="51" spans="1:36" x14ac:dyDescent="0.25">
      <c r="A51" s="13" t="s">
        <v>21</v>
      </c>
      <c r="B51" s="3">
        <f>STUTT!D8</f>
        <v>6524.0923000000003</v>
      </c>
      <c r="E51" s="11" t="s">
        <v>24</v>
      </c>
      <c r="F51" s="20">
        <f t="shared" ref="F51:AJ51" si="33">(F16-F17)^2</f>
        <v>4932.3442414462961</v>
      </c>
      <c r="G51" s="20">
        <f t="shared" si="33"/>
        <v>8251.7364528380695</v>
      </c>
      <c r="H51" s="20">
        <f t="shared" si="33"/>
        <v>578.35296777311703</v>
      </c>
      <c r="I51" s="20">
        <f t="shared" si="33"/>
        <v>15.420650876905597</v>
      </c>
      <c r="J51" s="20">
        <f t="shared" si="33"/>
        <v>0.2979375415894418</v>
      </c>
      <c r="K51" s="20">
        <f t="shared" si="33"/>
        <v>4.3652493886082323E-3</v>
      </c>
      <c r="L51" s="20">
        <f t="shared" si="33"/>
        <v>8.5874163961053811E-5</v>
      </c>
      <c r="M51" s="20">
        <f t="shared" si="33"/>
        <v>7.5914833003144956E-5</v>
      </c>
      <c r="N51" s="20">
        <f t="shared" si="33"/>
        <v>2.0293051320107683E-4</v>
      </c>
      <c r="O51" s="20">
        <f t="shared" si="33"/>
        <v>4.5076386310881952E-4</v>
      </c>
      <c r="P51" s="20">
        <f t="shared" si="33"/>
        <v>1.2910912946415996E-3</v>
      </c>
      <c r="Q51" s="20">
        <f t="shared" si="33"/>
        <v>3.5359981216654766E-3</v>
      </c>
      <c r="R51" s="20">
        <f t="shared" si="33"/>
        <v>6.1528309192284674E-3</v>
      </c>
      <c r="S51" s="20">
        <f t="shared" si="33"/>
        <v>6.9640380639549191E-3</v>
      </c>
      <c r="T51" s="20">
        <f t="shared" si="33"/>
        <v>5.8456052013562939E-3</v>
      </c>
      <c r="U51" s="20">
        <f t="shared" si="33"/>
        <v>3.1151807297801586E-3</v>
      </c>
      <c r="V51" s="20">
        <f t="shared" si="33"/>
        <v>9.0979264744410514E-4</v>
      </c>
      <c r="W51" s="20">
        <f t="shared" si="33"/>
        <v>1.3993451173383405E-4</v>
      </c>
      <c r="X51" s="20">
        <f t="shared" si="33"/>
        <v>1.720375366117459E-5</v>
      </c>
      <c r="Y51" s="20">
        <f t="shared" si="33"/>
        <v>1.117541879212754E-5</v>
      </c>
      <c r="Z51" s="20">
        <f t="shared" si="33"/>
        <v>1.3632381515843593E-5</v>
      </c>
      <c r="AA51" s="20">
        <f t="shared" si="33"/>
        <v>6.2361924450898229E-6</v>
      </c>
      <c r="AB51" s="20">
        <f t="shared" si="33"/>
        <v>3.4331809667982534E-6</v>
      </c>
      <c r="AC51" s="20">
        <f t="shared" si="33"/>
        <v>1.9197752794290333E-5</v>
      </c>
      <c r="AD51" s="20">
        <f t="shared" si="33"/>
        <v>6.4512093537133952E-5</v>
      </c>
      <c r="AE51" s="20">
        <f t="shared" si="33"/>
        <v>1.7369959447530092E-3</v>
      </c>
      <c r="AF51" s="20">
        <f t="shared" si="33"/>
        <v>8.1273728588949351E-3</v>
      </c>
      <c r="AG51" s="20">
        <f t="shared" si="33"/>
        <v>1.4751837619983903E-2</v>
      </c>
      <c r="AH51" s="20">
        <f t="shared" si="33"/>
        <v>2.6224979376005889E-2</v>
      </c>
      <c r="AI51" s="20">
        <f t="shared" si="33"/>
        <v>7.6077020217184361E-3</v>
      </c>
      <c r="AJ51" s="20">
        <f t="shared" si="33"/>
        <v>7.1520132076600666E-5</v>
      </c>
    </row>
    <row r="52" spans="1:36" x14ac:dyDescent="0.25">
      <c r="A52" s="13"/>
    </row>
    <row r="53" spans="1:36" x14ac:dyDescent="0.25">
      <c r="E53" s="119" t="s">
        <v>25</v>
      </c>
      <c r="F53" s="119"/>
      <c r="G53" s="104">
        <f>SUM(F51:AJ51)</f>
        <v>13778.244041478951</v>
      </c>
      <c r="I53" s="3">
        <f>G53+C123</f>
        <v>13778.244041478951</v>
      </c>
      <c r="K53" s="3">
        <f>SUM(Z51:AJ51)</f>
        <v>5.8627419554691924E-2</v>
      </c>
    </row>
    <row r="55" spans="1:36" x14ac:dyDescent="0.25">
      <c r="E55" s="30" t="s">
        <v>30</v>
      </c>
      <c r="F55" s="31">
        <f t="shared" ref="F55:AJ55" si="34">ABS(F17-F16)/F16</f>
        <v>1.1977225037387049E-2</v>
      </c>
      <c r="G55" s="31">
        <f t="shared" si="34"/>
        <v>1.6194677718976501E-2</v>
      </c>
      <c r="H55" s="31">
        <f t="shared" si="34"/>
        <v>4.4777804716127382E-3</v>
      </c>
      <c r="I55" s="31">
        <f t="shared" si="34"/>
        <v>7.702921701198015E-4</v>
      </c>
      <c r="J55" s="31">
        <f t="shared" si="34"/>
        <v>1.132195198834689E-4</v>
      </c>
      <c r="K55" s="31">
        <f t="shared" si="34"/>
        <v>1.456780708511483E-5</v>
      </c>
      <c r="L55" s="31">
        <f t="shared" si="34"/>
        <v>2.191521056646048E-6</v>
      </c>
      <c r="M55" s="31">
        <f t="shared" si="34"/>
        <v>2.2508134401939682E-6</v>
      </c>
      <c r="N55" s="31">
        <f t="shared" si="34"/>
        <v>4.1876512018660404E-6</v>
      </c>
      <c r="O55" s="31">
        <f t="shared" si="34"/>
        <v>7.510011638674617E-6</v>
      </c>
      <c r="P55" s="31">
        <f t="shared" si="34"/>
        <v>1.6706267394039659E-5</v>
      </c>
      <c r="Q55" s="31">
        <f t="shared" si="34"/>
        <v>4.2157688774768492E-5</v>
      </c>
      <c r="R55" s="31">
        <f t="shared" si="34"/>
        <v>9.4885576157195518E-5</v>
      </c>
      <c r="S55" s="31">
        <f t="shared" si="34"/>
        <v>1.801968552959879E-4</v>
      </c>
      <c r="T55" s="31">
        <f t="shared" si="34"/>
        <v>2.9717985882018262E-4</v>
      </c>
      <c r="U55" s="31">
        <f t="shared" si="34"/>
        <v>3.101098198927838E-4</v>
      </c>
      <c r="V55" s="31">
        <f t="shared" si="34"/>
        <v>1.9143854429129546E-4</v>
      </c>
      <c r="W55" s="31">
        <f t="shared" si="34"/>
        <v>8.2647667181681941E-5</v>
      </c>
      <c r="X55" s="31">
        <f t="shared" si="34"/>
        <v>2.9831428949729163E-5</v>
      </c>
      <c r="Y55" s="31">
        <f t="shared" si="34"/>
        <v>2.4651989729989074E-5</v>
      </c>
      <c r="Z55" s="31">
        <f t="shared" si="34"/>
        <v>2.7922732874654577E-5</v>
      </c>
      <c r="AA55" s="31">
        <f t="shared" si="34"/>
        <v>1.9270616971479501E-5</v>
      </c>
      <c r="AB55" s="31">
        <f t="shared" si="34"/>
        <v>1.4508125755700333E-5</v>
      </c>
      <c r="AC55" s="31">
        <f t="shared" si="34"/>
        <v>3.4653885638762707E-5</v>
      </c>
      <c r="AD55" s="31">
        <f t="shared" si="34"/>
        <v>6.3984445265215055E-5</v>
      </c>
      <c r="AE55" s="31">
        <f t="shared" si="34"/>
        <v>3.3384751874506347E-4</v>
      </c>
      <c r="AF55" s="31">
        <f t="shared" si="34"/>
        <v>7.2292639749182183E-4</v>
      </c>
      <c r="AG55" s="31">
        <f t="shared" si="34"/>
        <v>9.8007767169660089E-4</v>
      </c>
      <c r="AH55" s="31">
        <f t="shared" si="34"/>
        <v>1.3068888592393327E-3</v>
      </c>
      <c r="AI55" s="31">
        <f t="shared" si="34"/>
        <v>7.0536876528109603E-4</v>
      </c>
      <c r="AJ55" s="31">
        <f t="shared" si="34"/>
        <v>6.8399329516458248E-5</v>
      </c>
    </row>
    <row r="56" spans="1:36" x14ac:dyDescent="0.25">
      <c r="E56" s="13" t="s">
        <v>31</v>
      </c>
      <c r="F56" s="32">
        <f>AVERAGE(F55:AJ55)</f>
        <v>1.2616631215279319E-3</v>
      </c>
    </row>
    <row r="57" spans="1:36" x14ac:dyDescent="0.25">
      <c r="A57" s="42"/>
      <c r="B57" s="15"/>
      <c r="C57" s="15"/>
      <c r="D57" s="15"/>
      <c r="F57" s="60">
        <f>AVERAGE(S55:X55)</f>
        <v>1.8190069573861017E-4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20"/>
      <c r="D63" s="120"/>
      <c r="E63" s="120"/>
      <c r="F63" s="120"/>
      <c r="G63" s="120"/>
      <c r="H63" s="120"/>
      <c r="I63" s="120"/>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1"/>
    </row>
    <row r="101" spans="1:9" x14ac:dyDescent="0.25">
      <c r="A101" s="12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-44.146123426846039</v>
      </c>
    </row>
    <row r="119" spans="1:14" x14ac:dyDescent="0.25">
      <c r="L119" s="11">
        <f>L118+1</f>
        <v>2</v>
      </c>
      <c r="M119" s="11">
        <f t="shared" ref="M119:M124" si="35">INDEX($B$125:$K$126,1,L119)</f>
        <v>0</v>
      </c>
      <c r="N119" s="11">
        <f t="shared" ref="N119:N124" si="36">IF(L119=$B$3,0,INDEX($B$125:$K$126,2,L119))</f>
        <v>-41.134350911465361</v>
      </c>
    </row>
    <row r="120" spans="1:14" x14ac:dyDescent="0.25">
      <c r="L120" s="11">
        <f t="shared" ref="L120:L124" si="37">L119+1</f>
        <v>3</v>
      </c>
      <c r="M120" s="11">
        <f t="shared" si="35"/>
        <v>25</v>
      </c>
      <c r="N120" s="11">
        <f t="shared" si="36"/>
        <v>-36.84655767360919</v>
      </c>
    </row>
    <row r="121" spans="1:14" x14ac:dyDescent="0.25">
      <c r="A121" s="103">
        <f>(A165+A204+A243+A282+A321+A360+A399)*10^9</f>
        <v>8356645021477494</v>
      </c>
      <c r="L121" s="11">
        <f t="shared" si="37"/>
        <v>4</v>
      </c>
      <c r="M121" s="11">
        <f t="shared" si="35"/>
        <v>50</v>
      </c>
      <c r="N121" s="11">
        <f t="shared" si="36"/>
        <v>-30.346683987809985</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-19.423864697261138</v>
      </c>
    </row>
    <row r="123" spans="1:14" x14ac:dyDescent="0.25">
      <c r="A123" s="119"/>
      <c r="B123" s="119"/>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4.0125401618223879</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-44.146123426846039</v>
      </c>
      <c r="C126" s="107">
        <v>-41.134350911465361</v>
      </c>
      <c r="D126" s="107">
        <v>-36.84655767360919</v>
      </c>
      <c r="E126" s="107">
        <v>-30.346683987809985</v>
      </c>
      <c r="F126" s="107">
        <v>-19.423864697261138</v>
      </c>
      <c r="G126" s="107">
        <v>-1.8659155030354238E-6</v>
      </c>
      <c r="H126" s="107">
        <v>4.0125401618223879</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6574.1423129756067</v>
      </c>
      <c r="C130" s="26">
        <f>INDEX(Comparison!$AM$3:$AS$33,G14,$B$122)</f>
        <v>6574.1983504239388</v>
      </c>
      <c r="D130" s="26">
        <f>INDEX(Comparison!$AM$3:$AS$33,H14,$B$122)</f>
        <v>6574.1641202956771</v>
      </c>
      <c r="E130" s="26">
        <f>INDEX(Comparison!$AM$3:$AS$33,I14,$B$122)</f>
        <v>6574.1538463873376</v>
      </c>
      <c r="F130" s="26">
        <f>INDEX(Comparison!$AM$3:$AS$33,J14,$B$122)</f>
        <v>6574.1506604943988</v>
      </c>
      <c r="G130" s="26">
        <f>INDEX(Comparison!$AM$3:$AS$33,K14,$B$122)</f>
        <v>6574.149598530772</v>
      </c>
      <c r="H130" s="26">
        <f>INDEX(Comparison!$AM$3:$AS$33,L14,$B$122)</f>
        <v>6574.1492527752453</v>
      </c>
      <c r="I130" s="26">
        <f>INDEX(Comparison!$AM$3:$AS$33,M14,$B$122)</f>
        <v>6574.149203381603</v>
      </c>
      <c r="J130" s="26">
        <f>INDEX(Comparison!$AM$3:$AS$33,N14,$B$122)</f>
        <v>6574.149203381603</v>
      </c>
      <c r="K130" s="26">
        <f>INDEX(Comparison!$AM$3:$AS$33,O14,$B$122)</f>
        <v>6574.149203381603</v>
      </c>
      <c r="L130" s="26">
        <f>INDEX(Comparison!$AM$3:$AS$33,P14,$B$122)</f>
        <v>6574.1491786847801</v>
      </c>
      <c r="M130" s="26">
        <f>INDEX(Comparison!$AM$3:$AS$33,Q14,$B$122)</f>
        <v>6574.1489070197567</v>
      </c>
      <c r="N130" s="26">
        <f>INDEX(Comparison!$AM$3:$AS$33,R14,$B$122)</f>
        <v>6574.1483883865922</v>
      </c>
      <c r="O130" s="26">
        <f>INDEX(Comparison!$AM$3:$AS$33,S14,$B$122)</f>
        <v>6574.141102834109</v>
      </c>
      <c r="P130" s="26">
        <f>INDEX(Comparison!$AM$3:$AS$33,T14,$B$122)</f>
        <v>6574.0681741087647</v>
      </c>
      <c r="Q130" s="26">
        <f>INDEX(Comparison!$AM$3:$AS$33,U14,$B$122)</f>
        <v>6573.3425313051102</v>
      </c>
      <c r="R130" s="26">
        <f>INDEX(Comparison!$AM$3:$AS$33,V14,$B$122)</f>
        <v>6566.2492544539882</v>
      </c>
      <c r="S130" s="26">
        <f>INDEX(Comparison!$AM$3:$AS$33,W14,$B$122)</f>
        <v>6509.2168204054406</v>
      </c>
      <c r="T130" s="26">
        <f>INDEX(Comparison!$AM$3:$AS$33,X14,$B$122)</f>
        <v>6358.877795711509</v>
      </c>
      <c r="U130" s="26">
        <f>INDEX(Comparison!$AM$3:$AS$33,Y14,$B$122)</f>
        <v>6198.1657141301985</v>
      </c>
      <c r="V130" s="26">
        <f>INDEX(Comparison!$AM$3:$AS$33,Z14,$B$122)</f>
        <v>5965.2165970487267</v>
      </c>
      <c r="W130" s="26">
        <f>INDEX(Comparison!$AM$3:$AS$33,AA14,$B$122)</f>
        <v>5562.9083959530062</v>
      </c>
      <c r="X130" s="26">
        <f>INDEX(Comparison!$AM$3:$AS$33,AB14,$B$122)</f>
        <v>5068.6144859756578</v>
      </c>
      <c r="Y130" s="26">
        <f>INDEX(Comparison!$AM$3:$AS$33,AC14,$B$122)</f>
        <v>4583.1082918040429</v>
      </c>
      <c r="Z130" s="26">
        <f>INDEX(Comparison!$AM$3:$AS$33,AD14,$B$122)</f>
        <v>4165.9762057055259</v>
      </c>
      <c r="AA130" s="26">
        <f>INDEX(Comparison!$AM$3:$AS$33,AE14,$B$122)</f>
        <v>3823.5689905233821</v>
      </c>
      <c r="AB130" s="26">
        <f>INDEX(Comparison!$AM$3:$AS$33,AF14,$B$122)</f>
        <v>3510.558848270296</v>
      </c>
      <c r="AC130" s="26">
        <f>INDEX(Comparison!$AM$3:$AS$33,AG14,$B$122)</f>
        <v>3215.4703591878829</v>
      </c>
      <c r="AD130" s="26">
        <f>INDEX(Comparison!$AM$3:$AS$33,AH14,$B$122)</f>
        <v>2870.194204228324</v>
      </c>
      <c r="AE130" s="26">
        <f>INDEX(Comparison!$AM$3:$AS$33,AI14,$B$122)</f>
        <v>2458.5183678646754</v>
      </c>
      <c r="AF130" s="26">
        <f>INDEX(Comparison!$AM$3:$AS$33,AJ14,$B$122)</f>
        <v>1982.6966326072995</v>
      </c>
    </row>
    <row r="131" spans="1:33" x14ac:dyDescent="0.25">
      <c r="A131" s="68" t="s">
        <v>22</v>
      </c>
      <c r="B131" s="27">
        <f>($C$17+SUM(B132:B162))*$B$51</f>
        <v>6524.0922999999948</v>
      </c>
      <c r="C131" s="27">
        <f t="shared" ref="C131:AF131" si="40">($C$17+SUM(C132:C162))*$B$51</f>
        <v>6524.092299999952</v>
      </c>
      <c r="D131" s="27">
        <f t="shared" si="40"/>
        <v>6524.0922999995164</v>
      </c>
      <c r="E131" s="27">
        <f t="shared" si="40"/>
        <v>6524.0922999951663</v>
      </c>
      <c r="F131" s="27">
        <f t="shared" si="40"/>
        <v>6524.0922999516633</v>
      </c>
      <c r="G131" s="27">
        <f t="shared" si="40"/>
        <v>6524.0922995166366</v>
      </c>
      <c r="H131" s="27">
        <f t="shared" si="40"/>
        <v>6524.0922951663615</v>
      </c>
      <c r="I131" s="27">
        <f t="shared" si="40"/>
        <v>6524.0922516636138</v>
      </c>
      <c r="J131" s="27">
        <f t="shared" si="40"/>
        <v>6524.0918166362826</v>
      </c>
      <c r="K131" s="27">
        <f t="shared" si="40"/>
        <v>6524.0874663774548</v>
      </c>
      <c r="L131" s="27">
        <f t="shared" si="40"/>
        <v>6524.043965236925</v>
      </c>
      <c r="M131" s="27">
        <f t="shared" si="40"/>
        <v>6523.6090985741084</v>
      </c>
      <c r="N131" s="27">
        <f t="shared" si="40"/>
        <v>6519.2748738401478</v>
      </c>
      <c r="O131" s="27">
        <f t="shared" si="40"/>
        <v>6477.3449992480319</v>
      </c>
      <c r="P131" s="27">
        <f t="shared" si="40"/>
        <v>6172.1845569541056</v>
      </c>
      <c r="Q131" s="27">
        <f t="shared" si="40"/>
        <v>5806.0172749096373</v>
      </c>
      <c r="R131" s="27">
        <f t="shared" si="40"/>
        <v>5805.145534469706</v>
      </c>
      <c r="S131" s="27">
        <f t="shared" si="40"/>
        <v>5805.0738684527741</v>
      </c>
      <c r="T131" s="27">
        <f t="shared" si="40"/>
        <v>5804.3577912391474</v>
      </c>
      <c r="U131" s="27">
        <f t="shared" si="40"/>
        <v>5797.2549829889085</v>
      </c>
      <c r="V131" s="27">
        <f t="shared" si="40"/>
        <v>5731.7054158471265</v>
      </c>
      <c r="W131" s="27">
        <f t="shared" si="40"/>
        <v>5407.4272613059857</v>
      </c>
      <c r="X131" s="27">
        <f t="shared" si="40"/>
        <v>5146.2949626045502</v>
      </c>
      <c r="Y131" s="27">
        <f t="shared" si="40"/>
        <v>4874.9325165476648</v>
      </c>
      <c r="Z131" s="27">
        <f t="shared" si="40"/>
        <v>4590.696800283652</v>
      </c>
      <c r="AA131" s="27">
        <f t="shared" si="40"/>
        <v>4290.2503462915583</v>
      </c>
      <c r="AB131" s="27">
        <f t="shared" si="40"/>
        <v>3945.5739241030865</v>
      </c>
      <c r="AC131" s="27">
        <f t="shared" si="40"/>
        <v>3501.2483641309514</v>
      </c>
      <c r="AD131" s="27">
        <f t="shared" si="40"/>
        <v>2944.3659657664584</v>
      </c>
      <c r="AE131" s="27">
        <f t="shared" si="40"/>
        <v>2285.5427870897902</v>
      </c>
      <c r="AF131" s="27">
        <f t="shared" si="40"/>
        <v>1546.6791369346288</v>
      </c>
    </row>
    <row r="132" spans="1:33" x14ac:dyDescent="0.25">
      <c r="B132" s="3">
        <f t="shared" ref="B132:Z133" si="41">$C18*EXP(-B$129/$A18/EXP(-$B$126))</f>
        <v>0.11019752157474443</v>
      </c>
      <c r="C132" s="3">
        <f t="shared" ref="C132:AF132" si="42">$C18*EXP(-C$129/$A18/EXP(-$B$126))</f>
        <v>0.11019752157473776</v>
      </c>
      <c r="D132" s="3">
        <f t="shared" si="42"/>
        <v>0.11019752157467108</v>
      </c>
      <c r="E132" s="3">
        <f t="shared" si="42"/>
        <v>0.11019752157400428</v>
      </c>
      <c r="F132" s="3">
        <f t="shared" si="42"/>
        <v>0.11019752156733627</v>
      </c>
      <c r="G132" s="3">
        <f t="shared" si="42"/>
        <v>0.11019752150065613</v>
      </c>
      <c r="H132" s="3">
        <f t="shared" si="42"/>
        <v>0.11019752083385467</v>
      </c>
      <c r="I132" s="3">
        <f t="shared" si="42"/>
        <v>0.11019751416584044</v>
      </c>
      <c r="J132" s="3">
        <f t="shared" si="42"/>
        <v>0.11019744748572022</v>
      </c>
      <c r="K132" s="3">
        <f t="shared" si="42"/>
        <v>0.11019678068673715</v>
      </c>
      <c r="L132" s="3">
        <f t="shared" si="42"/>
        <v>0.11019011291881455</v>
      </c>
      <c r="M132" s="3">
        <f t="shared" si="42"/>
        <v>0.11012345742542971</v>
      </c>
      <c r="N132" s="3">
        <f t="shared" si="42"/>
        <v>0.10945911611664176</v>
      </c>
      <c r="O132" s="3">
        <f t="shared" si="42"/>
        <v>0.10303218873781443</v>
      </c>
      <c r="P132" s="3">
        <f t="shared" si="42"/>
        <v>5.6257809009704965E-2</v>
      </c>
      <c r="Q132" s="3">
        <f t="shared" si="42"/>
        <v>1.3252008328420067E-4</v>
      </c>
      <c r="R132" s="3">
        <f t="shared" si="42"/>
        <v>6.9706063622772452E-31</v>
      </c>
      <c r="S132" s="3">
        <f t="shared" si="42"/>
        <v>1.1302099863445063E-293</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6.7386263954763354E-2</v>
      </c>
      <c r="C133" s="3">
        <f t="shared" si="41"/>
        <v>6.7386263954763354E-2</v>
      </c>
      <c r="D133" s="3">
        <f t="shared" si="41"/>
        <v>6.7386263954763354E-2</v>
      </c>
      <c r="E133" s="3">
        <f t="shared" si="41"/>
        <v>6.7386263954763354E-2</v>
      </c>
      <c r="F133" s="3">
        <f t="shared" si="41"/>
        <v>6.7386263954763354E-2</v>
      </c>
      <c r="G133" s="3">
        <f t="shared" si="41"/>
        <v>6.738626395476334E-2</v>
      </c>
      <c r="H133" s="3">
        <f t="shared" si="41"/>
        <v>6.7386263954763229E-2</v>
      </c>
      <c r="I133" s="3">
        <f t="shared" si="41"/>
        <v>6.7386263954762188E-2</v>
      </c>
      <c r="J133" s="3">
        <f t="shared" si="41"/>
        <v>6.7386263954751752E-2</v>
      </c>
      <c r="K133" s="3">
        <f t="shared" si="41"/>
        <v>6.7386263954647307E-2</v>
      </c>
      <c r="L133" s="3">
        <f t="shared" si="41"/>
        <v>6.7386263953602824E-2</v>
      </c>
      <c r="M133" s="3">
        <f t="shared" si="41"/>
        <v>6.7386263943158081E-2</v>
      </c>
      <c r="N133" s="3">
        <f t="shared" si="41"/>
        <v>6.7386263838710589E-2</v>
      </c>
      <c r="O133" s="3">
        <f t="shared" si="41"/>
        <v>6.7386262794235735E-2</v>
      </c>
      <c r="P133" s="3">
        <f t="shared" si="41"/>
        <v>6.7386252349487974E-2</v>
      </c>
      <c r="Q133" s="3">
        <f t="shared" si="41"/>
        <v>6.7386147902099486E-2</v>
      </c>
      <c r="R133" s="3">
        <f t="shared" si="41"/>
        <v>6.7385103437118551E-2</v>
      </c>
      <c r="S133" s="3">
        <f t="shared" si="41"/>
        <v>6.7374659677656906E-2</v>
      </c>
      <c r="T133" s="3">
        <f t="shared" si="41"/>
        <v>6.7270311066768868E-2</v>
      </c>
      <c r="U133" s="3">
        <f t="shared" si="41"/>
        <v>6.6235672510037813E-2</v>
      </c>
      <c r="V133" s="3">
        <f t="shared" si="41"/>
        <v>5.6725338070637683E-2</v>
      </c>
      <c r="W133" s="3">
        <f t="shared" si="41"/>
        <v>1.2040056352807338E-2</v>
      </c>
      <c r="X133" s="3">
        <f t="shared" si="41"/>
        <v>2.2343066964220655E-9</v>
      </c>
      <c r="Y133" s="3">
        <f t="shared" si="41"/>
        <v>1.082145013053028E-76</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3.4082747841508325E-2</v>
      </c>
      <c r="C134" s="3">
        <f t="shared" si="44"/>
        <v>3.4082747841508325E-2</v>
      </c>
      <c r="D134" s="3">
        <f t="shared" si="44"/>
        <v>3.4082747841508325E-2</v>
      </c>
      <c r="E134" s="3">
        <f t="shared" si="44"/>
        <v>3.4082747841508325E-2</v>
      </c>
      <c r="F134" s="3">
        <f t="shared" si="44"/>
        <v>3.4082747841508325E-2</v>
      </c>
      <c r="G134" s="3">
        <f t="shared" si="44"/>
        <v>3.4082747841508325E-2</v>
      </c>
      <c r="H134" s="3">
        <f t="shared" si="44"/>
        <v>3.4082747841508318E-2</v>
      </c>
      <c r="I134" s="3">
        <f t="shared" si="44"/>
        <v>3.4082747841508269E-2</v>
      </c>
      <c r="J134" s="3">
        <f t="shared" si="44"/>
        <v>3.4082747841507798E-2</v>
      </c>
      <c r="K134" s="3">
        <f t="shared" si="44"/>
        <v>3.408274784150303E-2</v>
      </c>
      <c r="L134" s="3">
        <f t="shared" si="44"/>
        <v>3.4082747841455374E-2</v>
      </c>
      <c r="M134" s="3">
        <f t="shared" si="44"/>
        <v>3.4082747840978825E-2</v>
      </c>
      <c r="N134" s="3">
        <f t="shared" si="44"/>
        <v>3.4082747836213331E-2</v>
      </c>
      <c r="O134" s="3">
        <f t="shared" si="44"/>
        <v>3.408274778855841E-2</v>
      </c>
      <c r="P134" s="3">
        <f t="shared" si="44"/>
        <v>3.4082747312009137E-2</v>
      </c>
      <c r="Q134" s="3">
        <f t="shared" si="44"/>
        <v>3.4082742546516817E-2</v>
      </c>
      <c r="R134" s="3">
        <f t="shared" si="44"/>
        <v>3.4082694891630308E-2</v>
      </c>
      <c r="S134" s="3">
        <f t="shared" si="44"/>
        <v>3.4082218346429889E-2</v>
      </c>
      <c r="T134" s="3">
        <f t="shared" si="44"/>
        <v>3.4077453260879097E-2</v>
      </c>
      <c r="U134" s="3">
        <f t="shared" si="44"/>
        <v>3.4029839031759358E-2</v>
      </c>
      <c r="V134" s="3">
        <f t="shared" si="44"/>
        <v>3.355734050179543E-2</v>
      </c>
      <c r="W134" s="3">
        <f t="shared" si="44"/>
        <v>2.9178565254633981E-2</v>
      </c>
      <c r="X134" s="3">
        <f t="shared" si="44"/>
        <v>7.2082181163696567E-3</v>
      </c>
      <c r="Y134" s="3">
        <f t="shared" si="44"/>
        <v>6.1019378975855507E-9</v>
      </c>
      <c r="Z134" s="3">
        <f t="shared" si="44"/>
        <v>1.153098533212682E-69</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4.6674257676140619E-2</v>
      </c>
      <c r="C135" s="3">
        <f t="shared" si="47"/>
        <v>4.6674257676140619E-2</v>
      </c>
      <c r="D135" s="3">
        <f t="shared" si="47"/>
        <v>4.6674257676140619E-2</v>
      </c>
      <c r="E135" s="3">
        <f t="shared" si="47"/>
        <v>4.6674257676140619E-2</v>
      </c>
      <c r="F135" s="3">
        <f t="shared" si="47"/>
        <v>4.6674257676140619E-2</v>
      </c>
      <c r="G135" s="3">
        <f t="shared" si="47"/>
        <v>4.6674257676140619E-2</v>
      </c>
      <c r="H135" s="3">
        <f t="shared" si="47"/>
        <v>4.6674257676140619E-2</v>
      </c>
      <c r="I135" s="3">
        <f t="shared" si="47"/>
        <v>4.6674257676140612E-2</v>
      </c>
      <c r="J135" s="3">
        <f t="shared" si="47"/>
        <v>4.667425767614055E-2</v>
      </c>
      <c r="K135" s="3">
        <f t="shared" si="47"/>
        <v>4.6674257676139967E-2</v>
      </c>
      <c r="L135" s="3">
        <f t="shared" si="47"/>
        <v>4.6674257676134083E-2</v>
      </c>
      <c r="M135" s="3">
        <f t="shared" si="47"/>
        <v>4.6674257676075206E-2</v>
      </c>
      <c r="N135" s="3">
        <f t="shared" si="47"/>
        <v>4.6674257675486504E-2</v>
      </c>
      <c r="O135" s="3">
        <f t="shared" si="47"/>
        <v>4.6674257669599463E-2</v>
      </c>
      <c r="P135" s="3">
        <f t="shared" si="47"/>
        <v>4.6674257610729027E-2</v>
      </c>
      <c r="Q135" s="3">
        <f t="shared" si="47"/>
        <v>4.6674257022024719E-2</v>
      </c>
      <c r="R135" s="3">
        <f t="shared" si="47"/>
        <v>4.6674251134982012E-2</v>
      </c>
      <c r="S135" s="3">
        <f t="shared" si="47"/>
        <v>4.66741922645958E-2</v>
      </c>
      <c r="T135" s="3">
        <f t="shared" si="47"/>
        <v>4.6673603564817631E-2</v>
      </c>
      <c r="U135" s="3">
        <f t="shared" si="47"/>
        <v>4.666771697540905E-2</v>
      </c>
      <c r="V135" s="3">
        <f t="shared" si="47"/>
        <v>4.6608891899587591E-2</v>
      </c>
      <c r="W135" s="3">
        <f t="shared" si="47"/>
        <v>4.6024703982730696E-2</v>
      </c>
      <c r="X135" s="3">
        <f t="shared" si="47"/>
        <v>4.0570771256306731E-2</v>
      </c>
      <c r="Y135" s="3">
        <f t="shared" si="47"/>
        <v>1.1493064984546403E-2</v>
      </c>
      <c r="Z135" s="3">
        <f t="shared" si="47"/>
        <v>3.8252678255609267E-8</v>
      </c>
      <c r="AA135" s="3">
        <f t="shared" ref="AA135" si="48">$C21*EXP(-AA$129/$A21/EXP(-$B$126))</f>
        <v>6.3814842345470418E-63</v>
      </c>
      <c r="AB135" s="3">
        <f t="shared" si="46"/>
        <v>0</v>
      </c>
      <c r="AC135" s="3">
        <f t="shared" si="46"/>
        <v>0</v>
      </c>
      <c r="AD135" s="3">
        <f t="shared" si="46"/>
        <v>0</v>
      </c>
      <c r="AE135" s="3">
        <f t="shared" si="46"/>
        <v>0</v>
      </c>
      <c r="AF135" s="3">
        <f t="shared" si="46"/>
        <v>0</v>
      </c>
    </row>
    <row r="136" spans="1:33" x14ac:dyDescent="0.25">
      <c r="B136" s="3">
        <f t="shared" ref="B136:Z136" si="49">$C22*EXP(-B$129/$A22/EXP(-$B$126))</f>
        <v>4.4764266498867597E-2</v>
      </c>
      <c r="C136" s="3">
        <f t="shared" si="49"/>
        <v>4.4764266498867597E-2</v>
      </c>
      <c r="D136" s="3">
        <f t="shared" si="49"/>
        <v>4.4764266498867597E-2</v>
      </c>
      <c r="E136" s="3">
        <f t="shared" si="49"/>
        <v>4.4764266498867597E-2</v>
      </c>
      <c r="F136" s="3">
        <f t="shared" si="49"/>
        <v>4.4764266498867597E-2</v>
      </c>
      <c r="G136" s="3">
        <f t="shared" si="49"/>
        <v>4.4764266498867597E-2</v>
      </c>
      <c r="H136" s="3">
        <f t="shared" si="49"/>
        <v>4.4764266498867597E-2</v>
      </c>
      <c r="I136" s="3">
        <f t="shared" si="49"/>
        <v>4.4764266498867597E-2</v>
      </c>
      <c r="J136" s="3">
        <f t="shared" si="49"/>
        <v>4.476426649886759E-2</v>
      </c>
      <c r="K136" s="3">
        <f t="shared" si="49"/>
        <v>4.4764266498867541E-2</v>
      </c>
      <c r="L136" s="3">
        <f t="shared" si="49"/>
        <v>4.4764266498867028E-2</v>
      </c>
      <c r="M136" s="3">
        <f t="shared" si="49"/>
        <v>4.4764266498861935E-2</v>
      </c>
      <c r="N136" s="3">
        <f t="shared" si="49"/>
        <v>4.4764266498811003E-2</v>
      </c>
      <c r="O136" s="3">
        <f t="shared" si="49"/>
        <v>4.4764266498301675E-2</v>
      </c>
      <c r="P136" s="3">
        <f t="shared" si="49"/>
        <v>4.4764266493208395E-2</v>
      </c>
      <c r="Q136" s="3">
        <f t="shared" si="49"/>
        <v>4.4764266442275553E-2</v>
      </c>
      <c r="R136" s="3">
        <f t="shared" si="49"/>
        <v>4.4764265932947196E-2</v>
      </c>
      <c r="S136" s="3">
        <f t="shared" si="49"/>
        <v>4.4764260839663894E-2</v>
      </c>
      <c r="T136" s="3">
        <f t="shared" si="49"/>
        <v>4.4764209906862737E-2</v>
      </c>
      <c r="U136" s="3">
        <f t="shared" si="49"/>
        <v>4.4763700582038525E-2</v>
      </c>
      <c r="V136" s="3">
        <f t="shared" si="49"/>
        <v>4.4758607652514416E-2</v>
      </c>
      <c r="W136" s="3">
        <f t="shared" si="49"/>
        <v>4.4707710215662631E-2</v>
      </c>
      <c r="X136" s="3">
        <f t="shared" si="49"/>
        <v>4.4201908314846404E-2</v>
      </c>
      <c r="Y136" s="3">
        <f t="shared" si="49"/>
        <v>3.9448177233069738E-2</v>
      </c>
      <c r="Z136" s="3">
        <f t="shared" si="49"/>
        <v>1.2644048525541907E-2</v>
      </c>
      <c r="AA136" s="3">
        <f t="shared" ref="AA136" si="50">$C22*EXP(-AA$129/$A22/EXP(-$B$126))</f>
        <v>1.4470325012652875E-7</v>
      </c>
      <c r="AB136" s="3">
        <f t="shared" si="46"/>
        <v>5.5769866410548621E-57</v>
      </c>
      <c r="AC136" s="3">
        <f t="shared" si="46"/>
        <v>0</v>
      </c>
      <c r="AD136" s="3">
        <f t="shared" si="46"/>
        <v>0</v>
      </c>
      <c r="AE136" s="3">
        <f t="shared" si="46"/>
        <v>0</v>
      </c>
      <c r="AF136" s="3">
        <f t="shared" si="46"/>
        <v>0</v>
      </c>
    </row>
    <row r="137" spans="1:33" x14ac:dyDescent="0.25">
      <c r="B137" s="3">
        <f t="shared" ref="B137:Z137" si="51">$C23*EXP(-B$129/$A23/EXP(-$B$126))</f>
        <v>4.8577269491505953E-2</v>
      </c>
      <c r="C137" s="3">
        <f t="shared" si="51"/>
        <v>4.8577269491505953E-2</v>
      </c>
      <c r="D137" s="3">
        <f t="shared" si="51"/>
        <v>4.8577269491505953E-2</v>
      </c>
      <c r="E137" s="3">
        <f t="shared" si="51"/>
        <v>4.8577269491505953E-2</v>
      </c>
      <c r="F137" s="3">
        <f t="shared" si="51"/>
        <v>4.8577269491505953E-2</v>
      </c>
      <c r="G137" s="3">
        <f t="shared" si="51"/>
        <v>4.8577269491505953E-2</v>
      </c>
      <c r="H137" s="3">
        <f t="shared" si="51"/>
        <v>4.8577269491505953E-2</v>
      </c>
      <c r="I137" s="3">
        <f t="shared" si="51"/>
        <v>4.8577269491505953E-2</v>
      </c>
      <c r="J137" s="3">
        <f t="shared" si="51"/>
        <v>4.8577269491505953E-2</v>
      </c>
      <c r="K137" s="3">
        <f t="shared" si="51"/>
        <v>4.8577269491505946E-2</v>
      </c>
      <c r="L137" s="3">
        <f t="shared" si="51"/>
        <v>4.8577269491505898E-2</v>
      </c>
      <c r="M137" s="3">
        <f t="shared" si="51"/>
        <v>4.8577269491505398E-2</v>
      </c>
      <c r="N137" s="3">
        <f t="shared" si="51"/>
        <v>4.8577269491500416E-2</v>
      </c>
      <c r="O137" s="3">
        <f t="shared" si="51"/>
        <v>4.8577269491450553E-2</v>
      </c>
      <c r="P137" s="3">
        <f t="shared" si="51"/>
        <v>4.8577269490951966E-2</v>
      </c>
      <c r="Q137" s="3">
        <f t="shared" si="51"/>
        <v>4.8577269485966038E-2</v>
      </c>
      <c r="R137" s="3">
        <f t="shared" si="51"/>
        <v>4.857726943610674E-2</v>
      </c>
      <c r="S137" s="3">
        <f t="shared" si="51"/>
        <v>4.8577268937513858E-2</v>
      </c>
      <c r="T137" s="3">
        <f t="shared" si="51"/>
        <v>4.8577263951585264E-2</v>
      </c>
      <c r="U137" s="3">
        <f t="shared" si="51"/>
        <v>4.8577214092327473E-2</v>
      </c>
      <c r="V137" s="3">
        <f t="shared" si="51"/>
        <v>4.8576715502564177E-2</v>
      </c>
      <c r="W137" s="3">
        <f t="shared" si="51"/>
        <v>4.8571729886382621E-2</v>
      </c>
      <c r="X137" s="3">
        <f t="shared" si="51"/>
        <v>4.8521901859022463E-2</v>
      </c>
      <c r="Y137" s="3">
        <f t="shared" si="51"/>
        <v>4.8026424375750623E-2</v>
      </c>
      <c r="Z137" s="3">
        <f t="shared" si="51"/>
        <v>4.3341570516511774E-2</v>
      </c>
      <c r="AA137" s="3">
        <f t="shared" ref="AA137" si="52">$C23*EXP(-AA$129/$A23/EXP(-$B$126))</f>
        <v>1.5529180789843394E-2</v>
      </c>
      <c r="AB137" s="3">
        <f t="shared" si="46"/>
        <v>5.4148641255399001E-7</v>
      </c>
      <c r="AC137" s="3">
        <f t="shared" si="46"/>
        <v>1.4387248247705157E-51</v>
      </c>
      <c r="AD137" s="3">
        <f t="shared" si="46"/>
        <v>0</v>
      </c>
      <c r="AE137" s="3">
        <f t="shared" si="46"/>
        <v>0</v>
      </c>
      <c r="AF137" s="3">
        <f t="shared" si="46"/>
        <v>0</v>
      </c>
    </row>
    <row r="138" spans="1:33" x14ac:dyDescent="0.25">
      <c r="B138" s="3">
        <f t="shared" ref="B138:Z138" si="53">$C24*EXP(-B$129/$A24/EXP(-$B$126))</f>
        <v>5.5549505588396574E-2</v>
      </c>
      <c r="C138" s="3">
        <f t="shared" si="53"/>
        <v>5.5549505588396574E-2</v>
      </c>
      <c r="D138" s="3">
        <f t="shared" si="53"/>
        <v>5.5549505588396574E-2</v>
      </c>
      <c r="E138" s="3">
        <f t="shared" si="53"/>
        <v>5.5549505588396574E-2</v>
      </c>
      <c r="F138" s="3">
        <f t="shared" si="53"/>
        <v>5.5549505588396574E-2</v>
      </c>
      <c r="G138" s="3">
        <f t="shared" si="53"/>
        <v>5.5549505588396574E-2</v>
      </c>
      <c r="H138" s="3">
        <f t="shared" si="53"/>
        <v>5.5549505588396574E-2</v>
      </c>
      <c r="I138" s="3">
        <f t="shared" si="53"/>
        <v>5.5549505588396574E-2</v>
      </c>
      <c r="J138" s="3">
        <f t="shared" si="53"/>
        <v>5.5549505588396574E-2</v>
      </c>
      <c r="K138" s="3">
        <f t="shared" si="53"/>
        <v>5.5549505588396574E-2</v>
      </c>
      <c r="L138" s="3">
        <f t="shared" si="53"/>
        <v>5.5549505588396567E-2</v>
      </c>
      <c r="M138" s="3">
        <f t="shared" si="53"/>
        <v>5.5549505588396518E-2</v>
      </c>
      <c r="N138" s="3">
        <f t="shared" si="53"/>
        <v>5.5549505588395998E-2</v>
      </c>
      <c r="O138" s="3">
        <f t="shared" si="53"/>
        <v>5.5549505588390856E-2</v>
      </c>
      <c r="P138" s="3">
        <f t="shared" si="53"/>
        <v>5.5549505588339425E-2</v>
      </c>
      <c r="Q138" s="3">
        <f t="shared" si="53"/>
        <v>5.55495055878251E-2</v>
      </c>
      <c r="R138" s="3">
        <f t="shared" si="53"/>
        <v>5.5549505582681825E-2</v>
      </c>
      <c r="S138" s="3">
        <f t="shared" si="53"/>
        <v>5.5549505531249072E-2</v>
      </c>
      <c r="T138" s="3">
        <f t="shared" si="53"/>
        <v>5.5549505016921547E-2</v>
      </c>
      <c r="U138" s="3">
        <f t="shared" si="53"/>
        <v>5.5549499873646539E-2</v>
      </c>
      <c r="V138" s="3">
        <f t="shared" si="53"/>
        <v>5.5549448440922661E-2</v>
      </c>
      <c r="W138" s="3">
        <f t="shared" si="53"/>
        <v>5.5548934116303066E-2</v>
      </c>
      <c r="X138" s="3">
        <f t="shared" si="53"/>
        <v>5.5543791132013083E-2</v>
      </c>
      <c r="Y138" s="3">
        <f t="shared" si="53"/>
        <v>5.5492387470746453E-2</v>
      </c>
      <c r="Z138" s="3">
        <f t="shared" si="53"/>
        <v>5.4980960074276629E-2</v>
      </c>
      <c r="AA138" s="3">
        <f t="shared" ref="AA138" si="54">$C24*EXP(-AA$129/$A24/EXP(-$B$126))</f>
        <v>5.0118886173198089E-2</v>
      </c>
      <c r="AB138" s="3">
        <f t="shared" si="46"/>
        <v>1.9856025725831585E-2</v>
      </c>
      <c r="AC138" s="3">
        <f t="shared" si="46"/>
        <v>1.8914788398728512E-6</v>
      </c>
      <c r="AD138" s="3">
        <f t="shared" si="46"/>
        <v>1.1638394938533418E-46</v>
      </c>
      <c r="AE138" s="3">
        <f t="shared" si="46"/>
        <v>0</v>
      </c>
      <c r="AF138" s="3">
        <f t="shared" si="46"/>
        <v>0</v>
      </c>
    </row>
    <row r="139" spans="1:33" x14ac:dyDescent="0.25">
      <c r="B139" s="3">
        <f t="shared" ref="B139:Z139" si="55">$C25*EXP(-B$129/$A25/EXP(-$B$126))</f>
        <v>7.866276737132312E-2</v>
      </c>
      <c r="C139" s="3">
        <f t="shared" si="55"/>
        <v>7.866276737132312E-2</v>
      </c>
      <c r="D139" s="3">
        <f t="shared" si="55"/>
        <v>7.866276737132312E-2</v>
      </c>
      <c r="E139" s="3">
        <f t="shared" si="55"/>
        <v>7.866276737132312E-2</v>
      </c>
      <c r="F139" s="3">
        <f t="shared" si="55"/>
        <v>7.866276737132312E-2</v>
      </c>
      <c r="G139" s="3">
        <f t="shared" si="55"/>
        <v>7.866276737132312E-2</v>
      </c>
      <c r="H139" s="3">
        <f t="shared" si="55"/>
        <v>7.866276737132312E-2</v>
      </c>
      <c r="I139" s="3">
        <f t="shared" si="55"/>
        <v>7.866276737132312E-2</v>
      </c>
      <c r="J139" s="3">
        <f t="shared" si="55"/>
        <v>7.866276737132312E-2</v>
      </c>
      <c r="K139" s="3">
        <f t="shared" si="55"/>
        <v>7.866276737132312E-2</v>
      </c>
      <c r="L139" s="3">
        <f t="shared" si="55"/>
        <v>7.866276737132312E-2</v>
      </c>
      <c r="M139" s="3">
        <f t="shared" si="55"/>
        <v>7.8662767371323106E-2</v>
      </c>
      <c r="N139" s="3">
        <f t="shared" si="55"/>
        <v>7.866276737132305E-2</v>
      </c>
      <c r="O139" s="3">
        <f t="shared" si="55"/>
        <v>7.8662767371322384E-2</v>
      </c>
      <c r="P139" s="3">
        <f t="shared" si="55"/>
        <v>7.866276737131582E-2</v>
      </c>
      <c r="Q139" s="3">
        <f t="shared" si="55"/>
        <v>7.8662767371250122E-2</v>
      </c>
      <c r="R139" s="3">
        <f t="shared" si="55"/>
        <v>7.8662767370593106E-2</v>
      </c>
      <c r="S139" s="3">
        <f t="shared" si="55"/>
        <v>7.8662767364022959E-2</v>
      </c>
      <c r="T139" s="3">
        <f t="shared" si="55"/>
        <v>7.8662767298321432E-2</v>
      </c>
      <c r="U139" s="3">
        <f t="shared" si="55"/>
        <v>7.8662766641306295E-2</v>
      </c>
      <c r="V139" s="3">
        <f t="shared" si="55"/>
        <v>7.8662760071155108E-2</v>
      </c>
      <c r="W139" s="3">
        <f t="shared" si="55"/>
        <v>7.8662694369673519E-2</v>
      </c>
      <c r="X139" s="3">
        <f t="shared" si="55"/>
        <v>7.8662037357875816E-2</v>
      </c>
      <c r="Y139" s="3">
        <f t="shared" si="55"/>
        <v>7.8655467541705715E-2</v>
      </c>
      <c r="Z139" s="3">
        <f t="shared" si="55"/>
        <v>7.8589799551381179E-2</v>
      </c>
      <c r="AA139" s="3">
        <f t="shared" ref="AA139" si="56">$C25*EXP(-AA$129/$A25/EXP(-$B$126))</f>
        <v>7.7936127482554282E-2</v>
      </c>
      <c r="AB139" s="3">
        <f t="shared" si="46"/>
        <v>7.1691098999242808E-2</v>
      </c>
      <c r="AC139" s="3">
        <f t="shared" si="46"/>
        <v>3.1097780371762525E-2</v>
      </c>
      <c r="AD139" s="3">
        <f t="shared" si="46"/>
        <v>7.3345070796419178E-6</v>
      </c>
      <c r="AE139" s="3">
        <f t="shared" si="46"/>
        <v>3.9064865465357057E-42</v>
      </c>
      <c r="AF139" s="3">
        <f t="shared" si="46"/>
        <v>0</v>
      </c>
    </row>
    <row r="140" spans="1:33" x14ac:dyDescent="0.25">
      <c r="B140" s="3">
        <f t="shared" ref="B140:Z140" si="57">$C26*EXP(-B$129/$A26/EXP(-$B$126))</f>
        <v>9.4543741847587029E-2</v>
      </c>
      <c r="C140" s="3">
        <f t="shared" si="57"/>
        <v>9.4543741847587029E-2</v>
      </c>
      <c r="D140" s="3">
        <f t="shared" si="57"/>
        <v>9.4543741847587029E-2</v>
      </c>
      <c r="E140" s="3">
        <f t="shared" si="57"/>
        <v>9.4543741847587029E-2</v>
      </c>
      <c r="F140" s="3">
        <f t="shared" si="57"/>
        <v>9.4543741847587029E-2</v>
      </c>
      <c r="G140" s="3">
        <f t="shared" si="57"/>
        <v>9.4543741847587029E-2</v>
      </c>
      <c r="H140" s="3">
        <f t="shared" si="57"/>
        <v>9.4543741847587029E-2</v>
      </c>
      <c r="I140" s="3">
        <f t="shared" si="57"/>
        <v>9.4543741847587029E-2</v>
      </c>
      <c r="J140" s="3">
        <f t="shared" si="57"/>
        <v>9.4543741847587029E-2</v>
      </c>
      <c r="K140" s="3">
        <f t="shared" si="57"/>
        <v>9.4543741847587029E-2</v>
      </c>
      <c r="L140" s="3">
        <f t="shared" si="57"/>
        <v>9.4543741847587029E-2</v>
      </c>
      <c r="M140" s="3">
        <f t="shared" si="57"/>
        <v>9.4543741847587029E-2</v>
      </c>
      <c r="N140" s="3">
        <f t="shared" si="57"/>
        <v>9.4543741847587015E-2</v>
      </c>
      <c r="O140" s="3">
        <f t="shared" si="57"/>
        <v>9.4543741847586946E-2</v>
      </c>
      <c r="P140" s="3">
        <f t="shared" si="57"/>
        <v>9.4543741847586238E-2</v>
      </c>
      <c r="Q140" s="3">
        <f t="shared" si="57"/>
        <v>9.4543741847579119E-2</v>
      </c>
      <c r="R140" s="3">
        <f t="shared" si="57"/>
        <v>9.4543741847507884E-2</v>
      </c>
      <c r="S140" s="3">
        <f t="shared" si="57"/>
        <v>9.4543741846795537E-2</v>
      </c>
      <c r="T140" s="3">
        <f t="shared" si="57"/>
        <v>9.4543741839672166E-2</v>
      </c>
      <c r="U140" s="3">
        <f t="shared" si="57"/>
        <v>9.4543741768438466E-2</v>
      </c>
      <c r="V140" s="3">
        <f t="shared" si="57"/>
        <v>9.4543741056101416E-2</v>
      </c>
      <c r="W140" s="3">
        <f t="shared" si="57"/>
        <v>9.4543733932731105E-2</v>
      </c>
      <c r="X140" s="3">
        <f t="shared" si="57"/>
        <v>9.4543662699057548E-2</v>
      </c>
      <c r="Y140" s="3">
        <f t="shared" si="57"/>
        <v>9.4542950365273964E-2</v>
      </c>
      <c r="Z140" s="3">
        <f t="shared" si="57"/>
        <v>9.4535827322618421E-2</v>
      </c>
      <c r="AA140" s="3">
        <f t="shared" ref="AA140" si="58">$C26*EXP(-AA$129/$A26/EXP(-$B$126))</f>
        <v>9.4464626405876953E-2</v>
      </c>
      <c r="AB140" s="3">
        <f t="shared" si="46"/>
        <v>9.3755560009795041E-2</v>
      </c>
      <c r="AC140" s="3">
        <f t="shared" si="46"/>
        <v>8.6951132177781235E-2</v>
      </c>
      <c r="AD140" s="3">
        <f t="shared" si="46"/>
        <v>4.09314690027172E-2</v>
      </c>
      <c r="AE140" s="3">
        <f t="shared" si="46"/>
        <v>2.187148310121698E-5</v>
      </c>
      <c r="AF140" s="3">
        <f t="shared" si="46"/>
        <v>4.1503741885844823E-38</v>
      </c>
    </row>
    <row r="141" spans="1:33" x14ac:dyDescent="0.25">
      <c r="B141" s="3">
        <f t="shared" ref="B141:Z141" si="59">$C27*EXP(-B$129/$A27/EXP(-$B$126))</f>
        <v>0.11359632384203742</v>
      </c>
      <c r="C141" s="3">
        <f t="shared" si="59"/>
        <v>0.11359632384203742</v>
      </c>
      <c r="D141" s="3">
        <f t="shared" si="59"/>
        <v>0.11359632384203742</v>
      </c>
      <c r="E141" s="3">
        <f t="shared" si="59"/>
        <v>0.11359632384203742</v>
      </c>
      <c r="F141" s="3">
        <f t="shared" si="59"/>
        <v>0.11359632384203742</v>
      </c>
      <c r="G141" s="3">
        <f t="shared" si="59"/>
        <v>0.11359632384203742</v>
      </c>
      <c r="H141" s="3">
        <f t="shared" si="59"/>
        <v>0.11359632384203742</v>
      </c>
      <c r="I141" s="3">
        <f t="shared" si="59"/>
        <v>0.11359632384203742</v>
      </c>
      <c r="J141" s="3">
        <f t="shared" si="59"/>
        <v>0.11359632384203742</v>
      </c>
      <c r="K141" s="3">
        <f t="shared" si="59"/>
        <v>0.11359632384203742</v>
      </c>
      <c r="L141" s="3">
        <f t="shared" si="59"/>
        <v>0.11359632384203742</v>
      </c>
      <c r="M141" s="3">
        <f t="shared" si="59"/>
        <v>0.11359632384203742</v>
      </c>
      <c r="N141" s="3">
        <f t="shared" si="59"/>
        <v>0.11359632384203742</v>
      </c>
      <c r="O141" s="3">
        <f t="shared" si="59"/>
        <v>0.11359632384203741</v>
      </c>
      <c r="P141" s="3">
        <f t="shared" si="59"/>
        <v>0.11359632384203734</v>
      </c>
      <c r="Q141" s="3">
        <f t="shared" si="59"/>
        <v>0.11359632384203656</v>
      </c>
      <c r="R141" s="3">
        <f t="shared" si="59"/>
        <v>0.11359632384202885</v>
      </c>
      <c r="S141" s="3">
        <f t="shared" si="59"/>
        <v>0.11359632384195165</v>
      </c>
      <c r="T141" s="3">
        <f t="shared" si="59"/>
        <v>0.11359632384117956</v>
      </c>
      <c r="U141" s="3">
        <f t="shared" si="59"/>
        <v>0.11359632383345873</v>
      </c>
      <c r="V141" s="3">
        <f t="shared" si="59"/>
        <v>0.11359632375625051</v>
      </c>
      <c r="W141" s="3">
        <f t="shared" si="59"/>
        <v>0.11359632298416815</v>
      </c>
      <c r="X141" s="3">
        <f t="shared" si="59"/>
        <v>0.113596315263345</v>
      </c>
      <c r="Y141" s="3">
        <f t="shared" si="59"/>
        <v>0.11359623805514235</v>
      </c>
      <c r="Z141" s="3">
        <f t="shared" si="59"/>
        <v>0.11359546597600205</v>
      </c>
      <c r="AA141" s="3">
        <f t="shared" ref="AA141" si="60">$C27*EXP(-AA$129/$A27/EXP(-$B$126))</f>
        <v>0.11358774547321041</v>
      </c>
      <c r="AB141" s="3">
        <f t="shared" si="46"/>
        <v>0.11351056929918012</v>
      </c>
      <c r="AC141" s="3">
        <f t="shared" si="46"/>
        <v>0.11274168570452775</v>
      </c>
      <c r="AD141" s="3">
        <f t="shared" si="46"/>
        <v>0.10533355610926777</v>
      </c>
      <c r="AE141" s="3">
        <f t="shared" si="46"/>
        <v>5.3381278351079753E-2</v>
      </c>
      <c r="AF141" s="3">
        <f t="shared" si="46"/>
        <v>5.9650103889744375E-5</v>
      </c>
    </row>
    <row r="142" spans="1:33" x14ac:dyDescent="0.25">
      <c r="B142" s="3">
        <f t="shared" ref="B142:Z142" si="61">$C28*EXP(-B$129/$A28/EXP(-$B$126))</f>
        <v>0.12987660327805553</v>
      </c>
      <c r="C142" s="3">
        <f t="shared" si="61"/>
        <v>0.12987660327805553</v>
      </c>
      <c r="D142" s="3">
        <f t="shared" si="61"/>
        <v>0.12987660327805553</v>
      </c>
      <c r="E142" s="3">
        <f t="shared" si="61"/>
        <v>0.12987660327805553</v>
      </c>
      <c r="F142" s="3">
        <f t="shared" si="61"/>
        <v>0.12987660327805553</v>
      </c>
      <c r="G142" s="3">
        <f t="shared" si="61"/>
        <v>0.12987660327805553</v>
      </c>
      <c r="H142" s="3">
        <f t="shared" si="61"/>
        <v>0.12987660327805553</v>
      </c>
      <c r="I142" s="3">
        <f t="shared" si="61"/>
        <v>0.12987660327805553</v>
      </c>
      <c r="J142" s="3">
        <f t="shared" si="61"/>
        <v>0.12987660327805553</v>
      </c>
      <c r="K142" s="3">
        <f t="shared" si="61"/>
        <v>0.12987660327805553</v>
      </c>
      <c r="L142" s="3">
        <f t="shared" si="61"/>
        <v>0.12987660327805553</v>
      </c>
      <c r="M142" s="3">
        <f t="shared" si="61"/>
        <v>0.12987660327805553</v>
      </c>
      <c r="N142" s="3">
        <f t="shared" si="61"/>
        <v>0.12987660327805553</v>
      </c>
      <c r="O142" s="3">
        <f t="shared" si="61"/>
        <v>0.12987660327805553</v>
      </c>
      <c r="P142" s="3">
        <f t="shared" si="61"/>
        <v>0.1298766032780555</v>
      </c>
      <c r="Q142" s="3">
        <f t="shared" si="61"/>
        <v>0.12987660327805545</v>
      </c>
      <c r="R142" s="3">
        <f t="shared" si="61"/>
        <v>0.12987660327805464</v>
      </c>
      <c r="S142" s="3">
        <f t="shared" si="61"/>
        <v>0.12987660327804668</v>
      </c>
      <c r="T142" s="3">
        <f t="shared" si="61"/>
        <v>0.12987660327796705</v>
      </c>
      <c r="U142" s="3">
        <f t="shared" si="61"/>
        <v>0.12987660327717077</v>
      </c>
      <c r="V142" s="3">
        <f t="shared" si="61"/>
        <v>0.12987660326920775</v>
      </c>
      <c r="W142" s="3">
        <f t="shared" si="61"/>
        <v>0.12987660318957772</v>
      </c>
      <c r="X142" s="3">
        <f t="shared" si="61"/>
        <v>0.12987660239327747</v>
      </c>
      <c r="Y142" s="3">
        <f t="shared" si="61"/>
        <v>0.12987659443027516</v>
      </c>
      <c r="Z142" s="3">
        <f t="shared" si="61"/>
        <v>0.12987651480027881</v>
      </c>
      <c r="AA142" s="3">
        <f t="shared" ref="AA142" si="62">$C28*EXP(-AA$129/$A28/EXP(-$B$126))</f>
        <v>0.12987571850300064</v>
      </c>
      <c r="AB142" s="3">
        <f t="shared" si="46"/>
        <v>0.12986775579873786</v>
      </c>
      <c r="AC142" s="3">
        <f t="shared" si="46"/>
        <v>0.12978815560188939</v>
      </c>
      <c r="AD142" s="3">
        <f t="shared" si="46"/>
        <v>0.12899483213125526</v>
      </c>
      <c r="AE142" s="3">
        <f t="shared" si="46"/>
        <v>0.12132346927990915</v>
      </c>
      <c r="AF142" s="3">
        <f t="shared" si="46"/>
        <v>6.5715816722708154E-2</v>
      </c>
    </row>
    <row r="143" spans="1:33" x14ac:dyDescent="0.25">
      <c r="B143" s="3">
        <f t="shared" ref="B143:Z143" si="63">$C29*EXP(-B$129/$A29/EXP(-$B$126))</f>
        <v>7.5604381501705717E-2</v>
      </c>
      <c r="C143" s="3">
        <f t="shared" si="63"/>
        <v>7.5604381501705717E-2</v>
      </c>
      <c r="D143" s="3">
        <f t="shared" si="63"/>
        <v>7.5604381501705717E-2</v>
      </c>
      <c r="E143" s="3">
        <f t="shared" si="63"/>
        <v>7.5604381501705717E-2</v>
      </c>
      <c r="F143" s="3">
        <f t="shared" si="63"/>
        <v>7.5604381501705717E-2</v>
      </c>
      <c r="G143" s="3">
        <f t="shared" si="63"/>
        <v>7.5604381501705717E-2</v>
      </c>
      <c r="H143" s="3">
        <f t="shared" si="63"/>
        <v>7.5604381501705717E-2</v>
      </c>
      <c r="I143" s="3">
        <f t="shared" si="63"/>
        <v>7.5604381501705717E-2</v>
      </c>
      <c r="J143" s="3">
        <f t="shared" si="63"/>
        <v>7.5604381501705717E-2</v>
      </c>
      <c r="K143" s="3">
        <f t="shared" si="63"/>
        <v>7.5604381501705717E-2</v>
      </c>
      <c r="L143" s="3">
        <f t="shared" si="63"/>
        <v>7.5604381501705717E-2</v>
      </c>
      <c r="M143" s="3">
        <f t="shared" si="63"/>
        <v>7.5604381501705717E-2</v>
      </c>
      <c r="N143" s="3">
        <f t="shared" si="63"/>
        <v>7.5604381501705717E-2</v>
      </c>
      <c r="O143" s="3">
        <f t="shared" si="63"/>
        <v>7.5604381501705717E-2</v>
      </c>
      <c r="P143" s="3">
        <f t="shared" si="63"/>
        <v>7.5604381501705717E-2</v>
      </c>
      <c r="Q143" s="3">
        <f t="shared" si="63"/>
        <v>7.5604381501705703E-2</v>
      </c>
      <c r="R143" s="3">
        <f t="shared" si="63"/>
        <v>7.5604381501705661E-2</v>
      </c>
      <c r="S143" s="3">
        <f t="shared" si="63"/>
        <v>7.5604381501705259E-2</v>
      </c>
      <c r="T143" s="3">
        <f t="shared" si="63"/>
        <v>7.5604381501701068E-2</v>
      </c>
      <c r="U143" s="3">
        <f t="shared" si="63"/>
        <v>7.5604381501659254E-2</v>
      </c>
      <c r="V143" s="3">
        <f t="shared" si="63"/>
        <v>7.5604381501241102E-2</v>
      </c>
      <c r="W143" s="3">
        <f t="shared" si="63"/>
        <v>7.5604381497059531E-2</v>
      </c>
      <c r="X143" s="3">
        <f t="shared" si="63"/>
        <v>7.5604381455243813E-2</v>
      </c>
      <c r="Y143" s="3">
        <f t="shared" si="63"/>
        <v>7.5604381037086693E-2</v>
      </c>
      <c r="Z143" s="3">
        <f t="shared" si="63"/>
        <v>7.5604376855515673E-2</v>
      </c>
      <c r="AA143" s="3">
        <f t="shared" ref="AA143" si="64">$C29*EXP(-AA$129/$A29/EXP(-$B$126))</f>
        <v>7.560433503981813E-2</v>
      </c>
      <c r="AB143" s="3">
        <f t="shared" si="46"/>
        <v>7.5603916884114802E-2</v>
      </c>
      <c r="AC143" s="3">
        <f t="shared" si="46"/>
        <v>7.5599735454280781E-2</v>
      </c>
      <c r="AD143" s="3">
        <f t="shared" si="46"/>
        <v>7.5557933873271199E-2</v>
      </c>
      <c r="AE143" s="3">
        <f t="shared" si="46"/>
        <v>7.514118719759208E-2</v>
      </c>
      <c r="AF143" s="3">
        <f t="shared" si="46"/>
        <v>7.1098074679501577E-2</v>
      </c>
    </row>
    <row r="144" spans="1:33" x14ac:dyDescent="0.25">
      <c r="B144" s="3">
        <f t="shared" ref="B144:Z144" si="65">$C30*EXP(-B$129/$A30/EXP(-$B$126))</f>
        <v>4.9796050081425132E-2</v>
      </c>
      <c r="C144" s="3">
        <f t="shared" si="65"/>
        <v>4.9796050081425132E-2</v>
      </c>
      <c r="D144" s="3">
        <f t="shared" si="65"/>
        <v>4.9796050081425132E-2</v>
      </c>
      <c r="E144" s="3">
        <f t="shared" si="65"/>
        <v>4.9796050081425132E-2</v>
      </c>
      <c r="F144" s="3">
        <f t="shared" si="65"/>
        <v>4.9796050081425132E-2</v>
      </c>
      <c r="G144" s="3">
        <f t="shared" si="65"/>
        <v>4.9796050081425132E-2</v>
      </c>
      <c r="H144" s="3">
        <f t="shared" si="65"/>
        <v>4.9796050081425132E-2</v>
      </c>
      <c r="I144" s="3">
        <f t="shared" si="65"/>
        <v>4.9796050081425132E-2</v>
      </c>
      <c r="J144" s="3">
        <f t="shared" si="65"/>
        <v>4.9796050081425132E-2</v>
      </c>
      <c r="K144" s="3">
        <f t="shared" si="65"/>
        <v>4.9796050081425132E-2</v>
      </c>
      <c r="L144" s="3">
        <f t="shared" si="65"/>
        <v>4.9796050081425132E-2</v>
      </c>
      <c r="M144" s="3">
        <f t="shared" si="65"/>
        <v>4.9796050081425132E-2</v>
      </c>
      <c r="N144" s="3">
        <f t="shared" si="65"/>
        <v>4.9796050081425132E-2</v>
      </c>
      <c r="O144" s="3">
        <f t="shared" si="65"/>
        <v>4.9796050081425132E-2</v>
      </c>
      <c r="P144" s="3">
        <f t="shared" si="65"/>
        <v>4.9796050081425132E-2</v>
      </c>
      <c r="Q144" s="3">
        <f t="shared" si="65"/>
        <v>4.9796050081425132E-2</v>
      </c>
      <c r="R144" s="3">
        <f t="shared" si="65"/>
        <v>4.9796050081425132E-2</v>
      </c>
      <c r="S144" s="3">
        <f t="shared" si="65"/>
        <v>4.9796050081425104E-2</v>
      </c>
      <c r="T144" s="3">
        <f t="shared" si="65"/>
        <v>4.9796050081424854E-2</v>
      </c>
      <c r="U144" s="3">
        <f t="shared" si="65"/>
        <v>4.979605008142237E-2</v>
      </c>
      <c r="V144" s="3">
        <f t="shared" si="65"/>
        <v>4.9796050081397529E-2</v>
      </c>
      <c r="W144" s="3">
        <f t="shared" si="65"/>
        <v>4.9796050081149082E-2</v>
      </c>
      <c r="X144" s="3">
        <f t="shared" si="65"/>
        <v>4.9796050078664604E-2</v>
      </c>
      <c r="Y144" s="3">
        <f t="shared" si="65"/>
        <v>4.9796050053819894E-2</v>
      </c>
      <c r="Z144" s="3">
        <f t="shared" si="65"/>
        <v>4.9796049805372743E-2</v>
      </c>
      <c r="AA144" s="3">
        <f t="shared" ref="AA144" si="66">$C30*EXP(-AA$129/$A30/EXP(-$B$126))</f>
        <v>4.9796047320901357E-2</v>
      </c>
      <c r="AB144" s="3">
        <f t="shared" ref="AB144:AF153" si="67">$C30*EXP(-AB$129/$A30/EXP(-$B$126))</f>
        <v>4.9796022476194253E-2</v>
      </c>
      <c r="AC144" s="3">
        <f t="shared" si="67"/>
        <v>4.9795774029804979E-2</v>
      </c>
      <c r="AD144" s="3">
        <f t="shared" si="67"/>
        <v>4.9793289634087544E-2</v>
      </c>
      <c r="AE144" s="3">
        <f t="shared" si="67"/>
        <v>4.9768452493182548E-2</v>
      </c>
      <c r="AF144" s="3">
        <f t="shared" si="67"/>
        <v>4.9520761454436762E-2</v>
      </c>
    </row>
    <row r="145" spans="1:32" x14ac:dyDescent="0.25">
      <c r="B145" s="3">
        <f t="shared" ref="B145:Z145" si="68">$C31*EXP(-B$129/$A31/EXP(-$B$126))</f>
        <v>2.0966447401353387E-2</v>
      </c>
      <c r="C145" s="3">
        <f t="shared" si="68"/>
        <v>2.0966447401353387E-2</v>
      </c>
      <c r="D145" s="3">
        <f t="shared" si="68"/>
        <v>2.0966447401353387E-2</v>
      </c>
      <c r="E145" s="3">
        <f t="shared" si="68"/>
        <v>2.0966447401353387E-2</v>
      </c>
      <c r="F145" s="3">
        <f t="shared" si="68"/>
        <v>2.0966447401353387E-2</v>
      </c>
      <c r="G145" s="3">
        <f t="shared" si="68"/>
        <v>2.0966447401353387E-2</v>
      </c>
      <c r="H145" s="3">
        <f t="shared" si="68"/>
        <v>2.0966447401353387E-2</v>
      </c>
      <c r="I145" s="3">
        <f t="shared" si="68"/>
        <v>2.0966447401353387E-2</v>
      </c>
      <c r="J145" s="3">
        <f t="shared" si="68"/>
        <v>2.0966447401353387E-2</v>
      </c>
      <c r="K145" s="3">
        <f t="shared" si="68"/>
        <v>2.0966447401353387E-2</v>
      </c>
      <c r="L145" s="3">
        <f t="shared" si="68"/>
        <v>2.0966447401353387E-2</v>
      </c>
      <c r="M145" s="3">
        <f t="shared" si="68"/>
        <v>2.0966447401353387E-2</v>
      </c>
      <c r="N145" s="3">
        <f t="shared" si="68"/>
        <v>2.0966447401353387E-2</v>
      </c>
      <c r="O145" s="3">
        <f t="shared" si="68"/>
        <v>2.0966447401353387E-2</v>
      </c>
      <c r="P145" s="3">
        <f t="shared" si="68"/>
        <v>2.0966447401353387E-2</v>
      </c>
      <c r="Q145" s="3">
        <f t="shared" si="68"/>
        <v>2.0966447401353387E-2</v>
      </c>
      <c r="R145" s="3">
        <f t="shared" si="68"/>
        <v>2.0966447401353387E-2</v>
      </c>
      <c r="S145" s="3">
        <f t="shared" si="68"/>
        <v>2.0966447401353387E-2</v>
      </c>
      <c r="T145" s="3">
        <f t="shared" si="68"/>
        <v>2.0966447401353377E-2</v>
      </c>
      <c r="U145" s="3">
        <f t="shared" si="68"/>
        <v>2.0966447401353283E-2</v>
      </c>
      <c r="V145" s="3">
        <f t="shared" si="68"/>
        <v>2.0966447401352339E-2</v>
      </c>
      <c r="W145" s="3">
        <f t="shared" si="68"/>
        <v>2.0966447401342903E-2</v>
      </c>
      <c r="X145" s="3">
        <f t="shared" si="68"/>
        <v>2.0966447401248537E-2</v>
      </c>
      <c r="Y145" s="3">
        <f t="shared" si="68"/>
        <v>2.0966447400304889E-2</v>
      </c>
      <c r="Z145" s="3">
        <f t="shared" si="68"/>
        <v>2.0966447390868396E-2</v>
      </c>
      <c r="AA145" s="3">
        <f t="shared" ref="AA145" si="69">$C31*EXP(-AA$129/$A31/EXP(-$B$126))</f>
        <v>2.0966447296503481E-2</v>
      </c>
      <c r="AB145" s="3">
        <f t="shared" si="67"/>
        <v>2.0966446352854346E-2</v>
      </c>
      <c r="AC145" s="3">
        <f t="shared" si="67"/>
        <v>2.0966436916365322E-2</v>
      </c>
      <c r="AD145" s="3">
        <f t="shared" si="67"/>
        <v>2.0966342551708705E-2</v>
      </c>
      <c r="AE145" s="3">
        <f t="shared" si="67"/>
        <v>2.0965398928501348E-2</v>
      </c>
      <c r="AF145" s="3">
        <f t="shared" si="67"/>
        <v>2.0955965031920952E-2</v>
      </c>
    </row>
    <row r="146" spans="1:32" x14ac:dyDescent="0.25">
      <c r="B146" s="3">
        <f t="shared" ref="B146:Z146" si="70">$C32*EXP(-B$129/$A32/EXP(-$B$126))</f>
        <v>3.9443248072899657E-3</v>
      </c>
      <c r="C146" s="3">
        <f t="shared" si="70"/>
        <v>3.9443248072899657E-3</v>
      </c>
      <c r="D146" s="3">
        <f t="shared" si="70"/>
        <v>3.9443248072899657E-3</v>
      </c>
      <c r="E146" s="3">
        <f t="shared" si="70"/>
        <v>3.9443248072899657E-3</v>
      </c>
      <c r="F146" s="3">
        <f t="shared" si="70"/>
        <v>3.9443248072899657E-3</v>
      </c>
      <c r="G146" s="3">
        <f t="shared" si="70"/>
        <v>3.9443248072899657E-3</v>
      </c>
      <c r="H146" s="3">
        <f t="shared" si="70"/>
        <v>3.9443248072899657E-3</v>
      </c>
      <c r="I146" s="3">
        <f t="shared" si="70"/>
        <v>3.9443248072899657E-3</v>
      </c>
      <c r="J146" s="3">
        <f t="shared" si="70"/>
        <v>3.9443248072899657E-3</v>
      </c>
      <c r="K146" s="3">
        <f t="shared" si="70"/>
        <v>3.9443248072899657E-3</v>
      </c>
      <c r="L146" s="3">
        <f t="shared" si="70"/>
        <v>3.9443248072899657E-3</v>
      </c>
      <c r="M146" s="3">
        <f t="shared" si="70"/>
        <v>3.9443248072899657E-3</v>
      </c>
      <c r="N146" s="3">
        <f t="shared" si="70"/>
        <v>3.9443248072899657E-3</v>
      </c>
      <c r="O146" s="3">
        <f t="shared" si="70"/>
        <v>3.9443248072899657E-3</v>
      </c>
      <c r="P146" s="3">
        <f t="shared" si="70"/>
        <v>3.9443248072899657E-3</v>
      </c>
      <c r="Q146" s="3">
        <f t="shared" si="70"/>
        <v>3.9443248072899657E-3</v>
      </c>
      <c r="R146" s="3">
        <f t="shared" si="70"/>
        <v>3.9443248072899657E-3</v>
      </c>
      <c r="S146" s="3">
        <f t="shared" si="70"/>
        <v>3.9443248072899657E-3</v>
      </c>
      <c r="T146" s="3">
        <f t="shared" si="70"/>
        <v>3.9443248072899657E-3</v>
      </c>
      <c r="U146" s="3">
        <f t="shared" si="70"/>
        <v>3.944324807289964E-3</v>
      </c>
      <c r="V146" s="3">
        <f t="shared" si="70"/>
        <v>3.9443248072899475E-3</v>
      </c>
      <c r="W146" s="3">
        <f t="shared" si="70"/>
        <v>3.9443248072897879E-3</v>
      </c>
      <c r="X146" s="3">
        <f t="shared" si="70"/>
        <v>3.9443248072881867E-3</v>
      </c>
      <c r="Y146" s="3">
        <f t="shared" si="70"/>
        <v>3.9443248072721718E-3</v>
      </c>
      <c r="Z146" s="3">
        <f t="shared" si="70"/>
        <v>3.9443248071120299E-3</v>
      </c>
      <c r="AA146" s="3">
        <f t="shared" ref="AA146" si="71">$C32*EXP(-AA$129/$A32/EXP(-$B$126))</f>
        <v>3.9443248055106113E-3</v>
      </c>
      <c r="AB146" s="3">
        <f t="shared" si="67"/>
        <v>3.9443247894964213E-3</v>
      </c>
      <c r="AC146" s="3">
        <f t="shared" si="67"/>
        <v>3.9443246293545276E-3</v>
      </c>
      <c r="AD146" s="3">
        <f t="shared" si="67"/>
        <v>3.9443230279359448E-3</v>
      </c>
      <c r="AE146" s="3">
        <f t="shared" si="67"/>
        <v>3.9443070137858798E-3</v>
      </c>
      <c r="AF146" s="3">
        <f t="shared" si="67"/>
        <v>3.9441468758611856E-3</v>
      </c>
    </row>
    <row r="147" spans="1:32" x14ac:dyDescent="0.25">
      <c r="B147" s="3">
        <f t="shared" ref="B147:Z147" si="72">$C33*EXP(-B$129/$A33/EXP(-$B$126))</f>
        <v>3.51380910541953E-3</v>
      </c>
      <c r="C147" s="3">
        <f t="shared" si="72"/>
        <v>3.51380910541953E-3</v>
      </c>
      <c r="D147" s="3">
        <f t="shared" si="72"/>
        <v>3.51380910541953E-3</v>
      </c>
      <c r="E147" s="3">
        <f t="shared" si="72"/>
        <v>3.51380910541953E-3</v>
      </c>
      <c r="F147" s="3">
        <f t="shared" si="72"/>
        <v>3.51380910541953E-3</v>
      </c>
      <c r="G147" s="3">
        <f t="shared" si="72"/>
        <v>3.51380910541953E-3</v>
      </c>
      <c r="H147" s="3">
        <f t="shared" si="72"/>
        <v>3.51380910541953E-3</v>
      </c>
      <c r="I147" s="3">
        <f t="shared" si="72"/>
        <v>3.51380910541953E-3</v>
      </c>
      <c r="J147" s="3">
        <f t="shared" si="72"/>
        <v>3.51380910541953E-3</v>
      </c>
      <c r="K147" s="3">
        <f t="shared" si="72"/>
        <v>3.51380910541953E-3</v>
      </c>
      <c r="L147" s="3">
        <f t="shared" si="72"/>
        <v>3.51380910541953E-3</v>
      </c>
      <c r="M147" s="3">
        <f t="shared" si="72"/>
        <v>3.51380910541953E-3</v>
      </c>
      <c r="N147" s="3">
        <f t="shared" si="72"/>
        <v>3.51380910541953E-3</v>
      </c>
      <c r="O147" s="3">
        <f t="shared" si="72"/>
        <v>3.51380910541953E-3</v>
      </c>
      <c r="P147" s="3">
        <f t="shared" si="72"/>
        <v>3.51380910541953E-3</v>
      </c>
      <c r="Q147" s="3">
        <f t="shared" si="72"/>
        <v>3.51380910541953E-3</v>
      </c>
      <c r="R147" s="3">
        <f t="shared" si="72"/>
        <v>3.51380910541953E-3</v>
      </c>
      <c r="S147" s="3">
        <f t="shared" si="72"/>
        <v>3.51380910541953E-3</v>
      </c>
      <c r="T147" s="3">
        <f t="shared" si="72"/>
        <v>3.51380910541953E-3</v>
      </c>
      <c r="U147" s="3">
        <f t="shared" si="72"/>
        <v>3.51380910541953E-3</v>
      </c>
      <c r="V147" s="3">
        <f t="shared" si="72"/>
        <v>3.5138091054195283E-3</v>
      </c>
      <c r="W147" s="3">
        <f t="shared" si="72"/>
        <v>3.5138091054195157E-3</v>
      </c>
      <c r="X147" s="3">
        <f t="shared" si="72"/>
        <v>3.5138091054193869E-3</v>
      </c>
      <c r="Y147" s="3">
        <f t="shared" si="72"/>
        <v>3.5138091054181001E-3</v>
      </c>
      <c r="Z147" s="3">
        <f t="shared" si="72"/>
        <v>3.5138091054052307E-3</v>
      </c>
      <c r="AA147" s="3">
        <f t="shared" ref="AA147" si="73">$C33*EXP(-AA$129/$A33/EXP(-$B$126))</f>
        <v>3.5138091052765372E-3</v>
      </c>
      <c r="AB147" s="3">
        <f t="shared" si="67"/>
        <v>3.5138091039896009E-3</v>
      </c>
      <c r="AC147" s="3">
        <f t="shared" si="67"/>
        <v>3.5138090911202378E-3</v>
      </c>
      <c r="AD147" s="3">
        <f t="shared" si="67"/>
        <v>3.5138089624266091E-3</v>
      </c>
      <c r="AE147" s="3">
        <f t="shared" si="67"/>
        <v>3.5138076754905848E-3</v>
      </c>
      <c r="AF147" s="3">
        <f t="shared" si="67"/>
        <v>3.513794806156263E-3</v>
      </c>
    </row>
    <row r="148" spans="1:32" x14ac:dyDescent="0.25">
      <c r="B148" s="3">
        <f t="shared" ref="B148:Z148" si="74">$C34*EXP(-B$129/$A34/EXP(-$B$126))</f>
        <v>7.1978944921583432E-4</v>
      </c>
      <c r="C148" s="3">
        <f t="shared" si="74"/>
        <v>7.1978944921583432E-4</v>
      </c>
      <c r="D148" s="3">
        <f t="shared" si="74"/>
        <v>7.1978944921583432E-4</v>
      </c>
      <c r="E148" s="3">
        <f t="shared" si="74"/>
        <v>7.1978944921583432E-4</v>
      </c>
      <c r="F148" s="3">
        <f t="shared" si="74"/>
        <v>7.1978944921583432E-4</v>
      </c>
      <c r="G148" s="3">
        <f t="shared" si="74"/>
        <v>7.1978944921583432E-4</v>
      </c>
      <c r="H148" s="3">
        <f t="shared" si="74"/>
        <v>7.1978944921583432E-4</v>
      </c>
      <c r="I148" s="3">
        <f t="shared" si="74"/>
        <v>7.1978944921583432E-4</v>
      </c>
      <c r="J148" s="3">
        <f t="shared" si="74"/>
        <v>7.1978944921583432E-4</v>
      </c>
      <c r="K148" s="3">
        <f t="shared" si="74"/>
        <v>7.1978944921583432E-4</v>
      </c>
      <c r="L148" s="3">
        <f t="shared" si="74"/>
        <v>7.1978944921583432E-4</v>
      </c>
      <c r="M148" s="3">
        <f t="shared" si="74"/>
        <v>7.1978944921583432E-4</v>
      </c>
      <c r="N148" s="3">
        <f t="shared" si="74"/>
        <v>7.1978944921583432E-4</v>
      </c>
      <c r="O148" s="3">
        <f t="shared" si="74"/>
        <v>7.1978944921583432E-4</v>
      </c>
      <c r="P148" s="3">
        <f t="shared" si="74"/>
        <v>7.1978944921583432E-4</v>
      </c>
      <c r="Q148" s="3">
        <f t="shared" si="74"/>
        <v>7.1978944921583432E-4</v>
      </c>
      <c r="R148" s="3">
        <f t="shared" si="74"/>
        <v>7.1978944921583432E-4</v>
      </c>
      <c r="S148" s="3">
        <f t="shared" si="74"/>
        <v>7.1978944921583432E-4</v>
      </c>
      <c r="T148" s="3">
        <f t="shared" si="74"/>
        <v>7.1978944921583432E-4</v>
      </c>
      <c r="U148" s="3">
        <f t="shared" si="74"/>
        <v>7.1978944921583432E-4</v>
      </c>
      <c r="V148" s="3">
        <f t="shared" si="74"/>
        <v>7.1978944921583432E-4</v>
      </c>
      <c r="W148" s="3">
        <f t="shared" si="74"/>
        <v>7.197894492158341E-4</v>
      </c>
      <c r="X148" s="3">
        <f t="shared" si="74"/>
        <v>7.1978944921583172E-4</v>
      </c>
      <c r="Y148" s="3">
        <f t="shared" si="74"/>
        <v>7.1978944921580787E-4</v>
      </c>
      <c r="Z148" s="3">
        <f t="shared" si="74"/>
        <v>7.197894492155701E-4</v>
      </c>
      <c r="AA148" s="3">
        <f>$C34*EXP(-AA$129/$A34/EXP(-$B$126))</f>
        <v>7.1978944921319201E-4</v>
      </c>
      <c r="AB148" s="3">
        <f t="shared" si="67"/>
        <v>7.197894491894109E-4</v>
      </c>
      <c r="AC148" s="3">
        <f t="shared" si="67"/>
        <v>7.1978944895160048E-4</v>
      </c>
      <c r="AD148" s="3">
        <f t="shared" si="67"/>
        <v>7.1978944657349582E-4</v>
      </c>
      <c r="AE148" s="3">
        <f t="shared" si="67"/>
        <v>7.1978942279245001E-4</v>
      </c>
      <c r="AF148" s="3">
        <f t="shared" si="67"/>
        <v>7.1978918498203487E-4</v>
      </c>
    </row>
    <row r="149" spans="1:32" x14ac:dyDescent="0.25">
      <c r="B149" s="3">
        <f t="shared" ref="B149:Z149" si="75">$C35*EXP(-B$129/$A35/EXP(-$B$126))</f>
        <v>5.3803230598076777E-4</v>
      </c>
      <c r="C149" s="3">
        <f t="shared" si="75"/>
        <v>5.3803230598076777E-4</v>
      </c>
      <c r="D149" s="3">
        <f t="shared" si="75"/>
        <v>5.3803230598076777E-4</v>
      </c>
      <c r="E149" s="3">
        <f t="shared" si="75"/>
        <v>5.3803230598076777E-4</v>
      </c>
      <c r="F149" s="3">
        <f t="shared" si="75"/>
        <v>5.3803230598076777E-4</v>
      </c>
      <c r="G149" s="3">
        <f t="shared" si="75"/>
        <v>5.3803230598076777E-4</v>
      </c>
      <c r="H149" s="3">
        <f t="shared" si="75"/>
        <v>5.3803230598076777E-4</v>
      </c>
      <c r="I149" s="3">
        <f t="shared" si="75"/>
        <v>5.3803230598076777E-4</v>
      </c>
      <c r="J149" s="3">
        <f t="shared" si="75"/>
        <v>5.3803230598076777E-4</v>
      </c>
      <c r="K149" s="3">
        <f t="shared" si="75"/>
        <v>5.3803230598076777E-4</v>
      </c>
      <c r="L149" s="3">
        <f t="shared" si="75"/>
        <v>5.3803230598076777E-4</v>
      </c>
      <c r="M149" s="3">
        <f t="shared" si="75"/>
        <v>5.3803230598076777E-4</v>
      </c>
      <c r="N149" s="3">
        <f t="shared" si="75"/>
        <v>5.3803230598076777E-4</v>
      </c>
      <c r="O149" s="3">
        <f t="shared" si="75"/>
        <v>5.3803230598076777E-4</v>
      </c>
      <c r="P149" s="3">
        <f t="shared" si="75"/>
        <v>5.3803230598076777E-4</v>
      </c>
      <c r="Q149" s="3">
        <f t="shared" si="75"/>
        <v>5.3803230598076777E-4</v>
      </c>
      <c r="R149" s="3">
        <f t="shared" si="75"/>
        <v>5.3803230598076777E-4</v>
      </c>
      <c r="S149" s="3">
        <f t="shared" si="75"/>
        <v>5.3803230598076777E-4</v>
      </c>
      <c r="T149" s="3">
        <f t="shared" si="75"/>
        <v>5.3803230598076777E-4</v>
      </c>
      <c r="U149" s="3">
        <f t="shared" si="75"/>
        <v>5.3803230598076777E-4</v>
      </c>
      <c r="V149" s="3">
        <f t="shared" si="75"/>
        <v>5.3803230598076777E-4</v>
      </c>
      <c r="W149" s="3">
        <f t="shared" si="75"/>
        <v>5.3803230598076777E-4</v>
      </c>
      <c r="X149" s="3">
        <f t="shared" si="75"/>
        <v>5.3803230598076755E-4</v>
      </c>
      <c r="Y149" s="3">
        <f t="shared" si="75"/>
        <v>5.3803230598076593E-4</v>
      </c>
      <c r="Z149" s="3">
        <f t="shared" si="75"/>
        <v>5.3803230598074999E-4</v>
      </c>
      <c r="AA149" s="3">
        <f t="shared" ref="AA149" si="76">$C35*EXP(-AA$129/$A35/EXP(-$B$126))</f>
        <v>5.3803230598058964E-4</v>
      </c>
      <c r="AB149" s="3">
        <f t="shared" si="67"/>
        <v>5.3803230597898599E-4</v>
      </c>
      <c r="AC149" s="3">
        <f t="shared" si="67"/>
        <v>5.3803230596295064E-4</v>
      </c>
      <c r="AD149" s="3">
        <f t="shared" si="67"/>
        <v>5.3803230580259638E-4</v>
      </c>
      <c r="AE149" s="3">
        <f t="shared" si="67"/>
        <v>5.380323041990541E-4</v>
      </c>
      <c r="AF149" s="3">
        <f t="shared" si="67"/>
        <v>5.3803228816363111E-4</v>
      </c>
    </row>
    <row r="150" spans="1:32" x14ac:dyDescent="0.25">
      <c r="B150" s="3">
        <f t="shared" ref="B150:Z150" si="77">$C36*EXP(-B$129/$A36/EXP(-$B$126))</f>
        <v>5.6418757759686938E-4</v>
      </c>
      <c r="C150" s="3">
        <f t="shared" si="77"/>
        <v>5.6418757759686938E-4</v>
      </c>
      <c r="D150" s="3">
        <f t="shared" si="77"/>
        <v>5.6418757759686938E-4</v>
      </c>
      <c r="E150" s="3">
        <f t="shared" si="77"/>
        <v>5.6418757759686938E-4</v>
      </c>
      <c r="F150" s="3">
        <f t="shared" si="77"/>
        <v>5.6418757759686938E-4</v>
      </c>
      <c r="G150" s="3">
        <f t="shared" si="77"/>
        <v>5.6418757759686938E-4</v>
      </c>
      <c r="H150" s="3">
        <f t="shared" si="77"/>
        <v>5.6418757759686938E-4</v>
      </c>
      <c r="I150" s="3">
        <f t="shared" si="77"/>
        <v>5.6418757759686938E-4</v>
      </c>
      <c r="J150" s="3">
        <f t="shared" si="77"/>
        <v>5.6418757759686938E-4</v>
      </c>
      <c r="K150" s="3">
        <f t="shared" si="77"/>
        <v>5.6418757759686938E-4</v>
      </c>
      <c r="L150" s="3">
        <f t="shared" si="77"/>
        <v>5.6418757759686938E-4</v>
      </c>
      <c r="M150" s="3">
        <f t="shared" si="77"/>
        <v>5.6418757759686938E-4</v>
      </c>
      <c r="N150" s="3">
        <f t="shared" si="77"/>
        <v>5.6418757759686938E-4</v>
      </c>
      <c r="O150" s="3">
        <f t="shared" si="77"/>
        <v>5.6418757759686938E-4</v>
      </c>
      <c r="P150" s="3">
        <f t="shared" si="77"/>
        <v>5.6418757759686938E-4</v>
      </c>
      <c r="Q150" s="3">
        <f t="shared" si="77"/>
        <v>5.6418757759686938E-4</v>
      </c>
      <c r="R150" s="3">
        <f t="shared" si="77"/>
        <v>5.6418757759686938E-4</v>
      </c>
      <c r="S150" s="3">
        <f t="shared" si="77"/>
        <v>5.6418757759686938E-4</v>
      </c>
      <c r="T150" s="3">
        <f t="shared" si="77"/>
        <v>5.6418757759686938E-4</v>
      </c>
      <c r="U150" s="3">
        <f t="shared" si="77"/>
        <v>5.6418757759686938E-4</v>
      </c>
      <c r="V150" s="3">
        <f t="shared" si="77"/>
        <v>5.6418757759686938E-4</v>
      </c>
      <c r="W150" s="3">
        <f t="shared" si="77"/>
        <v>5.6418757759686938E-4</v>
      </c>
      <c r="X150" s="3">
        <f t="shared" si="77"/>
        <v>5.6418757759686938E-4</v>
      </c>
      <c r="Y150" s="3">
        <f t="shared" si="77"/>
        <v>5.6418757759686916E-4</v>
      </c>
      <c r="Z150" s="3">
        <f t="shared" si="77"/>
        <v>5.6418757759686764E-4</v>
      </c>
      <c r="AA150" s="3">
        <f t="shared" ref="AA150" si="78">$C36*EXP(-AA$129/$A36/EXP(-$B$126))</f>
        <v>5.6418757759685257E-4</v>
      </c>
      <c r="AB150" s="3">
        <f t="shared" si="67"/>
        <v>5.6418757759670079E-4</v>
      </c>
      <c r="AC150" s="3">
        <f t="shared" si="67"/>
        <v>5.6418757759518399E-4</v>
      </c>
      <c r="AD150" s="3">
        <f t="shared" si="67"/>
        <v>5.6418757758001556E-4</v>
      </c>
      <c r="AE150" s="3">
        <f t="shared" si="67"/>
        <v>5.6418757742833069E-4</v>
      </c>
      <c r="AF150" s="3">
        <f t="shared" si="67"/>
        <v>5.641875759114822E-4</v>
      </c>
    </row>
    <row r="151" spans="1:32" x14ac:dyDescent="0.25">
      <c r="B151" s="3">
        <f t="shared" ref="B151:Z151" si="79">$C37*EXP(-B$129/$A37/EXP(-$B$126))</f>
        <v>5.289794145093928E-4</v>
      </c>
      <c r="C151" s="3">
        <f t="shared" si="79"/>
        <v>5.289794145093928E-4</v>
      </c>
      <c r="D151" s="3">
        <f t="shared" si="79"/>
        <v>5.289794145093928E-4</v>
      </c>
      <c r="E151" s="3">
        <f t="shared" si="79"/>
        <v>5.289794145093928E-4</v>
      </c>
      <c r="F151" s="3">
        <f t="shared" si="79"/>
        <v>5.289794145093928E-4</v>
      </c>
      <c r="G151" s="3">
        <f t="shared" si="79"/>
        <v>5.289794145093928E-4</v>
      </c>
      <c r="H151" s="3">
        <f t="shared" si="79"/>
        <v>5.289794145093928E-4</v>
      </c>
      <c r="I151" s="3">
        <f t="shared" si="79"/>
        <v>5.289794145093928E-4</v>
      </c>
      <c r="J151" s="3">
        <f t="shared" si="79"/>
        <v>5.289794145093928E-4</v>
      </c>
      <c r="K151" s="3">
        <f t="shared" si="79"/>
        <v>5.289794145093928E-4</v>
      </c>
      <c r="L151" s="3">
        <f t="shared" si="79"/>
        <v>5.289794145093928E-4</v>
      </c>
      <c r="M151" s="3">
        <f t="shared" si="79"/>
        <v>5.289794145093928E-4</v>
      </c>
      <c r="N151" s="3">
        <f t="shared" si="79"/>
        <v>5.289794145093928E-4</v>
      </c>
      <c r="O151" s="3">
        <f t="shared" si="79"/>
        <v>5.289794145093928E-4</v>
      </c>
      <c r="P151" s="3">
        <f t="shared" si="79"/>
        <v>5.289794145093928E-4</v>
      </c>
      <c r="Q151" s="3">
        <f t="shared" si="79"/>
        <v>5.289794145093928E-4</v>
      </c>
      <c r="R151" s="3">
        <f t="shared" si="79"/>
        <v>5.289794145093928E-4</v>
      </c>
      <c r="S151" s="3">
        <f t="shared" si="79"/>
        <v>5.289794145093928E-4</v>
      </c>
      <c r="T151" s="3">
        <f t="shared" si="79"/>
        <v>5.289794145093928E-4</v>
      </c>
      <c r="U151" s="3">
        <f t="shared" si="79"/>
        <v>5.289794145093928E-4</v>
      </c>
      <c r="V151" s="3">
        <f t="shared" si="79"/>
        <v>5.289794145093928E-4</v>
      </c>
      <c r="W151" s="3">
        <f t="shared" si="79"/>
        <v>5.289794145093928E-4</v>
      </c>
      <c r="X151" s="3">
        <f t="shared" si="79"/>
        <v>5.289794145093928E-4</v>
      </c>
      <c r="Y151" s="3">
        <f t="shared" si="79"/>
        <v>5.289794145093928E-4</v>
      </c>
      <c r="Z151" s="3">
        <f t="shared" si="79"/>
        <v>5.2897941450939269E-4</v>
      </c>
      <c r="AA151" s="3">
        <f t="shared" ref="AA151" si="80">$C37*EXP(-AA$129/$A37/EXP(-$B$126))</f>
        <v>5.2897941450939139E-4</v>
      </c>
      <c r="AB151" s="3">
        <f t="shared" si="67"/>
        <v>5.2897941450937849E-4</v>
      </c>
      <c r="AC151" s="3">
        <f t="shared" si="67"/>
        <v>5.2897941450925023E-4</v>
      </c>
      <c r="AD151" s="3">
        <f t="shared" si="67"/>
        <v>5.2897941450796729E-4</v>
      </c>
      <c r="AE151" s="3">
        <f t="shared" si="67"/>
        <v>5.2897941449513792E-4</v>
      </c>
      <c r="AF151" s="3">
        <f t="shared" si="67"/>
        <v>5.2897941436684472E-4</v>
      </c>
    </row>
    <row r="152" spans="1:32" x14ac:dyDescent="0.25">
      <c r="B152" s="3">
        <f t="shared" ref="B152:Z152" si="81">$C38*EXP(-B$129/$A38/EXP(-$B$126))</f>
        <v>5.3547450135887617E-5</v>
      </c>
      <c r="C152" s="3">
        <f t="shared" si="81"/>
        <v>5.3547450135887617E-5</v>
      </c>
      <c r="D152" s="3">
        <f t="shared" si="81"/>
        <v>5.3547450135887617E-5</v>
      </c>
      <c r="E152" s="3">
        <f t="shared" si="81"/>
        <v>5.3547450135887617E-5</v>
      </c>
      <c r="F152" s="3">
        <f t="shared" si="81"/>
        <v>5.3547450135887617E-5</v>
      </c>
      <c r="G152" s="3">
        <f t="shared" si="81"/>
        <v>5.3547450135887617E-5</v>
      </c>
      <c r="H152" s="3">
        <f t="shared" si="81"/>
        <v>5.3547450135887617E-5</v>
      </c>
      <c r="I152" s="3">
        <f t="shared" si="81"/>
        <v>5.3547450135887617E-5</v>
      </c>
      <c r="J152" s="3">
        <f t="shared" si="81"/>
        <v>5.3547450135887617E-5</v>
      </c>
      <c r="K152" s="3">
        <f t="shared" si="81"/>
        <v>5.3547450135887617E-5</v>
      </c>
      <c r="L152" s="3">
        <f t="shared" si="81"/>
        <v>5.3547450135887617E-5</v>
      </c>
      <c r="M152" s="3">
        <f t="shared" si="81"/>
        <v>5.3547450135887617E-5</v>
      </c>
      <c r="N152" s="3">
        <f t="shared" si="81"/>
        <v>5.3547450135887617E-5</v>
      </c>
      <c r="O152" s="3">
        <f t="shared" si="81"/>
        <v>5.3547450135887617E-5</v>
      </c>
      <c r="P152" s="3">
        <f t="shared" si="81"/>
        <v>5.3547450135887617E-5</v>
      </c>
      <c r="Q152" s="3">
        <f t="shared" si="81"/>
        <v>5.3547450135887617E-5</v>
      </c>
      <c r="R152" s="3">
        <f t="shared" si="81"/>
        <v>5.3547450135887617E-5</v>
      </c>
      <c r="S152" s="3">
        <f t="shared" si="81"/>
        <v>5.3547450135887617E-5</v>
      </c>
      <c r="T152" s="3">
        <f t="shared" si="81"/>
        <v>5.3547450135887617E-5</v>
      </c>
      <c r="U152" s="3">
        <f t="shared" si="81"/>
        <v>5.3547450135887617E-5</v>
      </c>
      <c r="V152" s="3">
        <f t="shared" si="81"/>
        <v>5.3547450135887617E-5</v>
      </c>
      <c r="W152" s="3">
        <f t="shared" si="81"/>
        <v>5.3547450135887617E-5</v>
      </c>
      <c r="X152" s="3">
        <f t="shared" si="81"/>
        <v>5.3547450135887617E-5</v>
      </c>
      <c r="Y152" s="3">
        <f t="shared" si="81"/>
        <v>5.3547450135887617E-5</v>
      </c>
      <c r="Z152" s="3">
        <f t="shared" si="81"/>
        <v>5.3547450135887617E-5</v>
      </c>
      <c r="AA152" s="3">
        <f t="shared" ref="AA152" si="82">$C38*EXP(-AA$129/$A38/EXP(-$B$126))</f>
        <v>5.3547450135887604E-5</v>
      </c>
      <c r="AB152" s="3">
        <f t="shared" si="67"/>
        <v>5.3547450135887488E-5</v>
      </c>
      <c r="AC152" s="3">
        <f t="shared" si="67"/>
        <v>5.3547450135886316E-5</v>
      </c>
      <c r="AD152" s="3">
        <f t="shared" si="67"/>
        <v>5.35474501358746E-5</v>
      </c>
      <c r="AE152" s="3">
        <f t="shared" si="67"/>
        <v>5.3547450135757445E-5</v>
      </c>
      <c r="AF152" s="3">
        <f t="shared" si="67"/>
        <v>5.3547450134585924E-5</v>
      </c>
    </row>
    <row r="153" spans="1:32" x14ac:dyDescent="0.25">
      <c r="B153" s="3">
        <f t="shared" ref="B153:Z153" si="83">$C39*EXP(-B$129/$A39/EXP(-$B$126))</f>
        <v>4.4495454548071421E-4</v>
      </c>
      <c r="C153" s="3">
        <f t="shared" si="83"/>
        <v>4.4495454548071421E-4</v>
      </c>
      <c r="D153" s="3">
        <f t="shared" si="83"/>
        <v>4.4495454548071421E-4</v>
      </c>
      <c r="E153" s="3">
        <f t="shared" si="83"/>
        <v>4.4495454548071421E-4</v>
      </c>
      <c r="F153" s="3">
        <f t="shared" si="83"/>
        <v>4.4495454548071421E-4</v>
      </c>
      <c r="G153" s="3">
        <f t="shared" si="83"/>
        <v>4.4495454548071421E-4</v>
      </c>
      <c r="H153" s="3">
        <f t="shared" si="83"/>
        <v>4.4495454548071421E-4</v>
      </c>
      <c r="I153" s="3">
        <f t="shared" si="83"/>
        <v>4.4495454548071421E-4</v>
      </c>
      <c r="J153" s="3">
        <f t="shared" si="83"/>
        <v>4.4495454548071421E-4</v>
      </c>
      <c r="K153" s="3">
        <f t="shared" si="83"/>
        <v>4.4495454548071421E-4</v>
      </c>
      <c r="L153" s="3">
        <f t="shared" si="83"/>
        <v>4.4495454548071421E-4</v>
      </c>
      <c r="M153" s="3">
        <f t="shared" si="83"/>
        <v>4.4495454548071421E-4</v>
      </c>
      <c r="N153" s="3">
        <f t="shared" si="83"/>
        <v>4.4495454548071421E-4</v>
      </c>
      <c r="O153" s="3">
        <f t="shared" si="83"/>
        <v>4.4495454548071421E-4</v>
      </c>
      <c r="P153" s="3">
        <f t="shared" si="83"/>
        <v>4.4495454548071421E-4</v>
      </c>
      <c r="Q153" s="3">
        <f t="shared" si="83"/>
        <v>4.4495454548071421E-4</v>
      </c>
      <c r="R153" s="3">
        <f t="shared" si="83"/>
        <v>4.4495454548071421E-4</v>
      </c>
      <c r="S153" s="3">
        <f t="shared" si="83"/>
        <v>4.4495454548071421E-4</v>
      </c>
      <c r="T153" s="3">
        <f t="shared" si="83"/>
        <v>4.4495454548071421E-4</v>
      </c>
      <c r="U153" s="3">
        <f t="shared" si="83"/>
        <v>4.4495454548071421E-4</v>
      </c>
      <c r="V153" s="3">
        <f t="shared" si="83"/>
        <v>4.4495454548071421E-4</v>
      </c>
      <c r="W153" s="3">
        <f t="shared" si="83"/>
        <v>4.4495454548071421E-4</v>
      </c>
      <c r="X153" s="3">
        <f t="shared" si="83"/>
        <v>4.4495454548071421E-4</v>
      </c>
      <c r="Y153" s="3">
        <f t="shared" si="83"/>
        <v>4.4495454548071421E-4</v>
      </c>
      <c r="Z153" s="3">
        <f t="shared" si="83"/>
        <v>4.4495454548071421E-4</v>
      </c>
      <c r="AA153" s="3">
        <f t="shared" ref="AA153" si="84">$C39*EXP(-AA$129/$A39/EXP(-$B$126))</f>
        <v>4.4495454548071416E-4</v>
      </c>
      <c r="AB153" s="3">
        <f t="shared" si="67"/>
        <v>4.4495454548071394E-4</v>
      </c>
      <c r="AC153" s="3">
        <f t="shared" si="67"/>
        <v>4.4495454548071117E-4</v>
      </c>
      <c r="AD153" s="3">
        <f t="shared" si="67"/>
        <v>4.4495454548068429E-4</v>
      </c>
      <c r="AE153" s="3">
        <f t="shared" si="67"/>
        <v>4.4495454548041502E-4</v>
      </c>
      <c r="AF153" s="3">
        <f t="shared" si="67"/>
        <v>4.4495454547772262E-4</v>
      </c>
    </row>
    <row r="154" spans="1:32" x14ac:dyDescent="0.25">
      <c r="B154" s="3">
        <f t="shared" ref="B154:Z154" si="85">$C40*EXP(-B$129/$A40/EXP(-$B$126))</f>
        <v>1.5289773047840316E-5</v>
      </c>
      <c r="C154" s="3">
        <f t="shared" si="85"/>
        <v>1.5289773047840316E-5</v>
      </c>
      <c r="D154" s="3">
        <f t="shared" si="85"/>
        <v>1.5289773047840316E-5</v>
      </c>
      <c r="E154" s="3">
        <f t="shared" si="85"/>
        <v>1.5289773047840316E-5</v>
      </c>
      <c r="F154" s="3">
        <f t="shared" si="85"/>
        <v>1.5289773047840316E-5</v>
      </c>
      <c r="G154" s="3">
        <f t="shared" si="85"/>
        <v>1.5289773047840316E-5</v>
      </c>
      <c r="H154" s="3">
        <f t="shared" si="85"/>
        <v>1.5289773047840316E-5</v>
      </c>
      <c r="I154" s="3">
        <f t="shared" si="85"/>
        <v>1.5289773047840316E-5</v>
      </c>
      <c r="J154" s="3">
        <f t="shared" si="85"/>
        <v>1.5289773047840316E-5</v>
      </c>
      <c r="K154" s="3">
        <f t="shared" si="85"/>
        <v>1.5289773047840316E-5</v>
      </c>
      <c r="L154" s="3">
        <f t="shared" si="85"/>
        <v>1.5289773047840316E-5</v>
      </c>
      <c r="M154" s="3">
        <f t="shared" si="85"/>
        <v>1.5289773047840316E-5</v>
      </c>
      <c r="N154" s="3">
        <f t="shared" si="85"/>
        <v>1.5289773047840316E-5</v>
      </c>
      <c r="O154" s="3">
        <f t="shared" si="85"/>
        <v>1.5289773047840316E-5</v>
      </c>
      <c r="P154" s="3">
        <f t="shared" si="85"/>
        <v>1.5289773047840316E-5</v>
      </c>
      <c r="Q154" s="3">
        <f t="shared" si="85"/>
        <v>1.5289773047840316E-5</v>
      </c>
      <c r="R154" s="3">
        <f t="shared" si="85"/>
        <v>1.5289773047840316E-5</v>
      </c>
      <c r="S154" s="3">
        <f t="shared" si="85"/>
        <v>1.5289773047840316E-5</v>
      </c>
      <c r="T154" s="3">
        <f t="shared" si="85"/>
        <v>1.5289773047840316E-5</v>
      </c>
      <c r="U154" s="3">
        <f t="shared" si="85"/>
        <v>1.5289773047840316E-5</v>
      </c>
      <c r="V154" s="3">
        <f t="shared" si="85"/>
        <v>1.5289773047840316E-5</v>
      </c>
      <c r="W154" s="3">
        <f t="shared" si="85"/>
        <v>1.5289773047840316E-5</v>
      </c>
      <c r="X154" s="3">
        <f t="shared" si="85"/>
        <v>1.5289773047840316E-5</v>
      </c>
      <c r="Y154" s="3">
        <f t="shared" si="85"/>
        <v>1.5289773047840316E-5</v>
      </c>
      <c r="Z154" s="3">
        <f t="shared" si="85"/>
        <v>1.5289773047840316E-5</v>
      </c>
      <c r="AA154" s="3">
        <f t="shared" ref="AA154:AF154" si="86">$C40*EXP(-AA$129/$A40/EXP(-$B$126))</f>
        <v>1.5289773047840316E-5</v>
      </c>
      <c r="AB154" s="3">
        <f t="shared" si="86"/>
        <v>1.5289773047840312E-5</v>
      </c>
      <c r="AC154" s="3">
        <f t="shared" si="86"/>
        <v>1.5289773047840306E-5</v>
      </c>
      <c r="AD154" s="3">
        <f t="shared" si="86"/>
        <v>1.5289773047840211E-5</v>
      </c>
      <c r="AE154" s="3">
        <f t="shared" si="86"/>
        <v>1.5289773047839286E-5</v>
      </c>
      <c r="AF154" s="3">
        <f t="shared" si="86"/>
        <v>1.5289773047830036E-5</v>
      </c>
    </row>
    <row r="155" spans="1:32" x14ac:dyDescent="0.25">
      <c r="B155" s="3">
        <f t="shared" ref="B155:Z155" si="87">$C41*EXP(-B$129/$A41/EXP(-$B$126))</f>
        <v>2.5082649304706281E-4</v>
      </c>
      <c r="C155" s="3">
        <f t="shared" si="87"/>
        <v>2.5082649304706281E-4</v>
      </c>
      <c r="D155" s="3">
        <f t="shared" si="87"/>
        <v>2.5082649304706281E-4</v>
      </c>
      <c r="E155" s="3">
        <f t="shared" si="87"/>
        <v>2.5082649304706281E-4</v>
      </c>
      <c r="F155" s="3">
        <f t="shared" si="87"/>
        <v>2.5082649304706281E-4</v>
      </c>
      <c r="G155" s="3">
        <f t="shared" si="87"/>
        <v>2.5082649304706281E-4</v>
      </c>
      <c r="H155" s="3">
        <f t="shared" si="87"/>
        <v>2.5082649304706281E-4</v>
      </c>
      <c r="I155" s="3">
        <f t="shared" si="87"/>
        <v>2.5082649304706281E-4</v>
      </c>
      <c r="J155" s="3">
        <f t="shared" si="87"/>
        <v>2.5082649304706281E-4</v>
      </c>
      <c r="K155" s="3">
        <f t="shared" si="87"/>
        <v>2.5082649304706281E-4</v>
      </c>
      <c r="L155" s="3">
        <f t="shared" si="87"/>
        <v>2.5082649304706281E-4</v>
      </c>
      <c r="M155" s="3">
        <f t="shared" si="87"/>
        <v>2.5082649304706281E-4</v>
      </c>
      <c r="N155" s="3">
        <f t="shared" si="87"/>
        <v>2.5082649304706281E-4</v>
      </c>
      <c r="O155" s="3">
        <f t="shared" si="87"/>
        <v>2.5082649304706281E-4</v>
      </c>
      <c r="P155" s="3">
        <f t="shared" si="87"/>
        <v>2.5082649304706281E-4</v>
      </c>
      <c r="Q155" s="3">
        <f t="shared" si="87"/>
        <v>2.5082649304706281E-4</v>
      </c>
      <c r="R155" s="3">
        <f t="shared" si="87"/>
        <v>2.5082649304706281E-4</v>
      </c>
      <c r="S155" s="3">
        <f t="shared" si="87"/>
        <v>2.5082649304706281E-4</v>
      </c>
      <c r="T155" s="3">
        <f t="shared" si="87"/>
        <v>2.5082649304706281E-4</v>
      </c>
      <c r="U155" s="3">
        <f t="shared" si="87"/>
        <v>2.5082649304706281E-4</v>
      </c>
      <c r="V155" s="3">
        <f t="shared" si="87"/>
        <v>2.5082649304706281E-4</v>
      </c>
      <c r="W155" s="3">
        <f t="shared" si="87"/>
        <v>2.5082649304706281E-4</v>
      </c>
      <c r="X155" s="3">
        <f t="shared" si="87"/>
        <v>2.5082649304706281E-4</v>
      </c>
      <c r="Y155" s="3">
        <f t="shared" si="87"/>
        <v>2.5082649304706281E-4</v>
      </c>
      <c r="Z155" s="3">
        <f t="shared" si="87"/>
        <v>2.5082649304706281E-4</v>
      </c>
      <c r="AA155" s="3">
        <f t="shared" ref="AA155:AF155" si="88">$C41*EXP(-AA$129/$A41/EXP(-$B$126))</f>
        <v>2.5082649304706281E-4</v>
      </c>
      <c r="AB155" s="3">
        <f t="shared" si="88"/>
        <v>2.5082649304706281E-4</v>
      </c>
      <c r="AC155" s="3">
        <f t="shared" si="88"/>
        <v>2.5082649304706276E-4</v>
      </c>
      <c r="AD155" s="3">
        <f t="shared" si="88"/>
        <v>2.5082649304706265E-4</v>
      </c>
      <c r="AE155" s="3">
        <f t="shared" si="88"/>
        <v>2.5082649304706113E-4</v>
      </c>
      <c r="AF155" s="3">
        <f t="shared" si="88"/>
        <v>2.5082649304704595E-4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5.6673676320409674E-5</v>
      </c>
      <c r="C157" s="3">
        <f t="shared" si="91"/>
        <v>5.6673676320409674E-5</v>
      </c>
      <c r="D157" s="3">
        <f t="shared" si="91"/>
        <v>5.6673676320409674E-5</v>
      </c>
      <c r="E157" s="3">
        <f t="shared" si="91"/>
        <v>5.6673676320409674E-5</v>
      </c>
      <c r="F157" s="3">
        <f t="shared" si="91"/>
        <v>5.6673676320409674E-5</v>
      </c>
      <c r="G157" s="3">
        <f t="shared" si="91"/>
        <v>5.6673676320409674E-5</v>
      </c>
      <c r="H157" s="3">
        <f t="shared" si="91"/>
        <v>5.6673676320409674E-5</v>
      </c>
      <c r="I157" s="3">
        <f t="shared" si="91"/>
        <v>5.6673676320409674E-5</v>
      </c>
      <c r="J157" s="3">
        <f t="shared" si="91"/>
        <v>5.6673676320409674E-5</v>
      </c>
      <c r="K157" s="3">
        <f t="shared" si="91"/>
        <v>5.6673676320409674E-5</v>
      </c>
      <c r="L157" s="3">
        <f t="shared" si="91"/>
        <v>5.6673676320409674E-5</v>
      </c>
      <c r="M157" s="3">
        <f t="shared" si="91"/>
        <v>5.6673676320409674E-5</v>
      </c>
      <c r="N157" s="3">
        <f t="shared" si="91"/>
        <v>5.6673676320409674E-5</v>
      </c>
      <c r="O157" s="3">
        <f t="shared" si="91"/>
        <v>5.6673676320409674E-5</v>
      </c>
      <c r="P157" s="3">
        <f t="shared" si="91"/>
        <v>5.6673676320409674E-5</v>
      </c>
      <c r="Q157" s="3">
        <f t="shared" si="91"/>
        <v>5.6673676320409674E-5</v>
      </c>
      <c r="R157" s="3">
        <f t="shared" si="91"/>
        <v>5.6673676320409674E-5</v>
      </c>
      <c r="S157" s="3">
        <f t="shared" si="91"/>
        <v>5.6673676320409674E-5</v>
      </c>
      <c r="T157" s="3">
        <f t="shared" si="91"/>
        <v>5.6673676320409674E-5</v>
      </c>
      <c r="U157" s="3">
        <f t="shared" si="91"/>
        <v>5.6673676320409674E-5</v>
      </c>
      <c r="V157" s="3">
        <f t="shared" si="91"/>
        <v>5.6673676320409674E-5</v>
      </c>
      <c r="W157" s="3">
        <f t="shared" si="91"/>
        <v>5.6673676320409674E-5</v>
      </c>
      <c r="X157" s="3">
        <f t="shared" si="91"/>
        <v>5.6673676320409674E-5</v>
      </c>
      <c r="Y157" s="3">
        <f t="shared" si="91"/>
        <v>5.6673676320409674E-5</v>
      </c>
      <c r="Z157" s="3">
        <f t="shared" si="91"/>
        <v>5.6673676320409674E-5</v>
      </c>
      <c r="AA157" s="3">
        <f t="shared" ref="AA157:AF157" si="92">$C43*EXP(-AA$129/$A43/EXP(-$B$126))</f>
        <v>5.6673676320409674E-5</v>
      </c>
      <c r="AB157" s="3">
        <f t="shared" si="92"/>
        <v>5.6673676320409674E-5</v>
      </c>
      <c r="AC157" s="3">
        <f t="shared" si="92"/>
        <v>5.6673676320409674E-5</v>
      </c>
      <c r="AD157" s="3">
        <f t="shared" si="92"/>
        <v>5.6673676320409674E-5</v>
      </c>
      <c r="AE157" s="3">
        <f t="shared" si="92"/>
        <v>5.6673676320409667E-5</v>
      </c>
      <c r="AF157" s="3">
        <f t="shared" si="92"/>
        <v>5.6673676320409633E-5</v>
      </c>
    </row>
    <row r="158" spans="1:32" x14ac:dyDescent="0.25">
      <c r="B158" s="3">
        <f t="shared" ref="B158:Z158" si="93">$C44*EXP(-B$129/$A44/EXP(-$B$126))</f>
        <v>1.228688753482083E-4</v>
      </c>
      <c r="C158" s="3">
        <f t="shared" si="93"/>
        <v>1.228688753482083E-4</v>
      </c>
      <c r="D158" s="3">
        <f t="shared" si="93"/>
        <v>1.228688753482083E-4</v>
      </c>
      <c r="E158" s="3">
        <f t="shared" si="93"/>
        <v>1.228688753482083E-4</v>
      </c>
      <c r="F158" s="3">
        <f t="shared" si="93"/>
        <v>1.228688753482083E-4</v>
      </c>
      <c r="G158" s="3">
        <f t="shared" si="93"/>
        <v>1.228688753482083E-4</v>
      </c>
      <c r="H158" s="3">
        <f t="shared" si="93"/>
        <v>1.228688753482083E-4</v>
      </c>
      <c r="I158" s="3">
        <f t="shared" si="93"/>
        <v>1.228688753482083E-4</v>
      </c>
      <c r="J158" s="3">
        <f t="shared" si="93"/>
        <v>1.228688753482083E-4</v>
      </c>
      <c r="K158" s="3">
        <f t="shared" si="93"/>
        <v>1.228688753482083E-4</v>
      </c>
      <c r="L158" s="3">
        <f t="shared" si="93"/>
        <v>1.228688753482083E-4</v>
      </c>
      <c r="M158" s="3">
        <f t="shared" si="93"/>
        <v>1.228688753482083E-4</v>
      </c>
      <c r="N158" s="3">
        <f t="shared" si="93"/>
        <v>1.228688753482083E-4</v>
      </c>
      <c r="O158" s="3">
        <f t="shared" si="93"/>
        <v>1.228688753482083E-4</v>
      </c>
      <c r="P158" s="3">
        <f t="shared" si="93"/>
        <v>1.228688753482083E-4</v>
      </c>
      <c r="Q158" s="3">
        <f t="shared" si="93"/>
        <v>1.228688753482083E-4</v>
      </c>
      <c r="R158" s="3">
        <f t="shared" si="93"/>
        <v>1.228688753482083E-4</v>
      </c>
      <c r="S158" s="3">
        <f t="shared" si="93"/>
        <v>1.228688753482083E-4</v>
      </c>
      <c r="T158" s="3">
        <f t="shared" si="93"/>
        <v>1.228688753482083E-4</v>
      </c>
      <c r="U158" s="3">
        <f t="shared" si="93"/>
        <v>1.228688753482083E-4</v>
      </c>
      <c r="V158" s="3">
        <f t="shared" si="93"/>
        <v>1.228688753482083E-4</v>
      </c>
      <c r="W158" s="3">
        <f t="shared" si="93"/>
        <v>1.228688753482083E-4</v>
      </c>
      <c r="X158" s="3">
        <f t="shared" si="93"/>
        <v>1.228688753482083E-4</v>
      </c>
      <c r="Y158" s="3">
        <f t="shared" si="93"/>
        <v>1.228688753482083E-4</v>
      </c>
      <c r="Z158" s="3">
        <f t="shared" si="93"/>
        <v>1.228688753482083E-4</v>
      </c>
      <c r="AA158" s="3">
        <f t="shared" ref="AA158:AF158" si="94">$C44*EXP(-AA$129/$A44/EXP(-$B$126))</f>
        <v>1.228688753482083E-4</v>
      </c>
      <c r="AB158" s="3">
        <f t="shared" si="94"/>
        <v>1.228688753482083E-4</v>
      </c>
      <c r="AC158" s="3">
        <f t="shared" si="94"/>
        <v>1.228688753482083E-4</v>
      </c>
      <c r="AD158" s="3">
        <f t="shared" si="94"/>
        <v>1.228688753482083E-4</v>
      </c>
      <c r="AE158" s="3">
        <f t="shared" si="94"/>
        <v>1.228688753482083E-4</v>
      </c>
      <c r="AF158" s="3">
        <f t="shared" si="94"/>
        <v>1.2286887534820827E-4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1.663721654170598E-4</v>
      </c>
      <c r="C162" s="3">
        <f t="shared" si="101"/>
        <v>1.663721654170598E-4</v>
      </c>
      <c r="D162" s="3">
        <f t="shared" si="101"/>
        <v>1.663721654170598E-4</v>
      </c>
      <c r="E162" s="3">
        <f t="shared" si="101"/>
        <v>1.663721654170598E-4</v>
      </c>
      <c r="F162" s="3">
        <f t="shared" si="101"/>
        <v>1.663721654170598E-4</v>
      </c>
      <c r="G162" s="3">
        <f t="shared" si="101"/>
        <v>1.663721654170598E-4</v>
      </c>
      <c r="H162" s="3">
        <f t="shared" si="101"/>
        <v>1.663721654170598E-4</v>
      </c>
      <c r="I162" s="3">
        <f t="shared" si="101"/>
        <v>1.663721654170598E-4</v>
      </c>
      <c r="J162" s="3">
        <f t="shared" si="101"/>
        <v>1.663721654170598E-4</v>
      </c>
      <c r="K162" s="3">
        <f t="shared" si="101"/>
        <v>1.663721654170598E-4</v>
      </c>
      <c r="L162" s="3">
        <f t="shared" si="101"/>
        <v>1.663721654170598E-4</v>
      </c>
      <c r="M162" s="3">
        <f t="shared" si="101"/>
        <v>1.663721654170598E-4</v>
      </c>
      <c r="N162" s="3">
        <f t="shared" si="101"/>
        <v>1.663721654170598E-4</v>
      </c>
      <c r="O162" s="3">
        <f t="shared" si="101"/>
        <v>1.663721654170598E-4</v>
      </c>
      <c r="P162" s="3">
        <f t="shared" si="101"/>
        <v>1.663721654170598E-4</v>
      </c>
      <c r="Q162" s="3">
        <f t="shared" si="101"/>
        <v>1.663721654170598E-4</v>
      </c>
      <c r="R162" s="3">
        <f t="shared" si="101"/>
        <v>1.663721654170598E-4</v>
      </c>
      <c r="S162" s="3">
        <f t="shared" si="101"/>
        <v>1.663721654170598E-4</v>
      </c>
      <c r="T162" s="3">
        <f t="shared" si="101"/>
        <v>1.663721654170598E-4</v>
      </c>
      <c r="U162" s="3">
        <f t="shared" si="101"/>
        <v>1.663721654170598E-4</v>
      </c>
      <c r="V162" s="3">
        <f t="shared" si="101"/>
        <v>1.663721654170598E-4</v>
      </c>
      <c r="W162" s="3">
        <f t="shared" si="101"/>
        <v>1.663721654170598E-4</v>
      </c>
      <c r="X162" s="3">
        <f t="shared" si="101"/>
        <v>1.663721654170598E-4</v>
      </c>
      <c r="Y162" s="3">
        <f t="shared" si="101"/>
        <v>1.663721654170598E-4</v>
      </c>
      <c r="Z162" s="3">
        <f t="shared" si="101"/>
        <v>1.663721654170598E-4</v>
      </c>
      <c r="AA162" s="3">
        <f t="shared" ref="AA162:AF162" si="102">$C48*EXP(-AA$129/$A48/EXP(-$B$126))</f>
        <v>1.663721654170598E-4</v>
      </c>
      <c r="AB162" s="3">
        <f t="shared" si="102"/>
        <v>1.663721654170598E-4</v>
      </c>
      <c r="AC162" s="3">
        <f t="shared" si="102"/>
        <v>1.663721654170598E-4</v>
      </c>
      <c r="AD162" s="3">
        <f t="shared" si="102"/>
        <v>1.663721654170598E-4</v>
      </c>
      <c r="AE162" s="3">
        <f t="shared" si="102"/>
        <v>1.663721654170598E-4</v>
      </c>
      <c r="AF162" s="3">
        <f t="shared" si="102"/>
        <v>1.663721654170598E-4</v>
      </c>
    </row>
    <row r="163" spans="1:34" x14ac:dyDescent="0.25">
      <c r="A163" s="79">
        <f>AVERAGE(B163:AF163)</f>
        <v>2.0366575577080014E-2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7.6215510305592182E-3</v>
      </c>
      <c r="M163" s="80">
        <f t="shared" si="103"/>
        <v>7.6876580011266274E-3</v>
      </c>
      <c r="N163" s="80">
        <f t="shared" si="103"/>
        <v>8.3468627880958438E-3</v>
      </c>
      <c r="O163" s="80">
        <f t="shared" si="103"/>
        <v>1.4723764225922744E-2</v>
      </c>
      <c r="P163" s="80">
        <f t="shared" si="103"/>
        <v>6.1131647331774404E-2</v>
      </c>
      <c r="Q163" s="80">
        <f t="shared" si="103"/>
        <v>0.11673288783311336</v>
      </c>
      <c r="R163" s="80">
        <f t="shared" si="103"/>
        <v>0.11591148774439437</v>
      </c>
      <c r="S163" s="80">
        <f t="shared" si="103"/>
        <v>0.10817629391992005</v>
      </c>
      <c r="T163" s="80">
        <f t="shared" si="103"/>
        <v>8.7204066863234161E-2</v>
      </c>
      <c r="U163" s="80">
        <f t="shared" si="103"/>
        <v>6.4682157533690693E-2</v>
      </c>
      <c r="V163" s="80">
        <f t="shared" si="103"/>
        <v>3.9145465617649026E-2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2505.0037988589229</v>
      </c>
      <c r="C164" s="21">
        <f t="shared" ref="C164:AF164" si="104">(C131-C130)^2</f>
        <v>2510.6162890911023</v>
      </c>
      <c r="D164" s="21">
        <f t="shared" si="104"/>
        <v>2507.18718777101</v>
      </c>
      <c r="E164" s="21">
        <f t="shared" si="104"/>
        <v>2506.1584271755187</v>
      </c>
      <c r="F164" s="21">
        <f t="shared" si="104"/>
        <v>2505.8394602264984</v>
      </c>
      <c r="G164" s="21">
        <f t="shared" si="104"/>
        <v>2505.7331845905633</v>
      </c>
      <c r="H164" s="21">
        <f t="shared" si="104"/>
        <v>2505.6990050575846</v>
      </c>
      <c r="I164" s="21">
        <f t="shared" si="104"/>
        <v>2505.6984152971067</v>
      </c>
      <c r="J164" s="21">
        <f t="shared" si="104"/>
        <v>2505.7419677705784</v>
      </c>
      <c r="K164" s="21">
        <f t="shared" si="104"/>
        <v>2506.1775118725009</v>
      </c>
      <c r="L164" s="21">
        <f t="shared" si="104"/>
        <v>2510.5324146551116</v>
      </c>
      <c r="M164" s="21">
        <f t="shared" si="104"/>
        <v>2554.2722377228238</v>
      </c>
      <c r="N164" s="21">
        <f t="shared" si="104"/>
        <v>3011.1025986788354</v>
      </c>
      <c r="O164" s="21">
        <f t="shared" si="104"/>
        <v>9369.485669446578</v>
      </c>
      <c r="P164" s="21">
        <f t="shared" si="104"/>
        <v>161510.44173731259</v>
      </c>
      <c r="Q164" s="21">
        <f t="shared" si="104"/>
        <v>588788.04910237831</v>
      </c>
      <c r="R164" s="21">
        <f t="shared" si="104"/>
        <v>579278.87257391261</v>
      </c>
      <c r="S164" s="21">
        <f t="shared" si="104"/>
        <v>495817.29678461509</v>
      </c>
      <c r="T164" s="21">
        <f t="shared" si="104"/>
        <v>307492.43536002783</v>
      </c>
      <c r="U164" s="21">
        <f t="shared" si="104"/>
        <v>160729.41434424368</v>
      </c>
      <c r="V164" s="21">
        <f t="shared" si="104"/>
        <v>54527.471746166593</v>
      </c>
      <c r="W164" s="21">
        <f t="shared" si="104"/>
        <v>24174.383231124935</v>
      </c>
      <c r="X164" s="21">
        <f t="shared" si="104"/>
        <v>6034.2564492918973</v>
      </c>
      <c r="Y164" s="21">
        <f t="shared" si="104"/>
        <v>85161.378147215961</v>
      </c>
      <c r="Z164" s="21">
        <f t="shared" si="104"/>
        <v>180387.58345879696</v>
      </c>
      <c r="AA164" s="21">
        <f t="shared" si="104"/>
        <v>217791.48782162307</v>
      </c>
      <c r="AB164" s="21">
        <f t="shared" si="104"/>
        <v>189238.11620180841</v>
      </c>
      <c r="AC164" s="21">
        <f t="shared" si="104"/>
        <v>81669.06810924047</v>
      </c>
      <c r="AD164" s="21">
        <f t="shared" si="104"/>
        <v>5501.4502096698779</v>
      </c>
      <c r="AE164" s="21">
        <f t="shared" si="104"/>
        <v>29920.551544408834</v>
      </c>
      <c r="AF164" s="21">
        <f t="shared" si="104"/>
        <v>190111.25653266747</v>
      </c>
    </row>
    <row r="165" spans="1:34" x14ac:dyDescent="0.25">
      <c r="A165" s="71">
        <f>SUM(B165:AF165)</f>
        <v>2365589.3745691604</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2510.5324146551116</v>
      </c>
      <c r="M165" s="60">
        <f t="shared" si="105"/>
        <v>2554.2722377228238</v>
      </c>
      <c r="N165" s="60">
        <f t="shared" si="105"/>
        <v>3011.1025986788354</v>
      </c>
      <c r="O165" s="60">
        <f t="shared" si="105"/>
        <v>9369.485669446578</v>
      </c>
      <c r="P165" s="60">
        <f t="shared" si="105"/>
        <v>161510.44173731259</v>
      </c>
      <c r="Q165" s="60">
        <f t="shared" si="105"/>
        <v>588788.04910237831</v>
      </c>
      <c r="R165" s="60">
        <f t="shared" si="105"/>
        <v>579278.87257391261</v>
      </c>
      <c r="S165" s="60">
        <f t="shared" si="105"/>
        <v>495817.29678461509</v>
      </c>
      <c r="T165" s="60">
        <f t="shared" si="105"/>
        <v>307492.43536002783</v>
      </c>
      <c r="U165" s="60">
        <f t="shared" si="105"/>
        <v>160729.41434424368</v>
      </c>
      <c r="V165" s="60">
        <f t="shared" si="105"/>
        <v>54527.471746166593</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6543.7252261807771</v>
      </c>
      <c r="C169" s="26">
        <f>INDEX(Comparison!$AM$3:$AS$33,G$14,$C$122)</f>
        <v>6543.7799387981568</v>
      </c>
      <c r="D169" s="26">
        <f>INDEX(Comparison!$AM$3:$AS$33,H$14,$C$122)</f>
        <v>6543.7462938558028</v>
      </c>
      <c r="E169" s="26">
        <f>INDEX(Comparison!$AM$3:$AS$33,I$14,$C$122)</f>
        <v>6543.7363350192272</v>
      </c>
      <c r="F169" s="26">
        <f>INDEX(Comparison!$AM$3:$AS$33,J$14,$C$122)</f>
        <v>6543.7332030080934</v>
      </c>
      <c r="G169" s="26">
        <f>INDEX(Comparison!$AM$3:$AS$33,K$14,$C$122)</f>
        <v>6543.7321508487757</v>
      </c>
      <c r="H169" s="26">
        <f>INDEX(Comparison!$AM$3:$AS$33,L$14,$C$122)</f>
        <v>6543.7318082853499</v>
      </c>
      <c r="I169" s="26">
        <f>INDEX(Comparison!$AM$3:$AS$33,M$14,$C$122)</f>
        <v>6543.7317593477201</v>
      </c>
      <c r="J169" s="26">
        <f>INDEX(Comparison!$AM$3:$AS$33,N$14,$C$122)</f>
        <v>6543.7315146595847</v>
      </c>
      <c r="K169" s="26">
        <f>INDEX(Comparison!$AM$3:$AS$33,O$14,$C$122)</f>
        <v>6543.731490190773</v>
      </c>
      <c r="L169" s="26">
        <f>INDEX(Comparison!$AM$3:$AS$33,P$14,$C$122)</f>
        <v>6543.7313923155243</v>
      </c>
      <c r="M169" s="26">
        <f>INDEX(Comparison!$AM$3:$AS$33,Q$14,$C$122)</f>
        <v>6543.7286518097571</v>
      </c>
      <c r="N169" s="26">
        <f>INDEX(Comparison!$AM$3:$AS$33,R$14,$C$122)</f>
        <v>6543.7023234963144</v>
      </c>
      <c r="O169" s="26">
        <f>INDEX(Comparison!$AM$3:$AS$33,S$14,$C$122)</f>
        <v>6543.4393456132884</v>
      </c>
      <c r="P169" s="26">
        <f>INDEX(Comparison!$AM$3:$AS$33,T$14,$C$122)</f>
        <v>6540.8297975507394</v>
      </c>
      <c r="Q169" s="26">
        <f>INDEX(Comparison!$AM$3:$AS$33,U$14,$C$122)</f>
        <v>6516.7915822655277</v>
      </c>
      <c r="R169" s="26">
        <f>INDEX(Comparison!$AM$3:$AS$33,V$14,$C$122)</f>
        <v>6390.814079024768</v>
      </c>
      <c r="S169" s="26">
        <f>INDEX(Comparison!$AM$3:$AS$33,W$14,$C$122)</f>
        <v>6240.1474757230608</v>
      </c>
      <c r="T169" s="26">
        <f>INDEX(Comparison!$AM$3:$AS$33,X$14,$C$122)</f>
        <v>6044.4265071962272</v>
      </c>
      <c r="U169" s="26">
        <f>INDEX(Comparison!$AM$3:$AS$33,Y$14,$C$122)</f>
        <v>5697.9764219559002</v>
      </c>
      <c r="V169" s="26">
        <f>INDEX(Comparison!$AM$3:$AS$33,Z$14,$C$122)</f>
        <v>5222.1642197271249</v>
      </c>
      <c r="W169" s="26">
        <f>INDEX(Comparison!$AM$3:$AS$33,AA$14,$C$122)</f>
        <v>4741.2273341563377</v>
      </c>
      <c r="X169" s="26">
        <f>INDEX(Comparison!$AM$3:$AS$33,AB$14,$C$122)</f>
        <v>4311.1706397553053</v>
      </c>
      <c r="Y169" s="26">
        <f>INDEX(Comparison!$AM$3:$AS$33,AC$14,$C$122)</f>
        <v>3952.2593271118144</v>
      </c>
      <c r="Z169" s="26">
        <f>INDEX(Comparison!$AM$3:$AS$33,AD$14,$C$122)</f>
        <v>3639.2172363975619</v>
      </c>
      <c r="AA169" s="26">
        <f>INDEX(Comparison!$AM$3:$AS$33,AE$14,$C$122)</f>
        <v>3344.7021990881808</v>
      </c>
      <c r="AB169" s="26">
        <f>INDEX(Comparison!$AM$3:$AS$33,AF$14,$C$122)</f>
        <v>3034.0126163953428</v>
      </c>
      <c r="AC169" s="26">
        <f>INDEX(Comparison!$AM$3:$AS$33,AG$14,$C$122)</f>
        <v>2653.5608861364908</v>
      </c>
      <c r="AD169" s="26">
        <f>INDEX(Comparison!$AM$3:$AS$33,AH$14,$C$122)</f>
        <v>2203.3378680125074</v>
      </c>
      <c r="AE169" s="26">
        <f>INDEX(Comparison!$AM$3:$AS$33,AI$14,$C$122)</f>
        <v>1683.4592204898881</v>
      </c>
      <c r="AF169" s="26">
        <f>INDEX(Comparison!$AM$3:$AS$33,AJ$14,$C$122)</f>
        <v>1118.1414735463829</v>
      </c>
      <c r="AG169" s="26"/>
      <c r="AH169" s="26"/>
    </row>
    <row r="170" spans="1:34" x14ac:dyDescent="0.25">
      <c r="A170" s="70" t="s">
        <v>22</v>
      </c>
      <c r="B170" s="27">
        <f>($C$17+SUM(B171:B201))*$B$51</f>
        <v>6524.092299999902</v>
      </c>
      <c r="C170" s="27">
        <f t="shared" ref="C170:AF170" si="106">($C$17+SUM(C171:C201))*$B$51</f>
        <v>6524.0922999990171</v>
      </c>
      <c r="D170" s="27">
        <f t="shared" si="106"/>
        <v>6524.0922999901759</v>
      </c>
      <c r="E170" s="27">
        <f t="shared" si="106"/>
        <v>6524.0922999017648</v>
      </c>
      <c r="F170" s="27">
        <f t="shared" si="106"/>
        <v>6524.0922990176405</v>
      </c>
      <c r="G170" s="27">
        <f t="shared" si="106"/>
        <v>6524.0922901764061</v>
      </c>
      <c r="H170" s="27">
        <f t="shared" si="106"/>
        <v>6524.0922017640723</v>
      </c>
      <c r="I170" s="27">
        <f t="shared" si="106"/>
        <v>6524.0913176413333</v>
      </c>
      <c r="J170" s="27">
        <f t="shared" si="106"/>
        <v>6524.0824764737363</v>
      </c>
      <c r="K170" s="27">
        <f t="shared" si="106"/>
        <v>6523.994070777404</v>
      </c>
      <c r="L170" s="27">
        <f t="shared" si="106"/>
        <v>6523.1106115052635</v>
      </c>
      <c r="M170" s="27">
        <f t="shared" si="106"/>
        <v>6514.335516838245</v>
      </c>
      <c r="N170" s="27">
        <f t="shared" si="106"/>
        <v>6432.272329360464</v>
      </c>
      <c r="O170" s="27">
        <f t="shared" si="106"/>
        <v>5988.4992437189512</v>
      </c>
      <c r="P170" s="27">
        <f t="shared" si="106"/>
        <v>5805.1527160785008</v>
      </c>
      <c r="Q170" s="27">
        <f t="shared" si="106"/>
        <v>5805.1373135273225</v>
      </c>
      <c r="R170" s="27">
        <f t="shared" si="106"/>
        <v>5804.99167747109</v>
      </c>
      <c r="S170" s="27">
        <f t="shared" si="106"/>
        <v>5803.5377231734865</v>
      </c>
      <c r="T170" s="27">
        <f t="shared" si="106"/>
        <v>5789.2360360650573</v>
      </c>
      <c r="U170" s="27">
        <f t="shared" si="106"/>
        <v>5667.4608741726724</v>
      </c>
      <c r="V170" s="27">
        <f t="shared" si="106"/>
        <v>5309.2079994114802</v>
      </c>
      <c r="W170" s="27">
        <f t="shared" si="106"/>
        <v>5068.917753637018</v>
      </c>
      <c r="X170" s="27">
        <f t="shared" si="106"/>
        <v>4782.0002068913682</v>
      </c>
      <c r="Y170" s="27">
        <f t="shared" si="106"/>
        <v>4494.8270928375632</v>
      </c>
      <c r="Z170" s="27">
        <f t="shared" si="106"/>
        <v>4181.7603177225601</v>
      </c>
      <c r="AA170" s="27">
        <f t="shared" si="106"/>
        <v>3812.183693352878</v>
      </c>
      <c r="AB170" s="27">
        <f t="shared" si="106"/>
        <v>3322.8784157270584</v>
      </c>
      <c r="AC170" s="27">
        <f t="shared" si="106"/>
        <v>2732.0311273684069</v>
      </c>
      <c r="AD170" s="27">
        <f t="shared" si="106"/>
        <v>2039.7970306454461</v>
      </c>
      <c r="AE170" s="27">
        <f t="shared" si="106"/>
        <v>1299.3329536126921</v>
      </c>
      <c r="AF170" s="27">
        <f t="shared" si="106"/>
        <v>761.01213236756234</v>
      </c>
      <c r="AG170" s="27"/>
      <c r="AH170" s="27"/>
    </row>
    <row r="171" spans="1:34" x14ac:dyDescent="0.25">
      <c r="B171" s="3">
        <f t="shared" ref="B171:AF171" si="107">$C18*EXP(-B$168/$A18/EXP(-$C$126))</f>
        <v>0.11019752157473012</v>
      </c>
      <c r="C171" s="3">
        <f t="shared" si="107"/>
        <v>0.1101975215745946</v>
      </c>
      <c r="D171" s="3">
        <f t="shared" si="107"/>
        <v>0.11019752157323943</v>
      </c>
      <c r="E171" s="3">
        <f t="shared" si="107"/>
        <v>0.11019752155968777</v>
      </c>
      <c r="F171" s="3">
        <f t="shared" si="107"/>
        <v>0.11019752142417109</v>
      </c>
      <c r="G171" s="3">
        <f t="shared" si="107"/>
        <v>0.11019752006900441</v>
      </c>
      <c r="H171" s="3">
        <f t="shared" si="107"/>
        <v>0.11019750651733851</v>
      </c>
      <c r="I171" s="3">
        <f t="shared" si="107"/>
        <v>0.11019737100077112</v>
      </c>
      <c r="J171" s="3">
        <f t="shared" si="107"/>
        <v>0.11019601584426301</v>
      </c>
      <c r="K171" s="3">
        <f t="shared" si="107"/>
        <v>0.11018246519572814</v>
      </c>
      <c r="L171" s="3">
        <f t="shared" si="107"/>
        <v>0.11004705032330554</v>
      </c>
      <c r="M171" s="3">
        <f t="shared" si="107"/>
        <v>0.10870202134350547</v>
      </c>
      <c r="N171" s="3">
        <f t="shared" si="107"/>
        <v>9.6123540056308021E-2</v>
      </c>
      <c r="O171" s="3">
        <f t="shared" si="107"/>
        <v>2.8102899088565132E-2</v>
      </c>
      <c r="P171" s="3">
        <f t="shared" si="107"/>
        <v>1.2822266414868061E-7</v>
      </c>
      <c r="Q171" s="3">
        <f t="shared" si="107"/>
        <v>5.0130440278208321E-61</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6.7386263954763354E-2</v>
      </c>
      <c r="C172" s="3">
        <f t="shared" si="108"/>
        <v>6.7386263954763354E-2</v>
      </c>
      <c r="D172" s="3">
        <f t="shared" si="108"/>
        <v>6.7386263954763354E-2</v>
      </c>
      <c r="E172" s="3">
        <f t="shared" si="108"/>
        <v>6.7386263954763354E-2</v>
      </c>
      <c r="F172" s="3">
        <f t="shared" si="108"/>
        <v>6.7386263954763326E-2</v>
      </c>
      <c r="G172" s="3">
        <f t="shared" si="108"/>
        <v>6.7386263954763118E-2</v>
      </c>
      <c r="H172" s="3">
        <f t="shared" si="108"/>
        <v>6.7386263954760994E-2</v>
      </c>
      <c r="I172" s="3">
        <f t="shared" si="108"/>
        <v>6.7386263954739761E-2</v>
      </c>
      <c r="J172" s="3">
        <f t="shared" si="108"/>
        <v>6.7386263954527501E-2</v>
      </c>
      <c r="K172" s="3">
        <f t="shared" si="108"/>
        <v>6.7386263952404768E-2</v>
      </c>
      <c r="L172" s="3">
        <f t="shared" si="108"/>
        <v>6.7386263931177498E-2</v>
      </c>
      <c r="M172" s="3">
        <f t="shared" si="108"/>
        <v>6.7386263718904785E-2</v>
      </c>
      <c r="N172" s="3">
        <f t="shared" si="108"/>
        <v>6.7386261596177638E-2</v>
      </c>
      <c r="O172" s="3">
        <f t="shared" si="108"/>
        <v>6.7386240368909903E-2</v>
      </c>
      <c r="P172" s="3">
        <f t="shared" si="108"/>
        <v>6.7386028096600284E-2</v>
      </c>
      <c r="Q172" s="3">
        <f t="shared" si="108"/>
        <v>6.7383905410280914E-2</v>
      </c>
      <c r="R172" s="3">
        <f t="shared" si="108"/>
        <v>6.7362682224339568E-2</v>
      </c>
      <c r="S172" s="3">
        <f t="shared" si="108"/>
        <v>6.7150817661924267E-2</v>
      </c>
      <c r="T172" s="3">
        <f t="shared" si="108"/>
        <v>6.5068477224081614E-2</v>
      </c>
      <c r="U172" s="3">
        <f t="shared" si="108"/>
        <v>4.7485828863656418E-2</v>
      </c>
      <c r="V172" s="3">
        <f t="shared" si="108"/>
        <v>2.0346879870864316E-3</v>
      </c>
      <c r="W172" s="3">
        <f t="shared" si="108"/>
        <v>4.2445905310757359E-17</v>
      </c>
      <c r="X172" s="3">
        <f t="shared" si="108"/>
        <v>6.6254533427009808E-154</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3.4082747841508325E-2</v>
      </c>
      <c r="C173" s="3">
        <f t="shared" si="109"/>
        <v>3.4082747841508325E-2</v>
      </c>
      <c r="D173" s="3">
        <f t="shared" si="109"/>
        <v>3.4082747841508325E-2</v>
      </c>
      <c r="E173" s="3">
        <f t="shared" si="109"/>
        <v>3.4082747841508325E-2</v>
      </c>
      <c r="F173" s="3">
        <f t="shared" si="109"/>
        <v>3.4082747841508325E-2</v>
      </c>
      <c r="G173" s="3">
        <f t="shared" si="109"/>
        <v>3.4082747841508311E-2</v>
      </c>
      <c r="H173" s="3">
        <f t="shared" si="109"/>
        <v>3.4082747841508221E-2</v>
      </c>
      <c r="I173" s="3">
        <f t="shared" si="109"/>
        <v>3.4082747841507249E-2</v>
      </c>
      <c r="J173" s="3">
        <f t="shared" si="109"/>
        <v>3.4082747841497563E-2</v>
      </c>
      <c r="K173" s="3">
        <f t="shared" si="109"/>
        <v>3.4082747841400717E-2</v>
      </c>
      <c r="L173" s="3">
        <f t="shared" si="109"/>
        <v>3.40827478404322E-2</v>
      </c>
      <c r="M173" s="3">
        <f t="shared" si="109"/>
        <v>3.4082747830747107E-2</v>
      </c>
      <c r="N173" s="3">
        <f t="shared" si="109"/>
        <v>3.4082747733896128E-2</v>
      </c>
      <c r="O173" s="3">
        <f t="shared" si="109"/>
        <v>3.4082746765386404E-2</v>
      </c>
      <c r="P173" s="3">
        <f t="shared" si="109"/>
        <v>3.4082737080290637E-2</v>
      </c>
      <c r="Q173" s="3">
        <f t="shared" si="109"/>
        <v>3.4082640229484311E-2</v>
      </c>
      <c r="R173" s="3">
        <f t="shared" si="109"/>
        <v>3.4081671736557802E-2</v>
      </c>
      <c r="S173" s="3">
        <f t="shared" si="109"/>
        <v>3.4071988320802868E-2</v>
      </c>
      <c r="T173" s="3">
        <f t="shared" si="109"/>
        <v>3.397530535525968E-2</v>
      </c>
      <c r="U173" s="3">
        <f t="shared" si="109"/>
        <v>3.3023437137077262E-2</v>
      </c>
      <c r="V173" s="3">
        <f t="shared" si="109"/>
        <v>2.4854859973775904E-2</v>
      </c>
      <c r="W173" s="3">
        <f t="shared" si="109"/>
        <v>1.4497789655993423E-3</v>
      </c>
      <c r="X173" s="3">
        <f t="shared" si="109"/>
        <v>6.6100771870209078E-16</v>
      </c>
      <c r="Y173" s="3">
        <f t="shared" si="109"/>
        <v>2.5659837112394196E-139</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4.6674257676140619E-2</v>
      </c>
      <c r="C174" s="3">
        <f t="shared" si="110"/>
        <v>4.6674257676140619E-2</v>
      </c>
      <c r="D174" s="3">
        <f t="shared" si="110"/>
        <v>4.6674257676140619E-2</v>
      </c>
      <c r="E174" s="3">
        <f t="shared" si="110"/>
        <v>4.6674257676140619E-2</v>
      </c>
      <c r="F174" s="3">
        <f t="shared" si="110"/>
        <v>4.6674257676140619E-2</v>
      </c>
      <c r="G174" s="3">
        <f t="shared" si="110"/>
        <v>4.6674257676140619E-2</v>
      </c>
      <c r="H174" s="3">
        <f t="shared" si="110"/>
        <v>4.6674257676140606E-2</v>
      </c>
      <c r="I174" s="3">
        <f t="shared" si="110"/>
        <v>4.6674257676140488E-2</v>
      </c>
      <c r="J174" s="3">
        <f t="shared" si="110"/>
        <v>4.6674257676139287E-2</v>
      </c>
      <c r="K174" s="3">
        <f t="shared" si="110"/>
        <v>4.6674257676127325E-2</v>
      </c>
      <c r="L174" s="3">
        <f t="shared" si="110"/>
        <v>4.6674257676007684E-2</v>
      </c>
      <c r="M174" s="3">
        <f t="shared" si="110"/>
        <v>4.6674257674811231E-2</v>
      </c>
      <c r="N174" s="3">
        <f t="shared" si="110"/>
        <v>4.6674257662846767E-2</v>
      </c>
      <c r="O174" s="3">
        <f t="shared" si="110"/>
        <v>4.6674257543202084E-2</v>
      </c>
      <c r="P174" s="3">
        <f t="shared" si="110"/>
        <v>4.6674256346755275E-2</v>
      </c>
      <c r="Q174" s="3">
        <f t="shared" si="110"/>
        <v>4.6674244382288836E-2</v>
      </c>
      <c r="R174" s="3">
        <f t="shared" si="110"/>
        <v>4.6674124737793116E-2</v>
      </c>
      <c r="S174" s="3">
        <f t="shared" si="110"/>
        <v>4.667292830970414E-2</v>
      </c>
      <c r="T174" s="3">
        <f t="shared" si="110"/>
        <v>4.6660965715469564E-2</v>
      </c>
      <c r="U174" s="3">
        <f t="shared" si="110"/>
        <v>4.6541508278781937E-2</v>
      </c>
      <c r="V174" s="3">
        <f t="shared" si="110"/>
        <v>4.5363625747254006E-2</v>
      </c>
      <c r="W174" s="3">
        <f t="shared" si="110"/>
        <v>3.5105956693228878E-2</v>
      </c>
      <c r="X174" s="3">
        <f t="shared" si="110"/>
        <v>2.7046517407389131E-3</v>
      </c>
      <c r="Y174" s="3">
        <f t="shared" si="110"/>
        <v>1.9925844830280152E-14</v>
      </c>
      <c r="Z174" s="3">
        <f t="shared" si="110"/>
        <v>9.3857863557649836E-126</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4.4764266498867597E-2</v>
      </c>
      <c r="C175" s="3">
        <f t="shared" si="111"/>
        <v>4.4764266498867597E-2</v>
      </c>
      <c r="D175" s="3">
        <f t="shared" si="111"/>
        <v>4.4764266498867597E-2</v>
      </c>
      <c r="E175" s="3">
        <f t="shared" si="111"/>
        <v>4.4764266498867597E-2</v>
      </c>
      <c r="F175" s="3">
        <f t="shared" si="111"/>
        <v>4.4764266498867597E-2</v>
      </c>
      <c r="G175" s="3">
        <f t="shared" si="111"/>
        <v>4.4764266498867597E-2</v>
      </c>
      <c r="H175" s="3">
        <f t="shared" si="111"/>
        <v>4.4764266498867597E-2</v>
      </c>
      <c r="I175" s="3">
        <f t="shared" si="111"/>
        <v>4.476426649886759E-2</v>
      </c>
      <c r="J175" s="3">
        <f t="shared" si="111"/>
        <v>4.4764266498867486E-2</v>
      </c>
      <c r="K175" s="3">
        <f t="shared" si="111"/>
        <v>4.4764266498866452E-2</v>
      </c>
      <c r="L175" s="3">
        <f t="shared" si="111"/>
        <v>4.4764266498856099E-2</v>
      </c>
      <c r="M175" s="3">
        <f t="shared" si="111"/>
        <v>4.4764266498752585E-2</v>
      </c>
      <c r="N175" s="3">
        <f t="shared" si="111"/>
        <v>4.4764266497717455E-2</v>
      </c>
      <c r="O175" s="3">
        <f t="shared" si="111"/>
        <v>4.4764266487366172E-2</v>
      </c>
      <c r="P175" s="3">
        <f t="shared" si="111"/>
        <v>4.4764266383853377E-2</v>
      </c>
      <c r="Q175" s="3">
        <f t="shared" si="111"/>
        <v>4.4764265348725407E-2</v>
      </c>
      <c r="R175" s="3">
        <f t="shared" si="111"/>
        <v>4.476425499744708E-2</v>
      </c>
      <c r="S175" s="3">
        <f t="shared" si="111"/>
        <v>4.4764151484795366E-2</v>
      </c>
      <c r="T175" s="3">
        <f t="shared" si="111"/>
        <v>4.4763116371443049E-2</v>
      </c>
      <c r="U175" s="3">
        <f t="shared" si="111"/>
        <v>4.4752766554290085E-2</v>
      </c>
      <c r="V175" s="3">
        <f t="shared" si="111"/>
        <v>4.4649399907218584E-2</v>
      </c>
      <c r="W175" s="3">
        <f t="shared" si="111"/>
        <v>4.3628774044320029E-2</v>
      </c>
      <c r="X175" s="3">
        <f t="shared" si="111"/>
        <v>3.4621576744521675E-2</v>
      </c>
      <c r="Y175" s="3">
        <f t="shared" si="111"/>
        <v>3.4283501688994718E-3</v>
      </c>
      <c r="Z175" s="3">
        <f t="shared" si="111"/>
        <v>3.107910377791854E-13</v>
      </c>
      <c r="AA175" s="3">
        <f t="shared" si="111"/>
        <v>1.1649347837957352E-113</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4.8577269491505953E-2</v>
      </c>
      <c r="C176" s="3">
        <f t="shared" si="112"/>
        <v>4.8577269491505953E-2</v>
      </c>
      <c r="D176" s="3">
        <f t="shared" si="112"/>
        <v>4.8577269491505953E-2</v>
      </c>
      <c r="E176" s="3">
        <f t="shared" si="112"/>
        <v>4.8577269491505953E-2</v>
      </c>
      <c r="F176" s="3">
        <f t="shared" si="112"/>
        <v>4.8577269491505953E-2</v>
      </c>
      <c r="G176" s="3">
        <f t="shared" si="112"/>
        <v>4.8577269491505953E-2</v>
      </c>
      <c r="H176" s="3">
        <f t="shared" si="112"/>
        <v>4.8577269491505953E-2</v>
      </c>
      <c r="I176" s="3">
        <f t="shared" si="112"/>
        <v>4.8577269491505953E-2</v>
      </c>
      <c r="J176" s="3">
        <f t="shared" si="112"/>
        <v>4.8577269491505939E-2</v>
      </c>
      <c r="K176" s="3">
        <f t="shared" si="112"/>
        <v>4.8577269491505842E-2</v>
      </c>
      <c r="L176" s="3">
        <f t="shared" si="112"/>
        <v>4.8577269491504829E-2</v>
      </c>
      <c r="M176" s="3">
        <f t="shared" si="112"/>
        <v>4.8577269491494691E-2</v>
      </c>
      <c r="N176" s="3">
        <f t="shared" si="112"/>
        <v>4.8577269491393363E-2</v>
      </c>
      <c r="O176" s="3">
        <f t="shared" si="112"/>
        <v>4.8577269490380055E-2</v>
      </c>
      <c r="P176" s="3">
        <f t="shared" si="112"/>
        <v>4.8577269480246953E-2</v>
      </c>
      <c r="Q176" s="3">
        <f t="shared" si="112"/>
        <v>4.8577269378915974E-2</v>
      </c>
      <c r="R176" s="3">
        <f t="shared" si="112"/>
        <v>4.8577268365606129E-2</v>
      </c>
      <c r="S176" s="3">
        <f t="shared" si="112"/>
        <v>4.8577258232508878E-2</v>
      </c>
      <c r="T176" s="3">
        <f t="shared" si="112"/>
        <v>4.8577156901652686E-2</v>
      </c>
      <c r="U176" s="3">
        <f t="shared" si="112"/>
        <v>4.8576143604716196E-2</v>
      </c>
      <c r="V176" s="3">
        <f t="shared" si="112"/>
        <v>4.8566011797808249E-2</v>
      </c>
      <c r="W176" s="3">
        <f t="shared" si="112"/>
        <v>4.8464809884754198E-2</v>
      </c>
      <c r="X176" s="3">
        <f t="shared" si="112"/>
        <v>4.7464317204297002E-2</v>
      </c>
      <c r="Y176" s="3">
        <f t="shared" si="112"/>
        <v>3.8527823931289631E-2</v>
      </c>
      <c r="Z176" s="3">
        <f t="shared" si="112"/>
        <v>4.7846140234985334E-3</v>
      </c>
      <c r="AA176" s="3">
        <f t="shared" si="112"/>
        <v>4.1741801799941534E-12</v>
      </c>
      <c r="AB176" s="3">
        <f t="shared" si="112"/>
        <v>1.0661394639057844E-102</v>
      </c>
      <c r="AC176" s="3">
        <f t="shared" si="112"/>
        <v>0</v>
      </c>
      <c r="AD176" s="3">
        <f t="shared" si="112"/>
        <v>0</v>
      </c>
      <c r="AE176" s="3">
        <f t="shared" si="112"/>
        <v>0</v>
      </c>
      <c r="AF176" s="3">
        <f t="shared" si="112"/>
        <v>0</v>
      </c>
      <c r="AG176" s="3"/>
      <c r="AH176" s="3"/>
    </row>
    <row r="177" spans="2:34" x14ac:dyDescent="0.25">
      <c r="B177" s="3">
        <f t="shared" ref="B177:AF177" si="113">$C24*EXP(-B$168/$A24/EXP(-$C$126))</f>
        <v>5.5549505588396574E-2</v>
      </c>
      <c r="C177" s="3">
        <f t="shared" si="113"/>
        <v>5.5549505588396574E-2</v>
      </c>
      <c r="D177" s="3">
        <f t="shared" si="113"/>
        <v>5.5549505588396574E-2</v>
      </c>
      <c r="E177" s="3">
        <f t="shared" si="113"/>
        <v>5.5549505588396574E-2</v>
      </c>
      <c r="F177" s="3">
        <f t="shared" si="113"/>
        <v>5.5549505588396574E-2</v>
      </c>
      <c r="G177" s="3">
        <f t="shared" si="113"/>
        <v>5.5549505588396574E-2</v>
      </c>
      <c r="H177" s="3">
        <f t="shared" si="113"/>
        <v>5.5549505588396574E-2</v>
      </c>
      <c r="I177" s="3">
        <f t="shared" si="113"/>
        <v>5.5549505588396574E-2</v>
      </c>
      <c r="J177" s="3">
        <f t="shared" si="113"/>
        <v>5.5549505588396574E-2</v>
      </c>
      <c r="K177" s="3">
        <f t="shared" si="113"/>
        <v>5.554950558839656E-2</v>
      </c>
      <c r="L177" s="3">
        <f t="shared" si="113"/>
        <v>5.5549505588396456E-2</v>
      </c>
      <c r="M177" s="3">
        <f t="shared" si="113"/>
        <v>5.5549505588395415E-2</v>
      </c>
      <c r="N177" s="3">
        <f t="shared" si="113"/>
        <v>5.5549505588384958E-2</v>
      </c>
      <c r="O177" s="3">
        <f t="shared" si="113"/>
        <v>5.554950558828043E-2</v>
      </c>
      <c r="P177" s="3">
        <f t="shared" si="113"/>
        <v>5.5549505587235141E-2</v>
      </c>
      <c r="Q177" s="3">
        <f t="shared" si="113"/>
        <v>5.5549505576782267E-2</v>
      </c>
      <c r="R177" s="3">
        <f t="shared" si="113"/>
        <v>5.5549505472253465E-2</v>
      </c>
      <c r="S177" s="3">
        <f t="shared" si="113"/>
        <v>5.5549504426965497E-2</v>
      </c>
      <c r="T177" s="3">
        <f t="shared" si="113"/>
        <v>5.5549493974086935E-2</v>
      </c>
      <c r="U177" s="3">
        <f t="shared" si="113"/>
        <v>5.5549389445409457E-2</v>
      </c>
      <c r="V177" s="3">
        <f t="shared" si="113"/>
        <v>5.5548344169452736E-2</v>
      </c>
      <c r="W177" s="3">
        <f t="shared" si="113"/>
        <v>5.5537892491620403E-2</v>
      </c>
      <c r="X177" s="3">
        <f t="shared" si="113"/>
        <v>5.5433483811501455E-2</v>
      </c>
      <c r="Y177" s="3">
        <f t="shared" si="113"/>
        <v>5.4400131946039626E-2</v>
      </c>
      <c r="Z177" s="3">
        <f t="shared" si="113"/>
        <v>4.5068982103265806E-2</v>
      </c>
      <c r="AA177" s="3">
        <f t="shared" si="113"/>
        <v>6.8652398369169285E-3</v>
      </c>
      <c r="AB177" s="3">
        <f t="shared" si="113"/>
        <v>4.6178025350906915E-11</v>
      </c>
      <c r="AC177" s="3">
        <f t="shared" si="113"/>
        <v>8.7545090712569239E-93</v>
      </c>
      <c r="AD177" s="3">
        <f t="shared" si="113"/>
        <v>0</v>
      </c>
      <c r="AE177" s="3">
        <f t="shared" si="113"/>
        <v>0</v>
      </c>
      <c r="AF177" s="3">
        <f t="shared" si="113"/>
        <v>0</v>
      </c>
      <c r="AG177" s="3"/>
      <c r="AH177" s="3"/>
    </row>
    <row r="178" spans="2:34" x14ac:dyDescent="0.25">
      <c r="B178" s="3">
        <f t="shared" ref="B178:AF178" si="114">$C25*EXP(-B$168/$A25/EXP(-$C$126))</f>
        <v>7.866276737132312E-2</v>
      </c>
      <c r="C178" s="3">
        <f t="shared" si="114"/>
        <v>7.866276737132312E-2</v>
      </c>
      <c r="D178" s="3">
        <f t="shared" si="114"/>
        <v>7.866276737132312E-2</v>
      </c>
      <c r="E178" s="3">
        <f t="shared" si="114"/>
        <v>7.866276737132312E-2</v>
      </c>
      <c r="F178" s="3">
        <f t="shared" si="114"/>
        <v>7.866276737132312E-2</v>
      </c>
      <c r="G178" s="3">
        <f t="shared" si="114"/>
        <v>7.866276737132312E-2</v>
      </c>
      <c r="H178" s="3">
        <f t="shared" si="114"/>
        <v>7.866276737132312E-2</v>
      </c>
      <c r="I178" s="3">
        <f t="shared" si="114"/>
        <v>7.866276737132312E-2</v>
      </c>
      <c r="J178" s="3">
        <f t="shared" si="114"/>
        <v>7.866276737132312E-2</v>
      </c>
      <c r="K178" s="3">
        <f t="shared" si="114"/>
        <v>7.866276737132312E-2</v>
      </c>
      <c r="L178" s="3">
        <f t="shared" si="114"/>
        <v>7.8662767371323106E-2</v>
      </c>
      <c r="M178" s="3">
        <f t="shared" si="114"/>
        <v>7.8662767371322967E-2</v>
      </c>
      <c r="N178" s="3">
        <f t="shared" si="114"/>
        <v>7.8662767371321635E-2</v>
      </c>
      <c r="O178" s="3">
        <f t="shared" si="114"/>
        <v>7.8662767371308284E-2</v>
      </c>
      <c r="P178" s="3">
        <f t="shared" si="114"/>
        <v>7.8662767371174752E-2</v>
      </c>
      <c r="Q178" s="3">
        <f t="shared" si="114"/>
        <v>7.8662767369839473E-2</v>
      </c>
      <c r="R178" s="3">
        <f t="shared" si="114"/>
        <v>7.8662767356486696E-2</v>
      </c>
      <c r="S178" s="3">
        <f t="shared" si="114"/>
        <v>7.8662767222958938E-2</v>
      </c>
      <c r="T178" s="3">
        <f t="shared" si="114"/>
        <v>7.8662765887681341E-2</v>
      </c>
      <c r="U178" s="3">
        <f t="shared" si="114"/>
        <v>7.8662752534906552E-2</v>
      </c>
      <c r="V178" s="3">
        <f t="shared" si="114"/>
        <v>7.8662619007283399E-2</v>
      </c>
      <c r="W178" s="3">
        <f t="shared" si="114"/>
        <v>7.8661283743517968E-2</v>
      </c>
      <c r="X178" s="3">
        <f t="shared" si="114"/>
        <v>7.8647932352404012E-2</v>
      </c>
      <c r="Y178" s="3">
        <f t="shared" si="114"/>
        <v>7.8514543017032409E-2</v>
      </c>
      <c r="Z178" s="3">
        <f t="shared" si="114"/>
        <v>7.7193029352516582E-2</v>
      </c>
      <c r="AA178" s="3">
        <f t="shared" si="114"/>
        <v>6.5141515548107307E-2</v>
      </c>
      <c r="AB178" s="3">
        <f t="shared" si="114"/>
        <v>1.1930416238517707E-2</v>
      </c>
      <c r="AC178" s="3">
        <f t="shared" si="114"/>
        <v>5.0656242420601508E-10</v>
      </c>
      <c r="AD178" s="3">
        <f t="shared" si="114"/>
        <v>9.6473209570322989E-84</v>
      </c>
      <c r="AE178" s="3">
        <f t="shared" si="114"/>
        <v>0</v>
      </c>
      <c r="AF178" s="3">
        <f t="shared" si="114"/>
        <v>0</v>
      </c>
      <c r="AG178" s="3"/>
      <c r="AH178" s="3"/>
    </row>
    <row r="179" spans="2:34" x14ac:dyDescent="0.25">
      <c r="B179" s="3">
        <f t="shared" ref="B179:AF179" si="115">$C26*EXP(-B$168/$A26/EXP(-$C$126))</f>
        <v>9.4543741847587029E-2</v>
      </c>
      <c r="C179" s="3">
        <f t="shared" si="115"/>
        <v>9.4543741847587029E-2</v>
      </c>
      <c r="D179" s="3">
        <f t="shared" si="115"/>
        <v>9.4543741847587029E-2</v>
      </c>
      <c r="E179" s="3">
        <f t="shared" si="115"/>
        <v>9.4543741847587029E-2</v>
      </c>
      <c r="F179" s="3">
        <f t="shared" si="115"/>
        <v>9.4543741847587029E-2</v>
      </c>
      <c r="G179" s="3">
        <f t="shared" si="115"/>
        <v>9.4543741847587029E-2</v>
      </c>
      <c r="H179" s="3">
        <f t="shared" si="115"/>
        <v>9.4543741847587029E-2</v>
      </c>
      <c r="I179" s="3">
        <f t="shared" si="115"/>
        <v>9.4543741847587029E-2</v>
      </c>
      <c r="J179" s="3">
        <f t="shared" si="115"/>
        <v>9.4543741847587029E-2</v>
      </c>
      <c r="K179" s="3">
        <f t="shared" si="115"/>
        <v>9.4543741847587029E-2</v>
      </c>
      <c r="L179" s="3">
        <f t="shared" si="115"/>
        <v>9.4543741847587029E-2</v>
      </c>
      <c r="M179" s="3">
        <f t="shared" si="115"/>
        <v>9.4543741847587001E-2</v>
      </c>
      <c r="N179" s="3">
        <f t="shared" si="115"/>
        <v>9.4543741847586876E-2</v>
      </c>
      <c r="O179" s="3">
        <f t="shared" si="115"/>
        <v>9.4543741847585419E-2</v>
      </c>
      <c r="P179" s="3">
        <f t="shared" si="115"/>
        <v>9.4543741847570945E-2</v>
      </c>
      <c r="Q179" s="3">
        <f t="shared" si="115"/>
        <v>9.4543741847426171E-2</v>
      </c>
      <c r="R179" s="3">
        <f t="shared" si="115"/>
        <v>9.4543741845978468E-2</v>
      </c>
      <c r="S179" s="3">
        <f t="shared" si="115"/>
        <v>9.4543741831501354E-2</v>
      </c>
      <c r="T179" s="3">
        <f t="shared" si="115"/>
        <v>9.4543741686730298E-2</v>
      </c>
      <c r="U179" s="3">
        <f t="shared" si="115"/>
        <v>9.4543740239019819E-2</v>
      </c>
      <c r="V179" s="3">
        <f t="shared" si="115"/>
        <v>9.4543725761916123E-2</v>
      </c>
      <c r="W179" s="3">
        <f t="shared" si="115"/>
        <v>9.4543580991001089E-2</v>
      </c>
      <c r="X179" s="3">
        <f t="shared" si="115"/>
        <v>9.4542133294043165E-2</v>
      </c>
      <c r="Y179" s="3">
        <f t="shared" si="115"/>
        <v>9.4527657543638885E-2</v>
      </c>
      <c r="Z179" s="3">
        <f t="shared" si="115"/>
        <v>9.4383021888040625E-2</v>
      </c>
      <c r="AA179" s="3">
        <f t="shared" si="115"/>
        <v>9.2948781423154575E-2</v>
      </c>
      <c r="AB179" s="3">
        <f t="shared" si="115"/>
        <v>7.9752062521453587E-2</v>
      </c>
      <c r="AC179" s="3">
        <f t="shared" si="115"/>
        <v>1.724742056427948E-2</v>
      </c>
      <c r="AD179" s="3">
        <f t="shared" si="115"/>
        <v>3.8596369281084049E-9</v>
      </c>
      <c r="AE179" s="3">
        <f t="shared" si="115"/>
        <v>1.2155405425030736E-75</v>
      </c>
      <c r="AF179" s="3">
        <f t="shared" si="115"/>
        <v>0</v>
      </c>
      <c r="AG179" s="3"/>
      <c r="AH179" s="3"/>
    </row>
    <row r="180" spans="2:34" x14ac:dyDescent="0.25">
      <c r="B180" s="3">
        <f t="shared" ref="B180:AF180" si="116">$C27*EXP(-B$168/$A27/EXP(-$C$126))</f>
        <v>0.11359632384203742</v>
      </c>
      <c r="C180" s="3">
        <f t="shared" si="116"/>
        <v>0.11359632384203742</v>
      </c>
      <c r="D180" s="3">
        <f t="shared" si="116"/>
        <v>0.11359632384203742</v>
      </c>
      <c r="E180" s="3">
        <f t="shared" si="116"/>
        <v>0.11359632384203742</v>
      </c>
      <c r="F180" s="3">
        <f t="shared" si="116"/>
        <v>0.11359632384203742</v>
      </c>
      <c r="G180" s="3">
        <f t="shared" si="116"/>
        <v>0.11359632384203742</v>
      </c>
      <c r="H180" s="3">
        <f t="shared" si="116"/>
        <v>0.11359632384203742</v>
      </c>
      <c r="I180" s="3">
        <f t="shared" si="116"/>
        <v>0.11359632384203742</v>
      </c>
      <c r="J180" s="3">
        <f t="shared" si="116"/>
        <v>0.11359632384203742</v>
      </c>
      <c r="K180" s="3">
        <f t="shared" si="116"/>
        <v>0.11359632384203742</v>
      </c>
      <c r="L180" s="3">
        <f t="shared" si="116"/>
        <v>0.11359632384203742</v>
      </c>
      <c r="M180" s="3">
        <f t="shared" si="116"/>
        <v>0.11359632384203742</v>
      </c>
      <c r="N180" s="3">
        <f t="shared" si="116"/>
        <v>0.11359632384203741</v>
      </c>
      <c r="O180" s="3">
        <f t="shared" si="116"/>
        <v>0.11359632384203724</v>
      </c>
      <c r="P180" s="3">
        <f t="shared" si="116"/>
        <v>0.11359632384203569</v>
      </c>
      <c r="Q180" s="3">
        <f t="shared" si="116"/>
        <v>0.11359632384201999</v>
      </c>
      <c r="R180" s="3">
        <f t="shared" si="116"/>
        <v>0.11359632384186308</v>
      </c>
      <c r="S180" s="3">
        <f t="shared" si="116"/>
        <v>0.11359632384029394</v>
      </c>
      <c r="T180" s="3">
        <f t="shared" si="116"/>
        <v>0.11359632382460261</v>
      </c>
      <c r="U180" s="3">
        <f t="shared" si="116"/>
        <v>0.11359632366768929</v>
      </c>
      <c r="V180" s="3">
        <f t="shared" si="116"/>
        <v>0.11359632209855612</v>
      </c>
      <c r="W180" s="3">
        <f t="shared" si="116"/>
        <v>0.11359630640722559</v>
      </c>
      <c r="X180" s="3">
        <f t="shared" si="116"/>
        <v>0.11359614949403962</v>
      </c>
      <c r="Y180" s="3">
        <f t="shared" si="116"/>
        <v>0.11359458037410082</v>
      </c>
      <c r="Z180" s="3">
        <f t="shared" si="116"/>
        <v>0.11357889036675978</v>
      </c>
      <c r="AA180" s="3">
        <f t="shared" si="116"/>
        <v>0.1134221094371435</v>
      </c>
      <c r="AB180" s="3">
        <f t="shared" si="116"/>
        <v>0.11186615385154733</v>
      </c>
      <c r="AC180" s="3">
        <f t="shared" si="116"/>
        <v>9.7433560070289832E-2</v>
      </c>
      <c r="AD180" s="3">
        <f t="shared" si="116"/>
        <v>2.447976354495467E-2</v>
      </c>
      <c r="AE180" s="3">
        <f t="shared" si="116"/>
        <v>2.4535430993494518E-8</v>
      </c>
      <c r="AF180" s="3">
        <f t="shared" si="116"/>
        <v>2.5099115579501423E-68</v>
      </c>
      <c r="AG180" s="3"/>
      <c r="AH180" s="3"/>
    </row>
    <row r="181" spans="2:34" x14ac:dyDescent="0.25">
      <c r="B181" s="3">
        <f t="shared" ref="B181:AF181" si="117">$C28*EXP(-B$168/$A28/EXP(-$C$126))</f>
        <v>0.12987660327805553</v>
      </c>
      <c r="C181" s="3">
        <f t="shared" si="117"/>
        <v>0.12987660327805553</v>
      </c>
      <c r="D181" s="3">
        <f t="shared" si="117"/>
        <v>0.12987660327805553</v>
      </c>
      <c r="E181" s="3">
        <f t="shared" si="117"/>
        <v>0.12987660327805553</v>
      </c>
      <c r="F181" s="3">
        <f t="shared" si="117"/>
        <v>0.12987660327805553</v>
      </c>
      <c r="G181" s="3">
        <f t="shared" si="117"/>
        <v>0.12987660327805553</v>
      </c>
      <c r="H181" s="3">
        <f t="shared" si="117"/>
        <v>0.12987660327805553</v>
      </c>
      <c r="I181" s="3">
        <f t="shared" si="117"/>
        <v>0.12987660327805553</v>
      </c>
      <c r="J181" s="3">
        <f t="shared" si="117"/>
        <v>0.12987660327805553</v>
      </c>
      <c r="K181" s="3">
        <f t="shared" si="117"/>
        <v>0.12987660327805553</v>
      </c>
      <c r="L181" s="3">
        <f t="shared" si="117"/>
        <v>0.12987660327805553</v>
      </c>
      <c r="M181" s="3">
        <f t="shared" si="117"/>
        <v>0.12987660327805553</v>
      </c>
      <c r="N181" s="3">
        <f t="shared" si="117"/>
        <v>0.12987660327805553</v>
      </c>
      <c r="O181" s="3">
        <f t="shared" si="117"/>
        <v>0.1298766032780555</v>
      </c>
      <c r="P181" s="3">
        <f t="shared" si="117"/>
        <v>0.12987660327805536</v>
      </c>
      <c r="Q181" s="3">
        <f t="shared" si="117"/>
        <v>0.12987660327805373</v>
      </c>
      <c r="R181" s="3">
        <f t="shared" si="117"/>
        <v>0.12987660327803754</v>
      </c>
      <c r="S181" s="3">
        <f t="shared" si="117"/>
        <v>0.1298766032778757</v>
      </c>
      <c r="T181" s="3">
        <f t="shared" si="117"/>
        <v>0.12987660327625736</v>
      </c>
      <c r="U181" s="3">
        <f t="shared" si="117"/>
        <v>0.12987660326007383</v>
      </c>
      <c r="V181" s="3">
        <f t="shared" si="117"/>
        <v>0.12987660309823862</v>
      </c>
      <c r="W181" s="3">
        <f t="shared" si="117"/>
        <v>0.12987660147988642</v>
      </c>
      <c r="X181" s="3">
        <f t="shared" si="117"/>
        <v>0.12987658529636564</v>
      </c>
      <c r="Y181" s="3">
        <f t="shared" si="117"/>
        <v>0.12987642346126885</v>
      </c>
      <c r="Z181" s="3">
        <f t="shared" si="117"/>
        <v>0.12987480512139182</v>
      </c>
      <c r="AA181" s="3">
        <f t="shared" si="117"/>
        <v>0.12985862283168326</v>
      </c>
      <c r="AB181" s="3">
        <f t="shared" si="117"/>
        <v>0.12969691078962556</v>
      </c>
      <c r="AC181" s="3">
        <f t="shared" si="117"/>
        <v>0.12809082493255086</v>
      </c>
      <c r="AD181" s="3">
        <f t="shared" si="117"/>
        <v>0.1130841999685365</v>
      </c>
      <c r="AE181" s="3">
        <f t="shared" si="117"/>
        <v>3.2526774792894439E-2</v>
      </c>
      <c r="AF181" s="3">
        <f t="shared" si="117"/>
        <v>1.2607579961849632E-7</v>
      </c>
      <c r="AG181" s="3"/>
      <c r="AH181" s="3"/>
    </row>
    <row r="182" spans="2:34" x14ac:dyDescent="0.25">
      <c r="B182" s="3">
        <f t="shared" ref="B182:AF182" si="118">$C29*EXP(-B$168/$A29/EXP(-$C$126))</f>
        <v>7.5604381501705717E-2</v>
      </c>
      <c r="C182" s="3">
        <f t="shared" si="118"/>
        <v>7.5604381501705717E-2</v>
      </c>
      <c r="D182" s="3">
        <f t="shared" si="118"/>
        <v>7.5604381501705717E-2</v>
      </c>
      <c r="E182" s="3">
        <f t="shared" si="118"/>
        <v>7.5604381501705717E-2</v>
      </c>
      <c r="F182" s="3">
        <f t="shared" si="118"/>
        <v>7.5604381501705717E-2</v>
      </c>
      <c r="G182" s="3">
        <f t="shared" si="118"/>
        <v>7.5604381501705717E-2</v>
      </c>
      <c r="H182" s="3">
        <f t="shared" si="118"/>
        <v>7.5604381501705717E-2</v>
      </c>
      <c r="I182" s="3">
        <f t="shared" si="118"/>
        <v>7.5604381501705717E-2</v>
      </c>
      <c r="J182" s="3">
        <f t="shared" si="118"/>
        <v>7.5604381501705717E-2</v>
      </c>
      <c r="K182" s="3">
        <f t="shared" si="118"/>
        <v>7.5604381501705717E-2</v>
      </c>
      <c r="L182" s="3">
        <f t="shared" si="118"/>
        <v>7.5604381501705717E-2</v>
      </c>
      <c r="M182" s="3">
        <f t="shared" si="118"/>
        <v>7.5604381501705717E-2</v>
      </c>
      <c r="N182" s="3">
        <f t="shared" si="118"/>
        <v>7.5604381501705717E-2</v>
      </c>
      <c r="O182" s="3">
        <f t="shared" si="118"/>
        <v>7.5604381501705717E-2</v>
      </c>
      <c r="P182" s="3">
        <f t="shared" si="118"/>
        <v>7.5604381501705703E-2</v>
      </c>
      <c r="Q182" s="3">
        <f t="shared" si="118"/>
        <v>7.560438150170562E-2</v>
      </c>
      <c r="R182" s="3">
        <f t="shared" si="118"/>
        <v>7.5604381501704773E-2</v>
      </c>
      <c r="S182" s="3">
        <f t="shared" si="118"/>
        <v>7.560438150169628E-2</v>
      </c>
      <c r="T182" s="3">
        <f t="shared" si="118"/>
        <v>7.5604381501611292E-2</v>
      </c>
      <c r="U182" s="3">
        <f t="shared" si="118"/>
        <v>7.5604381500761444E-2</v>
      </c>
      <c r="V182" s="3">
        <f t="shared" si="118"/>
        <v>7.560438149226309E-2</v>
      </c>
      <c r="W182" s="3">
        <f t="shared" si="118"/>
        <v>7.5604381407279375E-2</v>
      </c>
      <c r="X182" s="3">
        <f t="shared" si="118"/>
        <v>7.5604380557442299E-2</v>
      </c>
      <c r="Y182" s="3">
        <f t="shared" si="118"/>
        <v>7.560437205907207E-2</v>
      </c>
      <c r="Z182" s="3">
        <f t="shared" si="118"/>
        <v>7.5604287075422369E-2</v>
      </c>
      <c r="AA182" s="3">
        <f t="shared" si="118"/>
        <v>7.5603437244179214E-2</v>
      </c>
      <c r="AB182" s="3">
        <f t="shared" si="118"/>
        <v>7.5594939457119842E-2</v>
      </c>
      <c r="AC182" s="3">
        <f t="shared" si="118"/>
        <v>7.5510014101892703E-2</v>
      </c>
      <c r="AD182" s="3">
        <f t="shared" si="118"/>
        <v>7.4665990310584268E-2</v>
      </c>
      <c r="AE182" s="3">
        <f t="shared" si="118"/>
        <v>6.6727616462916389E-2</v>
      </c>
      <c r="AF182" s="3">
        <f t="shared" si="118"/>
        <v>2.1683702264376582E-2</v>
      </c>
      <c r="AG182" s="3"/>
      <c r="AH182" s="3"/>
    </row>
    <row r="183" spans="2:34" x14ac:dyDescent="0.25">
      <c r="B183" s="3">
        <f t="shared" ref="B183:AF183" si="119">$C30*EXP(-B$168/$A30/EXP(-$C$126))</f>
        <v>4.9796050081425132E-2</v>
      </c>
      <c r="C183" s="3">
        <f t="shared" si="119"/>
        <v>4.9796050081425132E-2</v>
      </c>
      <c r="D183" s="3">
        <f t="shared" si="119"/>
        <v>4.9796050081425132E-2</v>
      </c>
      <c r="E183" s="3">
        <f t="shared" si="119"/>
        <v>4.9796050081425132E-2</v>
      </c>
      <c r="F183" s="3">
        <f t="shared" si="119"/>
        <v>4.9796050081425132E-2</v>
      </c>
      <c r="G183" s="3">
        <f t="shared" si="119"/>
        <v>4.9796050081425132E-2</v>
      </c>
      <c r="H183" s="3">
        <f t="shared" si="119"/>
        <v>4.9796050081425132E-2</v>
      </c>
      <c r="I183" s="3">
        <f t="shared" si="119"/>
        <v>4.9796050081425132E-2</v>
      </c>
      <c r="J183" s="3">
        <f t="shared" si="119"/>
        <v>4.9796050081425132E-2</v>
      </c>
      <c r="K183" s="3">
        <f t="shared" si="119"/>
        <v>4.9796050081425132E-2</v>
      </c>
      <c r="L183" s="3">
        <f t="shared" si="119"/>
        <v>4.9796050081425132E-2</v>
      </c>
      <c r="M183" s="3">
        <f t="shared" si="119"/>
        <v>4.9796050081425132E-2</v>
      </c>
      <c r="N183" s="3">
        <f t="shared" si="119"/>
        <v>4.9796050081425132E-2</v>
      </c>
      <c r="O183" s="3">
        <f t="shared" si="119"/>
        <v>4.9796050081425132E-2</v>
      </c>
      <c r="P183" s="3">
        <f t="shared" si="119"/>
        <v>4.9796050081425132E-2</v>
      </c>
      <c r="Q183" s="3">
        <f t="shared" si="119"/>
        <v>4.9796050081425125E-2</v>
      </c>
      <c r="R183" s="3">
        <f t="shared" si="119"/>
        <v>4.9796050081425076E-2</v>
      </c>
      <c r="S183" s="3">
        <f t="shared" si="119"/>
        <v>4.9796050081424577E-2</v>
      </c>
      <c r="T183" s="3">
        <f t="shared" si="119"/>
        <v>4.9796050081419518E-2</v>
      </c>
      <c r="U183" s="3">
        <f t="shared" si="119"/>
        <v>4.9796050081369031E-2</v>
      </c>
      <c r="V183" s="3">
        <f t="shared" si="119"/>
        <v>4.9796050080864102E-2</v>
      </c>
      <c r="W183" s="3">
        <f t="shared" si="119"/>
        <v>4.9796050075814814E-2</v>
      </c>
      <c r="X183" s="3">
        <f t="shared" si="119"/>
        <v>4.9796050025321927E-2</v>
      </c>
      <c r="Y183" s="3">
        <f t="shared" si="119"/>
        <v>4.9796049520393064E-2</v>
      </c>
      <c r="Z183" s="3">
        <f t="shared" si="119"/>
        <v>4.9796044471104736E-2</v>
      </c>
      <c r="AA183" s="3">
        <f t="shared" si="119"/>
        <v>4.979599397824961E-2</v>
      </c>
      <c r="AB183" s="3">
        <f t="shared" si="119"/>
        <v>4.9795489052514283E-2</v>
      </c>
      <c r="AC183" s="3">
        <f t="shared" si="119"/>
        <v>4.9790440076746406E-2</v>
      </c>
      <c r="AD183" s="3">
        <f t="shared" si="119"/>
        <v>4.9739978467043006E-2</v>
      </c>
      <c r="AE183" s="3">
        <f t="shared" si="119"/>
        <v>4.9238166635633414E-2</v>
      </c>
      <c r="AF183" s="3">
        <f t="shared" si="119"/>
        <v>4.4490233209622684E-2</v>
      </c>
      <c r="AG183" s="3"/>
      <c r="AH183" s="3"/>
    </row>
    <row r="184" spans="2:34" x14ac:dyDescent="0.25">
      <c r="B184" s="3">
        <f t="shared" ref="B184:AF184" si="120">$C31*EXP(-B$168/$A31/EXP(-$C$126))</f>
        <v>2.0966447401353387E-2</v>
      </c>
      <c r="C184" s="3">
        <f t="shared" si="120"/>
        <v>2.0966447401353387E-2</v>
      </c>
      <c r="D184" s="3">
        <f t="shared" si="120"/>
        <v>2.0966447401353387E-2</v>
      </c>
      <c r="E184" s="3">
        <f t="shared" si="120"/>
        <v>2.0966447401353387E-2</v>
      </c>
      <c r="F184" s="3">
        <f t="shared" si="120"/>
        <v>2.0966447401353387E-2</v>
      </c>
      <c r="G184" s="3">
        <f t="shared" si="120"/>
        <v>2.0966447401353387E-2</v>
      </c>
      <c r="H184" s="3">
        <f t="shared" si="120"/>
        <v>2.0966447401353387E-2</v>
      </c>
      <c r="I184" s="3">
        <f t="shared" si="120"/>
        <v>2.0966447401353387E-2</v>
      </c>
      <c r="J184" s="3">
        <f t="shared" si="120"/>
        <v>2.0966447401353387E-2</v>
      </c>
      <c r="K184" s="3">
        <f t="shared" si="120"/>
        <v>2.0966447401353387E-2</v>
      </c>
      <c r="L184" s="3">
        <f t="shared" si="120"/>
        <v>2.0966447401353387E-2</v>
      </c>
      <c r="M184" s="3">
        <f t="shared" si="120"/>
        <v>2.0966447401353387E-2</v>
      </c>
      <c r="N184" s="3">
        <f t="shared" si="120"/>
        <v>2.0966447401353387E-2</v>
      </c>
      <c r="O184" s="3">
        <f t="shared" si="120"/>
        <v>2.0966447401353387E-2</v>
      </c>
      <c r="P184" s="3">
        <f t="shared" si="120"/>
        <v>2.0966447401353387E-2</v>
      </c>
      <c r="Q184" s="3">
        <f t="shared" si="120"/>
        <v>2.0966447401353387E-2</v>
      </c>
      <c r="R184" s="3">
        <f t="shared" si="120"/>
        <v>2.0966447401353384E-2</v>
      </c>
      <c r="S184" s="3">
        <f t="shared" si="120"/>
        <v>2.0966447401353366E-2</v>
      </c>
      <c r="T184" s="3">
        <f t="shared" si="120"/>
        <v>2.0966447401353172E-2</v>
      </c>
      <c r="U184" s="3">
        <f t="shared" si="120"/>
        <v>2.0966447401351257E-2</v>
      </c>
      <c r="V184" s="3">
        <f t="shared" si="120"/>
        <v>2.0966447401332078E-2</v>
      </c>
      <c r="W184" s="3">
        <f t="shared" si="120"/>
        <v>2.0966447401140297E-2</v>
      </c>
      <c r="X184" s="3">
        <f t="shared" si="120"/>
        <v>2.0966447399222484E-2</v>
      </c>
      <c r="Y184" s="3">
        <f t="shared" si="120"/>
        <v>2.0966447380044329E-2</v>
      </c>
      <c r="Z184" s="3">
        <f t="shared" si="120"/>
        <v>2.0966447188262818E-2</v>
      </c>
      <c r="AA184" s="3">
        <f t="shared" si="120"/>
        <v>2.0966445270447786E-2</v>
      </c>
      <c r="AB184" s="3">
        <f t="shared" si="120"/>
        <v>2.0966426092307117E-2</v>
      </c>
      <c r="AC184" s="3">
        <f t="shared" si="120"/>
        <v>2.0966234311865242E-2</v>
      </c>
      <c r="AD184" s="3">
        <f t="shared" si="120"/>
        <v>2.0964316603925993E-2</v>
      </c>
      <c r="AE184" s="3">
        <f t="shared" si="120"/>
        <v>2.0945149169217924E-2</v>
      </c>
      <c r="AF184" s="3">
        <f t="shared" si="120"/>
        <v>2.0754436034389812E-2</v>
      </c>
      <c r="AG184" s="3"/>
      <c r="AH184" s="3"/>
    </row>
    <row r="185" spans="2:34" x14ac:dyDescent="0.25">
      <c r="B185" s="3">
        <f t="shared" ref="B185:AF185" si="121">$C32*EXP(-B$168/$A32/EXP(-$C$126))</f>
        <v>3.9443248072899657E-3</v>
      </c>
      <c r="C185" s="3">
        <f t="shared" si="121"/>
        <v>3.9443248072899657E-3</v>
      </c>
      <c r="D185" s="3">
        <f t="shared" si="121"/>
        <v>3.9443248072899657E-3</v>
      </c>
      <c r="E185" s="3">
        <f t="shared" si="121"/>
        <v>3.9443248072899657E-3</v>
      </c>
      <c r="F185" s="3">
        <f t="shared" si="121"/>
        <v>3.9443248072899657E-3</v>
      </c>
      <c r="G185" s="3">
        <f t="shared" si="121"/>
        <v>3.9443248072899657E-3</v>
      </c>
      <c r="H185" s="3">
        <f t="shared" si="121"/>
        <v>3.9443248072899657E-3</v>
      </c>
      <c r="I185" s="3">
        <f t="shared" si="121"/>
        <v>3.9443248072899657E-3</v>
      </c>
      <c r="J185" s="3">
        <f t="shared" si="121"/>
        <v>3.9443248072899657E-3</v>
      </c>
      <c r="K185" s="3">
        <f t="shared" si="121"/>
        <v>3.9443248072899657E-3</v>
      </c>
      <c r="L185" s="3">
        <f t="shared" si="121"/>
        <v>3.9443248072899657E-3</v>
      </c>
      <c r="M185" s="3">
        <f t="shared" si="121"/>
        <v>3.9443248072899657E-3</v>
      </c>
      <c r="N185" s="3">
        <f t="shared" si="121"/>
        <v>3.9443248072899657E-3</v>
      </c>
      <c r="O185" s="3">
        <f t="shared" si="121"/>
        <v>3.9443248072899657E-3</v>
      </c>
      <c r="P185" s="3">
        <f t="shared" si="121"/>
        <v>3.9443248072899657E-3</v>
      </c>
      <c r="Q185" s="3">
        <f t="shared" si="121"/>
        <v>3.9443248072899657E-3</v>
      </c>
      <c r="R185" s="3">
        <f t="shared" si="121"/>
        <v>3.9443248072899657E-3</v>
      </c>
      <c r="S185" s="3">
        <f t="shared" si="121"/>
        <v>3.9443248072899648E-3</v>
      </c>
      <c r="T185" s="3">
        <f t="shared" si="121"/>
        <v>3.9443248072899622E-3</v>
      </c>
      <c r="U185" s="3">
        <f t="shared" si="121"/>
        <v>3.9443248072899293E-3</v>
      </c>
      <c r="V185" s="3">
        <f t="shared" si="121"/>
        <v>3.944324807289604E-3</v>
      </c>
      <c r="W185" s="3">
        <f t="shared" si="121"/>
        <v>3.9443248072863497E-3</v>
      </c>
      <c r="X185" s="3">
        <f t="shared" si="121"/>
        <v>3.9443248072538037E-3</v>
      </c>
      <c r="Y185" s="3">
        <f t="shared" si="121"/>
        <v>3.94432480692834E-3</v>
      </c>
      <c r="Z185" s="3">
        <f t="shared" si="121"/>
        <v>3.9443248036737143E-3</v>
      </c>
      <c r="AA185" s="3">
        <f t="shared" si="121"/>
        <v>3.9443247711274491E-3</v>
      </c>
      <c r="AB185" s="3">
        <f t="shared" si="121"/>
        <v>3.9443244456648166E-3</v>
      </c>
      <c r="AC185" s="3">
        <f t="shared" si="121"/>
        <v>3.9443211910399623E-3</v>
      </c>
      <c r="AD185" s="3">
        <f t="shared" si="121"/>
        <v>3.9442886449391262E-3</v>
      </c>
      <c r="AE185" s="3">
        <f t="shared" si="121"/>
        <v>3.9439631987006653E-3</v>
      </c>
      <c r="AF185" s="3">
        <f t="shared" si="121"/>
        <v>3.9407102128553688E-3</v>
      </c>
      <c r="AG185" s="3"/>
      <c r="AH185" s="3"/>
    </row>
    <row r="186" spans="2:34" x14ac:dyDescent="0.25">
      <c r="B186" s="3">
        <f t="shared" ref="B186:AF186" si="122">$C33*EXP(-B$168/$A33/EXP(-$C$126))</f>
        <v>3.51380910541953E-3</v>
      </c>
      <c r="C186" s="3">
        <f t="shared" si="122"/>
        <v>3.51380910541953E-3</v>
      </c>
      <c r="D186" s="3">
        <f t="shared" si="122"/>
        <v>3.51380910541953E-3</v>
      </c>
      <c r="E186" s="3">
        <f t="shared" si="122"/>
        <v>3.51380910541953E-3</v>
      </c>
      <c r="F186" s="3">
        <f t="shared" si="122"/>
        <v>3.51380910541953E-3</v>
      </c>
      <c r="G186" s="3">
        <f t="shared" si="122"/>
        <v>3.51380910541953E-3</v>
      </c>
      <c r="H186" s="3">
        <f t="shared" si="122"/>
        <v>3.51380910541953E-3</v>
      </c>
      <c r="I186" s="3">
        <f t="shared" si="122"/>
        <v>3.51380910541953E-3</v>
      </c>
      <c r="J186" s="3">
        <f t="shared" si="122"/>
        <v>3.51380910541953E-3</v>
      </c>
      <c r="K186" s="3">
        <f t="shared" si="122"/>
        <v>3.51380910541953E-3</v>
      </c>
      <c r="L186" s="3">
        <f t="shared" si="122"/>
        <v>3.51380910541953E-3</v>
      </c>
      <c r="M186" s="3">
        <f t="shared" si="122"/>
        <v>3.51380910541953E-3</v>
      </c>
      <c r="N186" s="3">
        <f t="shared" si="122"/>
        <v>3.51380910541953E-3</v>
      </c>
      <c r="O186" s="3">
        <f t="shared" si="122"/>
        <v>3.51380910541953E-3</v>
      </c>
      <c r="P186" s="3">
        <f t="shared" si="122"/>
        <v>3.51380910541953E-3</v>
      </c>
      <c r="Q186" s="3">
        <f t="shared" si="122"/>
        <v>3.51380910541953E-3</v>
      </c>
      <c r="R186" s="3">
        <f t="shared" si="122"/>
        <v>3.51380910541953E-3</v>
      </c>
      <c r="S186" s="3">
        <f t="shared" si="122"/>
        <v>3.51380910541953E-3</v>
      </c>
      <c r="T186" s="3">
        <f t="shared" si="122"/>
        <v>3.5138091054195296E-3</v>
      </c>
      <c r="U186" s="3">
        <f t="shared" si="122"/>
        <v>3.5138091054195274E-3</v>
      </c>
      <c r="V186" s="3">
        <f t="shared" si="122"/>
        <v>3.5138091054195009E-3</v>
      </c>
      <c r="W186" s="3">
        <f t="shared" si="122"/>
        <v>3.5138091054192394E-3</v>
      </c>
      <c r="X186" s="3">
        <f t="shared" si="122"/>
        <v>3.5138091054166239E-3</v>
      </c>
      <c r="Y186" s="3">
        <f t="shared" si="122"/>
        <v>3.513809105390469E-3</v>
      </c>
      <c r="Z186" s="3">
        <f t="shared" si="122"/>
        <v>3.51380910512892E-3</v>
      </c>
      <c r="AA186" s="3">
        <f t="shared" si="122"/>
        <v>3.5138091025134289E-3</v>
      </c>
      <c r="AB186" s="3">
        <f t="shared" si="122"/>
        <v>3.5138090763585186E-3</v>
      </c>
      <c r="AC186" s="3">
        <f t="shared" si="122"/>
        <v>3.5138088148094246E-3</v>
      </c>
      <c r="AD186" s="3">
        <f t="shared" si="122"/>
        <v>3.5138061993195573E-3</v>
      </c>
      <c r="AE186" s="3">
        <f t="shared" si="122"/>
        <v>3.5137800445279601E-3</v>
      </c>
      <c r="AF186" s="3">
        <f t="shared" si="122"/>
        <v>3.5135185073192328E-3</v>
      </c>
      <c r="AG186" s="3"/>
      <c r="AH186" s="3"/>
    </row>
    <row r="187" spans="2:34" x14ac:dyDescent="0.25">
      <c r="B187" s="3">
        <f t="shared" ref="B187:AF187" si="123">$C34*EXP(-B$168/$A34/EXP(-$C$126))</f>
        <v>7.1978944921583432E-4</v>
      </c>
      <c r="C187" s="3">
        <f t="shared" si="123"/>
        <v>7.1978944921583432E-4</v>
      </c>
      <c r="D187" s="3">
        <f t="shared" si="123"/>
        <v>7.1978944921583432E-4</v>
      </c>
      <c r="E187" s="3">
        <f t="shared" si="123"/>
        <v>7.1978944921583432E-4</v>
      </c>
      <c r="F187" s="3">
        <f t="shared" si="123"/>
        <v>7.1978944921583432E-4</v>
      </c>
      <c r="G187" s="3">
        <f t="shared" si="123"/>
        <v>7.1978944921583432E-4</v>
      </c>
      <c r="H187" s="3">
        <f t="shared" si="123"/>
        <v>7.1978944921583432E-4</v>
      </c>
      <c r="I187" s="3">
        <f t="shared" si="123"/>
        <v>7.1978944921583432E-4</v>
      </c>
      <c r="J187" s="3">
        <f t="shared" si="123"/>
        <v>7.1978944921583432E-4</v>
      </c>
      <c r="K187" s="3">
        <f t="shared" si="123"/>
        <v>7.1978944921583432E-4</v>
      </c>
      <c r="L187" s="3">
        <f t="shared" si="123"/>
        <v>7.1978944921583432E-4</v>
      </c>
      <c r="M187" s="3">
        <f t="shared" si="123"/>
        <v>7.1978944921583432E-4</v>
      </c>
      <c r="N187" s="3">
        <f t="shared" si="123"/>
        <v>7.1978944921583432E-4</v>
      </c>
      <c r="O187" s="3">
        <f t="shared" si="123"/>
        <v>7.1978944921583432E-4</v>
      </c>
      <c r="P187" s="3">
        <f t="shared" si="123"/>
        <v>7.1978944921583432E-4</v>
      </c>
      <c r="Q187" s="3">
        <f t="shared" si="123"/>
        <v>7.1978944921583432E-4</v>
      </c>
      <c r="R187" s="3">
        <f t="shared" si="123"/>
        <v>7.1978944921583432E-4</v>
      </c>
      <c r="S187" s="3">
        <f t="shared" si="123"/>
        <v>7.1978944921583432E-4</v>
      </c>
      <c r="T187" s="3">
        <f t="shared" si="123"/>
        <v>7.1978944921583432E-4</v>
      </c>
      <c r="U187" s="3">
        <f t="shared" si="123"/>
        <v>7.1978944921583421E-4</v>
      </c>
      <c r="V187" s="3">
        <f t="shared" si="123"/>
        <v>7.1978944921583378E-4</v>
      </c>
      <c r="W187" s="3">
        <f t="shared" si="123"/>
        <v>7.1978944921582901E-4</v>
      </c>
      <c r="X187" s="3">
        <f t="shared" si="123"/>
        <v>7.1978944921578065E-4</v>
      </c>
      <c r="Y187" s="3">
        <f t="shared" si="123"/>
        <v>7.1978944921529731E-4</v>
      </c>
      <c r="Z187" s="3">
        <f t="shared" si="123"/>
        <v>7.1978944921046416E-4</v>
      </c>
      <c r="AA187" s="3">
        <f t="shared" si="123"/>
        <v>7.1978944916213303E-4</v>
      </c>
      <c r="AB187" s="3">
        <f t="shared" si="123"/>
        <v>7.197894486788215E-4</v>
      </c>
      <c r="AC187" s="3">
        <f t="shared" si="123"/>
        <v>7.1978944384570637E-4</v>
      </c>
      <c r="AD187" s="3">
        <f t="shared" si="123"/>
        <v>7.1978939551455685E-4</v>
      </c>
      <c r="AE187" s="3">
        <f t="shared" si="123"/>
        <v>7.1978891220323966E-4</v>
      </c>
      <c r="AF187" s="3">
        <f t="shared" si="123"/>
        <v>7.1978407910791705E-4</v>
      </c>
      <c r="AG187" s="3"/>
      <c r="AH187" s="3"/>
    </row>
    <row r="188" spans="2:34" x14ac:dyDescent="0.25">
      <c r="B188" s="3">
        <f t="shared" ref="B188:AF188" si="124">$C35*EXP(-B$168/$A35/EXP(-$C$126))</f>
        <v>5.3803230598076777E-4</v>
      </c>
      <c r="C188" s="3">
        <f t="shared" si="124"/>
        <v>5.3803230598076777E-4</v>
      </c>
      <c r="D188" s="3">
        <f t="shared" si="124"/>
        <v>5.3803230598076777E-4</v>
      </c>
      <c r="E188" s="3">
        <f t="shared" si="124"/>
        <v>5.3803230598076777E-4</v>
      </c>
      <c r="F188" s="3">
        <f t="shared" si="124"/>
        <v>5.3803230598076777E-4</v>
      </c>
      <c r="G188" s="3">
        <f t="shared" si="124"/>
        <v>5.3803230598076777E-4</v>
      </c>
      <c r="H188" s="3">
        <f t="shared" si="124"/>
        <v>5.3803230598076777E-4</v>
      </c>
      <c r="I188" s="3">
        <f t="shared" si="124"/>
        <v>5.3803230598076777E-4</v>
      </c>
      <c r="J188" s="3">
        <f t="shared" si="124"/>
        <v>5.3803230598076777E-4</v>
      </c>
      <c r="K188" s="3">
        <f t="shared" si="124"/>
        <v>5.3803230598076777E-4</v>
      </c>
      <c r="L188" s="3">
        <f t="shared" si="124"/>
        <v>5.3803230598076777E-4</v>
      </c>
      <c r="M188" s="3">
        <f t="shared" si="124"/>
        <v>5.3803230598076777E-4</v>
      </c>
      <c r="N188" s="3">
        <f t="shared" si="124"/>
        <v>5.3803230598076777E-4</v>
      </c>
      <c r="O188" s="3">
        <f t="shared" si="124"/>
        <v>5.3803230598076777E-4</v>
      </c>
      <c r="P188" s="3">
        <f t="shared" si="124"/>
        <v>5.3803230598076777E-4</v>
      </c>
      <c r="Q188" s="3">
        <f t="shared" si="124"/>
        <v>5.3803230598076777E-4</v>
      </c>
      <c r="R188" s="3">
        <f t="shared" si="124"/>
        <v>5.3803230598076777E-4</v>
      </c>
      <c r="S188" s="3">
        <f t="shared" si="124"/>
        <v>5.3803230598076777E-4</v>
      </c>
      <c r="T188" s="3">
        <f t="shared" si="124"/>
        <v>5.3803230598076777E-4</v>
      </c>
      <c r="U188" s="3">
        <f t="shared" si="124"/>
        <v>5.3803230598076777E-4</v>
      </c>
      <c r="V188" s="3">
        <f t="shared" si="124"/>
        <v>5.3803230598076766E-4</v>
      </c>
      <c r="W188" s="3">
        <f t="shared" si="124"/>
        <v>5.3803230598076744E-4</v>
      </c>
      <c r="X188" s="3">
        <f t="shared" si="124"/>
        <v>5.3803230598076408E-4</v>
      </c>
      <c r="Y188" s="3">
        <f t="shared" si="124"/>
        <v>5.3803230598073156E-4</v>
      </c>
      <c r="Z188" s="3">
        <f t="shared" si="124"/>
        <v>5.3803230598040565E-4</v>
      </c>
      <c r="AA188" s="3">
        <f t="shared" si="124"/>
        <v>5.3803230597714675E-4</v>
      </c>
      <c r="AB188" s="3">
        <f t="shared" si="124"/>
        <v>5.3803230594455737E-4</v>
      </c>
      <c r="AC188" s="3">
        <f t="shared" si="124"/>
        <v>5.3803230561866311E-4</v>
      </c>
      <c r="AD188" s="3">
        <f t="shared" si="124"/>
        <v>5.3803230235972127E-4</v>
      </c>
      <c r="AE188" s="3">
        <f t="shared" si="124"/>
        <v>5.38032269770304E-4</v>
      </c>
      <c r="AF188" s="3">
        <f t="shared" si="124"/>
        <v>5.3803194387623998E-4</v>
      </c>
      <c r="AG188" s="3"/>
      <c r="AH188" s="3"/>
    </row>
    <row r="189" spans="2:34" x14ac:dyDescent="0.25">
      <c r="B189" s="3">
        <f t="shared" ref="B189:AF189" si="125">$C36*EXP(-B$168/$A36/EXP(-$C$126))</f>
        <v>5.6418757759686938E-4</v>
      </c>
      <c r="C189" s="3">
        <f t="shared" si="125"/>
        <v>5.6418757759686938E-4</v>
      </c>
      <c r="D189" s="3">
        <f t="shared" si="125"/>
        <v>5.6418757759686938E-4</v>
      </c>
      <c r="E189" s="3">
        <f t="shared" si="125"/>
        <v>5.6418757759686938E-4</v>
      </c>
      <c r="F189" s="3">
        <f t="shared" si="125"/>
        <v>5.6418757759686938E-4</v>
      </c>
      <c r="G189" s="3">
        <f t="shared" si="125"/>
        <v>5.6418757759686938E-4</v>
      </c>
      <c r="H189" s="3">
        <f t="shared" si="125"/>
        <v>5.6418757759686938E-4</v>
      </c>
      <c r="I189" s="3">
        <f t="shared" si="125"/>
        <v>5.6418757759686938E-4</v>
      </c>
      <c r="J189" s="3">
        <f t="shared" si="125"/>
        <v>5.6418757759686938E-4</v>
      </c>
      <c r="K189" s="3">
        <f t="shared" si="125"/>
        <v>5.6418757759686938E-4</v>
      </c>
      <c r="L189" s="3">
        <f t="shared" si="125"/>
        <v>5.6418757759686938E-4</v>
      </c>
      <c r="M189" s="3">
        <f t="shared" si="125"/>
        <v>5.6418757759686938E-4</v>
      </c>
      <c r="N189" s="3">
        <f t="shared" si="125"/>
        <v>5.6418757759686938E-4</v>
      </c>
      <c r="O189" s="3">
        <f t="shared" si="125"/>
        <v>5.6418757759686938E-4</v>
      </c>
      <c r="P189" s="3">
        <f t="shared" si="125"/>
        <v>5.6418757759686938E-4</v>
      </c>
      <c r="Q189" s="3">
        <f t="shared" si="125"/>
        <v>5.6418757759686938E-4</v>
      </c>
      <c r="R189" s="3">
        <f t="shared" si="125"/>
        <v>5.6418757759686938E-4</v>
      </c>
      <c r="S189" s="3">
        <f t="shared" si="125"/>
        <v>5.6418757759686938E-4</v>
      </c>
      <c r="T189" s="3">
        <f t="shared" si="125"/>
        <v>5.6418757759686938E-4</v>
      </c>
      <c r="U189" s="3">
        <f t="shared" si="125"/>
        <v>5.6418757759686938E-4</v>
      </c>
      <c r="V189" s="3">
        <f t="shared" si="125"/>
        <v>5.6418757759686938E-4</v>
      </c>
      <c r="W189" s="3">
        <f t="shared" si="125"/>
        <v>5.6418757759686927E-4</v>
      </c>
      <c r="X189" s="3">
        <f t="shared" si="125"/>
        <v>5.6418757759686905E-4</v>
      </c>
      <c r="Y189" s="3">
        <f t="shared" si="125"/>
        <v>5.6418757759686591E-4</v>
      </c>
      <c r="Z189" s="3">
        <f t="shared" si="125"/>
        <v>5.6418757759683512E-4</v>
      </c>
      <c r="AA189" s="3">
        <f t="shared" si="125"/>
        <v>5.6418757759652688E-4</v>
      </c>
      <c r="AB189" s="3">
        <f t="shared" si="125"/>
        <v>5.6418757759344417E-4</v>
      </c>
      <c r="AC189" s="3">
        <f t="shared" si="125"/>
        <v>5.6418757756261661E-4</v>
      </c>
      <c r="AD189" s="3">
        <f t="shared" si="125"/>
        <v>5.6418757725434151E-4</v>
      </c>
      <c r="AE189" s="3">
        <f t="shared" si="125"/>
        <v>5.6418757417159109E-4</v>
      </c>
      <c r="AF189" s="3">
        <f t="shared" si="125"/>
        <v>5.6418754334408778E-4</v>
      </c>
      <c r="AG189" s="3"/>
      <c r="AH189" s="3"/>
    </row>
    <row r="190" spans="2:34" x14ac:dyDescent="0.25">
      <c r="B190" s="3">
        <f t="shared" ref="B190:AF190" si="126">$C37*EXP(-B$168/$A37/EXP(-$C$126))</f>
        <v>5.289794145093928E-4</v>
      </c>
      <c r="C190" s="3">
        <f t="shared" si="126"/>
        <v>5.289794145093928E-4</v>
      </c>
      <c r="D190" s="3">
        <f t="shared" si="126"/>
        <v>5.289794145093928E-4</v>
      </c>
      <c r="E190" s="3">
        <f t="shared" si="126"/>
        <v>5.289794145093928E-4</v>
      </c>
      <c r="F190" s="3">
        <f t="shared" si="126"/>
        <v>5.289794145093928E-4</v>
      </c>
      <c r="G190" s="3">
        <f t="shared" si="126"/>
        <v>5.289794145093928E-4</v>
      </c>
      <c r="H190" s="3">
        <f t="shared" si="126"/>
        <v>5.289794145093928E-4</v>
      </c>
      <c r="I190" s="3">
        <f t="shared" si="126"/>
        <v>5.289794145093928E-4</v>
      </c>
      <c r="J190" s="3">
        <f t="shared" si="126"/>
        <v>5.289794145093928E-4</v>
      </c>
      <c r="K190" s="3">
        <f t="shared" si="126"/>
        <v>5.289794145093928E-4</v>
      </c>
      <c r="L190" s="3">
        <f t="shared" si="126"/>
        <v>5.289794145093928E-4</v>
      </c>
      <c r="M190" s="3">
        <f t="shared" si="126"/>
        <v>5.289794145093928E-4</v>
      </c>
      <c r="N190" s="3">
        <f t="shared" si="126"/>
        <v>5.289794145093928E-4</v>
      </c>
      <c r="O190" s="3">
        <f t="shared" si="126"/>
        <v>5.289794145093928E-4</v>
      </c>
      <c r="P190" s="3">
        <f t="shared" si="126"/>
        <v>5.289794145093928E-4</v>
      </c>
      <c r="Q190" s="3">
        <f t="shared" si="126"/>
        <v>5.289794145093928E-4</v>
      </c>
      <c r="R190" s="3">
        <f t="shared" si="126"/>
        <v>5.289794145093928E-4</v>
      </c>
      <c r="S190" s="3">
        <f t="shared" si="126"/>
        <v>5.289794145093928E-4</v>
      </c>
      <c r="T190" s="3">
        <f t="shared" si="126"/>
        <v>5.289794145093928E-4</v>
      </c>
      <c r="U190" s="3">
        <f t="shared" si="126"/>
        <v>5.289794145093928E-4</v>
      </c>
      <c r="V190" s="3">
        <f t="shared" si="126"/>
        <v>5.289794145093928E-4</v>
      </c>
      <c r="W190" s="3">
        <f t="shared" si="126"/>
        <v>5.289794145093928E-4</v>
      </c>
      <c r="X190" s="3">
        <f t="shared" si="126"/>
        <v>5.289794145093928E-4</v>
      </c>
      <c r="Y190" s="3">
        <f t="shared" si="126"/>
        <v>5.2897941450939247E-4</v>
      </c>
      <c r="Z190" s="3">
        <f t="shared" si="126"/>
        <v>5.2897941450938987E-4</v>
      </c>
      <c r="AA190" s="3">
        <f t="shared" si="126"/>
        <v>5.2897941450936385E-4</v>
      </c>
      <c r="AB190" s="3">
        <f t="shared" si="126"/>
        <v>5.289794145091031E-4</v>
      </c>
      <c r="AC190" s="3">
        <f t="shared" si="126"/>
        <v>5.289794145064957E-4</v>
      </c>
      <c r="AD190" s="3">
        <f t="shared" si="126"/>
        <v>5.2897941448042216E-4</v>
      </c>
      <c r="AE190" s="3">
        <f t="shared" si="126"/>
        <v>5.2897941421968661E-4</v>
      </c>
      <c r="AF190" s="3">
        <f t="shared" si="126"/>
        <v>5.2897941161233141E-4</v>
      </c>
      <c r="AG190" s="3"/>
      <c r="AH190" s="3"/>
    </row>
    <row r="191" spans="2:34" x14ac:dyDescent="0.25">
      <c r="B191" s="3">
        <f t="shared" ref="B191:AF191" si="127">$C38*EXP(-B$168/$A38/EXP(-$C$126))</f>
        <v>5.3547450135887617E-5</v>
      </c>
      <c r="C191" s="3">
        <f t="shared" si="127"/>
        <v>5.3547450135887617E-5</v>
      </c>
      <c r="D191" s="3">
        <f t="shared" si="127"/>
        <v>5.3547450135887617E-5</v>
      </c>
      <c r="E191" s="3">
        <f t="shared" si="127"/>
        <v>5.3547450135887617E-5</v>
      </c>
      <c r="F191" s="3">
        <f t="shared" si="127"/>
        <v>5.3547450135887617E-5</v>
      </c>
      <c r="G191" s="3">
        <f t="shared" si="127"/>
        <v>5.3547450135887617E-5</v>
      </c>
      <c r="H191" s="3">
        <f t="shared" si="127"/>
        <v>5.3547450135887617E-5</v>
      </c>
      <c r="I191" s="3">
        <f t="shared" si="127"/>
        <v>5.3547450135887617E-5</v>
      </c>
      <c r="J191" s="3">
        <f t="shared" si="127"/>
        <v>5.3547450135887617E-5</v>
      </c>
      <c r="K191" s="3">
        <f t="shared" si="127"/>
        <v>5.3547450135887617E-5</v>
      </c>
      <c r="L191" s="3">
        <f t="shared" si="127"/>
        <v>5.3547450135887617E-5</v>
      </c>
      <c r="M191" s="3">
        <f t="shared" si="127"/>
        <v>5.3547450135887617E-5</v>
      </c>
      <c r="N191" s="3">
        <f t="shared" si="127"/>
        <v>5.3547450135887617E-5</v>
      </c>
      <c r="O191" s="3">
        <f t="shared" si="127"/>
        <v>5.3547450135887617E-5</v>
      </c>
      <c r="P191" s="3">
        <f t="shared" si="127"/>
        <v>5.3547450135887617E-5</v>
      </c>
      <c r="Q191" s="3">
        <f t="shared" si="127"/>
        <v>5.3547450135887617E-5</v>
      </c>
      <c r="R191" s="3">
        <f t="shared" si="127"/>
        <v>5.3547450135887617E-5</v>
      </c>
      <c r="S191" s="3">
        <f t="shared" si="127"/>
        <v>5.3547450135887617E-5</v>
      </c>
      <c r="T191" s="3">
        <f t="shared" si="127"/>
        <v>5.3547450135887617E-5</v>
      </c>
      <c r="U191" s="3">
        <f t="shared" si="127"/>
        <v>5.3547450135887617E-5</v>
      </c>
      <c r="V191" s="3">
        <f t="shared" si="127"/>
        <v>5.3547450135887617E-5</v>
      </c>
      <c r="W191" s="3">
        <f t="shared" si="127"/>
        <v>5.3547450135887617E-5</v>
      </c>
      <c r="X191" s="3">
        <f t="shared" si="127"/>
        <v>5.3547450135887617E-5</v>
      </c>
      <c r="Y191" s="3">
        <f t="shared" si="127"/>
        <v>5.3547450135887617E-5</v>
      </c>
      <c r="Z191" s="3">
        <f t="shared" si="127"/>
        <v>5.354745013588759E-5</v>
      </c>
      <c r="AA191" s="3">
        <f t="shared" si="127"/>
        <v>5.3547450135887353E-5</v>
      </c>
      <c r="AB191" s="3">
        <f t="shared" si="127"/>
        <v>5.3547450135884974E-5</v>
      </c>
      <c r="AC191" s="3">
        <f t="shared" si="127"/>
        <v>5.3547450135861163E-5</v>
      </c>
      <c r="AD191" s="3">
        <f t="shared" si="127"/>
        <v>5.3547450135623065E-5</v>
      </c>
      <c r="AE191" s="3">
        <f t="shared" si="127"/>
        <v>5.3547450133242137E-5</v>
      </c>
      <c r="AF191" s="3">
        <f t="shared" si="127"/>
        <v>5.3547450109432827E-5</v>
      </c>
      <c r="AG191" s="3"/>
      <c r="AH191" s="3"/>
    </row>
    <row r="192" spans="2:34" x14ac:dyDescent="0.25">
      <c r="B192" s="3">
        <f t="shared" ref="B192:AF192" si="128">$C39*EXP(-B$168/$A39/EXP(-$C$126))</f>
        <v>4.4495454548071421E-4</v>
      </c>
      <c r="C192" s="3">
        <f t="shared" si="128"/>
        <v>4.4495454548071421E-4</v>
      </c>
      <c r="D192" s="3">
        <f t="shared" si="128"/>
        <v>4.4495454548071421E-4</v>
      </c>
      <c r="E192" s="3">
        <f t="shared" si="128"/>
        <v>4.4495454548071421E-4</v>
      </c>
      <c r="F192" s="3">
        <f t="shared" si="128"/>
        <v>4.4495454548071421E-4</v>
      </c>
      <c r="G192" s="3">
        <f t="shared" si="128"/>
        <v>4.4495454548071421E-4</v>
      </c>
      <c r="H192" s="3">
        <f t="shared" si="128"/>
        <v>4.4495454548071421E-4</v>
      </c>
      <c r="I192" s="3">
        <f t="shared" si="128"/>
        <v>4.4495454548071421E-4</v>
      </c>
      <c r="J192" s="3">
        <f t="shared" si="128"/>
        <v>4.4495454548071421E-4</v>
      </c>
      <c r="K192" s="3">
        <f t="shared" si="128"/>
        <v>4.4495454548071421E-4</v>
      </c>
      <c r="L192" s="3">
        <f t="shared" si="128"/>
        <v>4.4495454548071421E-4</v>
      </c>
      <c r="M192" s="3">
        <f t="shared" si="128"/>
        <v>4.4495454548071421E-4</v>
      </c>
      <c r="N192" s="3">
        <f t="shared" si="128"/>
        <v>4.4495454548071421E-4</v>
      </c>
      <c r="O192" s="3">
        <f t="shared" si="128"/>
        <v>4.4495454548071421E-4</v>
      </c>
      <c r="P192" s="3">
        <f t="shared" si="128"/>
        <v>4.4495454548071421E-4</v>
      </c>
      <c r="Q192" s="3">
        <f t="shared" si="128"/>
        <v>4.4495454548071421E-4</v>
      </c>
      <c r="R192" s="3">
        <f t="shared" si="128"/>
        <v>4.4495454548071421E-4</v>
      </c>
      <c r="S192" s="3">
        <f t="shared" si="128"/>
        <v>4.4495454548071421E-4</v>
      </c>
      <c r="T192" s="3">
        <f t="shared" si="128"/>
        <v>4.4495454548071421E-4</v>
      </c>
      <c r="U192" s="3">
        <f t="shared" si="128"/>
        <v>4.4495454548071421E-4</v>
      </c>
      <c r="V192" s="3">
        <f t="shared" si="128"/>
        <v>4.4495454548071421E-4</v>
      </c>
      <c r="W192" s="3">
        <f t="shared" si="128"/>
        <v>4.4495454548071421E-4</v>
      </c>
      <c r="X192" s="3">
        <f t="shared" si="128"/>
        <v>4.4495454548071421E-4</v>
      </c>
      <c r="Y192" s="3">
        <f t="shared" si="128"/>
        <v>4.4495454548071421E-4</v>
      </c>
      <c r="Z192" s="3">
        <f t="shared" si="128"/>
        <v>4.4495454548071416E-4</v>
      </c>
      <c r="AA192" s="3">
        <f t="shared" si="128"/>
        <v>4.4495454548071361E-4</v>
      </c>
      <c r="AB192" s="3">
        <f t="shared" si="128"/>
        <v>4.4495454548070814E-4</v>
      </c>
      <c r="AC192" s="3">
        <f t="shared" si="128"/>
        <v>4.4495454548065339E-4</v>
      </c>
      <c r="AD192" s="3">
        <f t="shared" si="128"/>
        <v>4.4495454548010624E-4</v>
      </c>
      <c r="AE192" s="3">
        <f t="shared" si="128"/>
        <v>4.4495454547463433E-4</v>
      </c>
      <c r="AF192" s="3">
        <f t="shared" si="128"/>
        <v>4.4495454541991557E-4</v>
      </c>
      <c r="AG192" s="3"/>
      <c r="AH192" s="3"/>
    </row>
    <row r="193" spans="1:34" x14ac:dyDescent="0.25">
      <c r="B193" s="3">
        <f t="shared" ref="B193:AF193" si="129">$C40*EXP(-B$168/$A40/EXP(-$C$126))</f>
        <v>1.5289773047840316E-5</v>
      </c>
      <c r="C193" s="3">
        <f t="shared" si="129"/>
        <v>1.5289773047840316E-5</v>
      </c>
      <c r="D193" s="3">
        <f t="shared" si="129"/>
        <v>1.5289773047840316E-5</v>
      </c>
      <c r="E193" s="3">
        <f t="shared" si="129"/>
        <v>1.5289773047840316E-5</v>
      </c>
      <c r="F193" s="3">
        <f t="shared" si="129"/>
        <v>1.5289773047840316E-5</v>
      </c>
      <c r="G193" s="3">
        <f t="shared" si="129"/>
        <v>1.5289773047840316E-5</v>
      </c>
      <c r="H193" s="3">
        <f t="shared" si="129"/>
        <v>1.5289773047840316E-5</v>
      </c>
      <c r="I193" s="3">
        <f t="shared" si="129"/>
        <v>1.5289773047840316E-5</v>
      </c>
      <c r="J193" s="3">
        <f t="shared" si="129"/>
        <v>1.5289773047840316E-5</v>
      </c>
      <c r="K193" s="3">
        <f t="shared" si="129"/>
        <v>1.5289773047840316E-5</v>
      </c>
      <c r="L193" s="3">
        <f t="shared" si="129"/>
        <v>1.5289773047840316E-5</v>
      </c>
      <c r="M193" s="3">
        <f t="shared" si="129"/>
        <v>1.5289773047840316E-5</v>
      </c>
      <c r="N193" s="3">
        <f t="shared" si="129"/>
        <v>1.5289773047840316E-5</v>
      </c>
      <c r="O193" s="3">
        <f t="shared" si="129"/>
        <v>1.5289773047840316E-5</v>
      </c>
      <c r="P193" s="3">
        <f t="shared" si="129"/>
        <v>1.5289773047840316E-5</v>
      </c>
      <c r="Q193" s="3">
        <f t="shared" si="129"/>
        <v>1.5289773047840316E-5</v>
      </c>
      <c r="R193" s="3">
        <f t="shared" si="129"/>
        <v>1.5289773047840316E-5</v>
      </c>
      <c r="S193" s="3">
        <f t="shared" si="129"/>
        <v>1.5289773047840316E-5</v>
      </c>
      <c r="T193" s="3">
        <f t="shared" si="129"/>
        <v>1.5289773047840316E-5</v>
      </c>
      <c r="U193" s="3">
        <f t="shared" si="129"/>
        <v>1.5289773047840316E-5</v>
      </c>
      <c r="V193" s="3">
        <f t="shared" si="129"/>
        <v>1.5289773047840316E-5</v>
      </c>
      <c r="W193" s="3">
        <f t="shared" si="129"/>
        <v>1.5289773047840316E-5</v>
      </c>
      <c r="X193" s="3">
        <f t="shared" si="129"/>
        <v>1.5289773047840316E-5</v>
      </c>
      <c r="Y193" s="3">
        <f t="shared" si="129"/>
        <v>1.5289773047840316E-5</v>
      </c>
      <c r="Z193" s="3">
        <f t="shared" si="129"/>
        <v>1.5289773047840316E-5</v>
      </c>
      <c r="AA193" s="3">
        <f t="shared" si="129"/>
        <v>1.5289773047840312E-5</v>
      </c>
      <c r="AB193" s="3">
        <f t="shared" si="129"/>
        <v>1.5289773047840296E-5</v>
      </c>
      <c r="AC193" s="3">
        <f t="shared" si="129"/>
        <v>1.5289773047840106E-5</v>
      </c>
      <c r="AD193" s="3">
        <f t="shared" si="129"/>
        <v>1.5289773047838225E-5</v>
      </c>
      <c r="AE193" s="3">
        <f t="shared" si="129"/>
        <v>1.5289773047819425E-5</v>
      </c>
      <c r="AF193" s="3">
        <f t="shared" si="129"/>
        <v>1.5289773047631397E-5</v>
      </c>
      <c r="AG193" s="3"/>
      <c r="AH193" s="3"/>
    </row>
    <row r="194" spans="1:34" x14ac:dyDescent="0.25">
      <c r="B194" s="3">
        <f t="shared" ref="B194:AF194" si="130">$C41*EXP(-B$168/$A41/EXP(-$C$126))</f>
        <v>2.5082649304706281E-4</v>
      </c>
      <c r="C194" s="3">
        <f t="shared" si="130"/>
        <v>2.5082649304706281E-4</v>
      </c>
      <c r="D194" s="3">
        <f t="shared" si="130"/>
        <v>2.5082649304706281E-4</v>
      </c>
      <c r="E194" s="3">
        <f t="shared" si="130"/>
        <v>2.5082649304706281E-4</v>
      </c>
      <c r="F194" s="3">
        <f t="shared" si="130"/>
        <v>2.5082649304706281E-4</v>
      </c>
      <c r="G194" s="3">
        <f t="shared" si="130"/>
        <v>2.5082649304706281E-4</v>
      </c>
      <c r="H194" s="3">
        <f t="shared" si="130"/>
        <v>2.5082649304706281E-4</v>
      </c>
      <c r="I194" s="3">
        <f t="shared" si="130"/>
        <v>2.5082649304706281E-4</v>
      </c>
      <c r="J194" s="3">
        <f t="shared" si="130"/>
        <v>2.5082649304706281E-4</v>
      </c>
      <c r="K194" s="3">
        <f t="shared" si="130"/>
        <v>2.5082649304706281E-4</v>
      </c>
      <c r="L194" s="3">
        <f t="shared" si="130"/>
        <v>2.5082649304706281E-4</v>
      </c>
      <c r="M194" s="3">
        <f t="shared" si="130"/>
        <v>2.5082649304706281E-4</v>
      </c>
      <c r="N194" s="3">
        <f t="shared" si="130"/>
        <v>2.5082649304706281E-4</v>
      </c>
      <c r="O194" s="3">
        <f t="shared" si="130"/>
        <v>2.5082649304706281E-4</v>
      </c>
      <c r="P194" s="3">
        <f t="shared" si="130"/>
        <v>2.5082649304706281E-4</v>
      </c>
      <c r="Q194" s="3">
        <f t="shared" si="130"/>
        <v>2.5082649304706281E-4</v>
      </c>
      <c r="R194" s="3">
        <f t="shared" si="130"/>
        <v>2.5082649304706281E-4</v>
      </c>
      <c r="S194" s="3">
        <f t="shared" si="130"/>
        <v>2.5082649304706281E-4</v>
      </c>
      <c r="T194" s="3">
        <f t="shared" si="130"/>
        <v>2.5082649304706281E-4</v>
      </c>
      <c r="U194" s="3">
        <f t="shared" si="130"/>
        <v>2.5082649304706281E-4</v>
      </c>
      <c r="V194" s="3">
        <f t="shared" si="130"/>
        <v>2.5082649304706281E-4</v>
      </c>
      <c r="W194" s="3">
        <f t="shared" si="130"/>
        <v>2.5082649304706281E-4</v>
      </c>
      <c r="X194" s="3">
        <f t="shared" si="130"/>
        <v>2.5082649304706281E-4</v>
      </c>
      <c r="Y194" s="3">
        <f t="shared" si="130"/>
        <v>2.5082649304706281E-4</v>
      </c>
      <c r="Z194" s="3">
        <f t="shared" si="130"/>
        <v>2.5082649304706281E-4</v>
      </c>
      <c r="AA194" s="3">
        <f t="shared" si="130"/>
        <v>2.5082649304706281E-4</v>
      </c>
      <c r="AB194" s="3">
        <f t="shared" si="130"/>
        <v>2.5082649304706276E-4</v>
      </c>
      <c r="AC194" s="3">
        <f t="shared" si="130"/>
        <v>2.5082649304706249E-4</v>
      </c>
      <c r="AD194" s="3">
        <f t="shared" si="130"/>
        <v>2.508264930470594E-4</v>
      </c>
      <c r="AE194" s="3">
        <f t="shared" si="130"/>
        <v>2.5082649304702855E-4</v>
      </c>
      <c r="AF194" s="3">
        <f t="shared" si="130"/>
        <v>2.508264930467201E-4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5.6673676320409674E-5</v>
      </c>
      <c r="C196" s="3">
        <f t="shared" si="132"/>
        <v>5.6673676320409674E-5</v>
      </c>
      <c r="D196" s="3">
        <f t="shared" si="132"/>
        <v>5.6673676320409674E-5</v>
      </c>
      <c r="E196" s="3">
        <f t="shared" si="132"/>
        <v>5.6673676320409674E-5</v>
      </c>
      <c r="F196" s="3">
        <f t="shared" si="132"/>
        <v>5.6673676320409674E-5</v>
      </c>
      <c r="G196" s="3">
        <f t="shared" si="132"/>
        <v>5.6673676320409674E-5</v>
      </c>
      <c r="H196" s="3">
        <f t="shared" si="132"/>
        <v>5.6673676320409674E-5</v>
      </c>
      <c r="I196" s="3">
        <f t="shared" si="132"/>
        <v>5.6673676320409674E-5</v>
      </c>
      <c r="J196" s="3">
        <f t="shared" si="132"/>
        <v>5.6673676320409674E-5</v>
      </c>
      <c r="K196" s="3">
        <f t="shared" si="132"/>
        <v>5.6673676320409674E-5</v>
      </c>
      <c r="L196" s="3">
        <f t="shared" si="132"/>
        <v>5.6673676320409674E-5</v>
      </c>
      <c r="M196" s="3">
        <f t="shared" si="132"/>
        <v>5.6673676320409674E-5</v>
      </c>
      <c r="N196" s="3">
        <f t="shared" si="132"/>
        <v>5.6673676320409674E-5</v>
      </c>
      <c r="O196" s="3">
        <f t="shared" si="132"/>
        <v>5.6673676320409674E-5</v>
      </c>
      <c r="P196" s="3">
        <f t="shared" si="132"/>
        <v>5.6673676320409674E-5</v>
      </c>
      <c r="Q196" s="3">
        <f t="shared" si="132"/>
        <v>5.6673676320409674E-5</v>
      </c>
      <c r="R196" s="3">
        <f t="shared" si="132"/>
        <v>5.6673676320409674E-5</v>
      </c>
      <c r="S196" s="3">
        <f t="shared" si="132"/>
        <v>5.6673676320409674E-5</v>
      </c>
      <c r="T196" s="3">
        <f t="shared" si="132"/>
        <v>5.6673676320409674E-5</v>
      </c>
      <c r="U196" s="3">
        <f t="shared" si="132"/>
        <v>5.6673676320409674E-5</v>
      </c>
      <c r="V196" s="3">
        <f t="shared" si="132"/>
        <v>5.6673676320409674E-5</v>
      </c>
      <c r="W196" s="3">
        <f t="shared" si="132"/>
        <v>5.6673676320409674E-5</v>
      </c>
      <c r="X196" s="3">
        <f t="shared" si="132"/>
        <v>5.6673676320409674E-5</v>
      </c>
      <c r="Y196" s="3">
        <f t="shared" si="132"/>
        <v>5.6673676320409674E-5</v>
      </c>
      <c r="Z196" s="3">
        <f t="shared" si="132"/>
        <v>5.6673676320409674E-5</v>
      </c>
      <c r="AA196" s="3">
        <f t="shared" si="132"/>
        <v>5.6673676320409674E-5</v>
      </c>
      <c r="AB196" s="3">
        <f t="shared" si="132"/>
        <v>5.6673676320409674E-5</v>
      </c>
      <c r="AC196" s="3">
        <f t="shared" si="132"/>
        <v>5.6673676320409674E-5</v>
      </c>
      <c r="AD196" s="3">
        <f t="shared" si="132"/>
        <v>5.6673676320409667E-5</v>
      </c>
      <c r="AE196" s="3">
        <f t="shared" si="132"/>
        <v>5.6673676320409599E-5</v>
      </c>
      <c r="AF196" s="3">
        <f t="shared" si="132"/>
        <v>5.6673676320408901E-5</v>
      </c>
      <c r="AG196" s="3"/>
      <c r="AH196" s="3"/>
    </row>
    <row r="197" spans="1:34" x14ac:dyDescent="0.25">
      <c r="B197" s="3">
        <f t="shared" ref="B197:AF197" si="133">$C44*EXP(-B$168/$A44/EXP(-$C$126))</f>
        <v>1.228688753482083E-4</v>
      </c>
      <c r="C197" s="3">
        <f t="shared" si="133"/>
        <v>1.228688753482083E-4</v>
      </c>
      <c r="D197" s="3">
        <f t="shared" si="133"/>
        <v>1.228688753482083E-4</v>
      </c>
      <c r="E197" s="3">
        <f t="shared" si="133"/>
        <v>1.228688753482083E-4</v>
      </c>
      <c r="F197" s="3">
        <f t="shared" si="133"/>
        <v>1.228688753482083E-4</v>
      </c>
      <c r="G197" s="3">
        <f t="shared" si="133"/>
        <v>1.228688753482083E-4</v>
      </c>
      <c r="H197" s="3">
        <f t="shared" si="133"/>
        <v>1.228688753482083E-4</v>
      </c>
      <c r="I197" s="3">
        <f t="shared" si="133"/>
        <v>1.228688753482083E-4</v>
      </c>
      <c r="J197" s="3">
        <f t="shared" si="133"/>
        <v>1.228688753482083E-4</v>
      </c>
      <c r="K197" s="3">
        <f t="shared" si="133"/>
        <v>1.228688753482083E-4</v>
      </c>
      <c r="L197" s="3">
        <f t="shared" si="133"/>
        <v>1.228688753482083E-4</v>
      </c>
      <c r="M197" s="3">
        <f t="shared" si="133"/>
        <v>1.228688753482083E-4</v>
      </c>
      <c r="N197" s="3">
        <f t="shared" si="133"/>
        <v>1.228688753482083E-4</v>
      </c>
      <c r="O197" s="3">
        <f t="shared" si="133"/>
        <v>1.228688753482083E-4</v>
      </c>
      <c r="P197" s="3">
        <f t="shared" si="133"/>
        <v>1.228688753482083E-4</v>
      </c>
      <c r="Q197" s="3">
        <f t="shared" si="133"/>
        <v>1.228688753482083E-4</v>
      </c>
      <c r="R197" s="3">
        <f t="shared" si="133"/>
        <v>1.228688753482083E-4</v>
      </c>
      <c r="S197" s="3">
        <f t="shared" si="133"/>
        <v>1.228688753482083E-4</v>
      </c>
      <c r="T197" s="3">
        <f t="shared" si="133"/>
        <v>1.228688753482083E-4</v>
      </c>
      <c r="U197" s="3">
        <f t="shared" si="133"/>
        <v>1.228688753482083E-4</v>
      </c>
      <c r="V197" s="3">
        <f t="shared" si="133"/>
        <v>1.228688753482083E-4</v>
      </c>
      <c r="W197" s="3">
        <f t="shared" si="133"/>
        <v>1.228688753482083E-4</v>
      </c>
      <c r="X197" s="3">
        <f t="shared" si="133"/>
        <v>1.228688753482083E-4</v>
      </c>
      <c r="Y197" s="3">
        <f t="shared" si="133"/>
        <v>1.228688753482083E-4</v>
      </c>
      <c r="Z197" s="3">
        <f t="shared" si="133"/>
        <v>1.228688753482083E-4</v>
      </c>
      <c r="AA197" s="3">
        <f t="shared" si="133"/>
        <v>1.228688753482083E-4</v>
      </c>
      <c r="AB197" s="3">
        <f t="shared" si="133"/>
        <v>1.228688753482083E-4</v>
      </c>
      <c r="AC197" s="3">
        <f t="shared" si="133"/>
        <v>1.228688753482083E-4</v>
      </c>
      <c r="AD197" s="3">
        <f t="shared" si="133"/>
        <v>1.228688753482083E-4</v>
      </c>
      <c r="AE197" s="3">
        <f t="shared" si="133"/>
        <v>1.2286887534820827E-4</v>
      </c>
      <c r="AF197" s="3">
        <f t="shared" si="133"/>
        <v>1.2286887534820813E-4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1.663721654170598E-4</v>
      </c>
      <c r="C201" s="3">
        <f t="shared" si="137"/>
        <v>1.663721654170598E-4</v>
      </c>
      <c r="D201" s="3">
        <f t="shared" si="137"/>
        <v>1.663721654170598E-4</v>
      </c>
      <c r="E201" s="3">
        <f t="shared" si="137"/>
        <v>1.663721654170598E-4</v>
      </c>
      <c r="F201" s="3">
        <f t="shared" si="137"/>
        <v>1.663721654170598E-4</v>
      </c>
      <c r="G201" s="3">
        <f t="shared" si="137"/>
        <v>1.663721654170598E-4</v>
      </c>
      <c r="H201" s="3">
        <f t="shared" si="137"/>
        <v>1.663721654170598E-4</v>
      </c>
      <c r="I201" s="3">
        <f t="shared" si="137"/>
        <v>1.663721654170598E-4</v>
      </c>
      <c r="J201" s="3">
        <f t="shared" si="137"/>
        <v>1.663721654170598E-4</v>
      </c>
      <c r="K201" s="3">
        <f t="shared" si="137"/>
        <v>1.663721654170598E-4</v>
      </c>
      <c r="L201" s="3">
        <f t="shared" si="137"/>
        <v>1.663721654170598E-4</v>
      </c>
      <c r="M201" s="3">
        <f t="shared" si="137"/>
        <v>1.663721654170598E-4</v>
      </c>
      <c r="N201" s="3">
        <f t="shared" si="137"/>
        <v>1.663721654170598E-4</v>
      </c>
      <c r="O201" s="3">
        <f t="shared" si="137"/>
        <v>1.663721654170598E-4</v>
      </c>
      <c r="P201" s="3">
        <f t="shared" si="137"/>
        <v>1.663721654170598E-4</v>
      </c>
      <c r="Q201" s="3">
        <f t="shared" si="137"/>
        <v>1.663721654170598E-4</v>
      </c>
      <c r="R201" s="3">
        <f t="shared" si="137"/>
        <v>1.663721654170598E-4</v>
      </c>
      <c r="S201" s="3">
        <f t="shared" si="137"/>
        <v>1.663721654170598E-4</v>
      </c>
      <c r="T201" s="3">
        <f t="shared" si="137"/>
        <v>1.663721654170598E-4</v>
      </c>
      <c r="U201" s="3">
        <f t="shared" si="137"/>
        <v>1.663721654170598E-4</v>
      </c>
      <c r="V201" s="3">
        <f t="shared" si="137"/>
        <v>1.663721654170598E-4</v>
      </c>
      <c r="W201" s="3">
        <f t="shared" si="137"/>
        <v>1.663721654170598E-4</v>
      </c>
      <c r="X201" s="3">
        <f t="shared" si="137"/>
        <v>1.663721654170598E-4</v>
      </c>
      <c r="Y201" s="3">
        <f t="shared" si="137"/>
        <v>1.663721654170598E-4</v>
      </c>
      <c r="Z201" s="3">
        <f t="shared" si="137"/>
        <v>1.663721654170598E-4</v>
      </c>
      <c r="AA201" s="3">
        <f t="shared" si="137"/>
        <v>1.663721654170598E-4</v>
      </c>
      <c r="AB201" s="3">
        <f t="shared" si="137"/>
        <v>1.663721654170598E-4</v>
      </c>
      <c r="AC201" s="3">
        <f t="shared" si="137"/>
        <v>1.663721654170598E-4</v>
      </c>
      <c r="AD201" s="3">
        <f t="shared" si="137"/>
        <v>1.663721654170598E-4</v>
      </c>
      <c r="AE201" s="3">
        <f t="shared" si="137"/>
        <v>1.663721654170598E-4</v>
      </c>
      <c r="AF201" s="3">
        <f t="shared" si="137"/>
        <v>1.663721654170598E-4</v>
      </c>
      <c r="AG201" s="3"/>
      <c r="AH201" s="3"/>
    </row>
    <row r="202" spans="1:34" x14ac:dyDescent="0.25">
      <c r="A202" s="79">
        <f>AVERAGE(B202:AF202)</f>
        <v>1.7968869309539746E-2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3.1512266586119909E-3</v>
      </c>
      <c r="M202" s="80">
        <f t="shared" si="138"/>
        <v>4.49180223317834E-3</v>
      </c>
      <c r="N202" s="80">
        <f t="shared" si="138"/>
        <v>1.7028585444014071E-2</v>
      </c>
      <c r="O202" s="80">
        <f t="shared" si="138"/>
        <v>8.4808626256521844E-2</v>
      </c>
      <c r="P202" s="80">
        <f t="shared" si="138"/>
        <v>0.11247457956293529</v>
      </c>
      <c r="Q202" s="80">
        <f t="shared" si="138"/>
        <v>0.10920316535438478</v>
      </c>
      <c r="R202" s="80">
        <f t="shared" si="138"/>
        <v>9.1666318924282328E-2</v>
      </c>
      <c r="S202" s="80">
        <f t="shared" si="138"/>
        <v>6.9967858011077425E-2</v>
      </c>
      <c r="T202" s="80">
        <f t="shared" si="138"/>
        <v>4.2219137055823482E-2</v>
      </c>
      <c r="U202" s="80">
        <f t="shared" si="138"/>
        <v>5.3555061522618354E-3</v>
      </c>
      <c r="V202" s="80">
        <f t="shared" si="138"/>
        <v>1.6668142942640667E-2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385.45179042368994</v>
      </c>
      <c r="C203" s="21">
        <f t="shared" ref="C203:AF203" si="139">(C170-C169)^2</f>
        <v>387.60312148538998</v>
      </c>
      <c r="D203" s="21">
        <f t="shared" si="139"/>
        <v>386.27947487010152</v>
      </c>
      <c r="E203" s="21">
        <f t="shared" si="139"/>
        <v>385.88811569609635</v>
      </c>
      <c r="F203" s="21">
        <f t="shared" si="139"/>
        <v>385.76510956218857</v>
      </c>
      <c r="G203" s="21">
        <f t="shared" si="139"/>
        <v>385.72412723009205</v>
      </c>
      <c r="H203" s="21">
        <f t="shared" si="139"/>
        <v>385.7141443106068</v>
      </c>
      <c r="I203" s="21">
        <f t="shared" si="139"/>
        <v>385.7469504219784</v>
      </c>
      <c r="J203" s="21">
        <f t="shared" si="139"/>
        <v>386.08470162893013</v>
      </c>
      <c r="K203" s="21">
        <f t="shared" si="139"/>
        <v>389.56572509923649</v>
      </c>
      <c r="L203" s="21">
        <f t="shared" si="139"/>
        <v>425.21660122482172</v>
      </c>
      <c r="M203" s="21">
        <f t="shared" si="139"/>
        <v>863.95638345353075</v>
      </c>
      <c r="N203" s="21">
        <f t="shared" si="139"/>
        <v>12416.643593115654</v>
      </c>
      <c r="O203" s="21">
        <f t="shared" si="139"/>
        <v>307958.51669049734</v>
      </c>
      <c r="P203" s="21">
        <f t="shared" si="139"/>
        <v>541220.76820351079</v>
      </c>
      <c r="Q203" s="21">
        <f t="shared" si="139"/>
        <v>506451.79821330967</v>
      </c>
      <c r="R203" s="21">
        <f t="shared" si="139"/>
        <v>343187.88616211875</v>
      </c>
      <c r="S203" s="21">
        <f t="shared" si="139"/>
        <v>190628.07602140048</v>
      </c>
      <c r="T203" s="21">
        <f t="shared" si="139"/>
        <v>65122.176556148479</v>
      </c>
      <c r="U203" s="21">
        <f t="shared" si="139"/>
        <v>931.19865651045313</v>
      </c>
      <c r="V203" s="21">
        <f t="shared" si="139"/>
        <v>7576.6195817385824</v>
      </c>
      <c r="W203" s="21">
        <f t="shared" si="139"/>
        <v>107381.01101942419</v>
      </c>
      <c r="X203" s="21">
        <f t="shared" si="139"/>
        <v>221680.48128953236</v>
      </c>
      <c r="Y203" s="21">
        <f t="shared" si="139"/>
        <v>294379.78040463105</v>
      </c>
      <c r="Z203" s="21">
        <f t="shared" si="139"/>
        <v>294352.99509362358</v>
      </c>
      <c r="AA203" s="21">
        <f t="shared" si="139"/>
        <v>218538.94747995411</v>
      </c>
      <c r="AB203" s="21">
        <f t="shared" si="139"/>
        <v>83443.450023550991</v>
      </c>
      <c r="AC203" s="21">
        <f t="shared" si="139"/>
        <v>6157.5787589951105</v>
      </c>
      <c r="AD203" s="21">
        <f t="shared" si="139"/>
        <v>26745.605486719622</v>
      </c>
      <c r="AE203" s="21">
        <f t="shared" si="139"/>
        <v>147552.98890501083</v>
      </c>
      <c r="AF203" s="21">
        <f t="shared" si="139"/>
        <v>127541.36633081845</v>
      </c>
      <c r="AG203" s="3"/>
      <c r="AH203" s="3"/>
    </row>
    <row r="204" spans="1:34" x14ac:dyDescent="0.25">
      <c r="A204" s="71">
        <f>SUM(B204:AF204)</f>
        <v>1976782.8566630287</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425.21660122482172</v>
      </c>
      <c r="M204" s="60">
        <f t="shared" ref="M204" si="150">IF($A$64&lt;=M168,IF($B$64&gt;=M168,ABS(M203),0),0)</f>
        <v>863.95638345353075</v>
      </c>
      <c r="N204" s="60">
        <f t="shared" ref="N204" si="151">IF($A$64&lt;=N168,IF($B$64&gt;=N168,ABS(N203),0),0)</f>
        <v>12416.643593115654</v>
      </c>
      <c r="O204" s="60">
        <f t="shared" ref="O204" si="152">IF($A$64&lt;=O168,IF($B$64&gt;=O168,ABS(O203),0),0)</f>
        <v>307958.51669049734</v>
      </c>
      <c r="P204" s="60">
        <f t="shared" ref="P204" si="153">IF($A$64&lt;=P168,IF($B$64&gt;=P168,ABS(P203),0),0)</f>
        <v>541220.76820351079</v>
      </c>
      <c r="Q204" s="60">
        <f t="shared" ref="Q204" si="154">IF($A$64&lt;=Q168,IF($B$64&gt;=Q168,ABS(Q203),0),0)</f>
        <v>506451.79821330967</v>
      </c>
      <c r="R204" s="60">
        <f t="shared" ref="R204" si="155">IF($A$64&lt;=R168,IF($B$64&gt;=R168,ABS(R203),0),0)</f>
        <v>343187.88616211875</v>
      </c>
      <c r="S204" s="60">
        <f t="shared" ref="S204" si="156">IF($A$64&lt;=S168,IF($B$64&gt;=S168,ABS(S203),0),0)</f>
        <v>190628.07602140048</v>
      </c>
      <c r="T204" s="60">
        <f t="shared" ref="T204" si="157">IF($A$64&lt;=T168,IF($B$64&gt;=T168,ABS(T203),0),0)</f>
        <v>65122.176556148479</v>
      </c>
      <c r="U204" s="60">
        <f t="shared" ref="U204" si="158">IF($A$64&lt;=U168,IF($B$64&gt;=U168,ABS(U203),0),0)</f>
        <v>931.19865651045313</v>
      </c>
      <c r="V204" s="60">
        <f t="shared" ref="V204" si="159">IF($A$64&lt;=V168,IF($B$64&gt;=V168,ABS(V203),0),0)</f>
        <v>7576.6195817385824</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6524.0904126194901</v>
      </c>
      <c r="C208" s="26">
        <f>INDEX(Comparison!$AM$3:$AS$33,G$14,$D$122)</f>
        <v>6524.1443595856636</v>
      </c>
      <c r="D208" s="26">
        <f>INDEX(Comparison!$AM$3:$AS$33,H$14,$D$122)</f>
        <v>6524.1111351538066</v>
      </c>
      <c r="E208" s="26">
        <f>INDEX(Comparison!$AM$3:$AS$33,I$14,$D$122)</f>
        <v>6524.1012603146964</v>
      </c>
      <c r="F208" s="26">
        <f>INDEX(Comparison!$AM$3:$AS$33,J$14,$D$122)</f>
        <v>6524.0981470711258</v>
      </c>
      <c r="G208" s="26">
        <f>INDEX(Comparison!$AM$3:$AS$33,K$14,$D$122)</f>
        <v>6524.0971012165301</v>
      </c>
      <c r="H208" s="26">
        <f>INDEX(Comparison!$AM$3:$AS$33,L$14,$D$122)</f>
        <v>6524.0967607058046</v>
      </c>
      <c r="I208" s="26">
        <f>INDEX(Comparison!$AM$3:$AS$33,M$14,$D$122)</f>
        <v>6524.0967120614177</v>
      </c>
      <c r="J208" s="26">
        <f>INDEX(Comparison!$AM$3:$AS$33,N$14,$D$122)</f>
        <v>6524.0963715507314</v>
      </c>
      <c r="K208" s="26">
        <f>INDEX(Comparison!$AM$3:$AS$33,O$14,$D$122)</f>
        <v>6524.0939393325853</v>
      </c>
      <c r="L208" s="26">
        <f>INDEX(Comparison!$AM$3:$AS$33,P$14,$D$122)</f>
        <v>6524.06939835293</v>
      </c>
      <c r="M208" s="26">
        <f>INDEX(Comparison!$AM$3:$AS$33,Q$14,$D$122)</f>
        <v>6523.8242419120506</v>
      </c>
      <c r="N208" s="26">
        <f>INDEX(Comparison!$AM$3:$AS$33,R$14,$D$122)</f>
        <v>6521.3925487999713</v>
      </c>
      <c r="O208" s="26">
        <f>INDEX(Comparison!$AM$3:$AS$33,S$14,$D$122)</f>
        <v>6498.8766153292054</v>
      </c>
      <c r="P208" s="26">
        <f>INDEX(Comparison!$AM$3:$AS$33,T$14,$D$122)</f>
        <v>6376.7108933957061</v>
      </c>
      <c r="Q208" s="26">
        <f>INDEX(Comparison!$AM$3:$AS$33,U$14,$D$122)</f>
        <v>6230.3639399807598</v>
      </c>
      <c r="R208" s="26">
        <f>INDEX(Comparison!$AM$3:$AS$33,V$14,$D$122)</f>
        <v>6066.3152248046426</v>
      </c>
      <c r="S208" s="26">
        <f>INDEX(Comparison!$AM$3:$AS$33,W$14,$D$122)</f>
        <v>5850.8000974148181</v>
      </c>
      <c r="T208" s="26">
        <f>INDEX(Comparison!$AM$3:$AS$33,X$14,$D$122)</f>
        <v>5524.1383776461034</v>
      </c>
      <c r="U208" s="26">
        <f>INDEX(Comparison!$AM$3:$AS$33,Y$14,$D$122)</f>
        <v>5037.8540321693981</v>
      </c>
      <c r="V208" s="26">
        <f>INDEX(Comparison!$AM$3:$AS$33,Z$14,$D$122)</f>
        <v>4531.1485912762591</v>
      </c>
      <c r="W208" s="26">
        <f>INDEX(Comparison!$AM$3:$AS$33,AA$14,$D$122)</f>
        <v>4100.3073895013431</v>
      </c>
      <c r="X208" s="26">
        <f>INDEX(Comparison!$AM$3:$AS$33,AB$14,$D$122)</f>
        <v>3736.9018653482362</v>
      </c>
      <c r="Y208" s="26">
        <f>INDEX(Comparison!$AM$3:$AS$33,AC$14,$D$122)</f>
        <v>3408.8002756648089</v>
      </c>
      <c r="Z208" s="26">
        <f>INDEX(Comparison!$AM$3:$AS$33,AD$14,$D$122)</f>
        <v>3078.2308446927527</v>
      </c>
      <c r="AA208" s="26">
        <f>INDEX(Comparison!$AM$3:$AS$33,AE$14,$D$122)</f>
        <v>2685.2498641877337</v>
      </c>
      <c r="AB208" s="26">
        <f>INDEX(Comparison!$AM$3:$AS$33,AF$14,$D$122)</f>
        <v>2228.0957655931211</v>
      </c>
      <c r="AC208" s="26">
        <f>INDEX(Comparison!$AM$3:$AS$33,AG$14,$D$122)</f>
        <v>1704.9584752004923</v>
      </c>
      <c r="AD208" s="26">
        <f>INDEX(Comparison!$AM$3:$AS$33,AH$14,$D$122)</f>
        <v>1135.4901421385146</v>
      </c>
      <c r="AE208" s="26">
        <f>INDEX(Comparison!$AM$3:$AS$33,AI$14,$D$122)</f>
        <v>680.51042901870051</v>
      </c>
      <c r="AF208" s="26">
        <f>INDEX(Comparison!$AM$3:$AS$33,AJ$14,$D$122)</f>
        <v>389.33964903055204</v>
      </c>
      <c r="AG208" s="26"/>
      <c r="AH208" s="26"/>
    </row>
    <row r="209" spans="1:34" x14ac:dyDescent="0.25">
      <c r="A209" s="70" t="s">
        <v>22</v>
      </c>
      <c r="B209" s="27">
        <f>($C$17+SUM(B210:B240))*$B$51</f>
        <v>6524.092299992848</v>
      </c>
      <c r="C209" s="27">
        <f t="shared" ref="C209:AF209" si="170">($C$17+SUM(C210:C240))*$B$51</f>
        <v>6524.0922999284785</v>
      </c>
      <c r="D209" s="27">
        <f t="shared" si="170"/>
        <v>6524.0922992847873</v>
      </c>
      <c r="E209" s="27">
        <f t="shared" si="170"/>
        <v>6524.0922928478712</v>
      </c>
      <c r="F209" s="27">
        <f t="shared" si="170"/>
        <v>6524.0922284787166</v>
      </c>
      <c r="G209" s="27">
        <f t="shared" si="170"/>
        <v>6524.0915847874867</v>
      </c>
      <c r="H209" s="27">
        <f t="shared" si="170"/>
        <v>6524.0851479068815</v>
      </c>
      <c r="I209" s="27">
        <f t="shared" si="170"/>
        <v>6524.0207822704824</v>
      </c>
      <c r="J209" s="27">
        <f t="shared" si="170"/>
        <v>6523.3774427657627</v>
      </c>
      <c r="K209" s="27">
        <f t="shared" si="170"/>
        <v>6516.9756289306379</v>
      </c>
      <c r="L209" s="27">
        <f t="shared" si="170"/>
        <v>6456.0134499202677</v>
      </c>
      <c r="M209" s="27">
        <f t="shared" si="170"/>
        <v>6071.0104804841794</v>
      </c>
      <c r="N209" s="27">
        <f t="shared" si="170"/>
        <v>5805.1866956737194</v>
      </c>
      <c r="O209" s="27">
        <f t="shared" si="170"/>
        <v>5805.1417147438624</v>
      </c>
      <c r="P209" s="27">
        <f t="shared" si="170"/>
        <v>5805.0356782015833</v>
      </c>
      <c r="Q209" s="27">
        <f t="shared" si="170"/>
        <v>5803.9765887051244</v>
      </c>
      <c r="R209" s="27">
        <f t="shared" si="170"/>
        <v>5793.5122143285225</v>
      </c>
      <c r="S209" s="27">
        <f t="shared" si="170"/>
        <v>5700.513503824367</v>
      </c>
      <c r="T209" s="27">
        <f t="shared" si="170"/>
        <v>5347.3859053910219</v>
      </c>
      <c r="U209" s="27">
        <f t="shared" si="170"/>
        <v>5102.444381483203</v>
      </c>
      <c r="V209" s="27">
        <f t="shared" si="170"/>
        <v>4821.1784805697071</v>
      </c>
      <c r="W209" s="27">
        <f t="shared" si="170"/>
        <v>4536.1151866548635</v>
      </c>
      <c r="X209" s="27">
        <f t="shared" si="170"/>
        <v>4229.2842391276154</v>
      </c>
      <c r="Y209" s="27">
        <f t="shared" si="170"/>
        <v>3872.0032212357642</v>
      </c>
      <c r="Z209" s="27">
        <f t="shared" si="170"/>
        <v>3403.0674520896582</v>
      </c>
      <c r="AA209" s="27">
        <f t="shared" si="170"/>
        <v>2828.656075204588</v>
      </c>
      <c r="AB209" s="27">
        <f t="shared" si="170"/>
        <v>2152.5933862945158</v>
      </c>
      <c r="AC209" s="27">
        <f t="shared" si="170"/>
        <v>1412.4271995076883</v>
      </c>
      <c r="AD209" s="27">
        <f t="shared" si="170"/>
        <v>827.67529117042955</v>
      </c>
      <c r="AE209" s="27">
        <f t="shared" si="170"/>
        <v>463.8550728746506</v>
      </c>
      <c r="AF209" s="27">
        <f t="shared" si="170"/>
        <v>257.46116269597644</v>
      </c>
      <c r="AG209" s="27"/>
      <c r="AH209" s="27"/>
    </row>
    <row r="210" spans="1:34" x14ac:dyDescent="0.25">
      <c r="B210" s="3">
        <f t="shared" ref="B210:AF210" si="171">$C18*EXP(-B$207/$A18/EXP(-$D$126))</f>
        <v>0.11019752157364891</v>
      </c>
      <c r="C210" s="3">
        <f t="shared" si="171"/>
        <v>0.11019752156378253</v>
      </c>
      <c r="D210" s="3">
        <f t="shared" si="171"/>
        <v>0.11019752146511877</v>
      </c>
      <c r="E210" s="3">
        <f t="shared" si="171"/>
        <v>0.11019752047848118</v>
      </c>
      <c r="F210" s="3">
        <f t="shared" si="171"/>
        <v>0.11019751061210573</v>
      </c>
      <c r="G210" s="3">
        <f t="shared" si="171"/>
        <v>0.1101974119483998</v>
      </c>
      <c r="H210" s="3">
        <f t="shared" si="171"/>
        <v>0.11019642531619907</v>
      </c>
      <c r="I210" s="3">
        <f t="shared" si="171"/>
        <v>0.11018655948002821</v>
      </c>
      <c r="J210" s="3">
        <f t="shared" si="171"/>
        <v>0.11008794968588595</v>
      </c>
      <c r="K210" s="3">
        <f t="shared" si="171"/>
        <v>0.1091066924503595</v>
      </c>
      <c r="L210" s="3">
        <f t="shared" si="171"/>
        <v>9.9762531515466282E-2</v>
      </c>
      <c r="M210" s="3">
        <f t="shared" si="171"/>
        <v>4.0750051973236133E-2</v>
      </c>
      <c r="N210" s="3">
        <f t="shared" si="171"/>
        <v>5.2690852679511249E-6</v>
      </c>
      <c r="O210" s="3">
        <f t="shared" si="171"/>
        <v>6.8834446353987664E-45</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6.7386263954763354E-2</v>
      </c>
      <c r="C211" s="3">
        <f t="shared" si="172"/>
        <v>6.7386263954763354E-2</v>
      </c>
      <c r="D211" s="3">
        <f t="shared" si="172"/>
        <v>6.738626395476334E-2</v>
      </c>
      <c r="E211" s="3">
        <f t="shared" si="172"/>
        <v>6.7386263954763187E-2</v>
      </c>
      <c r="F211" s="3">
        <f t="shared" si="172"/>
        <v>6.7386263954761633E-2</v>
      </c>
      <c r="G211" s="3">
        <f t="shared" si="172"/>
        <v>6.7386263954746187E-2</v>
      </c>
      <c r="H211" s="3">
        <f t="shared" si="172"/>
        <v>6.738626395459163E-2</v>
      </c>
      <c r="I211" s="3">
        <f t="shared" si="172"/>
        <v>6.7386263953046172E-2</v>
      </c>
      <c r="J211" s="3">
        <f t="shared" si="172"/>
        <v>6.738626393759152E-2</v>
      </c>
      <c r="K211" s="3">
        <f t="shared" si="172"/>
        <v>6.7386263783045033E-2</v>
      </c>
      <c r="L211" s="3">
        <f t="shared" si="172"/>
        <v>6.7386262237580236E-2</v>
      </c>
      <c r="M211" s="3">
        <f t="shared" si="172"/>
        <v>6.7386246782934187E-2</v>
      </c>
      <c r="N211" s="3">
        <f t="shared" si="172"/>
        <v>6.738609223666861E-2</v>
      </c>
      <c r="O211" s="3">
        <f t="shared" si="172"/>
        <v>6.7384546793506958E-2</v>
      </c>
      <c r="P211" s="3">
        <f t="shared" si="172"/>
        <v>6.7369094311145239E-2</v>
      </c>
      <c r="Q211" s="3">
        <f t="shared" si="172"/>
        <v>6.7214764247700592E-2</v>
      </c>
      <c r="R211" s="3">
        <f t="shared" si="172"/>
        <v>6.569077537115095E-2</v>
      </c>
      <c r="S211" s="3">
        <f t="shared" si="172"/>
        <v>5.222776859735271E-2</v>
      </c>
      <c r="T211" s="3">
        <f t="shared" si="172"/>
        <v>5.27074861579212E-3</v>
      </c>
      <c r="U211" s="3">
        <f t="shared" si="172"/>
        <v>5.7753807998034499E-13</v>
      </c>
      <c r="V211" s="3">
        <f t="shared" si="172"/>
        <v>1.4409995267012426E-112</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3.4082747841508325E-2</v>
      </c>
      <c r="C212" s="3">
        <f t="shared" si="173"/>
        <v>3.4082747841508325E-2</v>
      </c>
      <c r="D212" s="3">
        <f t="shared" si="173"/>
        <v>3.4082747841508325E-2</v>
      </c>
      <c r="E212" s="3">
        <f t="shared" si="173"/>
        <v>3.4082747841508318E-2</v>
      </c>
      <c r="F212" s="3">
        <f t="shared" si="173"/>
        <v>3.4082747841508249E-2</v>
      </c>
      <c r="G212" s="3">
        <f t="shared" si="173"/>
        <v>3.4082747841507541E-2</v>
      </c>
      <c r="H212" s="3">
        <f t="shared" si="173"/>
        <v>3.4082747841500491E-2</v>
      </c>
      <c r="I212" s="3">
        <f t="shared" si="173"/>
        <v>3.4082747841429978E-2</v>
      </c>
      <c r="J212" s="3">
        <f t="shared" si="173"/>
        <v>3.4082747840724847E-2</v>
      </c>
      <c r="K212" s="3">
        <f t="shared" si="173"/>
        <v>3.408274783367355E-2</v>
      </c>
      <c r="L212" s="3">
        <f t="shared" si="173"/>
        <v>3.4082747763160594E-2</v>
      </c>
      <c r="M212" s="3">
        <f t="shared" si="173"/>
        <v>3.4082747058031014E-2</v>
      </c>
      <c r="N212" s="3">
        <f t="shared" si="173"/>
        <v>3.4082740006736043E-2</v>
      </c>
      <c r="O212" s="3">
        <f t="shared" si="173"/>
        <v>3.4082669493866534E-2</v>
      </c>
      <c r="P212" s="3">
        <f t="shared" si="173"/>
        <v>3.4081964373194912E-2</v>
      </c>
      <c r="Q212" s="3">
        <f t="shared" si="173"/>
        <v>3.4074913968764352E-2</v>
      </c>
      <c r="R212" s="3">
        <f t="shared" si="173"/>
        <v>3.4004490091644274E-2</v>
      </c>
      <c r="S212" s="3">
        <f t="shared" si="173"/>
        <v>3.330820701042931E-2</v>
      </c>
      <c r="T212" s="3">
        <f t="shared" si="173"/>
        <v>2.7083272412068832E-2</v>
      </c>
      <c r="U212" s="3">
        <f t="shared" si="173"/>
        <v>3.4213694011322E-3</v>
      </c>
      <c r="V212" s="3">
        <f t="shared" si="173"/>
        <v>3.5415082381233918E-12</v>
      </c>
      <c r="W212" s="3">
        <f t="shared" si="173"/>
        <v>5.0011646231738573E-102</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4.6674257676140619E-2</v>
      </c>
      <c r="C213" s="3">
        <f t="shared" si="174"/>
        <v>4.6674257676140619E-2</v>
      </c>
      <c r="D213" s="3">
        <f t="shared" si="174"/>
        <v>4.6674257676140619E-2</v>
      </c>
      <c r="E213" s="3">
        <f t="shared" si="174"/>
        <v>4.6674257676140619E-2</v>
      </c>
      <c r="F213" s="3">
        <f t="shared" si="174"/>
        <v>4.6674257676140612E-2</v>
      </c>
      <c r="G213" s="3">
        <f t="shared" si="174"/>
        <v>4.6674257676140522E-2</v>
      </c>
      <c r="H213" s="3">
        <f t="shared" si="174"/>
        <v>4.6674257676139648E-2</v>
      </c>
      <c r="I213" s="3">
        <f t="shared" si="174"/>
        <v>4.667425767613094E-2</v>
      </c>
      <c r="J213" s="3">
        <f t="shared" si="174"/>
        <v>4.6674257676043829E-2</v>
      </c>
      <c r="K213" s="3">
        <f t="shared" si="174"/>
        <v>4.6674257675172755E-2</v>
      </c>
      <c r="L213" s="3">
        <f t="shared" si="174"/>
        <v>4.6674257666461945E-2</v>
      </c>
      <c r="M213" s="3">
        <f t="shared" si="174"/>
        <v>4.6674257579353888E-2</v>
      </c>
      <c r="N213" s="3">
        <f t="shared" si="174"/>
        <v>4.6674256708273285E-2</v>
      </c>
      <c r="O213" s="3">
        <f t="shared" si="174"/>
        <v>4.667424799746818E-2</v>
      </c>
      <c r="P213" s="3">
        <f t="shared" si="174"/>
        <v>4.6674160889506516E-2</v>
      </c>
      <c r="Q213" s="3">
        <f t="shared" si="174"/>
        <v>4.6673289818831183E-2</v>
      </c>
      <c r="R213" s="3">
        <f t="shared" si="174"/>
        <v>4.6664580006141945E-2</v>
      </c>
      <c r="S213" s="3">
        <f t="shared" si="174"/>
        <v>4.6577571223949538E-2</v>
      </c>
      <c r="T213" s="3">
        <f t="shared" si="174"/>
        <v>4.5716356483596364E-2</v>
      </c>
      <c r="U213" s="3">
        <f t="shared" si="174"/>
        <v>3.7933186837909097E-2</v>
      </c>
      <c r="V213" s="3">
        <f t="shared" si="174"/>
        <v>5.868086752520256E-3</v>
      </c>
      <c r="W213" s="3">
        <f t="shared" si="174"/>
        <v>4.605411931806361E-11</v>
      </c>
      <c r="X213" s="3">
        <f t="shared" si="174"/>
        <v>4.0830814422541954E-92</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4.4764266498867597E-2</v>
      </c>
      <c r="C214" s="3">
        <f t="shared" si="175"/>
        <v>4.4764266498867597E-2</v>
      </c>
      <c r="D214" s="3">
        <f t="shared" si="175"/>
        <v>4.4764266498867597E-2</v>
      </c>
      <c r="E214" s="3">
        <f t="shared" si="175"/>
        <v>4.4764266498867597E-2</v>
      </c>
      <c r="F214" s="3">
        <f t="shared" si="175"/>
        <v>4.4764266498867597E-2</v>
      </c>
      <c r="G214" s="3">
        <f t="shared" si="175"/>
        <v>4.476426649886759E-2</v>
      </c>
      <c r="H214" s="3">
        <f t="shared" si="175"/>
        <v>4.4764266498867514E-2</v>
      </c>
      <c r="I214" s="3">
        <f t="shared" si="175"/>
        <v>4.4764266498866764E-2</v>
      </c>
      <c r="J214" s="3">
        <f t="shared" si="175"/>
        <v>4.4764266498859222E-2</v>
      </c>
      <c r="K214" s="3">
        <f t="shared" si="175"/>
        <v>4.4764266498783858E-2</v>
      </c>
      <c r="L214" s="3">
        <f t="shared" si="175"/>
        <v>4.4764266498030232E-2</v>
      </c>
      <c r="M214" s="3">
        <f t="shared" si="175"/>
        <v>4.4764266490493913E-2</v>
      </c>
      <c r="N214" s="3">
        <f t="shared" si="175"/>
        <v>4.4764266415130774E-2</v>
      </c>
      <c r="O214" s="3">
        <f t="shared" si="175"/>
        <v>4.4764265661499374E-2</v>
      </c>
      <c r="P214" s="3">
        <f t="shared" si="175"/>
        <v>4.476425812518605E-2</v>
      </c>
      <c r="Q214" s="3">
        <f t="shared" si="175"/>
        <v>4.4764182762122615E-2</v>
      </c>
      <c r="R214" s="3">
        <f t="shared" si="175"/>
        <v>4.4763429138466461E-2</v>
      </c>
      <c r="S214" s="3">
        <f t="shared" si="175"/>
        <v>4.4755893599685966E-2</v>
      </c>
      <c r="T214" s="3">
        <f t="shared" si="175"/>
        <v>4.4680607946534709E-2</v>
      </c>
      <c r="U214" s="3">
        <f t="shared" si="175"/>
        <v>4.3934681636510646E-2</v>
      </c>
      <c r="V214" s="3">
        <f t="shared" si="175"/>
        <v>3.7127147538802849E-2</v>
      </c>
      <c r="W214" s="3">
        <f t="shared" si="175"/>
        <v>6.8949732451494637E-3</v>
      </c>
      <c r="X214" s="3">
        <f t="shared" si="175"/>
        <v>3.3646709586525466E-10</v>
      </c>
      <c r="Y214" s="3">
        <f t="shared" si="175"/>
        <v>2.5765747311241679E-83</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4.8577269491505953E-2</v>
      </c>
      <c r="C215" s="3">
        <f t="shared" si="176"/>
        <v>4.8577269491505953E-2</v>
      </c>
      <c r="D215" s="3">
        <f t="shared" si="176"/>
        <v>4.8577269491505953E-2</v>
      </c>
      <c r="E215" s="3">
        <f t="shared" si="176"/>
        <v>4.8577269491505953E-2</v>
      </c>
      <c r="F215" s="3">
        <f t="shared" si="176"/>
        <v>4.8577269491505953E-2</v>
      </c>
      <c r="G215" s="3">
        <f t="shared" si="176"/>
        <v>4.8577269491505953E-2</v>
      </c>
      <c r="H215" s="3">
        <f t="shared" si="176"/>
        <v>4.8577269491505939E-2</v>
      </c>
      <c r="I215" s="3">
        <f t="shared" si="176"/>
        <v>4.857726949150587E-2</v>
      </c>
      <c r="J215" s="3">
        <f t="shared" si="176"/>
        <v>4.8577269491505135E-2</v>
      </c>
      <c r="K215" s="3">
        <f t="shared" si="176"/>
        <v>4.8577269491497758E-2</v>
      </c>
      <c r="L215" s="3">
        <f t="shared" si="176"/>
        <v>4.8577269491423984E-2</v>
      </c>
      <c r="M215" s="3">
        <f t="shared" si="176"/>
        <v>4.8577269490686234E-2</v>
      </c>
      <c r="N215" s="3">
        <f t="shared" si="176"/>
        <v>4.8577269483308767E-2</v>
      </c>
      <c r="O215" s="3">
        <f t="shared" si="176"/>
        <v>4.8577269409534114E-2</v>
      </c>
      <c r="P215" s="3">
        <f t="shared" si="176"/>
        <v>4.8577268671787528E-2</v>
      </c>
      <c r="Q215" s="3">
        <f t="shared" si="176"/>
        <v>4.8577261294322348E-2</v>
      </c>
      <c r="R215" s="3">
        <f t="shared" si="176"/>
        <v>4.8577187519732189E-2</v>
      </c>
      <c r="S215" s="3">
        <f t="shared" si="176"/>
        <v>4.8576449779992883E-2</v>
      </c>
      <c r="T215" s="3">
        <f t="shared" si="176"/>
        <v>4.8569072998792928E-2</v>
      </c>
      <c r="U215" s="3">
        <f t="shared" si="176"/>
        <v>4.849536677150091E-2</v>
      </c>
      <c r="V215" s="3">
        <f t="shared" si="176"/>
        <v>4.7764428503675932E-2</v>
      </c>
      <c r="W215" s="3">
        <f t="shared" si="176"/>
        <v>4.1034388084792546E-2</v>
      </c>
      <c r="X215" s="3">
        <f t="shared" si="176"/>
        <v>8.9863166604189238E-3</v>
      </c>
      <c r="Y215" s="3">
        <f t="shared" si="176"/>
        <v>2.2799183051631332E-9</v>
      </c>
      <c r="Z215" s="3">
        <f t="shared" si="176"/>
        <v>2.5193874294651505E-75</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5.5549505588396574E-2</v>
      </c>
      <c r="C216" s="3">
        <f t="shared" si="177"/>
        <v>5.5549505588396574E-2</v>
      </c>
      <c r="D216" s="3">
        <f t="shared" si="177"/>
        <v>5.5549505588396574E-2</v>
      </c>
      <c r="E216" s="3">
        <f t="shared" si="177"/>
        <v>5.5549505588396574E-2</v>
      </c>
      <c r="F216" s="3">
        <f t="shared" si="177"/>
        <v>5.5549505588396574E-2</v>
      </c>
      <c r="G216" s="3">
        <f t="shared" si="177"/>
        <v>5.5549505588396574E-2</v>
      </c>
      <c r="H216" s="3">
        <f t="shared" si="177"/>
        <v>5.5549505588396574E-2</v>
      </c>
      <c r="I216" s="3">
        <f t="shared" si="177"/>
        <v>5.5549505588396567E-2</v>
      </c>
      <c r="J216" s="3">
        <f t="shared" si="177"/>
        <v>5.554950558839649E-2</v>
      </c>
      <c r="K216" s="3">
        <f t="shared" si="177"/>
        <v>5.5549505588395727E-2</v>
      </c>
      <c r="L216" s="3">
        <f t="shared" si="177"/>
        <v>5.5549505588388115E-2</v>
      </c>
      <c r="M216" s="3">
        <f t="shared" si="177"/>
        <v>5.5549505588312016E-2</v>
      </c>
      <c r="N216" s="3">
        <f t="shared" si="177"/>
        <v>5.5549505587550986E-2</v>
      </c>
      <c r="O216" s="3">
        <f t="shared" si="177"/>
        <v>5.5549505579940706E-2</v>
      </c>
      <c r="P216" s="3">
        <f t="shared" si="177"/>
        <v>5.5549505503837859E-2</v>
      </c>
      <c r="Q216" s="3">
        <f t="shared" si="177"/>
        <v>5.5549504742809397E-2</v>
      </c>
      <c r="R216" s="3">
        <f t="shared" si="177"/>
        <v>5.5549497132525452E-2</v>
      </c>
      <c r="S216" s="3">
        <f t="shared" si="177"/>
        <v>5.5549421029743244E-2</v>
      </c>
      <c r="T216" s="3">
        <f t="shared" si="177"/>
        <v>5.5548660007655556E-2</v>
      </c>
      <c r="U216" s="3">
        <f t="shared" si="177"/>
        <v>5.5541050360181442E-2</v>
      </c>
      <c r="V216" s="3">
        <f t="shared" si="177"/>
        <v>5.5465011196667496E-2</v>
      </c>
      <c r="W216" s="3">
        <f t="shared" si="177"/>
        <v>5.4710321739330756E-2</v>
      </c>
      <c r="X216" s="3">
        <f t="shared" si="177"/>
        <v>4.7705769621230715E-2</v>
      </c>
      <c r="Y216" s="3">
        <f t="shared" si="177"/>
        <v>1.212236299560392E-2</v>
      </c>
      <c r="Z216" s="3">
        <f t="shared" si="177"/>
        <v>1.3606645307519661E-8</v>
      </c>
      <c r="AA216" s="3">
        <f t="shared" si="177"/>
        <v>4.3190562286957583E-68</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7.866276737132312E-2</v>
      </c>
      <c r="C217" s="3">
        <f t="shared" si="178"/>
        <v>7.866276737132312E-2</v>
      </c>
      <c r="D217" s="3">
        <f t="shared" si="178"/>
        <v>7.866276737132312E-2</v>
      </c>
      <c r="E217" s="3">
        <f t="shared" si="178"/>
        <v>7.866276737132312E-2</v>
      </c>
      <c r="F217" s="3">
        <f t="shared" si="178"/>
        <v>7.866276737132312E-2</v>
      </c>
      <c r="G217" s="3">
        <f t="shared" si="178"/>
        <v>7.866276737132312E-2</v>
      </c>
      <c r="H217" s="3">
        <f t="shared" si="178"/>
        <v>7.866276737132312E-2</v>
      </c>
      <c r="I217" s="3">
        <f t="shared" si="178"/>
        <v>7.866276737132312E-2</v>
      </c>
      <c r="J217" s="3">
        <f t="shared" si="178"/>
        <v>7.8662767371323106E-2</v>
      </c>
      <c r="K217" s="3">
        <f t="shared" si="178"/>
        <v>7.8662767371323009E-2</v>
      </c>
      <c r="L217" s="3">
        <f t="shared" si="178"/>
        <v>7.8662767371322037E-2</v>
      </c>
      <c r="M217" s="3">
        <f t="shared" si="178"/>
        <v>7.8662767371312323E-2</v>
      </c>
      <c r="N217" s="3">
        <f t="shared" si="178"/>
        <v>7.8662767371215109E-2</v>
      </c>
      <c r="O217" s="3">
        <f t="shared" si="178"/>
        <v>7.8662767370242942E-2</v>
      </c>
      <c r="P217" s="3">
        <f t="shared" si="178"/>
        <v>7.8662767360521371E-2</v>
      </c>
      <c r="Q217" s="3">
        <f t="shared" si="178"/>
        <v>7.866276726330565E-2</v>
      </c>
      <c r="R217" s="3">
        <f t="shared" si="178"/>
        <v>7.866276629114842E-2</v>
      </c>
      <c r="S217" s="3">
        <f t="shared" si="178"/>
        <v>7.866275656957683E-2</v>
      </c>
      <c r="T217" s="3">
        <f t="shared" si="178"/>
        <v>7.8662659353926953E-2</v>
      </c>
      <c r="U217" s="3">
        <f t="shared" si="178"/>
        <v>7.8661687204036101E-2</v>
      </c>
      <c r="V217" s="3">
        <f t="shared" si="178"/>
        <v>7.8651966365888643E-2</v>
      </c>
      <c r="W217" s="3">
        <f t="shared" si="178"/>
        <v>7.8554824030313566E-2</v>
      </c>
      <c r="X217" s="3">
        <f t="shared" si="178"/>
        <v>7.758997516353329E-2</v>
      </c>
      <c r="Y217" s="3">
        <f t="shared" si="178"/>
        <v>6.8569840673393792E-2</v>
      </c>
      <c r="Z217" s="3">
        <f t="shared" si="178"/>
        <v>1.9925462709849691E-2</v>
      </c>
      <c r="AA217" s="3">
        <f t="shared" si="178"/>
        <v>8.5538408514499398E-8</v>
      </c>
      <c r="AB217" s="3">
        <f t="shared" si="178"/>
        <v>1.8183968446449089E-61</v>
      </c>
      <c r="AC217" s="3">
        <f t="shared" si="178"/>
        <v>0</v>
      </c>
      <c r="AD217" s="3">
        <f t="shared" si="178"/>
        <v>0</v>
      </c>
      <c r="AE217" s="3">
        <f t="shared" si="178"/>
        <v>0</v>
      </c>
      <c r="AF217" s="3">
        <f t="shared" si="178"/>
        <v>0</v>
      </c>
      <c r="AG217" s="3"/>
      <c r="AH217" s="3"/>
    </row>
    <row r="218" spans="1:34" x14ac:dyDescent="0.25">
      <c r="B218" s="3">
        <f t="shared" ref="B218:AF218" si="179">$C26*EXP(-B$207/$A26/EXP(-$D$126))</f>
        <v>9.4543741847587029E-2</v>
      </c>
      <c r="C218" s="3">
        <f t="shared" si="179"/>
        <v>9.4543741847587029E-2</v>
      </c>
      <c r="D218" s="3">
        <f t="shared" si="179"/>
        <v>9.4543741847587029E-2</v>
      </c>
      <c r="E218" s="3">
        <f t="shared" si="179"/>
        <v>9.4543741847587029E-2</v>
      </c>
      <c r="F218" s="3">
        <f t="shared" si="179"/>
        <v>9.4543741847587029E-2</v>
      </c>
      <c r="G218" s="3">
        <f t="shared" si="179"/>
        <v>9.4543741847587029E-2</v>
      </c>
      <c r="H218" s="3">
        <f t="shared" si="179"/>
        <v>9.4543741847587029E-2</v>
      </c>
      <c r="I218" s="3">
        <f t="shared" si="179"/>
        <v>9.4543741847587029E-2</v>
      </c>
      <c r="J218" s="3">
        <f t="shared" si="179"/>
        <v>9.4543741847587029E-2</v>
      </c>
      <c r="K218" s="3">
        <f t="shared" si="179"/>
        <v>9.4543741847587015E-2</v>
      </c>
      <c r="L218" s="3">
        <f t="shared" si="179"/>
        <v>9.4543741847586918E-2</v>
      </c>
      <c r="M218" s="3">
        <f t="shared" si="179"/>
        <v>9.4543741847585849E-2</v>
      </c>
      <c r="N218" s="3">
        <f t="shared" si="179"/>
        <v>9.4543741847575316E-2</v>
      </c>
      <c r="O218" s="3">
        <f t="shared" si="179"/>
        <v>9.4543741847469914E-2</v>
      </c>
      <c r="P218" s="3">
        <f t="shared" si="179"/>
        <v>9.4543741846415896E-2</v>
      </c>
      <c r="Q218" s="3">
        <f t="shared" si="179"/>
        <v>9.4543741835875758E-2</v>
      </c>
      <c r="R218" s="3">
        <f t="shared" si="179"/>
        <v>9.4543741730474293E-2</v>
      </c>
      <c r="S218" s="3">
        <f t="shared" si="179"/>
        <v>9.4543740676459598E-2</v>
      </c>
      <c r="T218" s="3">
        <f t="shared" si="179"/>
        <v>9.4543730136313286E-2</v>
      </c>
      <c r="U218" s="3">
        <f t="shared" si="179"/>
        <v>9.4543624734914941E-2</v>
      </c>
      <c r="V218" s="3">
        <f t="shared" si="179"/>
        <v>9.4542570727394235E-2</v>
      </c>
      <c r="W218" s="3">
        <f t="shared" si="179"/>
        <v>9.453203129844133E-2</v>
      </c>
      <c r="X218" s="3">
        <f t="shared" si="179"/>
        <v>9.4426701607676286E-2</v>
      </c>
      <c r="Y218" s="3">
        <f t="shared" si="179"/>
        <v>9.3379838009226043E-2</v>
      </c>
      <c r="Z218" s="3">
        <f t="shared" si="179"/>
        <v>8.3528768966493902E-2</v>
      </c>
      <c r="AA218" s="3">
        <f t="shared" si="179"/>
        <v>2.7394648209217796E-2</v>
      </c>
      <c r="AB218" s="3">
        <f t="shared" si="179"/>
        <v>3.9442296783929564E-7</v>
      </c>
      <c r="AC218" s="3">
        <f t="shared" si="179"/>
        <v>1.5098259485899898E-55</v>
      </c>
      <c r="AD218" s="3">
        <f t="shared" si="179"/>
        <v>0</v>
      </c>
      <c r="AE218" s="3">
        <f t="shared" si="179"/>
        <v>0</v>
      </c>
      <c r="AF218" s="3">
        <f t="shared" si="179"/>
        <v>0</v>
      </c>
      <c r="AG218" s="3"/>
      <c r="AH218" s="3"/>
    </row>
    <row r="219" spans="1:34" x14ac:dyDescent="0.25">
      <c r="B219" s="3">
        <f t="shared" ref="B219:AF219" si="180">$C27*EXP(-B$207/$A27/EXP(-$D$126))</f>
        <v>0.11359632384203742</v>
      </c>
      <c r="C219" s="3">
        <f t="shared" si="180"/>
        <v>0.11359632384203742</v>
      </c>
      <c r="D219" s="3">
        <f t="shared" si="180"/>
        <v>0.11359632384203742</v>
      </c>
      <c r="E219" s="3">
        <f t="shared" si="180"/>
        <v>0.11359632384203742</v>
      </c>
      <c r="F219" s="3">
        <f t="shared" si="180"/>
        <v>0.11359632384203742</v>
      </c>
      <c r="G219" s="3">
        <f t="shared" si="180"/>
        <v>0.11359632384203742</v>
      </c>
      <c r="H219" s="3">
        <f t="shared" si="180"/>
        <v>0.11359632384203742</v>
      </c>
      <c r="I219" s="3">
        <f t="shared" si="180"/>
        <v>0.11359632384203742</v>
      </c>
      <c r="J219" s="3">
        <f t="shared" si="180"/>
        <v>0.11359632384203742</v>
      </c>
      <c r="K219" s="3">
        <f t="shared" si="180"/>
        <v>0.11359632384203742</v>
      </c>
      <c r="L219" s="3">
        <f t="shared" si="180"/>
        <v>0.11359632384203741</v>
      </c>
      <c r="M219" s="3">
        <f t="shared" si="180"/>
        <v>0.1135963238420373</v>
      </c>
      <c r="N219" s="3">
        <f t="shared" si="180"/>
        <v>0.11359632384203615</v>
      </c>
      <c r="O219" s="3">
        <f t="shared" si="180"/>
        <v>0.11359632384202474</v>
      </c>
      <c r="P219" s="3">
        <f t="shared" si="180"/>
        <v>0.11359632384191048</v>
      </c>
      <c r="Q219" s="3">
        <f t="shared" si="180"/>
        <v>0.11359632384076807</v>
      </c>
      <c r="R219" s="3">
        <f t="shared" si="180"/>
        <v>0.1135963238293439</v>
      </c>
      <c r="S219" s="3">
        <f t="shared" si="180"/>
        <v>0.11359632371510217</v>
      </c>
      <c r="T219" s="3">
        <f t="shared" si="180"/>
        <v>0.11359632257268494</v>
      </c>
      <c r="U219" s="3">
        <f t="shared" si="180"/>
        <v>0.11359631114851321</v>
      </c>
      <c r="V219" s="3">
        <f t="shared" si="180"/>
        <v>0.11359619690685903</v>
      </c>
      <c r="W219" s="3">
        <f t="shared" si="180"/>
        <v>0.11359505449663619</v>
      </c>
      <c r="X219" s="3">
        <f t="shared" si="180"/>
        <v>0.11358363102628116</v>
      </c>
      <c r="Y219" s="3">
        <f t="shared" si="180"/>
        <v>0.11346945948654802</v>
      </c>
      <c r="Z219" s="3">
        <f t="shared" si="180"/>
        <v>0.11233403703063455</v>
      </c>
      <c r="AA219" s="3">
        <f t="shared" si="180"/>
        <v>0.10158630709361115</v>
      </c>
      <c r="AB219" s="3">
        <f t="shared" si="180"/>
        <v>3.7159788660640999E-2</v>
      </c>
      <c r="AC219" s="3">
        <f t="shared" si="180"/>
        <v>1.5938735340884762E-6</v>
      </c>
      <c r="AD219" s="3">
        <f t="shared" si="180"/>
        <v>3.3593874774992646E-50</v>
      </c>
      <c r="AE219" s="3">
        <f t="shared" si="180"/>
        <v>0</v>
      </c>
      <c r="AF219" s="3">
        <f t="shared" si="180"/>
        <v>0</v>
      </c>
      <c r="AG219" s="3"/>
      <c r="AH219" s="3"/>
    </row>
    <row r="220" spans="1:34" x14ac:dyDescent="0.25">
      <c r="B220" s="3">
        <f t="shared" ref="B220:AF220" si="181">$C28*EXP(-B$207/$A28/EXP(-$D$126))</f>
        <v>0.12987660327805553</v>
      </c>
      <c r="C220" s="3">
        <f t="shared" si="181"/>
        <v>0.12987660327805553</v>
      </c>
      <c r="D220" s="3">
        <f t="shared" si="181"/>
        <v>0.12987660327805553</v>
      </c>
      <c r="E220" s="3">
        <f t="shared" si="181"/>
        <v>0.12987660327805553</v>
      </c>
      <c r="F220" s="3">
        <f t="shared" si="181"/>
        <v>0.12987660327805553</v>
      </c>
      <c r="G220" s="3">
        <f t="shared" si="181"/>
        <v>0.12987660327805553</v>
      </c>
      <c r="H220" s="3">
        <f t="shared" si="181"/>
        <v>0.12987660327805553</v>
      </c>
      <c r="I220" s="3">
        <f t="shared" si="181"/>
        <v>0.12987660327805553</v>
      </c>
      <c r="J220" s="3">
        <f t="shared" si="181"/>
        <v>0.12987660327805553</v>
      </c>
      <c r="K220" s="3">
        <f t="shared" si="181"/>
        <v>0.12987660327805553</v>
      </c>
      <c r="L220" s="3">
        <f t="shared" si="181"/>
        <v>0.12987660327805553</v>
      </c>
      <c r="M220" s="3">
        <f t="shared" si="181"/>
        <v>0.1298766032780555</v>
      </c>
      <c r="N220" s="3">
        <f t="shared" si="181"/>
        <v>0.12987660327805539</v>
      </c>
      <c r="O220" s="3">
        <f t="shared" si="181"/>
        <v>0.12987660327805423</v>
      </c>
      <c r="P220" s="3">
        <f t="shared" si="181"/>
        <v>0.12987660327804243</v>
      </c>
      <c r="Q220" s="3">
        <f t="shared" si="181"/>
        <v>0.12987660327792461</v>
      </c>
      <c r="R220" s="3">
        <f t="shared" si="181"/>
        <v>0.12987660327674636</v>
      </c>
      <c r="S220" s="3">
        <f t="shared" si="181"/>
        <v>0.12987660326496384</v>
      </c>
      <c r="T220" s="3">
        <f t="shared" si="181"/>
        <v>0.1298766031471387</v>
      </c>
      <c r="U220" s="3">
        <f t="shared" si="181"/>
        <v>0.12987660196888726</v>
      </c>
      <c r="V220" s="3">
        <f t="shared" si="181"/>
        <v>0.12987659018637332</v>
      </c>
      <c r="W220" s="3">
        <f t="shared" si="181"/>
        <v>0.12987647236129299</v>
      </c>
      <c r="X220" s="3">
        <f t="shared" si="181"/>
        <v>0.12987529411636842</v>
      </c>
      <c r="Y220" s="3">
        <f t="shared" si="181"/>
        <v>0.12986351225500661</v>
      </c>
      <c r="Z220" s="3">
        <f t="shared" si="181"/>
        <v>0.12974575241004663</v>
      </c>
      <c r="AA220" s="3">
        <f t="shared" si="181"/>
        <v>0.12857401114732084</v>
      </c>
      <c r="AB220" s="3">
        <f t="shared" si="181"/>
        <v>0.11742312458293261</v>
      </c>
      <c r="AC220" s="3">
        <f t="shared" si="181"/>
        <v>4.7397783161214208E-2</v>
      </c>
      <c r="AD220" s="3">
        <f t="shared" si="181"/>
        <v>5.4425446631329951E-6</v>
      </c>
      <c r="AE220" s="3">
        <f t="shared" si="181"/>
        <v>2.1689109460620177E-45</v>
      </c>
      <c r="AF220" s="3">
        <f t="shared" si="181"/>
        <v>0</v>
      </c>
      <c r="AG220" s="3"/>
      <c r="AH220" s="3"/>
    </row>
    <row r="221" spans="1:34" x14ac:dyDescent="0.25">
      <c r="B221" s="3">
        <f t="shared" ref="B221:AF221" si="182">$C29*EXP(-B$207/$A29/EXP(-$D$126))</f>
        <v>7.5604381501705717E-2</v>
      </c>
      <c r="C221" s="3">
        <f t="shared" si="182"/>
        <v>7.5604381501705717E-2</v>
      </c>
      <c r="D221" s="3">
        <f t="shared" si="182"/>
        <v>7.5604381501705717E-2</v>
      </c>
      <c r="E221" s="3">
        <f t="shared" si="182"/>
        <v>7.5604381501705717E-2</v>
      </c>
      <c r="F221" s="3">
        <f t="shared" si="182"/>
        <v>7.5604381501705717E-2</v>
      </c>
      <c r="G221" s="3">
        <f t="shared" si="182"/>
        <v>7.5604381501705717E-2</v>
      </c>
      <c r="H221" s="3">
        <f t="shared" si="182"/>
        <v>7.5604381501705717E-2</v>
      </c>
      <c r="I221" s="3">
        <f t="shared" si="182"/>
        <v>7.5604381501705717E-2</v>
      </c>
      <c r="J221" s="3">
        <f t="shared" si="182"/>
        <v>7.5604381501705717E-2</v>
      </c>
      <c r="K221" s="3">
        <f t="shared" si="182"/>
        <v>7.5604381501705717E-2</v>
      </c>
      <c r="L221" s="3">
        <f t="shared" si="182"/>
        <v>7.5604381501705717E-2</v>
      </c>
      <c r="M221" s="3">
        <f t="shared" si="182"/>
        <v>7.5604381501705717E-2</v>
      </c>
      <c r="N221" s="3">
        <f t="shared" si="182"/>
        <v>7.5604381501705703E-2</v>
      </c>
      <c r="O221" s="3">
        <f t="shared" si="182"/>
        <v>7.5604381501705648E-2</v>
      </c>
      <c r="P221" s="3">
        <f t="shared" si="182"/>
        <v>7.5604381501705023E-2</v>
      </c>
      <c r="Q221" s="3">
        <f t="shared" si="182"/>
        <v>7.5604381501698847E-2</v>
      </c>
      <c r="R221" s="3">
        <f t="shared" si="182"/>
        <v>7.5604381501636966E-2</v>
      </c>
      <c r="S221" s="3">
        <f t="shared" si="182"/>
        <v>7.5604381501018239E-2</v>
      </c>
      <c r="T221" s="3">
        <f t="shared" si="182"/>
        <v>7.5604381494830952E-2</v>
      </c>
      <c r="U221" s="3">
        <f t="shared" si="182"/>
        <v>7.5604381432958029E-2</v>
      </c>
      <c r="V221" s="3">
        <f t="shared" si="182"/>
        <v>7.5604380814228822E-2</v>
      </c>
      <c r="W221" s="3">
        <f t="shared" si="182"/>
        <v>7.5604374626937032E-2</v>
      </c>
      <c r="X221" s="3">
        <f t="shared" si="182"/>
        <v>7.5604312754046957E-2</v>
      </c>
      <c r="Y221" s="3">
        <f t="shared" si="182"/>
        <v>7.5603694027931281E-2</v>
      </c>
      <c r="Z221" s="3">
        <f t="shared" si="182"/>
        <v>7.559750704525986E-2</v>
      </c>
      <c r="AA221" s="3">
        <f t="shared" si="182"/>
        <v>7.553566505864974E-2</v>
      </c>
      <c r="AB221" s="3">
        <f t="shared" si="182"/>
        <v>7.4920020791418379E-2</v>
      </c>
      <c r="AC221" s="3">
        <f t="shared" si="182"/>
        <v>6.9032914321165109E-2</v>
      </c>
      <c r="AD221" s="3">
        <f t="shared" si="182"/>
        <v>3.045365315381517E-2</v>
      </c>
      <c r="AE221" s="3">
        <f t="shared" si="182"/>
        <v>8.5010248752478174E-6</v>
      </c>
      <c r="AF221" s="3">
        <f t="shared" si="182"/>
        <v>2.4422503794404149E-41</v>
      </c>
      <c r="AG221" s="3"/>
      <c r="AH221" s="3"/>
    </row>
    <row r="222" spans="1:34" x14ac:dyDescent="0.25">
      <c r="B222" s="3">
        <f t="shared" ref="B222:AF222" si="183">$C30*EXP(-B$207/$A30/EXP(-$D$126))</f>
        <v>4.9796050081425132E-2</v>
      </c>
      <c r="C222" s="3">
        <f t="shared" si="183"/>
        <v>4.9796050081425132E-2</v>
      </c>
      <c r="D222" s="3">
        <f t="shared" si="183"/>
        <v>4.9796050081425132E-2</v>
      </c>
      <c r="E222" s="3">
        <f t="shared" si="183"/>
        <v>4.9796050081425132E-2</v>
      </c>
      <c r="F222" s="3">
        <f t="shared" si="183"/>
        <v>4.9796050081425132E-2</v>
      </c>
      <c r="G222" s="3">
        <f t="shared" si="183"/>
        <v>4.9796050081425132E-2</v>
      </c>
      <c r="H222" s="3">
        <f t="shared" si="183"/>
        <v>4.9796050081425132E-2</v>
      </c>
      <c r="I222" s="3">
        <f t="shared" si="183"/>
        <v>4.9796050081425132E-2</v>
      </c>
      <c r="J222" s="3">
        <f t="shared" si="183"/>
        <v>4.9796050081425132E-2</v>
      </c>
      <c r="K222" s="3">
        <f t="shared" si="183"/>
        <v>4.9796050081425132E-2</v>
      </c>
      <c r="L222" s="3">
        <f t="shared" si="183"/>
        <v>4.9796050081425132E-2</v>
      </c>
      <c r="M222" s="3">
        <f t="shared" si="183"/>
        <v>4.9796050081425132E-2</v>
      </c>
      <c r="N222" s="3">
        <f t="shared" si="183"/>
        <v>4.9796050081425132E-2</v>
      </c>
      <c r="O222" s="3">
        <f t="shared" si="183"/>
        <v>4.9796050081425125E-2</v>
      </c>
      <c r="P222" s="3">
        <f t="shared" si="183"/>
        <v>4.979605008142509E-2</v>
      </c>
      <c r="Q222" s="3">
        <f t="shared" si="183"/>
        <v>4.9796050081424723E-2</v>
      </c>
      <c r="R222" s="3">
        <f t="shared" si="183"/>
        <v>4.9796050081421045E-2</v>
      </c>
      <c r="S222" s="3">
        <f t="shared" si="183"/>
        <v>4.979605008138429E-2</v>
      </c>
      <c r="T222" s="3">
        <f t="shared" si="183"/>
        <v>4.9796050081016667E-2</v>
      </c>
      <c r="U222" s="3">
        <f t="shared" si="183"/>
        <v>4.9796050077340503E-2</v>
      </c>
      <c r="V222" s="3">
        <f t="shared" si="183"/>
        <v>4.979605004057884E-2</v>
      </c>
      <c r="W222" s="3">
        <f t="shared" si="183"/>
        <v>4.9796049672962223E-2</v>
      </c>
      <c r="X222" s="3">
        <f t="shared" si="183"/>
        <v>4.9796045996796164E-2</v>
      </c>
      <c r="Y222" s="3">
        <f t="shared" si="183"/>
        <v>4.9796009235150505E-2</v>
      </c>
      <c r="Z222" s="3">
        <f t="shared" si="183"/>
        <v>4.9795641620186598E-2</v>
      </c>
      <c r="AA222" s="3">
        <f t="shared" si="183"/>
        <v>4.9791965619807997E-2</v>
      </c>
      <c r="AB222" s="3">
        <f t="shared" si="183"/>
        <v>4.9755220537995866E-2</v>
      </c>
      <c r="AC222" s="3">
        <f t="shared" si="183"/>
        <v>4.9389257849350332E-2</v>
      </c>
      <c r="AD222" s="3">
        <f t="shared" si="183"/>
        <v>4.5874458101121514E-2</v>
      </c>
      <c r="AE222" s="3">
        <f t="shared" si="183"/>
        <v>2.192579835721583E-2</v>
      </c>
      <c r="AF222" s="3">
        <f t="shared" si="183"/>
        <v>1.3639551882358734E-5</v>
      </c>
      <c r="AG222" s="3"/>
      <c r="AH222" s="3"/>
    </row>
    <row r="223" spans="1:34" x14ac:dyDescent="0.25">
      <c r="B223" s="3">
        <f t="shared" ref="B223:AF223" si="184">$C31*EXP(-B$207/$A31/EXP(-$D$126))</f>
        <v>2.0966447401353387E-2</v>
      </c>
      <c r="C223" s="3">
        <f t="shared" si="184"/>
        <v>2.0966447401353387E-2</v>
      </c>
      <c r="D223" s="3">
        <f t="shared" si="184"/>
        <v>2.0966447401353387E-2</v>
      </c>
      <c r="E223" s="3">
        <f t="shared" si="184"/>
        <v>2.0966447401353387E-2</v>
      </c>
      <c r="F223" s="3">
        <f t="shared" si="184"/>
        <v>2.0966447401353387E-2</v>
      </c>
      <c r="G223" s="3">
        <f t="shared" si="184"/>
        <v>2.0966447401353387E-2</v>
      </c>
      <c r="H223" s="3">
        <f t="shared" si="184"/>
        <v>2.0966447401353387E-2</v>
      </c>
      <c r="I223" s="3">
        <f t="shared" si="184"/>
        <v>2.0966447401353387E-2</v>
      </c>
      <c r="J223" s="3">
        <f t="shared" si="184"/>
        <v>2.0966447401353387E-2</v>
      </c>
      <c r="K223" s="3">
        <f t="shared" si="184"/>
        <v>2.0966447401353387E-2</v>
      </c>
      <c r="L223" s="3">
        <f t="shared" si="184"/>
        <v>2.0966447401353387E-2</v>
      </c>
      <c r="M223" s="3">
        <f t="shared" si="184"/>
        <v>2.0966447401353387E-2</v>
      </c>
      <c r="N223" s="3">
        <f t="shared" si="184"/>
        <v>2.0966447401353387E-2</v>
      </c>
      <c r="O223" s="3">
        <f t="shared" si="184"/>
        <v>2.0966447401353387E-2</v>
      </c>
      <c r="P223" s="3">
        <f t="shared" si="184"/>
        <v>2.0966447401353384E-2</v>
      </c>
      <c r="Q223" s="3">
        <f t="shared" si="184"/>
        <v>2.096644740135337E-2</v>
      </c>
      <c r="R223" s="3">
        <f t="shared" si="184"/>
        <v>2.0966447401353231E-2</v>
      </c>
      <c r="S223" s="3">
        <f t="shared" si="184"/>
        <v>2.0966447401351836E-2</v>
      </c>
      <c r="T223" s="3">
        <f t="shared" si="184"/>
        <v>2.0966447401337872E-2</v>
      </c>
      <c r="U223" s="3">
        <f t="shared" si="184"/>
        <v>2.0966447401198244E-2</v>
      </c>
      <c r="V223" s="3">
        <f t="shared" si="184"/>
        <v>2.0966447399801968E-2</v>
      </c>
      <c r="W223" s="3">
        <f t="shared" si="184"/>
        <v>2.0966447385839193E-2</v>
      </c>
      <c r="X223" s="3">
        <f t="shared" si="184"/>
        <v>2.0966447246211464E-2</v>
      </c>
      <c r="Y223" s="3">
        <f t="shared" si="184"/>
        <v>2.0966445849934196E-2</v>
      </c>
      <c r="Z223" s="3">
        <f t="shared" si="184"/>
        <v>2.0966431887166626E-2</v>
      </c>
      <c r="AA223" s="3">
        <f t="shared" si="184"/>
        <v>2.0966292260002368E-2</v>
      </c>
      <c r="AB223" s="3">
        <f t="shared" si="184"/>
        <v>2.0964896039500781E-2</v>
      </c>
      <c r="AC223" s="3">
        <f t="shared" si="184"/>
        <v>2.0950938947326248E-2</v>
      </c>
      <c r="AD223" s="3">
        <f t="shared" si="184"/>
        <v>2.0811878052127707E-2</v>
      </c>
      <c r="AE223" s="3">
        <f t="shared" si="184"/>
        <v>1.9471037099860755E-2</v>
      </c>
      <c r="AF223" s="3">
        <f t="shared" si="184"/>
        <v>1.0003850717432809E-2</v>
      </c>
      <c r="AG223" s="3"/>
      <c r="AH223" s="3"/>
    </row>
    <row r="224" spans="1:34" x14ac:dyDescent="0.25">
      <c r="B224" s="3">
        <f t="shared" ref="B224:AF224" si="185">$C32*EXP(-B$207/$A32/EXP(-$D$126))</f>
        <v>3.9443248072899657E-3</v>
      </c>
      <c r="C224" s="3">
        <f t="shared" si="185"/>
        <v>3.9443248072899657E-3</v>
      </c>
      <c r="D224" s="3">
        <f t="shared" si="185"/>
        <v>3.9443248072899657E-3</v>
      </c>
      <c r="E224" s="3">
        <f t="shared" si="185"/>
        <v>3.9443248072899657E-3</v>
      </c>
      <c r="F224" s="3">
        <f t="shared" si="185"/>
        <v>3.9443248072899657E-3</v>
      </c>
      <c r="G224" s="3">
        <f t="shared" si="185"/>
        <v>3.9443248072899657E-3</v>
      </c>
      <c r="H224" s="3">
        <f t="shared" si="185"/>
        <v>3.9443248072899657E-3</v>
      </c>
      <c r="I224" s="3">
        <f t="shared" si="185"/>
        <v>3.9443248072899657E-3</v>
      </c>
      <c r="J224" s="3">
        <f t="shared" si="185"/>
        <v>3.9443248072899657E-3</v>
      </c>
      <c r="K224" s="3">
        <f t="shared" si="185"/>
        <v>3.9443248072899657E-3</v>
      </c>
      <c r="L224" s="3">
        <f t="shared" si="185"/>
        <v>3.9443248072899657E-3</v>
      </c>
      <c r="M224" s="3">
        <f t="shared" si="185"/>
        <v>3.9443248072899657E-3</v>
      </c>
      <c r="N224" s="3">
        <f t="shared" si="185"/>
        <v>3.9443248072899657E-3</v>
      </c>
      <c r="O224" s="3">
        <f t="shared" si="185"/>
        <v>3.9443248072899657E-3</v>
      </c>
      <c r="P224" s="3">
        <f t="shared" si="185"/>
        <v>3.9443248072899657E-3</v>
      </c>
      <c r="Q224" s="3">
        <f t="shared" si="185"/>
        <v>3.9443248072899648E-3</v>
      </c>
      <c r="R224" s="3">
        <f t="shared" si="185"/>
        <v>3.9443248072899631E-3</v>
      </c>
      <c r="S224" s="3">
        <f t="shared" si="185"/>
        <v>3.9443248072899397E-3</v>
      </c>
      <c r="T224" s="3">
        <f t="shared" si="185"/>
        <v>3.9443248072897029E-3</v>
      </c>
      <c r="U224" s="3">
        <f t="shared" si="185"/>
        <v>3.9443248072873333E-3</v>
      </c>
      <c r="V224" s="3">
        <f t="shared" si="185"/>
        <v>3.9443248072636369E-3</v>
      </c>
      <c r="W224" s="3">
        <f t="shared" si="185"/>
        <v>3.9443248070266824E-3</v>
      </c>
      <c r="X224" s="3">
        <f t="shared" si="185"/>
        <v>3.9443248046571308E-3</v>
      </c>
      <c r="Y224" s="3">
        <f t="shared" si="185"/>
        <v>3.9443247809616191E-3</v>
      </c>
      <c r="Z224" s="3">
        <f t="shared" si="185"/>
        <v>3.9443245440065073E-3</v>
      </c>
      <c r="AA224" s="3">
        <f t="shared" si="185"/>
        <v>3.9443221744561701E-3</v>
      </c>
      <c r="AB224" s="3">
        <f t="shared" si="185"/>
        <v>3.9442984790310966E-3</v>
      </c>
      <c r="AC224" s="3">
        <f t="shared" si="185"/>
        <v>3.94406153260945E-3</v>
      </c>
      <c r="AD224" s="3">
        <f t="shared" si="185"/>
        <v>3.9416928511283615E-3</v>
      </c>
      <c r="AE224" s="3">
        <f t="shared" si="185"/>
        <v>3.918084136149599E-3</v>
      </c>
      <c r="AF224" s="3">
        <f t="shared" si="185"/>
        <v>3.6896361256841814E-3</v>
      </c>
      <c r="AG224" s="3"/>
      <c r="AH224" s="3"/>
    </row>
    <row r="225" spans="2:34" x14ac:dyDescent="0.25">
      <c r="B225" s="3">
        <f t="shared" ref="B225:AF225" si="186">$C33*EXP(-B$207/$A33/EXP(-$D$126))</f>
        <v>3.51380910541953E-3</v>
      </c>
      <c r="C225" s="3">
        <f t="shared" si="186"/>
        <v>3.51380910541953E-3</v>
      </c>
      <c r="D225" s="3">
        <f t="shared" si="186"/>
        <v>3.51380910541953E-3</v>
      </c>
      <c r="E225" s="3">
        <f t="shared" si="186"/>
        <v>3.51380910541953E-3</v>
      </c>
      <c r="F225" s="3">
        <f t="shared" si="186"/>
        <v>3.51380910541953E-3</v>
      </c>
      <c r="G225" s="3">
        <f t="shared" si="186"/>
        <v>3.51380910541953E-3</v>
      </c>
      <c r="H225" s="3">
        <f t="shared" si="186"/>
        <v>3.51380910541953E-3</v>
      </c>
      <c r="I225" s="3">
        <f t="shared" si="186"/>
        <v>3.51380910541953E-3</v>
      </c>
      <c r="J225" s="3">
        <f t="shared" si="186"/>
        <v>3.51380910541953E-3</v>
      </c>
      <c r="K225" s="3">
        <f t="shared" si="186"/>
        <v>3.51380910541953E-3</v>
      </c>
      <c r="L225" s="3">
        <f t="shared" si="186"/>
        <v>3.51380910541953E-3</v>
      </c>
      <c r="M225" s="3">
        <f t="shared" si="186"/>
        <v>3.51380910541953E-3</v>
      </c>
      <c r="N225" s="3">
        <f t="shared" si="186"/>
        <v>3.51380910541953E-3</v>
      </c>
      <c r="O225" s="3">
        <f t="shared" si="186"/>
        <v>3.51380910541953E-3</v>
      </c>
      <c r="P225" s="3">
        <f t="shared" si="186"/>
        <v>3.51380910541953E-3</v>
      </c>
      <c r="Q225" s="3">
        <f t="shared" si="186"/>
        <v>3.51380910541953E-3</v>
      </c>
      <c r="R225" s="3">
        <f t="shared" si="186"/>
        <v>3.5138091054195296E-3</v>
      </c>
      <c r="S225" s="3">
        <f t="shared" si="186"/>
        <v>3.5138091054195283E-3</v>
      </c>
      <c r="T225" s="3">
        <f t="shared" si="186"/>
        <v>3.5138091054195087E-3</v>
      </c>
      <c r="U225" s="3">
        <f t="shared" si="186"/>
        <v>3.5138091054193184E-3</v>
      </c>
      <c r="V225" s="3">
        <f t="shared" si="186"/>
        <v>3.5138091054174141E-3</v>
      </c>
      <c r="W225" s="3">
        <f t="shared" si="186"/>
        <v>3.513809105398372E-3</v>
      </c>
      <c r="X225" s="3">
        <f t="shared" si="186"/>
        <v>3.5138091052079492E-3</v>
      </c>
      <c r="Y225" s="3">
        <f t="shared" si="186"/>
        <v>3.5138091033037251E-3</v>
      </c>
      <c r="Z225" s="3">
        <f t="shared" si="186"/>
        <v>3.5138090842614786E-3</v>
      </c>
      <c r="AA225" s="3">
        <f t="shared" si="186"/>
        <v>3.5138088938390199E-3</v>
      </c>
      <c r="AB225" s="3">
        <f t="shared" si="186"/>
        <v>3.5138069896150032E-3</v>
      </c>
      <c r="AC225" s="3">
        <f t="shared" si="186"/>
        <v>3.5137879474315937E-3</v>
      </c>
      <c r="AD225" s="3">
        <f t="shared" si="186"/>
        <v>3.5135975312730865E-3</v>
      </c>
      <c r="AE225" s="3">
        <f t="shared" si="186"/>
        <v>3.5116939371334951E-3</v>
      </c>
      <c r="AF225" s="3">
        <f t="shared" si="186"/>
        <v>3.4927146266697687E-3</v>
      </c>
      <c r="AG225" s="3"/>
      <c r="AH225" s="3"/>
    </row>
    <row r="226" spans="2:34" x14ac:dyDescent="0.25">
      <c r="B226" s="3">
        <f t="shared" ref="B226:AF226" si="187">$C34*EXP(-B$207/$A34/EXP(-$D$126))</f>
        <v>7.1978944921583432E-4</v>
      </c>
      <c r="C226" s="3">
        <f t="shared" si="187"/>
        <v>7.1978944921583432E-4</v>
      </c>
      <c r="D226" s="3">
        <f t="shared" si="187"/>
        <v>7.1978944921583432E-4</v>
      </c>
      <c r="E226" s="3">
        <f t="shared" si="187"/>
        <v>7.1978944921583432E-4</v>
      </c>
      <c r="F226" s="3">
        <f t="shared" si="187"/>
        <v>7.1978944921583432E-4</v>
      </c>
      <c r="G226" s="3">
        <f t="shared" si="187"/>
        <v>7.1978944921583432E-4</v>
      </c>
      <c r="H226" s="3">
        <f t="shared" si="187"/>
        <v>7.1978944921583432E-4</v>
      </c>
      <c r="I226" s="3">
        <f t="shared" si="187"/>
        <v>7.1978944921583432E-4</v>
      </c>
      <c r="J226" s="3">
        <f t="shared" si="187"/>
        <v>7.1978944921583432E-4</v>
      </c>
      <c r="K226" s="3">
        <f t="shared" si="187"/>
        <v>7.1978944921583432E-4</v>
      </c>
      <c r="L226" s="3">
        <f t="shared" si="187"/>
        <v>7.1978944921583432E-4</v>
      </c>
      <c r="M226" s="3">
        <f t="shared" si="187"/>
        <v>7.1978944921583432E-4</v>
      </c>
      <c r="N226" s="3">
        <f t="shared" si="187"/>
        <v>7.1978944921583432E-4</v>
      </c>
      <c r="O226" s="3">
        <f t="shared" si="187"/>
        <v>7.1978944921583432E-4</v>
      </c>
      <c r="P226" s="3">
        <f t="shared" si="187"/>
        <v>7.1978944921583432E-4</v>
      </c>
      <c r="Q226" s="3">
        <f t="shared" si="187"/>
        <v>7.1978944921583432E-4</v>
      </c>
      <c r="R226" s="3">
        <f t="shared" si="187"/>
        <v>7.1978944921583432E-4</v>
      </c>
      <c r="S226" s="3">
        <f t="shared" si="187"/>
        <v>7.1978944921583432E-4</v>
      </c>
      <c r="T226" s="3">
        <f t="shared" si="187"/>
        <v>7.1978944921583389E-4</v>
      </c>
      <c r="U226" s="3">
        <f t="shared" si="187"/>
        <v>7.1978944921583042E-4</v>
      </c>
      <c r="V226" s="3">
        <f t="shared" si="187"/>
        <v>7.1978944921579529E-4</v>
      </c>
      <c r="W226" s="3">
        <f t="shared" si="187"/>
        <v>7.1978944921544336E-4</v>
      </c>
      <c r="X226" s="3">
        <f t="shared" si="187"/>
        <v>7.1978944921192458E-4</v>
      </c>
      <c r="Y226" s="3">
        <f t="shared" si="187"/>
        <v>7.197894491767368E-4</v>
      </c>
      <c r="Z226" s="3">
        <f t="shared" si="187"/>
        <v>7.1978944882485876E-4</v>
      </c>
      <c r="AA226" s="3">
        <f t="shared" si="187"/>
        <v>7.1978944530607899E-4</v>
      </c>
      <c r="AB226" s="3">
        <f t="shared" si="187"/>
        <v>7.1978941011828252E-4</v>
      </c>
      <c r="AC226" s="3">
        <f t="shared" si="187"/>
        <v>7.1978905824041128E-4</v>
      </c>
      <c r="AD226" s="3">
        <f t="shared" si="187"/>
        <v>7.1978553947116091E-4</v>
      </c>
      <c r="AE226" s="3">
        <f t="shared" si="187"/>
        <v>7.1975035272474699E-4</v>
      </c>
      <c r="AF226" s="3">
        <f t="shared" si="187"/>
        <v>7.1939857985254152E-4</v>
      </c>
      <c r="AG226" s="3"/>
      <c r="AH226" s="3"/>
    </row>
    <row r="227" spans="2:34" x14ac:dyDescent="0.25">
      <c r="B227" s="3">
        <f t="shared" ref="B227:AF227" si="188">$C35*EXP(-B$207/$A35/EXP(-$D$126))</f>
        <v>5.3803230598076777E-4</v>
      </c>
      <c r="C227" s="3">
        <f t="shared" si="188"/>
        <v>5.3803230598076777E-4</v>
      </c>
      <c r="D227" s="3">
        <f t="shared" si="188"/>
        <v>5.3803230598076777E-4</v>
      </c>
      <c r="E227" s="3">
        <f t="shared" si="188"/>
        <v>5.3803230598076777E-4</v>
      </c>
      <c r="F227" s="3">
        <f t="shared" si="188"/>
        <v>5.3803230598076777E-4</v>
      </c>
      <c r="G227" s="3">
        <f t="shared" si="188"/>
        <v>5.3803230598076777E-4</v>
      </c>
      <c r="H227" s="3">
        <f t="shared" si="188"/>
        <v>5.3803230598076777E-4</v>
      </c>
      <c r="I227" s="3">
        <f t="shared" si="188"/>
        <v>5.3803230598076777E-4</v>
      </c>
      <c r="J227" s="3">
        <f t="shared" si="188"/>
        <v>5.3803230598076777E-4</v>
      </c>
      <c r="K227" s="3">
        <f t="shared" si="188"/>
        <v>5.3803230598076777E-4</v>
      </c>
      <c r="L227" s="3">
        <f t="shared" si="188"/>
        <v>5.3803230598076777E-4</v>
      </c>
      <c r="M227" s="3">
        <f t="shared" si="188"/>
        <v>5.3803230598076777E-4</v>
      </c>
      <c r="N227" s="3">
        <f t="shared" si="188"/>
        <v>5.3803230598076777E-4</v>
      </c>
      <c r="O227" s="3">
        <f t="shared" si="188"/>
        <v>5.3803230598076777E-4</v>
      </c>
      <c r="P227" s="3">
        <f t="shared" si="188"/>
        <v>5.3803230598076777E-4</v>
      </c>
      <c r="Q227" s="3">
        <f t="shared" si="188"/>
        <v>5.3803230598076777E-4</v>
      </c>
      <c r="R227" s="3">
        <f t="shared" si="188"/>
        <v>5.3803230598076777E-4</v>
      </c>
      <c r="S227" s="3">
        <f t="shared" si="188"/>
        <v>5.3803230598076777E-4</v>
      </c>
      <c r="T227" s="3">
        <f t="shared" si="188"/>
        <v>5.3803230598076777E-4</v>
      </c>
      <c r="U227" s="3">
        <f t="shared" si="188"/>
        <v>5.3803230598076755E-4</v>
      </c>
      <c r="V227" s="3">
        <f t="shared" si="188"/>
        <v>5.3803230598076517E-4</v>
      </c>
      <c r="W227" s="3">
        <f t="shared" si="188"/>
        <v>5.3803230598074142E-4</v>
      </c>
      <c r="X227" s="3">
        <f t="shared" si="188"/>
        <v>5.380323059805042E-4</v>
      </c>
      <c r="Y227" s="3">
        <f t="shared" si="188"/>
        <v>5.3803230597813142E-4</v>
      </c>
      <c r="Z227" s="3">
        <f t="shared" si="188"/>
        <v>5.3803230595440453E-4</v>
      </c>
      <c r="AA227" s="3">
        <f t="shared" si="188"/>
        <v>5.3803230571713523E-4</v>
      </c>
      <c r="AB227" s="3">
        <f t="shared" si="188"/>
        <v>5.3803230334444215E-4</v>
      </c>
      <c r="AC227" s="3">
        <f t="shared" si="188"/>
        <v>5.3803227961751255E-4</v>
      </c>
      <c r="AD227" s="3">
        <f t="shared" si="188"/>
        <v>5.38032042348274E-4</v>
      </c>
      <c r="AE227" s="3">
        <f t="shared" si="188"/>
        <v>5.3802966966164296E-4</v>
      </c>
      <c r="AF227" s="3">
        <f t="shared" si="188"/>
        <v>5.3800594337081184E-4</v>
      </c>
      <c r="AG227" s="3"/>
      <c r="AH227" s="3"/>
    </row>
    <row r="228" spans="2:34" x14ac:dyDescent="0.25">
      <c r="B228" s="3">
        <f t="shared" ref="B228:AF228" si="189">$C36*EXP(-B$207/$A36/EXP(-$D$126))</f>
        <v>5.6418757759686938E-4</v>
      </c>
      <c r="C228" s="3">
        <f t="shared" si="189"/>
        <v>5.6418757759686938E-4</v>
      </c>
      <c r="D228" s="3">
        <f t="shared" si="189"/>
        <v>5.6418757759686938E-4</v>
      </c>
      <c r="E228" s="3">
        <f t="shared" si="189"/>
        <v>5.6418757759686938E-4</v>
      </c>
      <c r="F228" s="3">
        <f t="shared" si="189"/>
        <v>5.6418757759686938E-4</v>
      </c>
      <c r="G228" s="3">
        <f t="shared" si="189"/>
        <v>5.6418757759686938E-4</v>
      </c>
      <c r="H228" s="3">
        <f t="shared" si="189"/>
        <v>5.6418757759686938E-4</v>
      </c>
      <c r="I228" s="3">
        <f t="shared" si="189"/>
        <v>5.6418757759686938E-4</v>
      </c>
      <c r="J228" s="3">
        <f t="shared" si="189"/>
        <v>5.6418757759686938E-4</v>
      </c>
      <c r="K228" s="3">
        <f t="shared" si="189"/>
        <v>5.6418757759686938E-4</v>
      </c>
      <c r="L228" s="3">
        <f t="shared" si="189"/>
        <v>5.6418757759686938E-4</v>
      </c>
      <c r="M228" s="3">
        <f t="shared" si="189"/>
        <v>5.6418757759686938E-4</v>
      </c>
      <c r="N228" s="3">
        <f t="shared" si="189"/>
        <v>5.6418757759686938E-4</v>
      </c>
      <c r="O228" s="3">
        <f t="shared" si="189"/>
        <v>5.6418757759686938E-4</v>
      </c>
      <c r="P228" s="3">
        <f t="shared" si="189"/>
        <v>5.6418757759686938E-4</v>
      </c>
      <c r="Q228" s="3">
        <f t="shared" si="189"/>
        <v>5.6418757759686938E-4</v>
      </c>
      <c r="R228" s="3">
        <f t="shared" si="189"/>
        <v>5.6418757759686938E-4</v>
      </c>
      <c r="S228" s="3">
        <f t="shared" si="189"/>
        <v>5.6418757759686938E-4</v>
      </c>
      <c r="T228" s="3">
        <f t="shared" si="189"/>
        <v>5.6418757759686938E-4</v>
      </c>
      <c r="U228" s="3">
        <f t="shared" si="189"/>
        <v>5.6418757759686938E-4</v>
      </c>
      <c r="V228" s="3">
        <f t="shared" si="189"/>
        <v>5.6418757759686916E-4</v>
      </c>
      <c r="W228" s="3">
        <f t="shared" si="189"/>
        <v>5.6418757759686688E-4</v>
      </c>
      <c r="X228" s="3">
        <f t="shared" si="189"/>
        <v>5.6418757759684444E-4</v>
      </c>
      <c r="Y228" s="3">
        <f t="shared" si="189"/>
        <v>5.6418757759662001E-4</v>
      </c>
      <c r="Z228" s="3">
        <f t="shared" si="189"/>
        <v>5.6418757759437561E-4</v>
      </c>
      <c r="AA228" s="3">
        <f t="shared" si="189"/>
        <v>5.6418757757193143E-4</v>
      </c>
      <c r="AB228" s="3">
        <f t="shared" si="189"/>
        <v>5.6418757734748987E-4</v>
      </c>
      <c r="AC228" s="3">
        <f t="shared" si="189"/>
        <v>5.6418757510307406E-4</v>
      </c>
      <c r="AD228" s="3">
        <f t="shared" si="189"/>
        <v>5.6418755265891696E-4</v>
      </c>
      <c r="AE228" s="3">
        <f t="shared" si="189"/>
        <v>5.6418732821739506E-4</v>
      </c>
      <c r="AF228" s="3">
        <f t="shared" si="189"/>
        <v>5.6418508380708641E-4</v>
      </c>
      <c r="AG228" s="3"/>
      <c r="AH228" s="3"/>
    </row>
    <row r="229" spans="2:34" x14ac:dyDescent="0.25">
      <c r="B229" s="3">
        <f t="shared" ref="B229:AF229" si="190">$C37*EXP(-B$207/$A37/EXP(-$D$126))</f>
        <v>5.289794145093928E-4</v>
      </c>
      <c r="C229" s="3">
        <f t="shared" si="190"/>
        <v>5.289794145093928E-4</v>
      </c>
      <c r="D229" s="3">
        <f t="shared" si="190"/>
        <v>5.289794145093928E-4</v>
      </c>
      <c r="E229" s="3">
        <f t="shared" si="190"/>
        <v>5.289794145093928E-4</v>
      </c>
      <c r="F229" s="3">
        <f t="shared" si="190"/>
        <v>5.289794145093928E-4</v>
      </c>
      <c r="G229" s="3">
        <f t="shared" si="190"/>
        <v>5.289794145093928E-4</v>
      </c>
      <c r="H229" s="3">
        <f t="shared" si="190"/>
        <v>5.289794145093928E-4</v>
      </c>
      <c r="I229" s="3">
        <f t="shared" si="190"/>
        <v>5.289794145093928E-4</v>
      </c>
      <c r="J229" s="3">
        <f t="shared" si="190"/>
        <v>5.289794145093928E-4</v>
      </c>
      <c r="K229" s="3">
        <f t="shared" si="190"/>
        <v>5.289794145093928E-4</v>
      </c>
      <c r="L229" s="3">
        <f t="shared" si="190"/>
        <v>5.289794145093928E-4</v>
      </c>
      <c r="M229" s="3">
        <f t="shared" si="190"/>
        <v>5.289794145093928E-4</v>
      </c>
      <c r="N229" s="3">
        <f t="shared" si="190"/>
        <v>5.289794145093928E-4</v>
      </c>
      <c r="O229" s="3">
        <f t="shared" si="190"/>
        <v>5.289794145093928E-4</v>
      </c>
      <c r="P229" s="3">
        <f t="shared" si="190"/>
        <v>5.289794145093928E-4</v>
      </c>
      <c r="Q229" s="3">
        <f t="shared" si="190"/>
        <v>5.289794145093928E-4</v>
      </c>
      <c r="R229" s="3">
        <f t="shared" si="190"/>
        <v>5.289794145093928E-4</v>
      </c>
      <c r="S229" s="3">
        <f t="shared" si="190"/>
        <v>5.289794145093928E-4</v>
      </c>
      <c r="T229" s="3">
        <f t="shared" si="190"/>
        <v>5.289794145093928E-4</v>
      </c>
      <c r="U229" s="3">
        <f t="shared" si="190"/>
        <v>5.289794145093928E-4</v>
      </c>
      <c r="V229" s="3">
        <f t="shared" si="190"/>
        <v>5.289794145093928E-4</v>
      </c>
      <c r="W229" s="3">
        <f t="shared" si="190"/>
        <v>5.2897941450939258E-4</v>
      </c>
      <c r="X229" s="3">
        <f t="shared" si="190"/>
        <v>5.2897941450939063E-4</v>
      </c>
      <c r="Y229" s="3">
        <f t="shared" si="190"/>
        <v>5.2897941450937176E-4</v>
      </c>
      <c r="Z229" s="3">
        <f t="shared" si="190"/>
        <v>5.2897941450918192E-4</v>
      </c>
      <c r="AA229" s="3">
        <f t="shared" si="190"/>
        <v>5.2897941450728359E-4</v>
      </c>
      <c r="AB229" s="3">
        <f t="shared" si="190"/>
        <v>5.2897941448830062E-4</v>
      </c>
      <c r="AC229" s="3">
        <f t="shared" si="190"/>
        <v>5.2897941429847037E-4</v>
      </c>
      <c r="AD229" s="3">
        <f t="shared" si="190"/>
        <v>5.2897941240016909E-4</v>
      </c>
      <c r="AE229" s="3">
        <f t="shared" si="190"/>
        <v>5.2897939341715612E-4</v>
      </c>
      <c r="AF229" s="3">
        <f t="shared" si="190"/>
        <v>5.2897920358706404E-4</v>
      </c>
      <c r="AG229" s="3"/>
      <c r="AH229" s="3"/>
    </row>
    <row r="230" spans="2:34" x14ac:dyDescent="0.25">
      <c r="B230" s="3">
        <f t="shared" ref="B230:AF230" si="191">$C38*EXP(-B$207/$A38/EXP(-$D$126))</f>
        <v>5.3547450135887617E-5</v>
      </c>
      <c r="C230" s="3">
        <f t="shared" si="191"/>
        <v>5.3547450135887617E-5</v>
      </c>
      <c r="D230" s="3">
        <f t="shared" si="191"/>
        <v>5.3547450135887617E-5</v>
      </c>
      <c r="E230" s="3">
        <f t="shared" si="191"/>
        <v>5.3547450135887617E-5</v>
      </c>
      <c r="F230" s="3">
        <f t="shared" si="191"/>
        <v>5.3547450135887617E-5</v>
      </c>
      <c r="G230" s="3">
        <f t="shared" si="191"/>
        <v>5.3547450135887617E-5</v>
      </c>
      <c r="H230" s="3">
        <f t="shared" si="191"/>
        <v>5.3547450135887617E-5</v>
      </c>
      <c r="I230" s="3">
        <f t="shared" si="191"/>
        <v>5.3547450135887617E-5</v>
      </c>
      <c r="J230" s="3">
        <f t="shared" si="191"/>
        <v>5.3547450135887617E-5</v>
      </c>
      <c r="K230" s="3">
        <f t="shared" si="191"/>
        <v>5.3547450135887617E-5</v>
      </c>
      <c r="L230" s="3">
        <f t="shared" si="191"/>
        <v>5.3547450135887617E-5</v>
      </c>
      <c r="M230" s="3">
        <f t="shared" si="191"/>
        <v>5.3547450135887617E-5</v>
      </c>
      <c r="N230" s="3">
        <f t="shared" si="191"/>
        <v>5.3547450135887617E-5</v>
      </c>
      <c r="O230" s="3">
        <f t="shared" si="191"/>
        <v>5.3547450135887617E-5</v>
      </c>
      <c r="P230" s="3">
        <f t="shared" si="191"/>
        <v>5.3547450135887617E-5</v>
      </c>
      <c r="Q230" s="3">
        <f t="shared" si="191"/>
        <v>5.3547450135887617E-5</v>
      </c>
      <c r="R230" s="3">
        <f t="shared" si="191"/>
        <v>5.3547450135887617E-5</v>
      </c>
      <c r="S230" s="3">
        <f t="shared" si="191"/>
        <v>5.3547450135887617E-5</v>
      </c>
      <c r="T230" s="3">
        <f t="shared" si="191"/>
        <v>5.3547450135887617E-5</v>
      </c>
      <c r="U230" s="3">
        <f t="shared" si="191"/>
        <v>5.3547450135887617E-5</v>
      </c>
      <c r="V230" s="3">
        <f t="shared" si="191"/>
        <v>5.3547450135887617E-5</v>
      </c>
      <c r="W230" s="3">
        <f t="shared" si="191"/>
        <v>5.3547450135887617E-5</v>
      </c>
      <c r="X230" s="3">
        <f t="shared" si="191"/>
        <v>5.3547450135887597E-5</v>
      </c>
      <c r="Y230" s="3">
        <f t="shared" si="191"/>
        <v>5.3547450135887427E-5</v>
      </c>
      <c r="Z230" s="3">
        <f t="shared" si="191"/>
        <v>5.3547450135885693E-5</v>
      </c>
      <c r="AA230" s="3">
        <f t="shared" si="191"/>
        <v>5.3547450135868352E-5</v>
      </c>
      <c r="AB230" s="3">
        <f t="shared" si="191"/>
        <v>5.3547450135695015E-5</v>
      </c>
      <c r="AC230" s="3">
        <f t="shared" si="191"/>
        <v>5.3547450133961559E-5</v>
      </c>
      <c r="AD230" s="3">
        <f t="shared" si="191"/>
        <v>5.3547450116627043E-5</v>
      </c>
      <c r="AE230" s="3">
        <f t="shared" si="191"/>
        <v>5.3547449943281859E-5</v>
      </c>
      <c r="AF230" s="3">
        <f t="shared" si="191"/>
        <v>5.3547448209830112E-5</v>
      </c>
      <c r="AG230" s="3"/>
      <c r="AH230" s="3"/>
    </row>
    <row r="231" spans="2:34" x14ac:dyDescent="0.25">
      <c r="B231" s="3">
        <f t="shared" ref="B231:AF231" si="192">$C39*EXP(-B$207/$A39/EXP(-$D$126))</f>
        <v>4.4495454548071421E-4</v>
      </c>
      <c r="C231" s="3">
        <f t="shared" si="192"/>
        <v>4.4495454548071421E-4</v>
      </c>
      <c r="D231" s="3">
        <f t="shared" si="192"/>
        <v>4.4495454548071421E-4</v>
      </c>
      <c r="E231" s="3">
        <f t="shared" si="192"/>
        <v>4.4495454548071421E-4</v>
      </c>
      <c r="F231" s="3">
        <f t="shared" si="192"/>
        <v>4.4495454548071421E-4</v>
      </c>
      <c r="G231" s="3">
        <f t="shared" si="192"/>
        <v>4.4495454548071421E-4</v>
      </c>
      <c r="H231" s="3">
        <f t="shared" si="192"/>
        <v>4.4495454548071421E-4</v>
      </c>
      <c r="I231" s="3">
        <f t="shared" si="192"/>
        <v>4.4495454548071421E-4</v>
      </c>
      <c r="J231" s="3">
        <f t="shared" si="192"/>
        <v>4.4495454548071421E-4</v>
      </c>
      <c r="K231" s="3">
        <f t="shared" si="192"/>
        <v>4.4495454548071421E-4</v>
      </c>
      <c r="L231" s="3">
        <f t="shared" si="192"/>
        <v>4.4495454548071421E-4</v>
      </c>
      <c r="M231" s="3">
        <f t="shared" si="192"/>
        <v>4.4495454548071421E-4</v>
      </c>
      <c r="N231" s="3">
        <f t="shared" si="192"/>
        <v>4.4495454548071421E-4</v>
      </c>
      <c r="O231" s="3">
        <f t="shared" si="192"/>
        <v>4.4495454548071421E-4</v>
      </c>
      <c r="P231" s="3">
        <f t="shared" si="192"/>
        <v>4.4495454548071421E-4</v>
      </c>
      <c r="Q231" s="3">
        <f t="shared" si="192"/>
        <v>4.4495454548071421E-4</v>
      </c>
      <c r="R231" s="3">
        <f t="shared" si="192"/>
        <v>4.4495454548071421E-4</v>
      </c>
      <c r="S231" s="3">
        <f t="shared" si="192"/>
        <v>4.4495454548071421E-4</v>
      </c>
      <c r="T231" s="3">
        <f t="shared" si="192"/>
        <v>4.4495454548071421E-4</v>
      </c>
      <c r="U231" s="3">
        <f t="shared" si="192"/>
        <v>4.4495454548071421E-4</v>
      </c>
      <c r="V231" s="3">
        <f t="shared" si="192"/>
        <v>4.4495454548071421E-4</v>
      </c>
      <c r="W231" s="3">
        <f t="shared" si="192"/>
        <v>4.4495454548071421E-4</v>
      </c>
      <c r="X231" s="3">
        <f t="shared" si="192"/>
        <v>4.4495454548071416E-4</v>
      </c>
      <c r="Y231" s="3">
        <f t="shared" si="192"/>
        <v>4.4495454548071378E-4</v>
      </c>
      <c r="Z231" s="3">
        <f t="shared" si="192"/>
        <v>4.4495454548070976E-4</v>
      </c>
      <c r="AA231" s="3">
        <f t="shared" si="192"/>
        <v>4.4495454548066997E-4</v>
      </c>
      <c r="AB231" s="3">
        <f t="shared" si="192"/>
        <v>4.4495454548027153E-4</v>
      </c>
      <c r="AC231" s="3">
        <f t="shared" si="192"/>
        <v>4.4495454547628774E-4</v>
      </c>
      <c r="AD231" s="3">
        <f t="shared" si="192"/>
        <v>4.4495454543644932E-4</v>
      </c>
      <c r="AE231" s="3">
        <f t="shared" si="192"/>
        <v>4.4495454503806569E-4</v>
      </c>
      <c r="AF231" s="3">
        <f t="shared" si="192"/>
        <v>4.4495454105422948E-4</v>
      </c>
      <c r="AG231" s="3"/>
      <c r="AH231" s="3"/>
    </row>
    <row r="232" spans="2:34" x14ac:dyDescent="0.25">
      <c r="B232" s="3">
        <f t="shared" ref="B232:AF232" si="193">$C40*EXP(-B$207/$A40/EXP(-$D$126))</f>
        <v>1.5289773047840316E-5</v>
      </c>
      <c r="C232" s="3">
        <f t="shared" si="193"/>
        <v>1.5289773047840316E-5</v>
      </c>
      <c r="D232" s="3">
        <f t="shared" si="193"/>
        <v>1.5289773047840316E-5</v>
      </c>
      <c r="E232" s="3">
        <f t="shared" si="193"/>
        <v>1.5289773047840316E-5</v>
      </c>
      <c r="F232" s="3">
        <f t="shared" si="193"/>
        <v>1.5289773047840316E-5</v>
      </c>
      <c r="G232" s="3">
        <f t="shared" si="193"/>
        <v>1.5289773047840316E-5</v>
      </c>
      <c r="H232" s="3">
        <f t="shared" si="193"/>
        <v>1.5289773047840316E-5</v>
      </c>
      <c r="I232" s="3">
        <f t="shared" si="193"/>
        <v>1.5289773047840316E-5</v>
      </c>
      <c r="J232" s="3">
        <f t="shared" si="193"/>
        <v>1.5289773047840316E-5</v>
      </c>
      <c r="K232" s="3">
        <f t="shared" si="193"/>
        <v>1.5289773047840316E-5</v>
      </c>
      <c r="L232" s="3">
        <f t="shared" si="193"/>
        <v>1.5289773047840316E-5</v>
      </c>
      <c r="M232" s="3">
        <f t="shared" si="193"/>
        <v>1.5289773047840316E-5</v>
      </c>
      <c r="N232" s="3">
        <f t="shared" si="193"/>
        <v>1.5289773047840316E-5</v>
      </c>
      <c r="O232" s="3">
        <f t="shared" si="193"/>
        <v>1.5289773047840316E-5</v>
      </c>
      <c r="P232" s="3">
        <f t="shared" si="193"/>
        <v>1.5289773047840316E-5</v>
      </c>
      <c r="Q232" s="3">
        <f t="shared" si="193"/>
        <v>1.5289773047840316E-5</v>
      </c>
      <c r="R232" s="3">
        <f t="shared" si="193"/>
        <v>1.5289773047840316E-5</v>
      </c>
      <c r="S232" s="3">
        <f t="shared" si="193"/>
        <v>1.5289773047840316E-5</v>
      </c>
      <c r="T232" s="3">
        <f t="shared" si="193"/>
        <v>1.5289773047840316E-5</v>
      </c>
      <c r="U232" s="3">
        <f t="shared" si="193"/>
        <v>1.5289773047840316E-5</v>
      </c>
      <c r="V232" s="3">
        <f t="shared" si="193"/>
        <v>1.5289773047840316E-5</v>
      </c>
      <c r="W232" s="3">
        <f t="shared" si="193"/>
        <v>1.5289773047840316E-5</v>
      </c>
      <c r="X232" s="3">
        <f t="shared" si="193"/>
        <v>1.5289773047840316E-5</v>
      </c>
      <c r="Y232" s="3">
        <f t="shared" si="193"/>
        <v>1.5289773047840312E-5</v>
      </c>
      <c r="Z232" s="3">
        <f t="shared" si="193"/>
        <v>1.5289773047840299E-5</v>
      </c>
      <c r="AA232" s="3">
        <f t="shared" si="193"/>
        <v>1.5289773047840163E-5</v>
      </c>
      <c r="AB232" s="3">
        <f t="shared" si="193"/>
        <v>1.5289773047838795E-5</v>
      </c>
      <c r="AC232" s="3">
        <f t="shared" si="193"/>
        <v>1.5289773047825103E-5</v>
      </c>
      <c r="AD232" s="3">
        <f t="shared" si="193"/>
        <v>1.5289773047688212E-5</v>
      </c>
      <c r="AE232" s="3">
        <f t="shared" si="193"/>
        <v>1.5289773046319262E-5</v>
      </c>
      <c r="AF232" s="3">
        <f t="shared" si="193"/>
        <v>1.5289773032629786E-5</v>
      </c>
      <c r="AG232" s="3"/>
      <c r="AH232" s="3"/>
    </row>
    <row r="233" spans="2:34" x14ac:dyDescent="0.25">
      <c r="B233" s="3">
        <f t="shared" ref="B233:AF233" si="194">$C41*EXP(-B$207/$A41/EXP(-$D$126))</f>
        <v>2.5082649304706281E-4</v>
      </c>
      <c r="C233" s="3">
        <f t="shared" si="194"/>
        <v>2.5082649304706281E-4</v>
      </c>
      <c r="D233" s="3">
        <f t="shared" si="194"/>
        <v>2.5082649304706281E-4</v>
      </c>
      <c r="E233" s="3">
        <f t="shared" si="194"/>
        <v>2.5082649304706281E-4</v>
      </c>
      <c r="F233" s="3">
        <f t="shared" si="194"/>
        <v>2.5082649304706281E-4</v>
      </c>
      <c r="G233" s="3">
        <f t="shared" si="194"/>
        <v>2.5082649304706281E-4</v>
      </c>
      <c r="H233" s="3">
        <f t="shared" si="194"/>
        <v>2.5082649304706281E-4</v>
      </c>
      <c r="I233" s="3">
        <f t="shared" si="194"/>
        <v>2.5082649304706281E-4</v>
      </c>
      <c r="J233" s="3">
        <f t="shared" si="194"/>
        <v>2.5082649304706281E-4</v>
      </c>
      <c r="K233" s="3">
        <f t="shared" si="194"/>
        <v>2.5082649304706281E-4</v>
      </c>
      <c r="L233" s="3">
        <f t="shared" si="194"/>
        <v>2.5082649304706281E-4</v>
      </c>
      <c r="M233" s="3">
        <f t="shared" si="194"/>
        <v>2.5082649304706281E-4</v>
      </c>
      <c r="N233" s="3">
        <f t="shared" si="194"/>
        <v>2.5082649304706281E-4</v>
      </c>
      <c r="O233" s="3">
        <f t="shared" si="194"/>
        <v>2.5082649304706281E-4</v>
      </c>
      <c r="P233" s="3">
        <f t="shared" si="194"/>
        <v>2.5082649304706281E-4</v>
      </c>
      <c r="Q233" s="3">
        <f t="shared" si="194"/>
        <v>2.5082649304706281E-4</v>
      </c>
      <c r="R233" s="3">
        <f t="shared" si="194"/>
        <v>2.5082649304706281E-4</v>
      </c>
      <c r="S233" s="3">
        <f t="shared" si="194"/>
        <v>2.5082649304706281E-4</v>
      </c>
      <c r="T233" s="3">
        <f t="shared" si="194"/>
        <v>2.5082649304706281E-4</v>
      </c>
      <c r="U233" s="3">
        <f t="shared" si="194"/>
        <v>2.5082649304706281E-4</v>
      </c>
      <c r="V233" s="3">
        <f t="shared" si="194"/>
        <v>2.5082649304706281E-4</v>
      </c>
      <c r="W233" s="3">
        <f t="shared" si="194"/>
        <v>2.5082649304706281E-4</v>
      </c>
      <c r="X233" s="3">
        <f t="shared" si="194"/>
        <v>2.5082649304706281E-4</v>
      </c>
      <c r="Y233" s="3">
        <f t="shared" si="194"/>
        <v>2.5082649304706281E-4</v>
      </c>
      <c r="Z233" s="3">
        <f t="shared" si="194"/>
        <v>2.5082649304706276E-4</v>
      </c>
      <c r="AA233" s="3">
        <f t="shared" si="194"/>
        <v>2.5082649304706254E-4</v>
      </c>
      <c r="AB233" s="3">
        <f t="shared" si="194"/>
        <v>2.5082649304706032E-4</v>
      </c>
      <c r="AC233" s="3">
        <f t="shared" si="194"/>
        <v>2.5082649304703788E-4</v>
      </c>
      <c r="AD233" s="3">
        <f t="shared" si="194"/>
        <v>2.5082649304681328E-4</v>
      </c>
      <c r="AE233" s="3">
        <f t="shared" si="194"/>
        <v>2.5082649304456758E-4</v>
      </c>
      <c r="AF233" s="3">
        <f t="shared" si="194"/>
        <v>2.5082649302211017E-4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5.6673676320409674E-5</v>
      </c>
      <c r="C235" s="3">
        <f t="shared" si="196"/>
        <v>5.6673676320409674E-5</v>
      </c>
      <c r="D235" s="3">
        <f t="shared" si="196"/>
        <v>5.6673676320409674E-5</v>
      </c>
      <c r="E235" s="3">
        <f t="shared" si="196"/>
        <v>5.6673676320409674E-5</v>
      </c>
      <c r="F235" s="3">
        <f t="shared" si="196"/>
        <v>5.6673676320409674E-5</v>
      </c>
      <c r="G235" s="3">
        <f t="shared" si="196"/>
        <v>5.6673676320409674E-5</v>
      </c>
      <c r="H235" s="3">
        <f t="shared" si="196"/>
        <v>5.6673676320409674E-5</v>
      </c>
      <c r="I235" s="3">
        <f t="shared" si="196"/>
        <v>5.6673676320409674E-5</v>
      </c>
      <c r="J235" s="3">
        <f t="shared" si="196"/>
        <v>5.6673676320409674E-5</v>
      </c>
      <c r="K235" s="3">
        <f t="shared" si="196"/>
        <v>5.6673676320409674E-5</v>
      </c>
      <c r="L235" s="3">
        <f t="shared" si="196"/>
        <v>5.6673676320409674E-5</v>
      </c>
      <c r="M235" s="3">
        <f t="shared" si="196"/>
        <v>5.6673676320409674E-5</v>
      </c>
      <c r="N235" s="3">
        <f t="shared" si="196"/>
        <v>5.6673676320409674E-5</v>
      </c>
      <c r="O235" s="3">
        <f t="shared" si="196"/>
        <v>5.6673676320409674E-5</v>
      </c>
      <c r="P235" s="3">
        <f t="shared" si="196"/>
        <v>5.6673676320409674E-5</v>
      </c>
      <c r="Q235" s="3">
        <f t="shared" si="196"/>
        <v>5.6673676320409674E-5</v>
      </c>
      <c r="R235" s="3">
        <f t="shared" si="196"/>
        <v>5.6673676320409674E-5</v>
      </c>
      <c r="S235" s="3">
        <f t="shared" si="196"/>
        <v>5.6673676320409674E-5</v>
      </c>
      <c r="T235" s="3">
        <f t="shared" si="196"/>
        <v>5.6673676320409674E-5</v>
      </c>
      <c r="U235" s="3">
        <f t="shared" si="196"/>
        <v>5.6673676320409674E-5</v>
      </c>
      <c r="V235" s="3">
        <f t="shared" si="196"/>
        <v>5.6673676320409674E-5</v>
      </c>
      <c r="W235" s="3">
        <f t="shared" si="196"/>
        <v>5.6673676320409674E-5</v>
      </c>
      <c r="X235" s="3">
        <f t="shared" si="196"/>
        <v>5.6673676320409674E-5</v>
      </c>
      <c r="Y235" s="3">
        <f t="shared" si="196"/>
        <v>5.6673676320409674E-5</v>
      </c>
      <c r="Z235" s="3">
        <f t="shared" si="196"/>
        <v>5.6673676320409674E-5</v>
      </c>
      <c r="AA235" s="3">
        <f t="shared" si="196"/>
        <v>5.6673676320409674E-5</v>
      </c>
      <c r="AB235" s="3">
        <f t="shared" si="196"/>
        <v>5.6673676320409667E-5</v>
      </c>
      <c r="AC235" s="3">
        <f t="shared" si="196"/>
        <v>5.667367632040962E-5</v>
      </c>
      <c r="AD235" s="3">
        <f t="shared" si="196"/>
        <v>5.6673676320409105E-5</v>
      </c>
      <c r="AE235" s="3">
        <f t="shared" si="196"/>
        <v>5.6673676320404036E-5</v>
      </c>
      <c r="AF235" s="3">
        <f t="shared" si="196"/>
        <v>5.6673676320353289E-5</v>
      </c>
      <c r="AG235" s="3"/>
      <c r="AH235" s="3"/>
    </row>
    <row r="236" spans="2:34" x14ac:dyDescent="0.25">
      <c r="B236" s="3">
        <f t="shared" ref="B236:AF236" si="197">$C44*EXP(-B$207/$A44/EXP(-$D$126))</f>
        <v>1.228688753482083E-4</v>
      </c>
      <c r="C236" s="3">
        <f t="shared" si="197"/>
        <v>1.228688753482083E-4</v>
      </c>
      <c r="D236" s="3">
        <f t="shared" si="197"/>
        <v>1.228688753482083E-4</v>
      </c>
      <c r="E236" s="3">
        <f t="shared" si="197"/>
        <v>1.228688753482083E-4</v>
      </c>
      <c r="F236" s="3">
        <f t="shared" si="197"/>
        <v>1.228688753482083E-4</v>
      </c>
      <c r="G236" s="3">
        <f t="shared" si="197"/>
        <v>1.228688753482083E-4</v>
      </c>
      <c r="H236" s="3">
        <f t="shared" si="197"/>
        <v>1.228688753482083E-4</v>
      </c>
      <c r="I236" s="3">
        <f t="shared" si="197"/>
        <v>1.228688753482083E-4</v>
      </c>
      <c r="J236" s="3">
        <f t="shared" si="197"/>
        <v>1.228688753482083E-4</v>
      </c>
      <c r="K236" s="3">
        <f t="shared" si="197"/>
        <v>1.228688753482083E-4</v>
      </c>
      <c r="L236" s="3">
        <f t="shared" si="197"/>
        <v>1.228688753482083E-4</v>
      </c>
      <c r="M236" s="3">
        <f t="shared" si="197"/>
        <v>1.228688753482083E-4</v>
      </c>
      <c r="N236" s="3">
        <f t="shared" si="197"/>
        <v>1.228688753482083E-4</v>
      </c>
      <c r="O236" s="3">
        <f t="shared" si="197"/>
        <v>1.228688753482083E-4</v>
      </c>
      <c r="P236" s="3">
        <f t="shared" si="197"/>
        <v>1.228688753482083E-4</v>
      </c>
      <c r="Q236" s="3">
        <f t="shared" si="197"/>
        <v>1.228688753482083E-4</v>
      </c>
      <c r="R236" s="3">
        <f t="shared" si="197"/>
        <v>1.228688753482083E-4</v>
      </c>
      <c r="S236" s="3">
        <f t="shared" si="197"/>
        <v>1.228688753482083E-4</v>
      </c>
      <c r="T236" s="3">
        <f t="shared" si="197"/>
        <v>1.228688753482083E-4</v>
      </c>
      <c r="U236" s="3">
        <f t="shared" si="197"/>
        <v>1.228688753482083E-4</v>
      </c>
      <c r="V236" s="3">
        <f t="shared" si="197"/>
        <v>1.228688753482083E-4</v>
      </c>
      <c r="W236" s="3">
        <f t="shared" si="197"/>
        <v>1.228688753482083E-4</v>
      </c>
      <c r="X236" s="3">
        <f t="shared" si="197"/>
        <v>1.228688753482083E-4</v>
      </c>
      <c r="Y236" s="3">
        <f t="shared" si="197"/>
        <v>1.228688753482083E-4</v>
      </c>
      <c r="Z236" s="3">
        <f t="shared" si="197"/>
        <v>1.228688753482083E-4</v>
      </c>
      <c r="AA236" s="3">
        <f t="shared" si="197"/>
        <v>1.228688753482083E-4</v>
      </c>
      <c r="AB236" s="3">
        <f t="shared" si="197"/>
        <v>1.228688753482083E-4</v>
      </c>
      <c r="AC236" s="3">
        <f t="shared" si="197"/>
        <v>1.2286887534820827E-4</v>
      </c>
      <c r="AD236" s="3">
        <f t="shared" si="197"/>
        <v>1.2286887534820816E-4</v>
      </c>
      <c r="AE236" s="3">
        <f t="shared" si="197"/>
        <v>1.2286887534820708E-4</v>
      </c>
      <c r="AF236" s="3">
        <f t="shared" si="197"/>
        <v>1.2286887534819607E-4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1.663721654170598E-4</v>
      </c>
      <c r="C240" s="3">
        <f t="shared" si="201"/>
        <v>1.663721654170598E-4</v>
      </c>
      <c r="D240" s="3">
        <f t="shared" si="201"/>
        <v>1.663721654170598E-4</v>
      </c>
      <c r="E240" s="3">
        <f t="shared" si="201"/>
        <v>1.663721654170598E-4</v>
      </c>
      <c r="F240" s="3">
        <f t="shared" si="201"/>
        <v>1.663721654170598E-4</v>
      </c>
      <c r="G240" s="3">
        <f t="shared" si="201"/>
        <v>1.663721654170598E-4</v>
      </c>
      <c r="H240" s="3">
        <f t="shared" si="201"/>
        <v>1.663721654170598E-4</v>
      </c>
      <c r="I240" s="3">
        <f t="shared" si="201"/>
        <v>1.663721654170598E-4</v>
      </c>
      <c r="J240" s="3">
        <f t="shared" si="201"/>
        <v>1.663721654170598E-4</v>
      </c>
      <c r="K240" s="3">
        <f t="shared" si="201"/>
        <v>1.663721654170598E-4</v>
      </c>
      <c r="L240" s="3">
        <f t="shared" si="201"/>
        <v>1.663721654170598E-4</v>
      </c>
      <c r="M240" s="3">
        <f t="shared" si="201"/>
        <v>1.663721654170598E-4</v>
      </c>
      <c r="N240" s="3">
        <f t="shared" si="201"/>
        <v>1.663721654170598E-4</v>
      </c>
      <c r="O240" s="3">
        <f t="shared" si="201"/>
        <v>1.663721654170598E-4</v>
      </c>
      <c r="P240" s="3">
        <f t="shared" si="201"/>
        <v>1.663721654170598E-4</v>
      </c>
      <c r="Q240" s="3">
        <f t="shared" si="201"/>
        <v>1.663721654170598E-4</v>
      </c>
      <c r="R240" s="3">
        <f t="shared" si="201"/>
        <v>1.663721654170598E-4</v>
      </c>
      <c r="S240" s="3">
        <f t="shared" si="201"/>
        <v>1.663721654170598E-4</v>
      </c>
      <c r="T240" s="3">
        <f t="shared" si="201"/>
        <v>1.663721654170598E-4</v>
      </c>
      <c r="U240" s="3">
        <f t="shared" si="201"/>
        <v>1.663721654170598E-4</v>
      </c>
      <c r="V240" s="3">
        <f t="shared" si="201"/>
        <v>1.663721654170598E-4</v>
      </c>
      <c r="W240" s="3">
        <f t="shared" si="201"/>
        <v>1.663721654170598E-4</v>
      </c>
      <c r="X240" s="3">
        <f t="shared" si="201"/>
        <v>1.663721654170598E-4</v>
      </c>
      <c r="Y240" s="3">
        <f t="shared" si="201"/>
        <v>1.663721654170598E-4</v>
      </c>
      <c r="Z240" s="3">
        <f t="shared" si="201"/>
        <v>1.663721654170598E-4</v>
      </c>
      <c r="AA240" s="3">
        <f t="shared" si="201"/>
        <v>1.663721654170598E-4</v>
      </c>
      <c r="AB240" s="3">
        <f t="shared" si="201"/>
        <v>1.663721654170598E-4</v>
      </c>
      <c r="AC240" s="3">
        <f t="shared" si="201"/>
        <v>1.663721654170598E-4</v>
      </c>
      <c r="AD240" s="3">
        <f t="shared" si="201"/>
        <v>1.663721654170598E-4</v>
      </c>
      <c r="AE240" s="3">
        <f t="shared" si="201"/>
        <v>1.663721654170598E-4</v>
      </c>
      <c r="AF240" s="3">
        <f t="shared" si="201"/>
        <v>1.663721654170598E-4</v>
      </c>
      <c r="AG240" s="3"/>
      <c r="AH240" s="3"/>
    </row>
    <row r="241" spans="1:34" x14ac:dyDescent="0.25">
      <c r="A241" s="79">
        <f>AVERAGE(B241:AF241)</f>
        <v>2.0451008502022434E-2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1.0431518164083862E-2</v>
      </c>
      <c r="M241" s="80">
        <f t="shared" si="202"/>
        <v>6.9409252094620691E-2</v>
      </c>
      <c r="N241" s="80">
        <f t="shared" si="202"/>
        <v>0.10982406714008405</v>
      </c>
      <c r="O241" s="80">
        <f t="shared" si="202"/>
        <v>0.10674689514015359</v>
      </c>
      <c r="P241" s="80">
        <f t="shared" si="202"/>
        <v>8.965048357236971E-2</v>
      </c>
      <c r="Q241" s="80">
        <f t="shared" si="202"/>
        <v>6.8436989457304823E-2</v>
      </c>
      <c r="R241" s="80">
        <f t="shared" si="202"/>
        <v>4.4970134318218745E-2</v>
      </c>
      <c r="S241" s="80">
        <f t="shared" si="202"/>
        <v>2.5686502886477926E-2</v>
      </c>
      <c r="T241" s="80">
        <f t="shared" si="202"/>
        <v>3.1996387521776339E-2</v>
      </c>
      <c r="U241" s="80">
        <f t="shared" si="202"/>
        <v>1.2821004519257771E-2</v>
      </c>
      <c r="V241" s="80">
        <f t="shared" si="202"/>
        <v>6.4008028748348128E-2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3.5621781922285321E-6</v>
      </c>
      <c r="C242" s="21">
        <f t="shared" ref="C242:AF242" si="203">(C209-C208)^2</f>
        <v>2.7102079062254147E-3</v>
      </c>
      <c r="D242" s="21">
        <f t="shared" si="203"/>
        <v>3.5478996171270274E-4</v>
      </c>
      <c r="E242" s="21">
        <f t="shared" si="203"/>
        <v>8.0415461261014757E-5</v>
      </c>
      <c r="F242" s="21">
        <f t="shared" si="203"/>
        <v>3.5029736106431824E-5</v>
      </c>
      <c r="G242" s="21">
        <f t="shared" si="203"/>
        <v>3.0430989390671003E-5</v>
      </c>
      <c r="H242" s="21">
        <f t="shared" si="203"/>
        <v>1.3485709882892158E-4</v>
      </c>
      <c r="I242" s="21">
        <f t="shared" si="203"/>
        <v>5.7653331514834665E-3</v>
      </c>
      <c r="J242" s="21">
        <f t="shared" si="203"/>
        <v>0.51685859785662724</v>
      </c>
      <c r="K242" s="21">
        <f t="shared" si="203"/>
        <v>50.670342978472313</v>
      </c>
      <c r="L242" s="21">
        <f t="shared" si="203"/>
        <v>4631.6121170691849</v>
      </c>
      <c r="M242" s="21">
        <f t="shared" si="203"/>
        <v>205040.30253845706</v>
      </c>
      <c r="N242" s="21">
        <f t="shared" si="203"/>
        <v>512950.82405230228</v>
      </c>
      <c r="O242" s="21">
        <f t="shared" si="203"/>
        <v>481268.11229015572</v>
      </c>
      <c r="P242" s="21">
        <f t="shared" si="203"/>
        <v>326812.55166724656</v>
      </c>
      <c r="Q242" s="21">
        <f t="shared" si="203"/>
        <v>181806.1733278521</v>
      </c>
      <c r="R242" s="21">
        <f t="shared" si="203"/>
        <v>74421.482524834093</v>
      </c>
      <c r="S242" s="21">
        <f t="shared" si="203"/>
        <v>22586.060213021403</v>
      </c>
      <c r="T242" s="21">
        <f t="shared" si="203"/>
        <v>31241.436448283377</v>
      </c>
      <c r="U242" s="21">
        <f t="shared" si="203"/>
        <v>4171.9132244793291</v>
      </c>
      <c r="V242" s="21">
        <f t="shared" si="203"/>
        <v>84117.336683569665</v>
      </c>
      <c r="W242" s="21">
        <f t="shared" si="203"/>
        <v>189928.43605980396</v>
      </c>
      <c r="X242" s="21">
        <f t="shared" si="203"/>
        <v>242440.40200861622</v>
      </c>
      <c r="Y242" s="21">
        <f t="shared" si="203"/>
        <v>214556.96878560938</v>
      </c>
      <c r="Z242" s="21">
        <f t="shared" si="203"/>
        <v>105518.82150513132</v>
      </c>
      <c r="AA242" s="21">
        <f t="shared" si="203"/>
        <v>20565.341358210539</v>
      </c>
      <c r="AB242" s="21">
        <f t="shared" si="203"/>
        <v>5700.6092797504652</v>
      </c>
      <c r="AC242" s="21">
        <f t="shared" si="203"/>
        <v>85574.547258459308</v>
      </c>
      <c r="AD242" s="21">
        <f t="shared" si="203"/>
        <v>94749.982476504389</v>
      </c>
      <c r="AE242" s="21">
        <f t="shared" si="203"/>
        <v>46939.543345905106</v>
      </c>
      <c r="AF242" s="21">
        <f t="shared" si="203"/>
        <v>17391.935157898843</v>
      </c>
      <c r="AG242" s="3"/>
      <c r="AH242" s="3"/>
    </row>
    <row r="243" spans="1:34" x14ac:dyDescent="0.25">
      <c r="A243" s="71">
        <f>SUM(B243:AF243)</f>
        <v>1929047.8050872711</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4631.6121170691849</v>
      </c>
      <c r="M243" s="60">
        <f t="shared" ref="M243" si="214">IF($A$64&lt;=M207,IF($B$64&gt;=M207,ABS(M242),0),0)</f>
        <v>205040.30253845706</v>
      </c>
      <c r="N243" s="60">
        <f t="shared" ref="N243" si="215">IF($A$64&lt;=N207,IF($B$64&gt;=N207,ABS(N242),0),0)</f>
        <v>512950.82405230228</v>
      </c>
      <c r="O243" s="60">
        <f t="shared" ref="O243" si="216">IF($A$64&lt;=O207,IF($B$64&gt;=O207,ABS(O242),0),0)</f>
        <v>481268.11229015572</v>
      </c>
      <c r="P243" s="60">
        <f t="shared" ref="P243" si="217">IF($A$64&lt;=P207,IF($B$64&gt;=P207,ABS(P242),0),0)</f>
        <v>326812.55166724656</v>
      </c>
      <c r="Q243" s="60">
        <f t="shared" ref="Q243" si="218">IF($A$64&lt;=Q207,IF($B$64&gt;=Q207,ABS(Q242),0),0)</f>
        <v>181806.1733278521</v>
      </c>
      <c r="R243" s="60">
        <f t="shared" ref="R243" si="219">IF($A$64&lt;=R207,IF($B$64&gt;=R207,ABS(R242),0),0)</f>
        <v>74421.482524834093</v>
      </c>
      <c r="S243" s="60">
        <f t="shared" ref="S243" si="220">IF($A$64&lt;=S207,IF($B$64&gt;=S207,ABS(S242),0),0)</f>
        <v>22586.060213021403</v>
      </c>
      <c r="T243" s="60">
        <f t="shared" ref="T243" si="221">IF($A$64&lt;=T207,IF($B$64&gt;=T207,ABS(T242),0),0)</f>
        <v>31241.436448283377</v>
      </c>
      <c r="U243" s="60">
        <f t="shared" ref="U243" si="222">IF($A$64&lt;=U207,IF($B$64&gt;=U207,ABS(U242),0),0)</f>
        <v>4171.9132244793291</v>
      </c>
      <c r="V243" s="60">
        <f t="shared" ref="V243" si="223">IF($A$64&lt;=V207,IF($B$64&gt;=V207,ABS(V242),0),0)</f>
        <v>84117.336683569665</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6503.9509699618966</v>
      </c>
      <c r="C247" s="26">
        <f>INDEX(Comparison!$AM$3:$AS$33,G$14,$E$122)</f>
        <v>6504.0043184804708</v>
      </c>
      <c r="D247" s="26">
        <f>INDEX(Comparison!$AM$3:$AS$33,H$14,$E$122)</f>
        <v>6503.9713230315656</v>
      </c>
      <c r="E247" s="26">
        <f>INDEX(Comparison!$AM$3:$AS$33,I$14,$E$122)</f>
        <v>6503.9615090652051</v>
      </c>
      <c r="F247" s="26">
        <f>INDEX(Comparison!$AM$3:$AS$33,J$14,$E$122)</f>
        <v>6503.9584150129849</v>
      </c>
      <c r="G247" s="26">
        <f>INDEX(Comparison!$AM$3:$AS$33,K$14,$E$122)</f>
        <v>6503.9573030886877</v>
      </c>
      <c r="H247" s="26">
        <f>INDEX(Comparison!$AM$3:$AS$33,L$14,$E$122)</f>
        <v>6503.9546441408229</v>
      </c>
      <c r="I247" s="26">
        <f>INDEX(Comparison!$AM$3:$AS$33,M$14,$E$122)</f>
        <v>6503.932647473689</v>
      </c>
      <c r="J247" s="26">
        <f>INDEX(Comparison!$AM$3:$AS$33,N$14,$E$122)</f>
        <v>6503.7133657579243</v>
      </c>
      <c r="K247" s="26">
        <f>INDEX(Comparison!$AM$3:$AS$33,O$14,$E$122)</f>
        <v>6501.5374241274303</v>
      </c>
      <c r="L247" s="26">
        <f>INDEX(Comparison!$AM$3:$AS$33,P$14,$E$122)</f>
        <v>6481.233154233405</v>
      </c>
      <c r="M247" s="26">
        <f>INDEX(Comparison!$AM$3:$AS$33,Q$14,$E$122)</f>
        <v>6364.7007036045688</v>
      </c>
      <c r="N247" s="26">
        <f>INDEX(Comparison!$AM$3:$AS$33,R$14,$E$122)</f>
        <v>6219.55344224686</v>
      </c>
      <c r="O247" s="26">
        <f>INDEX(Comparison!$AM$3:$AS$33,S$14,$E$122)</f>
        <v>6059.9785511387736</v>
      </c>
      <c r="P247" s="26">
        <f>INDEX(Comparison!$AM$3:$AS$33,T$14,$E$122)</f>
        <v>5870.6317266704709</v>
      </c>
      <c r="Q247" s="26">
        <f>INDEX(Comparison!$AM$3:$AS$33,U$14,$E$122)</f>
        <v>5669.1325406322439</v>
      </c>
      <c r="R247" s="26">
        <f>INDEX(Comparison!$AM$3:$AS$33,V$14,$E$122)</f>
        <v>5423.4324257349326</v>
      </c>
      <c r="S247" s="26">
        <f>INDEX(Comparison!$AM$3:$AS$33,W$14,$E$122)</f>
        <v>5064.9009314494624</v>
      </c>
      <c r="T247" s="26">
        <f>INDEX(Comparison!$AM$3:$AS$33,X$14,$E$122)</f>
        <v>4580.1850776889687</v>
      </c>
      <c r="U247" s="26">
        <f>INDEX(Comparison!$AM$3:$AS$33,Y$14,$E$122)</f>
        <v>4085.8663253030418</v>
      </c>
      <c r="V247" s="26">
        <f>INDEX(Comparison!$AM$3:$AS$33,Z$14,$E$122)</f>
        <v>3641.7022773125063</v>
      </c>
      <c r="W247" s="26">
        <f>INDEX(Comparison!$AM$3:$AS$33,AA$14,$E$122)</f>
        <v>3231.6591203117327</v>
      </c>
      <c r="X247" s="26">
        <f>INDEX(Comparison!$AM$3:$AS$33,AB$14,$E$122)</f>
        <v>2785.7203085552951</v>
      </c>
      <c r="Y247" s="26">
        <f>INDEX(Comparison!$AM$3:$AS$33,AC$14,$E$122)</f>
        <v>2295.1533050928924</v>
      </c>
      <c r="Z247" s="26">
        <f>INDEX(Comparison!$AM$3:$AS$33,AD$14,$E$122)</f>
        <v>1754.5150163075152</v>
      </c>
      <c r="AA247" s="26">
        <f>INDEX(Comparison!$AM$3:$AS$33,AE$14,$E$122)</f>
        <v>1171.8757952014325</v>
      </c>
      <c r="AB247" s="26">
        <f>INDEX(Comparison!$AM$3:$AS$33,AF$14,$E$122)</f>
        <v>704.46209389908893</v>
      </c>
      <c r="AC247" s="26">
        <f>INDEX(Comparison!$AM$3:$AS$33,AG$14,$E$122)</f>
        <v>403.25761176970258</v>
      </c>
      <c r="AD247" s="26">
        <f>INDEX(Comparison!$AM$3:$AS$33,AH$14,$E$122)</f>
        <v>227.19076746573165</v>
      </c>
      <c r="AE247" s="26">
        <f>INDEX(Comparison!$AM$3:$AS$33,AI$14,$E$122)</f>
        <v>157.01371189082064</v>
      </c>
      <c r="AF247" s="26">
        <f>INDEX(Comparison!$AM$3:$AS$33,AJ$14,$E$122)</f>
        <v>136.97082983111966</v>
      </c>
      <c r="AG247" s="26"/>
      <c r="AH247" s="26"/>
    </row>
    <row r="248" spans="1:34" x14ac:dyDescent="0.25">
      <c r="A248" s="70" t="s">
        <v>22</v>
      </c>
      <c r="B248" s="27">
        <f>($C$17+SUM(B249:B279))*$B$51</f>
        <v>6524.0922952434221</v>
      </c>
      <c r="C248" s="27">
        <f t="shared" ref="C248:AF248" si="234">($C$17+SUM(C249:C279))*$B$51</f>
        <v>6524.0922524342241</v>
      </c>
      <c r="D248" s="27">
        <f t="shared" si="234"/>
        <v>6524.0918243423876</v>
      </c>
      <c r="E248" s="27">
        <f t="shared" si="234"/>
        <v>6524.0875434380368</v>
      </c>
      <c r="F248" s="27">
        <f t="shared" si="234"/>
        <v>6524.0447357964922</v>
      </c>
      <c r="G248" s="27">
        <f t="shared" si="234"/>
        <v>6523.6167995457063</v>
      </c>
      <c r="H248" s="27">
        <f t="shared" si="234"/>
        <v>6519.3514226722345</v>
      </c>
      <c r="I248" s="27">
        <f t="shared" si="234"/>
        <v>6478.0658893485024</v>
      </c>
      <c r="J248" s="27">
        <f t="shared" si="234"/>
        <v>6176.1398244391066</v>
      </c>
      <c r="K248" s="27">
        <f t="shared" si="234"/>
        <v>5806.115107747044</v>
      </c>
      <c r="L248" s="27">
        <f t="shared" si="234"/>
        <v>5805.1456614288363</v>
      </c>
      <c r="M248" s="27">
        <f t="shared" si="234"/>
        <v>5805.0751378577143</v>
      </c>
      <c r="N248" s="27">
        <f t="shared" si="234"/>
        <v>5804.3704666683288</v>
      </c>
      <c r="O248" s="27">
        <f t="shared" si="234"/>
        <v>5797.3798908629697</v>
      </c>
      <c r="P248" s="27">
        <f t="shared" si="234"/>
        <v>5732.7846044777079</v>
      </c>
      <c r="Q248" s="27">
        <f t="shared" si="234"/>
        <v>5410.1595589158851</v>
      </c>
      <c r="R248" s="27">
        <f t="shared" si="234"/>
        <v>5148.1308919845105</v>
      </c>
      <c r="S248" s="27">
        <f t="shared" si="234"/>
        <v>4877.2096942846156</v>
      </c>
      <c r="T248" s="27">
        <f t="shared" si="234"/>
        <v>4592.9582661294371</v>
      </c>
      <c r="U248" s="27">
        <f t="shared" si="234"/>
        <v>4292.7306281494702</v>
      </c>
      <c r="V248" s="27">
        <f t="shared" si="234"/>
        <v>3948.5008615548327</v>
      </c>
      <c r="W248" s="27">
        <f t="shared" si="234"/>
        <v>3505.1305271704709</v>
      </c>
      <c r="X248" s="27">
        <f t="shared" si="234"/>
        <v>2948.885989121246</v>
      </c>
      <c r="Y248" s="27">
        <f t="shared" si="234"/>
        <v>2290.6926685337194</v>
      </c>
      <c r="Z248" s="27">
        <f t="shared" si="234"/>
        <v>1551.8950920133245</v>
      </c>
      <c r="AA248" s="27">
        <f t="shared" si="234"/>
        <v>908.09684673329912</v>
      </c>
      <c r="AB248" s="27">
        <f t="shared" si="234"/>
        <v>513.44542180004362</v>
      </c>
      <c r="AC248" s="27">
        <f t="shared" si="234"/>
        <v>277.70828412129953</v>
      </c>
      <c r="AD248" s="27">
        <f t="shared" si="234"/>
        <v>184.76234463114204</v>
      </c>
      <c r="AE248" s="27">
        <f t="shared" si="234"/>
        <v>160.73477671907852</v>
      </c>
      <c r="AF248" s="27">
        <f t="shared" si="234"/>
        <v>144.12043418379565</v>
      </c>
      <c r="AG248" s="27"/>
      <c r="AH248" s="27"/>
    </row>
    <row r="249" spans="1:34" x14ac:dyDescent="0.25">
      <c r="B249" s="3">
        <f t="shared" ref="B249:AF249" si="235">$C18*EXP(-B$246/$A18/EXP(-$E$126))</f>
        <v>0.11019752084566645</v>
      </c>
      <c r="C249" s="3">
        <f t="shared" si="235"/>
        <v>0.11019751428395815</v>
      </c>
      <c r="D249" s="3">
        <f t="shared" si="235"/>
        <v>0.11019744866689651</v>
      </c>
      <c r="E249" s="3">
        <f t="shared" si="235"/>
        <v>0.11019679249842927</v>
      </c>
      <c r="F249" s="3">
        <f t="shared" si="235"/>
        <v>0.1101902310286457</v>
      </c>
      <c r="G249" s="3">
        <f t="shared" si="235"/>
        <v>0.11012463781497252</v>
      </c>
      <c r="H249" s="3">
        <f t="shared" si="235"/>
        <v>0.10947084936869737</v>
      </c>
      <c r="I249" s="3">
        <f t="shared" si="235"/>
        <v>0.10314268533111208</v>
      </c>
      <c r="J249" s="3">
        <f t="shared" si="235"/>
        <v>5.6864064414060375E-2</v>
      </c>
      <c r="K249" s="3">
        <f t="shared" si="235"/>
        <v>1.4751376160884651E-4</v>
      </c>
      <c r="L249" s="3">
        <f t="shared" si="235"/>
        <v>2.036005438306771E-30</v>
      </c>
      <c r="M249" s="3">
        <f t="shared" si="235"/>
        <v>5.1079059695058318E-289</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6.7386263954763242E-2</v>
      </c>
      <c r="C250" s="3">
        <f t="shared" si="236"/>
        <v>6.7386263954762216E-2</v>
      </c>
      <c r="D250" s="3">
        <f t="shared" si="236"/>
        <v>6.7386263954751932E-2</v>
      </c>
      <c r="E250" s="3">
        <f t="shared" si="236"/>
        <v>6.7386263954649153E-2</v>
      </c>
      <c r="F250" s="3">
        <f t="shared" si="236"/>
        <v>6.7386263953621323E-2</v>
      </c>
      <c r="G250" s="3">
        <f t="shared" si="236"/>
        <v>6.73862639433431E-2</v>
      </c>
      <c r="H250" s="3">
        <f t="shared" si="236"/>
        <v>6.7386263840560776E-2</v>
      </c>
      <c r="I250" s="3">
        <f t="shared" si="236"/>
        <v>6.738626281273763E-2</v>
      </c>
      <c r="J250" s="3">
        <f t="shared" si="236"/>
        <v>6.7386252534507002E-2</v>
      </c>
      <c r="K250" s="3">
        <f t="shared" si="236"/>
        <v>6.7386149752286947E-2</v>
      </c>
      <c r="L250" s="3">
        <f t="shared" si="236"/>
        <v>6.7385121938708756E-2</v>
      </c>
      <c r="M250" s="3">
        <f t="shared" si="236"/>
        <v>6.7374844665112593E-2</v>
      </c>
      <c r="N250" s="3">
        <f t="shared" si="236"/>
        <v>6.7272158099095369E-2</v>
      </c>
      <c r="O250" s="3">
        <f t="shared" si="236"/>
        <v>6.6253861001100534E-2</v>
      </c>
      <c r="P250" s="3">
        <f t="shared" si="236"/>
        <v>5.6881299978037585E-2</v>
      </c>
      <c r="Q250" s="3">
        <f t="shared" si="236"/>
        <v>1.2375214176462972E-2</v>
      </c>
      <c r="R250" s="3">
        <f t="shared" si="236"/>
        <v>2.9402538718271056E-9</v>
      </c>
      <c r="S250" s="3">
        <f t="shared" si="236"/>
        <v>1.6854112805797122E-75</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3.4082747841508318E-2</v>
      </c>
      <c r="C251" s="3">
        <f t="shared" si="237"/>
        <v>3.4082747841508269E-2</v>
      </c>
      <c r="D251" s="3">
        <f t="shared" si="237"/>
        <v>3.4082747841507804E-2</v>
      </c>
      <c r="E251" s="3">
        <f t="shared" si="237"/>
        <v>3.4082747841503114E-2</v>
      </c>
      <c r="F251" s="3">
        <f t="shared" si="237"/>
        <v>3.4082747841456221E-2</v>
      </c>
      <c r="G251" s="3">
        <f t="shared" si="237"/>
        <v>3.4082747840987269E-2</v>
      </c>
      <c r="H251" s="3">
        <f t="shared" si="237"/>
        <v>3.408274783629775E-2</v>
      </c>
      <c r="I251" s="3">
        <f t="shared" si="237"/>
        <v>3.4082747789402568E-2</v>
      </c>
      <c r="J251" s="3">
        <f t="shared" si="237"/>
        <v>3.4082747320450767E-2</v>
      </c>
      <c r="K251" s="3">
        <f t="shared" si="237"/>
        <v>3.4082742630933104E-2</v>
      </c>
      <c r="L251" s="3">
        <f t="shared" si="237"/>
        <v>3.4082695735791965E-2</v>
      </c>
      <c r="M251" s="3">
        <f t="shared" si="237"/>
        <v>3.4082226787929361E-2</v>
      </c>
      <c r="N251" s="3">
        <f t="shared" si="237"/>
        <v>3.4077537664165686E-2</v>
      </c>
      <c r="O251" s="3">
        <f t="shared" si="237"/>
        <v>3.4030681894706739E-2</v>
      </c>
      <c r="P251" s="3">
        <f t="shared" si="237"/>
        <v>3.3565653027633695E-2</v>
      </c>
      <c r="Q251" s="3">
        <f t="shared" si="237"/>
        <v>2.9250924422678931E-2</v>
      </c>
      <c r="R251" s="3">
        <f t="shared" si="237"/>
        <v>7.3889809005875861E-3</v>
      </c>
      <c r="S251" s="3">
        <f t="shared" si="237"/>
        <v>7.8168904654508839E-9</v>
      </c>
      <c r="T251" s="3">
        <f t="shared" si="237"/>
        <v>1.3725521390950895E-68</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4.6674257676140619E-2</v>
      </c>
      <c r="C252" s="3">
        <f t="shared" si="238"/>
        <v>4.6674257676140612E-2</v>
      </c>
      <c r="D252" s="3">
        <f t="shared" si="238"/>
        <v>4.6674257676140557E-2</v>
      </c>
      <c r="E252" s="3">
        <f t="shared" si="238"/>
        <v>4.6674257676139974E-2</v>
      </c>
      <c r="F252" s="3">
        <f t="shared" si="238"/>
        <v>4.667425767613418E-2</v>
      </c>
      <c r="G252" s="3">
        <f t="shared" si="238"/>
        <v>4.6674257676076247E-2</v>
      </c>
      <c r="H252" s="3">
        <f t="shared" si="238"/>
        <v>4.6674257675496933E-2</v>
      </c>
      <c r="I252" s="3">
        <f t="shared" si="238"/>
        <v>4.6674257669703748E-2</v>
      </c>
      <c r="J252" s="3">
        <f t="shared" si="238"/>
        <v>4.6674257611771866E-2</v>
      </c>
      <c r="K252" s="3">
        <f t="shared" si="238"/>
        <v>4.6674257032453072E-2</v>
      </c>
      <c r="L252" s="3">
        <f t="shared" si="238"/>
        <v>4.6674251239265524E-2</v>
      </c>
      <c r="M252" s="3">
        <f t="shared" si="238"/>
        <v>4.6674193307429598E-2</v>
      </c>
      <c r="N252" s="3">
        <f t="shared" si="238"/>
        <v>4.6673613993025075E-2</v>
      </c>
      <c r="O252" s="3">
        <f t="shared" si="238"/>
        <v>4.6667821244436032E-2</v>
      </c>
      <c r="P252" s="3">
        <f t="shared" si="238"/>
        <v>4.6609933286007314E-2</v>
      </c>
      <c r="Q252" s="3">
        <f t="shared" si="238"/>
        <v>4.6034988355315269E-2</v>
      </c>
      <c r="R252" s="3">
        <f t="shared" si="238"/>
        <v>4.0661519202089831E-2</v>
      </c>
      <c r="S252" s="3">
        <f t="shared" si="238"/>
        <v>1.1752742807143408E-2</v>
      </c>
      <c r="T252" s="3">
        <f t="shared" si="238"/>
        <v>4.7829467698387901E-8</v>
      </c>
      <c r="U252" s="3">
        <f t="shared" si="238"/>
        <v>5.9601707272153338E-62</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4.4764266498867597E-2</v>
      </c>
      <c r="C253" s="3">
        <f t="shared" si="239"/>
        <v>4.4764266498867597E-2</v>
      </c>
      <c r="D253" s="3">
        <f t="shared" si="239"/>
        <v>4.476426649886759E-2</v>
      </c>
      <c r="E253" s="3">
        <f t="shared" si="239"/>
        <v>4.4764266498867541E-2</v>
      </c>
      <c r="F253" s="3">
        <f t="shared" si="239"/>
        <v>4.4764266498867042E-2</v>
      </c>
      <c r="G253" s="3">
        <f t="shared" si="239"/>
        <v>4.4764266498862025E-2</v>
      </c>
      <c r="H253" s="3">
        <f t="shared" si="239"/>
        <v>4.4764266498811905E-2</v>
      </c>
      <c r="I253" s="3">
        <f t="shared" si="239"/>
        <v>4.4764266498310695E-2</v>
      </c>
      <c r="J253" s="3">
        <f t="shared" si="239"/>
        <v>4.4764266493298614E-2</v>
      </c>
      <c r="K253" s="3">
        <f t="shared" si="239"/>
        <v>4.4764266443177783E-2</v>
      </c>
      <c r="L253" s="3">
        <f t="shared" si="239"/>
        <v>4.4764265941969479E-2</v>
      </c>
      <c r="M253" s="3">
        <f t="shared" si="239"/>
        <v>4.4764260929886689E-2</v>
      </c>
      <c r="N253" s="3">
        <f t="shared" si="239"/>
        <v>4.4764210809089697E-2</v>
      </c>
      <c r="O253" s="3">
        <f t="shared" si="239"/>
        <v>4.476370960420626E-2</v>
      </c>
      <c r="P253" s="3">
        <f t="shared" si="239"/>
        <v>4.4758697864008767E-2</v>
      </c>
      <c r="Q253" s="3">
        <f t="shared" si="239"/>
        <v>4.4708611312935104E-2</v>
      </c>
      <c r="R253" s="3">
        <f t="shared" si="239"/>
        <v>4.4210818149766934E-2</v>
      </c>
      <c r="S253" s="3">
        <f t="shared" si="239"/>
        <v>3.952776559162112E-2</v>
      </c>
      <c r="T253" s="3">
        <f t="shared" si="239"/>
        <v>1.2901476061380153E-2</v>
      </c>
      <c r="U253" s="3">
        <f t="shared" si="239"/>
        <v>1.7701527965679436E-7</v>
      </c>
      <c r="V253" s="3">
        <f t="shared" si="239"/>
        <v>4.185277917536364E-56</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4.8577269491505953E-2</v>
      </c>
      <c r="C254" s="3">
        <f t="shared" si="240"/>
        <v>4.8577269491505953E-2</v>
      </c>
      <c r="D254" s="3">
        <f t="shared" si="240"/>
        <v>4.8577269491505953E-2</v>
      </c>
      <c r="E254" s="3">
        <f t="shared" si="240"/>
        <v>4.8577269491505946E-2</v>
      </c>
      <c r="F254" s="3">
        <f t="shared" si="240"/>
        <v>4.8577269491505898E-2</v>
      </c>
      <c r="G254" s="3">
        <f t="shared" si="240"/>
        <v>4.8577269491505405E-2</v>
      </c>
      <c r="H254" s="3">
        <f t="shared" si="240"/>
        <v>4.8577269491500499E-2</v>
      </c>
      <c r="I254" s="3">
        <f t="shared" si="240"/>
        <v>4.8577269491451441E-2</v>
      </c>
      <c r="J254" s="3">
        <f t="shared" si="240"/>
        <v>4.8577269490960792E-2</v>
      </c>
      <c r="K254" s="3">
        <f t="shared" si="240"/>
        <v>4.8577269486054356E-2</v>
      </c>
      <c r="L254" s="3">
        <f t="shared" si="240"/>
        <v>4.857726943698995E-2</v>
      </c>
      <c r="M254" s="3">
        <f t="shared" si="240"/>
        <v>4.8577268946345967E-2</v>
      </c>
      <c r="N254" s="3">
        <f t="shared" si="240"/>
        <v>4.8577264039906372E-2</v>
      </c>
      <c r="O254" s="3">
        <f t="shared" si="240"/>
        <v>4.8577214975537658E-2</v>
      </c>
      <c r="P254" s="3">
        <f t="shared" si="240"/>
        <v>4.8576724334576132E-2</v>
      </c>
      <c r="Q254" s="3">
        <f t="shared" si="240"/>
        <v>4.8571818197509824E-2</v>
      </c>
      <c r="R254" s="3">
        <f t="shared" si="240"/>
        <v>4.8522784071559737E-2</v>
      </c>
      <c r="S254" s="3">
        <f t="shared" si="240"/>
        <v>4.8035157129173396E-2</v>
      </c>
      <c r="T254" s="3">
        <f t="shared" si="240"/>
        <v>4.3420443991282628E-2</v>
      </c>
      <c r="U254" s="3">
        <f t="shared" si="240"/>
        <v>1.5814108093649758E-2</v>
      </c>
      <c r="V254" s="3">
        <f t="shared" si="240"/>
        <v>6.4945510238802777E-7</v>
      </c>
      <c r="W254" s="3">
        <f t="shared" si="240"/>
        <v>8.8632588852602323E-51</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5.5549505588396574E-2</v>
      </c>
      <c r="C255" s="3">
        <f t="shared" si="241"/>
        <v>5.5549505588396574E-2</v>
      </c>
      <c r="D255" s="3">
        <f t="shared" si="241"/>
        <v>5.5549505588396574E-2</v>
      </c>
      <c r="E255" s="3">
        <f t="shared" si="241"/>
        <v>5.5549505588396574E-2</v>
      </c>
      <c r="F255" s="3">
        <f t="shared" si="241"/>
        <v>5.5549505588396567E-2</v>
      </c>
      <c r="G255" s="3">
        <f t="shared" si="241"/>
        <v>5.5549505588396518E-2</v>
      </c>
      <c r="H255" s="3">
        <f t="shared" si="241"/>
        <v>5.5549505588396011E-2</v>
      </c>
      <c r="I255" s="3">
        <f t="shared" si="241"/>
        <v>5.5549505588390946E-2</v>
      </c>
      <c r="J255" s="3">
        <f t="shared" si="241"/>
        <v>5.5549505588340334E-2</v>
      </c>
      <c r="K255" s="3">
        <f t="shared" si="241"/>
        <v>5.5549505587834211E-2</v>
      </c>
      <c r="L255" s="3">
        <f t="shared" si="241"/>
        <v>5.5549505582772933E-2</v>
      </c>
      <c r="M255" s="3">
        <f t="shared" si="241"/>
        <v>5.5549505532160155E-2</v>
      </c>
      <c r="N255" s="3">
        <f t="shared" si="241"/>
        <v>5.5549505026032384E-2</v>
      </c>
      <c r="O255" s="3">
        <f t="shared" si="241"/>
        <v>5.5549499964754889E-2</v>
      </c>
      <c r="P255" s="3">
        <f t="shared" si="241"/>
        <v>5.5549449352005377E-2</v>
      </c>
      <c r="Q255" s="3">
        <f t="shared" si="241"/>
        <v>5.5548943227046538E-2</v>
      </c>
      <c r="R255" s="3">
        <f t="shared" si="241"/>
        <v>5.5543882231079922E-2</v>
      </c>
      <c r="S255" s="3">
        <f t="shared" si="241"/>
        <v>5.5493297625045138E-2</v>
      </c>
      <c r="T255" s="3">
        <f t="shared" si="241"/>
        <v>5.4989978401466758E-2</v>
      </c>
      <c r="U255" s="3">
        <f t="shared" si="241"/>
        <v>5.0201155067816756E-2</v>
      </c>
      <c r="V255" s="3">
        <f t="shared" si="241"/>
        <v>2.0184375515859426E-2</v>
      </c>
      <c r="W255" s="3">
        <f t="shared" si="241"/>
        <v>2.2285962327503522E-6</v>
      </c>
      <c r="X255" s="3">
        <f t="shared" si="241"/>
        <v>6.0005649275267708E-46</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7.866276737132312E-2</v>
      </c>
      <c r="C256" s="3">
        <f t="shared" si="242"/>
        <v>7.866276737132312E-2</v>
      </c>
      <c r="D256" s="3">
        <f t="shared" si="242"/>
        <v>7.866276737132312E-2</v>
      </c>
      <c r="E256" s="3">
        <f t="shared" si="242"/>
        <v>7.866276737132312E-2</v>
      </c>
      <c r="F256" s="3">
        <f t="shared" si="242"/>
        <v>7.866276737132312E-2</v>
      </c>
      <c r="G256" s="3">
        <f t="shared" si="242"/>
        <v>7.8662767371323106E-2</v>
      </c>
      <c r="H256" s="3">
        <f t="shared" si="242"/>
        <v>7.866276737132305E-2</v>
      </c>
      <c r="I256" s="3">
        <f t="shared" si="242"/>
        <v>7.8662767371322398E-2</v>
      </c>
      <c r="J256" s="3">
        <f t="shared" si="242"/>
        <v>7.8662767371315931E-2</v>
      </c>
      <c r="K256" s="3">
        <f t="shared" si="242"/>
        <v>7.8662767371251274E-2</v>
      </c>
      <c r="L256" s="3">
        <f t="shared" si="242"/>
        <v>7.8662767370604736E-2</v>
      </c>
      <c r="M256" s="3">
        <f t="shared" si="242"/>
        <v>7.8662767364139338E-2</v>
      </c>
      <c r="N256" s="3">
        <f t="shared" si="242"/>
        <v>7.8662767299485278E-2</v>
      </c>
      <c r="O256" s="3">
        <f t="shared" si="242"/>
        <v>7.8662766652944707E-2</v>
      </c>
      <c r="P256" s="3">
        <f t="shared" si="242"/>
        <v>7.866276018753926E-2</v>
      </c>
      <c r="Q256" s="3">
        <f t="shared" si="242"/>
        <v>7.8662695533514015E-2</v>
      </c>
      <c r="R256" s="3">
        <f t="shared" si="242"/>
        <v>7.8662048996184356E-2</v>
      </c>
      <c r="S256" s="3">
        <f t="shared" si="242"/>
        <v>7.8655583915148389E-2</v>
      </c>
      <c r="T256" s="3">
        <f t="shared" si="242"/>
        <v>7.8590962321969146E-2</v>
      </c>
      <c r="U256" s="3">
        <f t="shared" si="242"/>
        <v>7.7947659242539172E-2</v>
      </c>
      <c r="V256" s="3">
        <f t="shared" si="242"/>
        <v>7.1797246848283383E-2</v>
      </c>
      <c r="W256" s="3">
        <f t="shared" si="242"/>
        <v>3.1561302809810655E-2</v>
      </c>
      <c r="X256" s="3">
        <f t="shared" si="242"/>
        <v>8.5040583630145862E-6</v>
      </c>
      <c r="Y256" s="3">
        <f t="shared" si="242"/>
        <v>1.7152970178085687E-41</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9.4543741847587029E-2</v>
      </c>
      <c r="C257" s="3">
        <f t="shared" si="243"/>
        <v>9.4543741847587029E-2</v>
      </c>
      <c r="D257" s="3">
        <f t="shared" si="243"/>
        <v>9.4543741847587029E-2</v>
      </c>
      <c r="E257" s="3">
        <f t="shared" si="243"/>
        <v>9.4543741847587029E-2</v>
      </c>
      <c r="F257" s="3">
        <f t="shared" si="243"/>
        <v>9.4543741847587029E-2</v>
      </c>
      <c r="G257" s="3">
        <f t="shared" si="243"/>
        <v>9.4543741847587029E-2</v>
      </c>
      <c r="H257" s="3">
        <f t="shared" si="243"/>
        <v>9.4543741847587015E-2</v>
      </c>
      <c r="I257" s="3">
        <f t="shared" si="243"/>
        <v>9.454374184758696E-2</v>
      </c>
      <c r="J257" s="3">
        <f t="shared" si="243"/>
        <v>9.4543741847586252E-2</v>
      </c>
      <c r="K257" s="3">
        <f t="shared" si="243"/>
        <v>9.4543741847579243E-2</v>
      </c>
      <c r="L257" s="3">
        <f t="shared" si="243"/>
        <v>9.4543741847509147E-2</v>
      </c>
      <c r="M257" s="3">
        <f t="shared" si="243"/>
        <v>9.4543741846808166E-2</v>
      </c>
      <c r="N257" s="3">
        <f t="shared" si="243"/>
        <v>9.4543741839798356E-2</v>
      </c>
      <c r="O257" s="3">
        <f t="shared" si="243"/>
        <v>9.4543741769700304E-2</v>
      </c>
      <c r="P257" s="3">
        <f t="shared" si="243"/>
        <v>9.4543741068719794E-2</v>
      </c>
      <c r="Q257" s="3">
        <f t="shared" si="243"/>
        <v>9.4543734058915016E-2</v>
      </c>
      <c r="R257" s="3">
        <f t="shared" si="243"/>
        <v>9.4543663960895724E-2</v>
      </c>
      <c r="S257" s="3">
        <f t="shared" si="243"/>
        <v>9.4542962983561352E-2</v>
      </c>
      <c r="T257" s="3">
        <f t="shared" si="243"/>
        <v>9.4535953496061378E-2</v>
      </c>
      <c r="U257" s="3">
        <f t="shared" si="243"/>
        <v>9.4465887197586626E-2</v>
      </c>
      <c r="V257" s="3">
        <f t="shared" si="243"/>
        <v>9.3768074041452584E-2</v>
      </c>
      <c r="W257" s="3">
        <f t="shared" si="243"/>
        <v>8.7067260012005876E-2</v>
      </c>
      <c r="X257" s="3">
        <f t="shared" si="243"/>
        <v>4.1481427568990474E-2</v>
      </c>
      <c r="Y257" s="3">
        <f t="shared" si="243"/>
        <v>2.4994350720834636E-5</v>
      </c>
      <c r="Z257" s="3">
        <f t="shared" si="243"/>
        <v>1.5766072320396004E-37</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0.11359632384203742</v>
      </c>
      <c r="C258" s="3">
        <f t="shared" si="244"/>
        <v>0.11359632384203742</v>
      </c>
      <c r="D258" s="3">
        <f t="shared" si="244"/>
        <v>0.11359632384203742</v>
      </c>
      <c r="E258" s="3">
        <f t="shared" si="244"/>
        <v>0.11359632384203742</v>
      </c>
      <c r="F258" s="3">
        <f t="shared" si="244"/>
        <v>0.11359632384203742</v>
      </c>
      <c r="G258" s="3">
        <f t="shared" si="244"/>
        <v>0.11359632384203742</v>
      </c>
      <c r="H258" s="3">
        <f t="shared" si="244"/>
        <v>0.11359632384203742</v>
      </c>
      <c r="I258" s="3">
        <f t="shared" si="244"/>
        <v>0.11359632384203741</v>
      </c>
      <c r="J258" s="3">
        <f t="shared" si="244"/>
        <v>0.11359632384203734</v>
      </c>
      <c r="K258" s="3">
        <f t="shared" si="244"/>
        <v>0.11359632384203658</v>
      </c>
      <c r="L258" s="3">
        <f t="shared" si="244"/>
        <v>0.11359632384202899</v>
      </c>
      <c r="M258" s="3">
        <f t="shared" si="244"/>
        <v>0.11359632384195301</v>
      </c>
      <c r="N258" s="3">
        <f t="shared" si="244"/>
        <v>0.11359632384119324</v>
      </c>
      <c r="O258" s="3">
        <f t="shared" si="244"/>
        <v>0.1135963238335955</v>
      </c>
      <c r="P258" s="3">
        <f t="shared" si="244"/>
        <v>0.11359632375761816</v>
      </c>
      <c r="Q258" s="3">
        <f t="shared" si="244"/>
        <v>0.11359632299784488</v>
      </c>
      <c r="R258" s="3">
        <f t="shared" si="244"/>
        <v>0.11359631540011224</v>
      </c>
      <c r="S258" s="3">
        <f t="shared" si="244"/>
        <v>0.11359623942281379</v>
      </c>
      <c r="T258" s="3">
        <f t="shared" si="244"/>
        <v>0.11359547965262422</v>
      </c>
      <c r="U258" s="3">
        <f t="shared" si="244"/>
        <v>0.11358788223021093</v>
      </c>
      <c r="V258" s="3">
        <f t="shared" si="244"/>
        <v>0.11351193594740658</v>
      </c>
      <c r="W258" s="3">
        <f t="shared" si="244"/>
        <v>0.11275526034994421</v>
      </c>
      <c r="X258" s="3">
        <f t="shared" si="244"/>
        <v>0.10546045155587327</v>
      </c>
      <c r="Y258" s="3">
        <f t="shared" si="244"/>
        <v>5.4027860662503292E-2</v>
      </c>
      <c r="Z258" s="3">
        <f t="shared" si="244"/>
        <v>6.7282050284271305E-5</v>
      </c>
      <c r="AA258" s="3">
        <f t="shared" si="244"/>
        <v>6.0355058901579046E-34</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0.12987660327805553</v>
      </c>
      <c r="C259" s="3">
        <f t="shared" si="245"/>
        <v>0.12987660327805553</v>
      </c>
      <c r="D259" s="3">
        <f t="shared" si="245"/>
        <v>0.12987660327805553</v>
      </c>
      <c r="E259" s="3">
        <f t="shared" si="245"/>
        <v>0.12987660327805553</v>
      </c>
      <c r="F259" s="3">
        <f t="shared" si="245"/>
        <v>0.12987660327805553</v>
      </c>
      <c r="G259" s="3">
        <f t="shared" si="245"/>
        <v>0.12987660327805553</v>
      </c>
      <c r="H259" s="3">
        <f t="shared" si="245"/>
        <v>0.12987660327805553</v>
      </c>
      <c r="I259" s="3">
        <f t="shared" si="245"/>
        <v>0.12987660327805553</v>
      </c>
      <c r="J259" s="3">
        <f t="shared" si="245"/>
        <v>0.1298766032780555</v>
      </c>
      <c r="K259" s="3">
        <f t="shared" si="245"/>
        <v>0.12987660327805545</v>
      </c>
      <c r="L259" s="3">
        <f t="shared" si="245"/>
        <v>0.12987660327805467</v>
      </c>
      <c r="M259" s="3">
        <f t="shared" si="245"/>
        <v>0.12987660327804681</v>
      </c>
      <c r="N259" s="3">
        <f t="shared" si="245"/>
        <v>0.12987660327796846</v>
      </c>
      <c r="O259" s="3">
        <f t="shared" si="245"/>
        <v>0.12987660327718487</v>
      </c>
      <c r="P259" s="3">
        <f t="shared" si="245"/>
        <v>0.1298766032693488</v>
      </c>
      <c r="Q259" s="3">
        <f t="shared" si="245"/>
        <v>0.12987660319098829</v>
      </c>
      <c r="R259" s="3">
        <f t="shared" si="245"/>
        <v>0.12987660240738319</v>
      </c>
      <c r="S259" s="3">
        <f t="shared" si="245"/>
        <v>0.12987659457133235</v>
      </c>
      <c r="T259" s="3">
        <f t="shared" si="245"/>
        <v>0.12987651621085011</v>
      </c>
      <c r="U259" s="3">
        <f t="shared" si="245"/>
        <v>0.12987573260862792</v>
      </c>
      <c r="V259" s="3">
        <f t="shared" si="245"/>
        <v>0.12986789684643121</v>
      </c>
      <c r="W259" s="3">
        <f t="shared" si="245"/>
        <v>0.12978956522118509</v>
      </c>
      <c r="X259" s="3">
        <f t="shared" si="245"/>
        <v>0.12900884284670117</v>
      </c>
      <c r="Y259" s="3">
        <f t="shared" si="245"/>
        <v>0.12145530864394398</v>
      </c>
      <c r="Z259" s="3">
        <f t="shared" si="245"/>
        <v>6.6433437274541138E-2</v>
      </c>
      <c r="AA259" s="3">
        <f t="shared" si="245"/>
        <v>1.5925348265631936E-4</v>
      </c>
      <c r="AB259" s="3">
        <f t="shared" si="245"/>
        <v>9.979553004443584E-31</v>
      </c>
      <c r="AC259" s="3">
        <f t="shared" si="245"/>
        <v>9.318212185558658E-293</v>
      </c>
      <c r="AD259" s="3">
        <f t="shared" si="245"/>
        <v>0</v>
      </c>
      <c r="AE259" s="3">
        <f t="shared" si="245"/>
        <v>0</v>
      </c>
      <c r="AF259" s="3">
        <f t="shared" si="245"/>
        <v>0</v>
      </c>
      <c r="AG259" s="3"/>
      <c r="AH259" s="3"/>
    </row>
    <row r="260" spans="2:34" x14ac:dyDescent="0.25">
      <c r="B260" s="3">
        <f t="shared" ref="B260:AF260" si="246">$C29*EXP(-B$246/$A29/EXP(-$E$126))</f>
        <v>7.5604381501705717E-2</v>
      </c>
      <c r="C260" s="3">
        <f t="shared" si="246"/>
        <v>7.5604381501705717E-2</v>
      </c>
      <c r="D260" s="3">
        <f t="shared" si="246"/>
        <v>7.5604381501705717E-2</v>
      </c>
      <c r="E260" s="3">
        <f t="shared" si="246"/>
        <v>7.5604381501705717E-2</v>
      </c>
      <c r="F260" s="3">
        <f t="shared" si="246"/>
        <v>7.5604381501705717E-2</v>
      </c>
      <c r="G260" s="3">
        <f t="shared" si="246"/>
        <v>7.5604381501705717E-2</v>
      </c>
      <c r="H260" s="3">
        <f t="shared" si="246"/>
        <v>7.5604381501705717E-2</v>
      </c>
      <c r="I260" s="3">
        <f t="shared" si="246"/>
        <v>7.5604381501705717E-2</v>
      </c>
      <c r="J260" s="3">
        <f t="shared" si="246"/>
        <v>7.5604381501705717E-2</v>
      </c>
      <c r="K260" s="3">
        <f t="shared" si="246"/>
        <v>7.5604381501705703E-2</v>
      </c>
      <c r="L260" s="3">
        <f t="shared" si="246"/>
        <v>7.5604381501705675E-2</v>
      </c>
      <c r="M260" s="3">
        <f t="shared" si="246"/>
        <v>7.5604381501705259E-2</v>
      </c>
      <c r="N260" s="3">
        <f t="shared" si="246"/>
        <v>7.5604381501701137E-2</v>
      </c>
      <c r="O260" s="3">
        <f t="shared" si="246"/>
        <v>7.560438150165999E-2</v>
      </c>
      <c r="P260" s="3">
        <f t="shared" si="246"/>
        <v>7.5604381501248513E-2</v>
      </c>
      <c r="Q260" s="3">
        <f t="shared" si="246"/>
        <v>7.5604381497133596E-2</v>
      </c>
      <c r="R260" s="3">
        <f t="shared" si="246"/>
        <v>7.560438145598454E-2</v>
      </c>
      <c r="S260" s="3">
        <f t="shared" si="246"/>
        <v>7.5604381044493962E-2</v>
      </c>
      <c r="T260" s="3">
        <f t="shared" si="246"/>
        <v>7.5604376929588338E-2</v>
      </c>
      <c r="U260" s="3">
        <f t="shared" si="246"/>
        <v>7.5604335780544346E-2</v>
      </c>
      <c r="V260" s="3">
        <f t="shared" si="246"/>
        <v>7.5603924291336194E-2</v>
      </c>
      <c r="W260" s="3">
        <f t="shared" si="246"/>
        <v>7.5599809522430575E-2</v>
      </c>
      <c r="X260" s="3">
        <f t="shared" si="246"/>
        <v>7.5558674148485772E-2</v>
      </c>
      <c r="Y260" s="3">
        <f t="shared" si="246"/>
        <v>7.5148549443768003E-2</v>
      </c>
      <c r="Z260" s="3">
        <f t="shared" si="246"/>
        <v>7.1167766468536592E-2</v>
      </c>
      <c r="AA260" s="3">
        <f t="shared" si="246"/>
        <v>4.1296255781572457E-2</v>
      </c>
      <c r="AB260" s="3">
        <f t="shared" si="246"/>
        <v>1.787244986024346E-4</v>
      </c>
      <c r="AC260" s="3">
        <f t="shared" si="246"/>
        <v>4.120198972460447E-28</v>
      </c>
      <c r="AD260" s="3">
        <f t="shared" si="246"/>
        <v>1.7468644654857394E-264</v>
      </c>
      <c r="AE260" s="3">
        <f t="shared" si="246"/>
        <v>0</v>
      </c>
      <c r="AF260" s="3">
        <f t="shared" si="246"/>
        <v>0</v>
      </c>
      <c r="AG260" s="3"/>
      <c r="AH260" s="3"/>
    </row>
    <row r="261" spans="2:34" x14ac:dyDescent="0.25">
      <c r="B261" s="3">
        <f t="shared" ref="B261:AF261" si="247">$C30*EXP(-B$246/$A30/EXP(-$E$126))</f>
        <v>4.9796050081425132E-2</v>
      </c>
      <c r="C261" s="3">
        <f t="shared" si="247"/>
        <v>4.9796050081425132E-2</v>
      </c>
      <c r="D261" s="3">
        <f t="shared" si="247"/>
        <v>4.9796050081425132E-2</v>
      </c>
      <c r="E261" s="3">
        <f t="shared" si="247"/>
        <v>4.9796050081425132E-2</v>
      </c>
      <c r="F261" s="3">
        <f t="shared" si="247"/>
        <v>4.9796050081425132E-2</v>
      </c>
      <c r="G261" s="3">
        <f t="shared" si="247"/>
        <v>4.9796050081425132E-2</v>
      </c>
      <c r="H261" s="3">
        <f t="shared" si="247"/>
        <v>4.9796050081425132E-2</v>
      </c>
      <c r="I261" s="3">
        <f t="shared" si="247"/>
        <v>4.9796050081425132E-2</v>
      </c>
      <c r="J261" s="3">
        <f t="shared" si="247"/>
        <v>4.9796050081425132E-2</v>
      </c>
      <c r="K261" s="3">
        <f t="shared" si="247"/>
        <v>4.9796050081425132E-2</v>
      </c>
      <c r="L261" s="3">
        <f t="shared" si="247"/>
        <v>4.9796050081425132E-2</v>
      </c>
      <c r="M261" s="3">
        <f t="shared" si="247"/>
        <v>4.9796050081425104E-2</v>
      </c>
      <c r="N261" s="3">
        <f t="shared" si="247"/>
        <v>4.9796050081424861E-2</v>
      </c>
      <c r="O261" s="3">
        <f t="shared" si="247"/>
        <v>4.9796050081422419E-2</v>
      </c>
      <c r="P261" s="3">
        <f t="shared" si="247"/>
        <v>4.9796050081397966E-2</v>
      </c>
      <c r="Q261" s="3">
        <f t="shared" si="247"/>
        <v>4.9796050081153481E-2</v>
      </c>
      <c r="R261" s="3">
        <f t="shared" si="247"/>
        <v>4.9796050078708617E-2</v>
      </c>
      <c r="S261" s="3">
        <f t="shared" si="247"/>
        <v>4.9796050054259994E-2</v>
      </c>
      <c r="T261" s="3">
        <f t="shared" si="247"/>
        <v>4.9796049809773757E-2</v>
      </c>
      <c r="U261" s="3">
        <f t="shared" si="247"/>
        <v>4.9796047364911465E-2</v>
      </c>
      <c r="V261" s="3">
        <f t="shared" si="247"/>
        <v>4.9796022916295146E-2</v>
      </c>
      <c r="W261" s="3">
        <f t="shared" si="247"/>
        <v>4.9795778430792179E-2</v>
      </c>
      <c r="X261" s="3">
        <f t="shared" si="247"/>
        <v>4.9793333641781304E-2</v>
      </c>
      <c r="Y261" s="3">
        <f t="shared" si="247"/>
        <v>4.9768892352356965E-2</v>
      </c>
      <c r="Z261" s="3">
        <f t="shared" si="247"/>
        <v>4.9525138329040735E-2</v>
      </c>
      <c r="AA261" s="3">
        <f t="shared" si="247"/>
        <v>4.715230383468004E-2</v>
      </c>
      <c r="AB261" s="3">
        <f t="shared" si="247"/>
        <v>2.8858590408863256E-2</v>
      </c>
      <c r="AC261" s="3">
        <f t="shared" si="247"/>
        <v>2.1281247724857128E-4</v>
      </c>
      <c r="AD261" s="3">
        <f t="shared" si="247"/>
        <v>1.0120845989222339E-25</v>
      </c>
      <c r="AE261" s="3">
        <f t="shared" si="247"/>
        <v>5.9898246151408966E-239</v>
      </c>
      <c r="AF261" s="3">
        <f t="shared" si="247"/>
        <v>0</v>
      </c>
      <c r="AG261" s="3"/>
      <c r="AH261" s="3"/>
    </row>
    <row r="262" spans="2:34" x14ac:dyDescent="0.25">
      <c r="B262" s="3">
        <f t="shared" ref="B262:AF262" si="248">$C31*EXP(-B$246/$A31/EXP(-$E$126))</f>
        <v>2.0966447401353387E-2</v>
      </c>
      <c r="C262" s="3">
        <f t="shared" si="248"/>
        <v>2.0966447401353387E-2</v>
      </c>
      <c r="D262" s="3">
        <f t="shared" si="248"/>
        <v>2.0966447401353387E-2</v>
      </c>
      <c r="E262" s="3">
        <f t="shared" si="248"/>
        <v>2.0966447401353387E-2</v>
      </c>
      <c r="F262" s="3">
        <f t="shared" si="248"/>
        <v>2.0966447401353387E-2</v>
      </c>
      <c r="G262" s="3">
        <f t="shared" si="248"/>
        <v>2.0966447401353387E-2</v>
      </c>
      <c r="H262" s="3">
        <f t="shared" si="248"/>
        <v>2.0966447401353387E-2</v>
      </c>
      <c r="I262" s="3">
        <f t="shared" si="248"/>
        <v>2.0966447401353387E-2</v>
      </c>
      <c r="J262" s="3">
        <f t="shared" si="248"/>
        <v>2.0966447401353387E-2</v>
      </c>
      <c r="K262" s="3">
        <f t="shared" si="248"/>
        <v>2.0966447401353387E-2</v>
      </c>
      <c r="L262" s="3">
        <f t="shared" si="248"/>
        <v>2.0966447401353387E-2</v>
      </c>
      <c r="M262" s="3">
        <f t="shared" si="248"/>
        <v>2.0966447401353387E-2</v>
      </c>
      <c r="N262" s="3">
        <f t="shared" si="248"/>
        <v>2.0966447401353377E-2</v>
      </c>
      <c r="O262" s="3">
        <f t="shared" si="248"/>
        <v>2.0966447401353283E-2</v>
      </c>
      <c r="P262" s="3">
        <f t="shared" si="248"/>
        <v>2.0966447401352357E-2</v>
      </c>
      <c r="Q262" s="3">
        <f t="shared" si="248"/>
        <v>2.0966447401343069E-2</v>
      </c>
      <c r="R262" s="3">
        <f t="shared" si="248"/>
        <v>2.0966447401250209E-2</v>
      </c>
      <c r="S262" s="3">
        <f t="shared" si="248"/>
        <v>2.0966447400321605E-2</v>
      </c>
      <c r="T262" s="3">
        <f t="shared" si="248"/>
        <v>2.0966447391035557E-2</v>
      </c>
      <c r="U262" s="3">
        <f t="shared" si="248"/>
        <v>2.0966447298175067E-2</v>
      </c>
      <c r="V262" s="3">
        <f t="shared" si="248"/>
        <v>2.0966446369570218E-2</v>
      </c>
      <c r="W262" s="3">
        <f t="shared" si="248"/>
        <v>2.096643708352396E-2</v>
      </c>
      <c r="X262" s="3">
        <f t="shared" si="248"/>
        <v>2.0966344223287619E-2</v>
      </c>
      <c r="Y262" s="3">
        <f t="shared" si="248"/>
        <v>2.096541564354416E-2</v>
      </c>
      <c r="Z262" s="3">
        <f t="shared" si="248"/>
        <v>2.0956132107735035E-2</v>
      </c>
      <c r="AA262" s="3">
        <f t="shared" si="248"/>
        <v>2.0863522542009783E-2</v>
      </c>
      <c r="AB262" s="3">
        <f t="shared" si="248"/>
        <v>1.9959640450894538E-2</v>
      </c>
      <c r="AC262" s="3">
        <f t="shared" si="248"/>
        <v>1.2817505038636948E-2</v>
      </c>
      <c r="AD262" s="3">
        <f t="shared" si="248"/>
        <v>1.5286615004498174E-4</v>
      </c>
      <c r="AE262" s="3">
        <f t="shared" si="248"/>
        <v>8.899992467345806E-24</v>
      </c>
      <c r="AF262" s="3">
        <f t="shared" si="248"/>
        <v>3.9826555805739743E-216</v>
      </c>
      <c r="AG262" s="3"/>
      <c r="AH262" s="3"/>
    </row>
    <row r="263" spans="2:34" x14ac:dyDescent="0.25">
      <c r="B263" s="3">
        <f t="shared" ref="B263:AF263" si="249">$C32*EXP(-B$246/$A32/EXP(-$E$126))</f>
        <v>3.9443248072899657E-3</v>
      </c>
      <c r="C263" s="3">
        <f t="shared" si="249"/>
        <v>3.9443248072899657E-3</v>
      </c>
      <c r="D263" s="3">
        <f t="shared" si="249"/>
        <v>3.9443248072899657E-3</v>
      </c>
      <c r="E263" s="3">
        <f t="shared" si="249"/>
        <v>3.9443248072899657E-3</v>
      </c>
      <c r="F263" s="3">
        <f t="shared" si="249"/>
        <v>3.9443248072899657E-3</v>
      </c>
      <c r="G263" s="3">
        <f t="shared" si="249"/>
        <v>3.9443248072899657E-3</v>
      </c>
      <c r="H263" s="3">
        <f t="shared" si="249"/>
        <v>3.9443248072899657E-3</v>
      </c>
      <c r="I263" s="3">
        <f t="shared" si="249"/>
        <v>3.9443248072899657E-3</v>
      </c>
      <c r="J263" s="3">
        <f t="shared" si="249"/>
        <v>3.9443248072899657E-3</v>
      </c>
      <c r="K263" s="3">
        <f t="shared" si="249"/>
        <v>3.9443248072899657E-3</v>
      </c>
      <c r="L263" s="3">
        <f t="shared" si="249"/>
        <v>3.9443248072899657E-3</v>
      </c>
      <c r="M263" s="3">
        <f t="shared" si="249"/>
        <v>3.9443248072899657E-3</v>
      </c>
      <c r="N263" s="3">
        <f t="shared" si="249"/>
        <v>3.9443248072899657E-3</v>
      </c>
      <c r="O263" s="3">
        <f t="shared" si="249"/>
        <v>3.944324807289964E-3</v>
      </c>
      <c r="P263" s="3">
        <f t="shared" si="249"/>
        <v>3.9443248072899484E-3</v>
      </c>
      <c r="Q263" s="3">
        <f t="shared" si="249"/>
        <v>3.9443248072897905E-3</v>
      </c>
      <c r="R263" s="3">
        <f t="shared" si="249"/>
        <v>3.9443248072882145E-3</v>
      </c>
      <c r="S263" s="3">
        <f t="shared" si="249"/>
        <v>3.9443248072724563E-3</v>
      </c>
      <c r="T263" s="3">
        <f t="shared" si="249"/>
        <v>3.944324807114867E-3</v>
      </c>
      <c r="U263" s="3">
        <f t="shared" si="249"/>
        <v>3.9443248055389792E-3</v>
      </c>
      <c r="V263" s="3">
        <f t="shared" si="249"/>
        <v>3.944324789780098E-3</v>
      </c>
      <c r="W263" s="3">
        <f t="shared" si="249"/>
        <v>3.9443246321912932E-3</v>
      </c>
      <c r="X263" s="3">
        <f t="shared" si="249"/>
        <v>3.9443230563035881E-3</v>
      </c>
      <c r="Y263" s="3">
        <f t="shared" si="249"/>
        <v>3.9443072974611696E-3</v>
      </c>
      <c r="Z263" s="3">
        <f t="shared" si="249"/>
        <v>3.9441497124998344E-3</v>
      </c>
      <c r="AA263" s="3">
        <f t="shared" si="249"/>
        <v>3.9425742091202618E-3</v>
      </c>
      <c r="AB263" s="3">
        <f t="shared" si="249"/>
        <v>3.9268537475740739E-3</v>
      </c>
      <c r="AC263" s="3">
        <f t="shared" si="249"/>
        <v>3.7730557914505821E-3</v>
      </c>
      <c r="AD263" s="3">
        <f t="shared" si="249"/>
        <v>2.5303362163340117E-3</v>
      </c>
      <c r="AE263" s="3">
        <f t="shared" si="249"/>
        <v>4.6561640790526974E-5</v>
      </c>
      <c r="AF263" s="3">
        <f t="shared" si="249"/>
        <v>2.0726631272444354E-22</v>
      </c>
      <c r="AG263" s="3"/>
      <c r="AH263" s="3"/>
    </row>
    <row r="264" spans="2:34" x14ac:dyDescent="0.25">
      <c r="B264" s="3">
        <f t="shared" ref="B264:AF264" si="250">$C33*EXP(-B$246/$A33/EXP(-$E$126))</f>
        <v>3.51380910541953E-3</v>
      </c>
      <c r="C264" s="3">
        <f t="shared" si="250"/>
        <v>3.51380910541953E-3</v>
      </c>
      <c r="D264" s="3">
        <f t="shared" si="250"/>
        <v>3.51380910541953E-3</v>
      </c>
      <c r="E264" s="3">
        <f t="shared" si="250"/>
        <v>3.51380910541953E-3</v>
      </c>
      <c r="F264" s="3">
        <f t="shared" si="250"/>
        <v>3.51380910541953E-3</v>
      </c>
      <c r="G264" s="3">
        <f t="shared" si="250"/>
        <v>3.51380910541953E-3</v>
      </c>
      <c r="H264" s="3">
        <f t="shared" si="250"/>
        <v>3.51380910541953E-3</v>
      </c>
      <c r="I264" s="3">
        <f t="shared" si="250"/>
        <v>3.51380910541953E-3</v>
      </c>
      <c r="J264" s="3">
        <f t="shared" si="250"/>
        <v>3.51380910541953E-3</v>
      </c>
      <c r="K264" s="3">
        <f t="shared" si="250"/>
        <v>3.51380910541953E-3</v>
      </c>
      <c r="L264" s="3">
        <f t="shared" si="250"/>
        <v>3.51380910541953E-3</v>
      </c>
      <c r="M264" s="3">
        <f t="shared" si="250"/>
        <v>3.51380910541953E-3</v>
      </c>
      <c r="N264" s="3">
        <f t="shared" si="250"/>
        <v>3.51380910541953E-3</v>
      </c>
      <c r="O264" s="3">
        <f t="shared" si="250"/>
        <v>3.51380910541953E-3</v>
      </c>
      <c r="P264" s="3">
        <f t="shared" si="250"/>
        <v>3.5138091054195283E-3</v>
      </c>
      <c r="Q264" s="3">
        <f t="shared" si="250"/>
        <v>3.5138091054195161E-3</v>
      </c>
      <c r="R264" s="3">
        <f t="shared" si="250"/>
        <v>3.513809105419389E-3</v>
      </c>
      <c r="S264" s="3">
        <f t="shared" si="250"/>
        <v>3.5138091054181227E-3</v>
      </c>
      <c r="T264" s="3">
        <f t="shared" si="250"/>
        <v>3.5138091054054588E-3</v>
      </c>
      <c r="U264" s="3">
        <f t="shared" si="250"/>
        <v>3.513809105278817E-3</v>
      </c>
      <c r="V264" s="3">
        <f t="shared" si="250"/>
        <v>3.5138091040123978E-3</v>
      </c>
      <c r="W264" s="3">
        <f t="shared" si="250"/>
        <v>3.5138090913482065E-3</v>
      </c>
      <c r="X264" s="3">
        <f t="shared" si="250"/>
        <v>3.5138089647062977E-3</v>
      </c>
      <c r="Y264" s="3">
        <f t="shared" si="250"/>
        <v>3.513807698287462E-3</v>
      </c>
      <c r="Z264" s="3">
        <f t="shared" si="250"/>
        <v>3.513795034124207E-3</v>
      </c>
      <c r="AA264" s="3">
        <f t="shared" si="250"/>
        <v>3.5136683950020018E-3</v>
      </c>
      <c r="AB264" s="3">
        <f t="shared" si="250"/>
        <v>3.5124022547807386E-3</v>
      </c>
      <c r="AC264" s="3">
        <f t="shared" si="250"/>
        <v>3.4997659192079968E-3</v>
      </c>
      <c r="AD264" s="3">
        <f t="shared" si="250"/>
        <v>3.3758761202953916E-3</v>
      </c>
      <c r="AE264" s="3">
        <f t="shared" si="250"/>
        <v>2.3542985791639654E-3</v>
      </c>
      <c r="AF264" s="3">
        <f t="shared" si="250"/>
        <v>6.4063687074871484E-5</v>
      </c>
      <c r="AG264" s="3"/>
      <c r="AH264" s="3"/>
    </row>
    <row r="265" spans="2:34" x14ac:dyDescent="0.25">
      <c r="B265" s="3">
        <f t="shared" ref="B265:AF265" si="251">$C34*EXP(-B$246/$A34/EXP(-$E$126))</f>
        <v>7.1978944921583432E-4</v>
      </c>
      <c r="C265" s="3">
        <f t="shared" si="251"/>
        <v>7.1978944921583432E-4</v>
      </c>
      <c r="D265" s="3">
        <f t="shared" si="251"/>
        <v>7.1978944921583432E-4</v>
      </c>
      <c r="E265" s="3">
        <f t="shared" si="251"/>
        <v>7.1978944921583432E-4</v>
      </c>
      <c r="F265" s="3">
        <f t="shared" si="251"/>
        <v>7.1978944921583432E-4</v>
      </c>
      <c r="G265" s="3">
        <f t="shared" si="251"/>
        <v>7.1978944921583432E-4</v>
      </c>
      <c r="H265" s="3">
        <f t="shared" si="251"/>
        <v>7.1978944921583432E-4</v>
      </c>
      <c r="I265" s="3">
        <f t="shared" si="251"/>
        <v>7.1978944921583432E-4</v>
      </c>
      <c r="J265" s="3">
        <f t="shared" si="251"/>
        <v>7.1978944921583432E-4</v>
      </c>
      <c r="K265" s="3">
        <f t="shared" si="251"/>
        <v>7.1978944921583432E-4</v>
      </c>
      <c r="L265" s="3">
        <f t="shared" si="251"/>
        <v>7.1978944921583432E-4</v>
      </c>
      <c r="M265" s="3">
        <f t="shared" si="251"/>
        <v>7.1978944921583432E-4</v>
      </c>
      <c r="N265" s="3">
        <f t="shared" si="251"/>
        <v>7.1978944921583432E-4</v>
      </c>
      <c r="O265" s="3">
        <f t="shared" si="251"/>
        <v>7.1978944921583432E-4</v>
      </c>
      <c r="P265" s="3">
        <f t="shared" si="251"/>
        <v>7.1978944921583432E-4</v>
      </c>
      <c r="Q265" s="3">
        <f t="shared" si="251"/>
        <v>7.197894492158341E-4</v>
      </c>
      <c r="R265" s="3">
        <f t="shared" si="251"/>
        <v>7.1978944921583172E-4</v>
      </c>
      <c r="S265" s="3">
        <f t="shared" si="251"/>
        <v>7.197894492158083E-4</v>
      </c>
      <c r="T265" s="3">
        <f t="shared" si="251"/>
        <v>7.1978944921557433E-4</v>
      </c>
      <c r="U265" s="3">
        <f t="shared" si="251"/>
        <v>7.1978944921323408E-4</v>
      </c>
      <c r="V265" s="3">
        <f t="shared" si="251"/>
        <v>7.1978944918983222E-4</v>
      </c>
      <c r="W265" s="3">
        <f t="shared" si="251"/>
        <v>7.1978944895581304E-4</v>
      </c>
      <c r="X265" s="3">
        <f t="shared" si="251"/>
        <v>7.1978944661562174E-4</v>
      </c>
      <c r="Y265" s="3">
        <f t="shared" si="251"/>
        <v>7.1978942321370917E-4</v>
      </c>
      <c r="Z265" s="3">
        <f t="shared" si="251"/>
        <v>7.1978918919462576E-4</v>
      </c>
      <c r="AA265" s="3">
        <f t="shared" si="251"/>
        <v>7.1978684900797572E-4</v>
      </c>
      <c r="AB265" s="3">
        <f t="shared" si="251"/>
        <v>7.1976344755993551E-4</v>
      </c>
      <c r="AC265" s="3">
        <f t="shared" si="251"/>
        <v>7.1952947492051719E-4</v>
      </c>
      <c r="AD265" s="3">
        <f t="shared" si="251"/>
        <v>7.1719392759582229E-4</v>
      </c>
      <c r="AE265" s="3">
        <f t="shared" si="251"/>
        <v>6.942513775055933E-4</v>
      </c>
      <c r="AF265" s="3">
        <f t="shared" si="251"/>
        <v>5.0155459510454374E-4</v>
      </c>
      <c r="AG265" s="3"/>
      <c r="AH265" s="3"/>
    </row>
    <row r="266" spans="2:34" x14ac:dyDescent="0.25">
      <c r="B266" s="3">
        <f t="shared" ref="B266:AF266" si="252">$C35*EXP(-B$246/$A35/EXP(-$E$126))</f>
        <v>5.3803230598076777E-4</v>
      </c>
      <c r="C266" s="3">
        <f t="shared" si="252"/>
        <v>5.3803230598076777E-4</v>
      </c>
      <c r="D266" s="3">
        <f t="shared" si="252"/>
        <v>5.3803230598076777E-4</v>
      </c>
      <c r="E266" s="3">
        <f t="shared" si="252"/>
        <v>5.3803230598076777E-4</v>
      </c>
      <c r="F266" s="3">
        <f t="shared" si="252"/>
        <v>5.3803230598076777E-4</v>
      </c>
      <c r="G266" s="3">
        <f t="shared" si="252"/>
        <v>5.3803230598076777E-4</v>
      </c>
      <c r="H266" s="3">
        <f t="shared" si="252"/>
        <v>5.3803230598076777E-4</v>
      </c>
      <c r="I266" s="3">
        <f t="shared" si="252"/>
        <v>5.3803230598076777E-4</v>
      </c>
      <c r="J266" s="3">
        <f t="shared" si="252"/>
        <v>5.3803230598076777E-4</v>
      </c>
      <c r="K266" s="3">
        <f t="shared" si="252"/>
        <v>5.3803230598076777E-4</v>
      </c>
      <c r="L266" s="3">
        <f t="shared" si="252"/>
        <v>5.3803230598076777E-4</v>
      </c>
      <c r="M266" s="3">
        <f t="shared" si="252"/>
        <v>5.3803230598076777E-4</v>
      </c>
      <c r="N266" s="3">
        <f t="shared" si="252"/>
        <v>5.3803230598076777E-4</v>
      </c>
      <c r="O266" s="3">
        <f t="shared" si="252"/>
        <v>5.3803230598076777E-4</v>
      </c>
      <c r="P266" s="3">
        <f t="shared" si="252"/>
        <v>5.3803230598076777E-4</v>
      </c>
      <c r="Q266" s="3">
        <f t="shared" si="252"/>
        <v>5.3803230598076777E-4</v>
      </c>
      <c r="R266" s="3">
        <f t="shared" si="252"/>
        <v>5.3803230598076755E-4</v>
      </c>
      <c r="S266" s="3">
        <f t="shared" si="252"/>
        <v>5.3803230598076603E-4</v>
      </c>
      <c r="T266" s="3">
        <f t="shared" si="252"/>
        <v>5.3803230598075021E-4</v>
      </c>
      <c r="U266" s="3">
        <f t="shared" si="252"/>
        <v>5.3803230598059245E-4</v>
      </c>
      <c r="V266" s="3">
        <f t="shared" si="252"/>
        <v>5.3803230597901451E-4</v>
      </c>
      <c r="W266" s="3">
        <f t="shared" si="252"/>
        <v>5.380323059632347E-4</v>
      </c>
      <c r="X266" s="3">
        <f t="shared" si="252"/>
        <v>5.3803230580543688E-4</v>
      </c>
      <c r="Y266" s="3">
        <f t="shared" si="252"/>
        <v>5.3803230422745933E-4</v>
      </c>
      <c r="Z266" s="3">
        <f t="shared" si="252"/>
        <v>5.3803228844768384E-4</v>
      </c>
      <c r="AA266" s="3">
        <f t="shared" si="252"/>
        <v>5.380321306499541E-4</v>
      </c>
      <c r="AB266" s="3">
        <f t="shared" si="252"/>
        <v>5.3803055267520237E-4</v>
      </c>
      <c r="AC266" s="3">
        <f t="shared" si="252"/>
        <v>5.3801477318222123E-4</v>
      </c>
      <c r="AD266" s="3">
        <f t="shared" si="252"/>
        <v>5.378570037033384E-4</v>
      </c>
      <c r="AE266" s="3">
        <f t="shared" si="252"/>
        <v>5.362818512476828E-4</v>
      </c>
      <c r="AF266" s="3">
        <f t="shared" si="252"/>
        <v>5.207818226768392E-4</v>
      </c>
      <c r="AG266" s="3"/>
      <c r="AH266" s="3"/>
    </row>
    <row r="267" spans="2:34" x14ac:dyDescent="0.25">
      <c r="B267" s="3">
        <f t="shared" ref="B267:AF267" si="253">$C36*EXP(-B$246/$A36/EXP(-$E$126))</f>
        <v>5.6418757759686938E-4</v>
      </c>
      <c r="C267" s="3">
        <f t="shared" si="253"/>
        <v>5.6418757759686938E-4</v>
      </c>
      <c r="D267" s="3">
        <f t="shared" si="253"/>
        <v>5.6418757759686938E-4</v>
      </c>
      <c r="E267" s="3">
        <f t="shared" si="253"/>
        <v>5.6418757759686938E-4</v>
      </c>
      <c r="F267" s="3">
        <f t="shared" si="253"/>
        <v>5.6418757759686938E-4</v>
      </c>
      <c r="G267" s="3">
        <f t="shared" si="253"/>
        <v>5.6418757759686938E-4</v>
      </c>
      <c r="H267" s="3">
        <f t="shared" si="253"/>
        <v>5.6418757759686938E-4</v>
      </c>
      <c r="I267" s="3">
        <f t="shared" si="253"/>
        <v>5.6418757759686938E-4</v>
      </c>
      <c r="J267" s="3">
        <f t="shared" si="253"/>
        <v>5.6418757759686938E-4</v>
      </c>
      <c r="K267" s="3">
        <f t="shared" si="253"/>
        <v>5.6418757759686938E-4</v>
      </c>
      <c r="L267" s="3">
        <f t="shared" si="253"/>
        <v>5.6418757759686938E-4</v>
      </c>
      <c r="M267" s="3">
        <f t="shared" si="253"/>
        <v>5.6418757759686938E-4</v>
      </c>
      <c r="N267" s="3">
        <f t="shared" si="253"/>
        <v>5.6418757759686938E-4</v>
      </c>
      <c r="O267" s="3">
        <f t="shared" si="253"/>
        <v>5.6418757759686938E-4</v>
      </c>
      <c r="P267" s="3">
        <f t="shared" si="253"/>
        <v>5.6418757759686938E-4</v>
      </c>
      <c r="Q267" s="3">
        <f t="shared" si="253"/>
        <v>5.6418757759686938E-4</v>
      </c>
      <c r="R267" s="3">
        <f t="shared" si="253"/>
        <v>5.6418757759686938E-4</v>
      </c>
      <c r="S267" s="3">
        <f t="shared" si="253"/>
        <v>5.6418757759686916E-4</v>
      </c>
      <c r="T267" s="3">
        <f t="shared" si="253"/>
        <v>5.6418757759686775E-4</v>
      </c>
      <c r="U267" s="3">
        <f t="shared" si="253"/>
        <v>5.6418757759685279E-4</v>
      </c>
      <c r="V267" s="3">
        <f t="shared" si="253"/>
        <v>5.641875775967035E-4</v>
      </c>
      <c r="W267" s="3">
        <f t="shared" si="253"/>
        <v>5.6418757759521087E-4</v>
      </c>
      <c r="X267" s="3">
        <f t="shared" si="253"/>
        <v>5.6418757758028423E-4</v>
      </c>
      <c r="Y267" s="3">
        <f t="shared" si="253"/>
        <v>5.6418757743101767E-4</v>
      </c>
      <c r="Z267" s="3">
        <f t="shared" si="253"/>
        <v>5.6418757593835176E-4</v>
      </c>
      <c r="AA267" s="3">
        <f t="shared" si="253"/>
        <v>5.6418756101169398E-4</v>
      </c>
      <c r="AB267" s="3">
        <f t="shared" si="253"/>
        <v>5.6418741174513707E-4</v>
      </c>
      <c r="AC267" s="3">
        <f t="shared" si="253"/>
        <v>5.6418591908174E-4</v>
      </c>
      <c r="AD267" s="3">
        <f t="shared" si="253"/>
        <v>5.6417099266496988E-4</v>
      </c>
      <c r="AE267" s="3">
        <f t="shared" si="253"/>
        <v>5.6402175021513193E-4</v>
      </c>
      <c r="AF267" s="3">
        <f t="shared" si="253"/>
        <v>5.6253149537865998E-4</v>
      </c>
      <c r="AG267" s="3"/>
      <c r="AH267" s="3"/>
    </row>
    <row r="268" spans="2:34" x14ac:dyDescent="0.25">
      <c r="B268" s="3">
        <f t="shared" ref="B268:AF268" si="254">$C37*EXP(-B$246/$A37/EXP(-$E$126))</f>
        <v>5.289794145093928E-4</v>
      </c>
      <c r="C268" s="3">
        <f t="shared" si="254"/>
        <v>5.289794145093928E-4</v>
      </c>
      <c r="D268" s="3">
        <f t="shared" si="254"/>
        <v>5.289794145093928E-4</v>
      </c>
      <c r="E268" s="3">
        <f t="shared" si="254"/>
        <v>5.289794145093928E-4</v>
      </c>
      <c r="F268" s="3">
        <f t="shared" si="254"/>
        <v>5.289794145093928E-4</v>
      </c>
      <c r="G268" s="3">
        <f t="shared" si="254"/>
        <v>5.289794145093928E-4</v>
      </c>
      <c r="H268" s="3">
        <f t="shared" si="254"/>
        <v>5.289794145093928E-4</v>
      </c>
      <c r="I268" s="3">
        <f t="shared" si="254"/>
        <v>5.289794145093928E-4</v>
      </c>
      <c r="J268" s="3">
        <f t="shared" si="254"/>
        <v>5.289794145093928E-4</v>
      </c>
      <c r="K268" s="3">
        <f t="shared" si="254"/>
        <v>5.289794145093928E-4</v>
      </c>
      <c r="L268" s="3">
        <f t="shared" si="254"/>
        <v>5.289794145093928E-4</v>
      </c>
      <c r="M268" s="3">
        <f t="shared" si="254"/>
        <v>5.289794145093928E-4</v>
      </c>
      <c r="N268" s="3">
        <f t="shared" si="254"/>
        <v>5.289794145093928E-4</v>
      </c>
      <c r="O268" s="3">
        <f t="shared" si="254"/>
        <v>5.289794145093928E-4</v>
      </c>
      <c r="P268" s="3">
        <f t="shared" si="254"/>
        <v>5.289794145093928E-4</v>
      </c>
      <c r="Q268" s="3">
        <f t="shared" si="254"/>
        <v>5.289794145093928E-4</v>
      </c>
      <c r="R268" s="3">
        <f t="shared" si="254"/>
        <v>5.289794145093928E-4</v>
      </c>
      <c r="S268" s="3">
        <f t="shared" si="254"/>
        <v>5.289794145093928E-4</v>
      </c>
      <c r="T268" s="3">
        <f t="shared" si="254"/>
        <v>5.2897941450939269E-4</v>
      </c>
      <c r="U268" s="3">
        <f t="shared" si="254"/>
        <v>5.2897941450939139E-4</v>
      </c>
      <c r="V268" s="3">
        <f t="shared" si="254"/>
        <v>5.2897941450937881E-4</v>
      </c>
      <c r="W268" s="3">
        <f t="shared" si="254"/>
        <v>5.289794145092525E-4</v>
      </c>
      <c r="X268" s="3">
        <f t="shared" si="254"/>
        <v>5.2897941450799006E-4</v>
      </c>
      <c r="Y268" s="3">
        <f t="shared" si="254"/>
        <v>5.2897941449536528E-4</v>
      </c>
      <c r="Z268" s="3">
        <f t="shared" si="254"/>
        <v>5.2897941436911731E-4</v>
      </c>
      <c r="AA268" s="3">
        <f t="shared" si="254"/>
        <v>5.289794131066375E-4</v>
      </c>
      <c r="AB268" s="3">
        <f t="shared" si="254"/>
        <v>5.2897940048184002E-4</v>
      </c>
      <c r="AC268" s="3">
        <f t="shared" si="254"/>
        <v>5.2897927423388121E-4</v>
      </c>
      <c r="AD268" s="3">
        <f t="shared" si="254"/>
        <v>5.2897801175595053E-4</v>
      </c>
      <c r="AE268" s="3">
        <f t="shared" si="254"/>
        <v>5.2896538714236239E-4</v>
      </c>
      <c r="AF268" s="3">
        <f t="shared" si="254"/>
        <v>5.2883915757677262E-4</v>
      </c>
      <c r="AG268" s="3"/>
      <c r="AH268" s="3"/>
    </row>
    <row r="269" spans="2:34" x14ac:dyDescent="0.25">
      <c r="B269" s="3">
        <f t="shared" ref="B269:AF269" si="255">$C38*EXP(-B$246/$A38/EXP(-$E$126))</f>
        <v>5.3547450135887617E-5</v>
      </c>
      <c r="C269" s="3">
        <f t="shared" si="255"/>
        <v>5.3547450135887617E-5</v>
      </c>
      <c r="D269" s="3">
        <f t="shared" si="255"/>
        <v>5.3547450135887617E-5</v>
      </c>
      <c r="E269" s="3">
        <f t="shared" si="255"/>
        <v>5.3547450135887617E-5</v>
      </c>
      <c r="F269" s="3">
        <f t="shared" si="255"/>
        <v>5.3547450135887617E-5</v>
      </c>
      <c r="G269" s="3">
        <f t="shared" si="255"/>
        <v>5.3547450135887617E-5</v>
      </c>
      <c r="H269" s="3">
        <f t="shared" si="255"/>
        <v>5.3547450135887617E-5</v>
      </c>
      <c r="I269" s="3">
        <f t="shared" si="255"/>
        <v>5.3547450135887617E-5</v>
      </c>
      <c r="J269" s="3">
        <f t="shared" si="255"/>
        <v>5.3547450135887617E-5</v>
      </c>
      <c r="K269" s="3">
        <f t="shared" si="255"/>
        <v>5.3547450135887617E-5</v>
      </c>
      <c r="L269" s="3">
        <f t="shared" si="255"/>
        <v>5.3547450135887617E-5</v>
      </c>
      <c r="M269" s="3">
        <f t="shared" si="255"/>
        <v>5.3547450135887617E-5</v>
      </c>
      <c r="N269" s="3">
        <f t="shared" si="255"/>
        <v>5.3547450135887617E-5</v>
      </c>
      <c r="O269" s="3">
        <f t="shared" si="255"/>
        <v>5.3547450135887617E-5</v>
      </c>
      <c r="P269" s="3">
        <f t="shared" si="255"/>
        <v>5.3547450135887617E-5</v>
      </c>
      <c r="Q269" s="3">
        <f t="shared" si="255"/>
        <v>5.3547450135887617E-5</v>
      </c>
      <c r="R269" s="3">
        <f t="shared" si="255"/>
        <v>5.3547450135887617E-5</v>
      </c>
      <c r="S269" s="3">
        <f t="shared" si="255"/>
        <v>5.3547450135887617E-5</v>
      </c>
      <c r="T269" s="3">
        <f t="shared" si="255"/>
        <v>5.3547450135887617E-5</v>
      </c>
      <c r="U269" s="3">
        <f t="shared" si="255"/>
        <v>5.3547450135887604E-5</v>
      </c>
      <c r="V269" s="3">
        <f t="shared" si="255"/>
        <v>5.3547450135887488E-5</v>
      </c>
      <c r="W269" s="3">
        <f t="shared" si="255"/>
        <v>5.3547450135886336E-5</v>
      </c>
      <c r="X269" s="3">
        <f t="shared" si="255"/>
        <v>5.3547450135874803E-5</v>
      </c>
      <c r="Y269" s="3">
        <f t="shared" si="255"/>
        <v>5.3547450135759519E-5</v>
      </c>
      <c r="Z269" s="3">
        <f t="shared" si="255"/>
        <v>5.354745013460668E-5</v>
      </c>
      <c r="AA269" s="3">
        <f t="shared" si="255"/>
        <v>5.3547450123078222E-5</v>
      </c>
      <c r="AB269" s="3">
        <f t="shared" si="255"/>
        <v>5.3547450007793691E-5</v>
      </c>
      <c r="AC269" s="3">
        <f t="shared" si="255"/>
        <v>5.3547448854948382E-5</v>
      </c>
      <c r="AD269" s="3">
        <f t="shared" si="255"/>
        <v>5.3547437326496645E-5</v>
      </c>
      <c r="AE269" s="3">
        <f t="shared" si="255"/>
        <v>5.3547322042115821E-5</v>
      </c>
      <c r="AF269" s="3">
        <f t="shared" si="255"/>
        <v>5.3546169211958463E-5</v>
      </c>
      <c r="AG269" s="3"/>
      <c r="AH269" s="3"/>
    </row>
    <row r="270" spans="2:34" x14ac:dyDescent="0.25">
      <c r="B270" s="3">
        <f t="shared" ref="B270:AF270" si="256">$C39*EXP(-B$246/$A39/EXP(-$E$126))</f>
        <v>4.4495454548071421E-4</v>
      </c>
      <c r="C270" s="3">
        <f t="shared" si="256"/>
        <v>4.4495454548071421E-4</v>
      </c>
      <c r="D270" s="3">
        <f t="shared" si="256"/>
        <v>4.4495454548071421E-4</v>
      </c>
      <c r="E270" s="3">
        <f t="shared" si="256"/>
        <v>4.4495454548071421E-4</v>
      </c>
      <c r="F270" s="3">
        <f t="shared" si="256"/>
        <v>4.4495454548071421E-4</v>
      </c>
      <c r="G270" s="3">
        <f t="shared" si="256"/>
        <v>4.4495454548071421E-4</v>
      </c>
      <c r="H270" s="3">
        <f t="shared" si="256"/>
        <v>4.4495454548071421E-4</v>
      </c>
      <c r="I270" s="3">
        <f t="shared" si="256"/>
        <v>4.4495454548071421E-4</v>
      </c>
      <c r="J270" s="3">
        <f t="shared" si="256"/>
        <v>4.4495454548071421E-4</v>
      </c>
      <c r="K270" s="3">
        <f t="shared" si="256"/>
        <v>4.4495454548071421E-4</v>
      </c>
      <c r="L270" s="3">
        <f t="shared" si="256"/>
        <v>4.4495454548071421E-4</v>
      </c>
      <c r="M270" s="3">
        <f t="shared" si="256"/>
        <v>4.4495454548071421E-4</v>
      </c>
      <c r="N270" s="3">
        <f t="shared" si="256"/>
        <v>4.4495454548071421E-4</v>
      </c>
      <c r="O270" s="3">
        <f t="shared" si="256"/>
        <v>4.4495454548071421E-4</v>
      </c>
      <c r="P270" s="3">
        <f t="shared" si="256"/>
        <v>4.4495454548071421E-4</v>
      </c>
      <c r="Q270" s="3">
        <f t="shared" si="256"/>
        <v>4.4495454548071421E-4</v>
      </c>
      <c r="R270" s="3">
        <f t="shared" si="256"/>
        <v>4.4495454548071421E-4</v>
      </c>
      <c r="S270" s="3">
        <f t="shared" si="256"/>
        <v>4.4495454548071421E-4</v>
      </c>
      <c r="T270" s="3">
        <f t="shared" si="256"/>
        <v>4.4495454548071421E-4</v>
      </c>
      <c r="U270" s="3">
        <f t="shared" si="256"/>
        <v>4.4495454548071416E-4</v>
      </c>
      <c r="V270" s="3">
        <f t="shared" si="256"/>
        <v>4.4495454548071394E-4</v>
      </c>
      <c r="W270" s="3">
        <f t="shared" si="256"/>
        <v>4.4495454548071123E-4</v>
      </c>
      <c r="X270" s="3">
        <f t="shared" si="256"/>
        <v>4.4495454548068477E-4</v>
      </c>
      <c r="Y270" s="3">
        <f t="shared" si="256"/>
        <v>4.4495454548041985E-4</v>
      </c>
      <c r="Z270" s="3">
        <f t="shared" si="256"/>
        <v>4.4495454547777033E-4</v>
      </c>
      <c r="AA270" s="3">
        <f t="shared" si="256"/>
        <v>4.4495454545127552E-4</v>
      </c>
      <c r="AB270" s="3">
        <f t="shared" si="256"/>
        <v>4.4495454518632752E-4</v>
      </c>
      <c r="AC270" s="3">
        <f t="shared" si="256"/>
        <v>4.4495454253684678E-4</v>
      </c>
      <c r="AD270" s="3">
        <f t="shared" si="256"/>
        <v>4.4495451604204098E-4</v>
      </c>
      <c r="AE270" s="3">
        <f t="shared" si="256"/>
        <v>4.4495425109406921E-4</v>
      </c>
      <c r="AF270" s="3">
        <f t="shared" si="256"/>
        <v>4.4495160162302913E-4</v>
      </c>
      <c r="AG270" s="3"/>
      <c r="AH270" s="3"/>
    </row>
    <row r="271" spans="2:34" x14ac:dyDescent="0.25">
      <c r="B271" s="3">
        <f t="shared" ref="B271:AF271" si="257">$C40*EXP(-B$246/$A40/EXP(-$E$126))</f>
        <v>1.5289773047840316E-5</v>
      </c>
      <c r="C271" s="3">
        <f t="shared" si="257"/>
        <v>1.5289773047840316E-5</v>
      </c>
      <c r="D271" s="3">
        <f t="shared" si="257"/>
        <v>1.5289773047840316E-5</v>
      </c>
      <c r="E271" s="3">
        <f t="shared" si="257"/>
        <v>1.5289773047840316E-5</v>
      </c>
      <c r="F271" s="3">
        <f t="shared" si="257"/>
        <v>1.5289773047840316E-5</v>
      </c>
      <c r="G271" s="3">
        <f t="shared" si="257"/>
        <v>1.5289773047840316E-5</v>
      </c>
      <c r="H271" s="3">
        <f t="shared" si="257"/>
        <v>1.5289773047840316E-5</v>
      </c>
      <c r="I271" s="3">
        <f t="shared" si="257"/>
        <v>1.5289773047840316E-5</v>
      </c>
      <c r="J271" s="3">
        <f t="shared" si="257"/>
        <v>1.5289773047840316E-5</v>
      </c>
      <c r="K271" s="3">
        <f t="shared" si="257"/>
        <v>1.5289773047840316E-5</v>
      </c>
      <c r="L271" s="3">
        <f t="shared" si="257"/>
        <v>1.5289773047840316E-5</v>
      </c>
      <c r="M271" s="3">
        <f t="shared" si="257"/>
        <v>1.5289773047840316E-5</v>
      </c>
      <c r="N271" s="3">
        <f t="shared" si="257"/>
        <v>1.5289773047840316E-5</v>
      </c>
      <c r="O271" s="3">
        <f t="shared" si="257"/>
        <v>1.5289773047840316E-5</v>
      </c>
      <c r="P271" s="3">
        <f t="shared" si="257"/>
        <v>1.5289773047840316E-5</v>
      </c>
      <c r="Q271" s="3">
        <f t="shared" si="257"/>
        <v>1.5289773047840316E-5</v>
      </c>
      <c r="R271" s="3">
        <f t="shared" si="257"/>
        <v>1.5289773047840316E-5</v>
      </c>
      <c r="S271" s="3">
        <f t="shared" si="257"/>
        <v>1.5289773047840316E-5</v>
      </c>
      <c r="T271" s="3">
        <f t="shared" si="257"/>
        <v>1.5289773047840316E-5</v>
      </c>
      <c r="U271" s="3">
        <f t="shared" si="257"/>
        <v>1.5289773047840316E-5</v>
      </c>
      <c r="V271" s="3">
        <f t="shared" si="257"/>
        <v>1.5289773047840312E-5</v>
      </c>
      <c r="W271" s="3">
        <f t="shared" si="257"/>
        <v>1.5289773047840306E-5</v>
      </c>
      <c r="X271" s="3">
        <f t="shared" si="257"/>
        <v>1.5289773047840214E-5</v>
      </c>
      <c r="Y271" s="3">
        <f t="shared" si="257"/>
        <v>1.5289773047839303E-5</v>
      </c>
      <c r="Z271" s="3">
        <f t="shared" si="257"/>
        <v>1.5289773047830199E-5</v>
      </c>
      <c r="AA271" s="3">
        <f t="shared" si="257"/>
        <v>1.5289773047739156E-5</v>
      </c>
      <c r="AB271" s="3">
        <f t="shared" si="257"/>
        <v>1.5289773046828728E-5</v>
      </c>
      <c r="AC271" s="3">
        <f t="shared" si="257"/>
        <v>1.5289773037724439E-5</v>
      </c>
      <c r="AD271" s="3">
        <f t="shared" si="257"/>
        <v>1.5289772946681522E-5</v>
      </c>
      <c r="AE271" s="3">
        <f t="shared" si="257"/>
        <v>1.5289772036252418E-5</v>
      </c>
      <c r="AF271" s="3">
        <f t="shared" si="257"/>
        <v>1.5289762931964355E-5</v>
      </c>
      <c r="AG271" s="3"/>
      <c r="AH271" s="3"/>
    </row>
    <row r="272" spans="2:34" x14ac:dyDescent="0.25">
      <c r="B272" s="3">
        <f t="shared" ref="B272:AF272" si="258">$C41*EXP(-B$246/$A41/EXP(-$E$126))</f>
        <v>2.5082649304706281E-4</v>
      </c>
      <c r="C272" s="3">
        <f t="shared" si="258"/>
        <v>2.5082649304706281E-4</v>
      </c>
      <c r="D272" s="3">
        <f t="shared" si="258"/>
        <v>2.5082649304706281E-4</v>
      </c>
      <c r="E272" s="3">
        <f t="shared" si="258"/>
        <v>2.5082649304706281E-4</v>
      </c>
      <c r="F272" s="3">
        <f t="shared" si="258"/>
        <v>2.5082649304706281E-4</v>
      </c>
      <c r="G272" s="3">
        <f t="shared" si="258"/>
        <v>2.5082649304706281E-4</v>
      </c>
      <c r="H272" s="3">
        <f t="shared" si="258"/>
        <v>2.5082649304706281E-4</v>
      </c>
      <c r="I272" s="3">
        <f t="shared" si="258"/>
        <v>2.5082649304706281E-4</v>
      </c>
      <c r="J272" s="3">
        <f t="shared" si="258"/>
        <v>2.5082649304706281E-4</v>
      </c>
      <c r="K272" s="3">
        <f t="shared" si="258"/>
        <v>2.5082649304706281E-4</v>
      </c>
      <c r="L272" s="3">
        <f t="shared" si="258"/>
        <v>2.5082649304706281E-4</v>
      </c>
      <c r="M272" s="3">
        <f t="shared" si="258"/>
        <v>2.5082649304706281E-4</v>
      </c>
      <c r="N272" s="3">
        <f t="shared" si="258"/>
        <v>2.5082649304706281E-4</v>
      </c>
      <c r="O272" s="3">
        <f t="shared" si="258"/>
        <v>2.5082649304706281E-4</v>
      </c>
      <c r="P272" s="3">
        <f t="shared" si="258"/>
        <v>2.5082649304706281E-4</v>
      </c>
      <c r="Q272" s="3">
        <f t="shared" si="258"/>
        <v>2.5082649304706281E-4</v>
      </c>
      <c r="R272" s="3">
        <f t="shared" si="258"/>
        <v>2.5082649304706281E-4</v>
      </c>
      <c r="S272" s="3">
        <f t="shared" si="258"/>
        <v>2.5082649304706281E-4</v>
      </c>
      <c r="T272" s="3">
        <f t="shared" si="258"/>
        <v>2.5082649304706281E-4</v>
      </c>
      <c r="U272" s="3">
        <f t="shared" si="258"/>
        <v>2.5082649304706281E-4</v>
      </c>
      <c r="V272" s="3">
        <f t="shared" si="258"/>
        <v>2.5082649304706281E-4</v>
      </c>
      <c r="W272" s="3">
        <f t="shared" si="258"/>
        <v>2.5082649304706276E-4</v>
      </c>
      <c r="X272" s="3">
        <f t="shared" si="258"/>
        <v>2.5082649304706265E-4</v>
      </c>
      <c r="Y272" s="3">
        <f t="shared" si="258"/>
        <v>2.5082649304706113E-4</v>
      </c>
      <c r="Z272" s="3">
        <f t="shared" si="258"/>
        <v>2.5082649304704622E-4</v>
      </c>
      <c r="AA272" s="3">
        <f t="shared" si="258"/>
        <v>2.5082649304689688E-4</v>
      </c>
      <c r="AB272" s="3">
        <f t="shared" si="258"/>
        <v>2.5082649304540333E-4</v>
      </c>
      <c r="AC272" s="3">
        <f t="shared" si="258"/>
        <v>2.5082649303046785E-4</v>
      </c>
      <c r="AD272" s="3">
        <f t="shared" si="258"/>
        <v>2.5082649288111331E-4</v>
      </c>
      <c r="AE272" s="3">
        <f t="shared" si="258"/>
        <v>2.5082649138756757E-4</v>
      </c>
      <c r="AF272" s="3">
        <f t="shared" si="258"/>
        <v>2.5082647645211116E-4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5.6673676320409674E-5</v>
      </c>
      <c r="C274" s="3">
        <f t="shared" si="260"/>
        <v>5.6673676320409674E-5</v>
      </c>
      <c r="D274" s="3">
        <f t="shared" si="260"/>
        <v>5.6673676320409674E-5</v>
      </c>
      <c r="E274" s="3">
        <f t="shared" si="260"/>
        <v>5.6673676320409674E-5</v>
      </c>
      <c r="F274" s="3">
        <f t="shared" si="260"/>
        <v>5.6673676320409674E-5</v>
      </c>
      <c r="G274" s="3">
        <f t="shared" si="260"/>
        <v>5.6673676320409674E-5</v>
      </c>
      <c r="H274" s="3">
        <f t="shared" si="260"/>
        <v>5.6673676320409674E-5</v>
      </c>
      <c r="I274" s="3">
        <f t="shared" si="260"/>
        <v>5.6673676320409674E-5</v>
      </c>
      <c r="J274" s="3">
        <f t="shared" si="260"/>
        <v>5.6673676320409674E-5</v>
      </c>
      <c r="K274" s="3">
        <f t="shared" si="260"/>
        <v>5.6673676320409674E-5</v>
      </c>
      <c r="L274" s="3">
        <f t="shared" si="260"/>
        <v>5.6673676320409674E-5</v>
      </c>
      <c r="M274" s="3">
        <f t="shared" si="260"/>
        <v>5.6673676320409674E-5</v>
      </c>
      <c r="N274" s="3">
        <f t="shared" si="260"/>
        <v>5.6673676320409674E-5</v>
      </c>
      <c r="O274" s="3">
        <f t="shared" si="260"/>
        <v>5.6673676320409674E-5</v>
      </c>
      <c r="P274" s="3">
        <f t="shared" si="260"/>
        <v>5.6673676320409674E-5</v>
      </c>
      <c r="Q274" s="3">
        <f t="shared" si="260"/>
        <v>5.6673676320409674E-5</v>
      </c>
      <c r="R274" s="3">
        <f t="shared" si="260"/>
        <v>5.6673676320409674E-5</v>
      </c>
      <c r="S274" s="3">
        <f t="shared" si="260"/>
        <v>5.6673676320409674E-5</v>
      </c>
      <c r="T274" s="3">
        <f t="shared" si="260"/>
        <v>5.6673676320409674E-5</v>
      </c>
      <c r="U274" s="3">
        <f t="shared" si="260"/>
        <v>5.6673676320409674E-5</v>
      </c>
      <c r="V274" s="3">
        <f t="shared" si="260"/>
        <v>5.6673676320409674E-5</v>
      </c>
      <c r="W274" s="3">
        <f t="shared" si="260"/>
        <v>5.6673676320409674E-5</v>
      </c>
      <c r="X274" s="3">
        <f t="shared" si="260"/>
        <v>5.6673676320409674E-5</v>
      </c>
      <c r="Y274" s="3">
        <f t="shared" si="260"/>
        <v>5.6673676320409667E-5</v>
      </c>
      <c r="Z274" s="3">
        <f t="shared" si="260"/>
        <v>5.6673676320409633E-5</v>
      </c>
      <c r="AA274" s="3">
        <f t="shared" si="260"/>
        <v>5.6673676320409294E-5</v>
      </c>
      <c r="AB274" s="3">
        <f t="shared" si="260"/>
        <v>5.6673676320405927E-5</v>
      </c>
      <c r="AC274" s="3">
        <f t="shared" si="260"/>
        <v>5.6673676320372181E-5</v>
      </c>
      <c r="AD274" s="3">
        <f t="shared" si="260"/>
        <v>5.6673676320034709E-5</v>
      </c>
      <c r="AE274" s="3">
        <f t="shared" si="260"/>
        <v>5.6673676316660083E-5</v>
      </c>
      <c r="AF274" s="3">
        <f t="shared" si="260"/>
        <v>5.6673676282913762E-5</v>
      </c>
      <c r="AG274" s="3"/>
      <c r="AH274" s="3"/>
    </row>
    <row r="275" spans="1:34" x14ac:dyDescent="0.25">
      <c r="B275" s="3">
        <f t="shared" ref="B275:AF275" si="261">$C44*EXP(-B$246/$A44/EXP(-$E$126))</f>
        <v>1.228688753482083E-4</v>
      </c>
      <c r="C275" s="3">
        <f t="shared" si="261"/>
        <v>1.228688753482083E-4</v>
      </c>
      <c r="D275" s="3">
        <f t="shared" si="261"/>
        <v>1.228688753482083E-4</v>
      </c>
      <c r="E275" s="3">
        <f t="shared" si="261"/>
        <v>1.228688753482083E-4</v>
      </c>
      <c r="F275" s="3">
        <f t="shared" si="261"/>
        <v>1.228688753482083E-4</v>
      </c>
      <c r="G275" s="3">
        <f t="shared" si="261"/>
        <v>1.228688753482083E-4</v>
      </c>
      <c r="H275" s="3">
        <f t="shared" si="261"/>
        <v>1.228688753482083E-4</v>
      </c>
      <c r="I275" s="3">
        <f t="shared" si="261"/>
        <v>1.228688753482083E-4</v>
      </c>
      <c r="J275" s="3">
        <f t="shared" si="261"/>
        <v>1.228688753482083E-4</v>
      </c>
      <c r="K275" s="3">
        <f t="shared" si="261"/>
        <v>1.228688753482083E-4</v>
      </c>
      <c r="L275" s="3">
        <f t="shared" si="261"/>
        <v>1.228688753482083E-4</v>
      </c>
      <c r="M275" s="3">
        <f t="shared" si="261"/>
        <v>1.228688753482083E-4</v>
      </c>
      <c r="N275" s="3">
        <f t="shared" si="261"/>
        <v>1.228688753482083E-4</v>
      </c>
      <c r="O275" s="3">
        <f t="shared" si="261"/>
        <v>1.228688753482083E-4</v>
      </c>
      <c r="P275" s="3">
        <f t="shared" si="261"/>
        <v>1.228688753482083E-4</v>
      </c>
      <c r="Q275" s="3">
        <f t="shared" si="261"/>
        <v>1.228688753482083E-4</v>
      </c>
      <c r="R275" s="3">
        <f t="shared" si="261"/>
        <v>1.228688753482083E-4</v>
      </c>
      <c r="S275" s="3">
        <f t="shared" si="261"/>
        <v>1.228688753482083E-4</v>
      </c>
      <c r="T275" s="3">
        <f t="shared" si="261"/>
        <v>1.228688753482083E-4</v>
      </c>
      <c r="U275" s="3">
        <f t="shared" si="261"/>
        <v>1.228688753482083E-4</v>
      </c>
      <c r="V275" s="3">
        <f t="shared" si="261"/>
        <v>1.228688753482083E-4</v>
      </c>
      <c r="W275" s="3">
        <f t="shared" si="261"/>
        <v>1.228688753482083E-4</v>
      </c>
      <c r="X275" s="3">
        <f t="shared" si="261"/>
        <v>1.228688753482083E-4</v>
      </c>
      <c r="Y275" s="3">
        <f t="shared" si="261"/>
        <v>1.228688753482083E-4</v>
      </c>
      <c r="Z275" s="3">
        <f t="shared" si="261"/>
        <v>1.2286887534820827E-4</v>
      </c>
      <c r="AA275" s="3">
        <f t="shared" si="261"/>
        <v>1.2286887534820821E-4</v>
      </c>
      <c r="AB275" s="3">
        <f t="shared" si="261"/>
        <v>1.2286887534820748E-4</v>
      </c>
      <c r="AC275" s="3">
        <f t="shared" si="261"/>
        <v>1.2286887534820016E-4</v>
      </c>
      <c r="AD275" s="3">
        <f t="shared" si="261"/>
        <v>1.2286887534812701E-4</v>
      </c>
      <c r="AE275" s="3">
        <f t="shared" si="261"/>
        <v>1.2286887534739539E-4</v>
      </c>
      <c r="AF275" s="3">
        <f t="shared" si="261"/>
        <v>1.2286887534007916E-4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1.663721654170598E-4</v>
      </c>
      <c r="C279" s="3">
        <f t="shared" si="265"/>
        <v>1.663721654170598E-4</v>
      </c>
      <c r="D279" s="3">
        <f t="shared" si="265"/>
        <v>1.663721654170598E-4</v>
      </c>
      <c r="E279" s="3">
        <f t="shared" si="265"/>
        <v>1.663721654170598E-4</v>
      </c>
      <c r="F279" s="3">
        <f t="shared" si="265"/>
        <v>1.663721654170598E-4</v>
      </c>
      <c r="G279" s="3">
        <f t="shared" si="265"/>
        <v>1.663721654170598E-4</v>
      </c>
      <c r="H279" s="3">
        <f t="shared" si="265"/>
        <v>1.663721654170598E-4</v>
      </c>
      <c r="I279" s="3">
        <f t="shared" si="265"/>
        <v>1.663721654170598E-4</v>
      </c>
      <c r="J279" s="3">
        <f t="shared" si="265"/>
        <v>1.663721654170598E-4</v>
      </c>
      <c r="K279" s="3">
        <f t="shared" si="265"/>
        <v>1.663721654170598E-4</v>
      </c>
      <c r="L279" s="3">
        <f t="shared" si="265"/>
        <v>1.663721654170598E-4</v>
      </c>
      <c r="M279" s="3">
        <f t="shared" si="265"/>
        <v>1.663721654170598E-4</v>
      </c>
      <c r="N279" s="3">
        <f t="shared" si="265"/>
        <v>1.663721654170598E-4</v>
      </c>
      <c r="O279" s="3">
        <f t="shared" si="265"/>
        <v>1.663721654170598E-4</v>
      </c>
      <c r="P279" s="3">
        <f t="shared" si="265"/>
        <v>1.663721654170598E-4</v>
      </c>
      <c r="Q279" s="3">
        <f t="shared" si="265"/>
        <v>1.663721654170598E-4</v>
      </c>
      <c r="R279" s="3">
        <f t="shared" si="265"/>
        <v>1.663721654170598E-4</v>
      </c>
      <c r="S279" s="3">
        <f t="shared" si="265"/>
        <v>1.663721654170598E-4</v>
      </c>
      <c r="T279" s="3">
        <f t="shared" si="265"/>
        <v>1.663721654170598E-4</v>
      </c>
      <c r="U279" s="3">
        <f t="shared" si="265"/>
        <v>1.663721654170598E-4</v>
      </c>
      <c r="V279" s="3">
        <f t="shared" si="265"/>
        <v>1.663721654170598E-4</v>
      </c>
      <c r="W279" s="3">
        <f t="shared" si="265"/>
        <v>1.663721654170598E-4</v>
      </c>
      <c r="X279" s="3">
        <f t="shared" si="265"/>
        <v>1.663721654170598E-4</v>
      </c>
      <c r="Y279" s="3">
        <f t="shared" si="265"/>
        <v>1.663721654170598E-4</v>
      </c>
      <c r="Z279" s="3">
        <f t="shared" si="265"/>
        <v>1.663721654170598E-4</v>
      </c>
      <c r="AA279" s="3">
        <f t="shared" si="265"/>
        <v>1.663721654170598E-4</v>
      </c>
      <c r="AB279" s="3">
        <f t="shared" si="265"/>
        <v>1.663721654170598E-4</v>
      </c>
      <c r="AC279" s="3">
        <f t="shared" si="265"/>
        <v>1.663721654170598E-4</v>
      </c>
      <c r="AD279" s="3">
        <f t="shared" si="265"/>
        <v>1.6637216541705977E-4</v>
      </c>
      <c r="AE279" s="3">
        <f t="shared" si="265"/>
        <v>1.6637216541705969E-4</v>
      </c>
      <c r="AF279" s="3">
        <f t="shared" si="265"/>
        <v>1.6637216541705868E-4</v>
      </c>
      <c r="AG279" s="3"/>
      <c r="AH279" s="3"/>
    </row>
    <row r="280" spans="1:34" x14ac:dyDescent="0.25">
      <c r="A280" s="79">
        <f>AVERAGE(B280:AF280)</f>
        <v>2.9815176474581859E-2</v>
      </c>
      <c r="B280" s="80">
        <f>IF($D$61&lt;=B246,IF($E$61&gt;=B246,ABS((B248-B247)/B247),0),0)</f>
        <v>3.0967830745568326E-3</v>
      </c>
      <c r="C280" s="80">
        <f t="shared" ref="C280:AF280" si="266">IF($D$61&lt;=C246,IF($E$61&gt;=C246,ABS((C248-C247)/C247),0),0)</f>
        <v>3.0885486801838988E-3</v>
      </c>
      <c r="D280" s="80">
        <f t="shared" si="266"/>
        <v>3.0935716520723525E-3</v>
      </c>
      <c r="E280" s="80">
        <f t="shared" si="266"/>
        <v>3.0944270418544399E-3</v>
      </c>
      <c r="F280" s="80">
        <f t="shared" si="266"/>
        <v>3.0883224494705182E-3</v>
      </c>
      <c r="G280" s="80">
        <f t="shared" si="266"/>
        <v>3.0226976501955827E-3</v>
      </c>
      <c r="H280" s="80">
        <f t="shared" si="266"/>
        <v>2.3672948803974297E-3</v>
      </c>
      <c r="I280" s="80">
        <f t="shared" si="266"/>
        <v>3.9770950173098714E-3</v>
      </c>
      <c r="J280" s="80">
        <f t="shared" si="266"/>
        <v>5.0367155330598302E-2</v>
      </c>
      <c r="K280" s="80">
        <f t="shared" si="266"/>
        <v>0.10696274911833162</v>
      </c>
      <c r="L280" s="80">
        <f t="shared" si="266"/>
        <v>0.10431463838991235</v>
      </c>
      <c r="M280" s="80">
        <f t="shared" si="266"/>
        <v>8.7926454331138881E-2</v>
      </c>
      <c r="N280" s="80">
        <f t="shared" si="266"/>
        <v>6.6754467090573491E-2</v>
      </c>
      <c r="O280" s="80">
        <f t="shared" si="266"/>
        <v>4.333326563118893E-2</v>
      </c>
      <c r="P280" s="80">
        <f t="shared" si="266"/>
        <v>2.3480798764214595E-2</v>
      </c>
      <c r="Q280" s="80">
        <f t="shared" si="266"/>
        <v>4.5681236037476231E-2</v>
      </c>
      <c r="R280" s="80">
        <f t="shared" si="266"/>
        <v>5.0761494223488149E-2</v>
      </c>
      <c r="S280" s="80">
        <f t="shared" si="266"/>
        <v>3.7057237585717939E-2</v>
      </c>
      <c r="T280" s="80">
        <f t="shared" si="266"/>
        <v>2.7887930779673625E-3</v>
      </c>
      <c r="U280" s="80">
        <f t="shared" si="266"/>
        <v>5.0629239034413513E-2</v>
      </c>
      <c r="V280" s="80">
        <f t="shared" si="266"/>
        <v>8.4245927008820928E-2</v>
      </c>
      <c r="W280" s="80">
        <f t="shared" si="266"/>
        <v>8.4622603027623339E-2</v>
      </c>
      <c r="X280" s="80">
        <f t="shared" si="266"/>
        <v>5.8572168952083482E-2</v>
      </c>
      <c r="Y280" s="80">
        <f t="shared" si="266"/>
        <v>1.9435026624474293E-3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405.6729840962181</v>
      </c>
      <c r="C281" s="21">
        <f t="shared" ref="C281:AF281" si="267">(C248-C247)^2</f>
        <v>403.52509053035209</v>
      </c>
      <c r="D281" s="21">
        <f t="shared" si="267"/>
        <v>404.83457299878842</v>
      </c>
      <c r="E281" s="21">
        <f t="shared" si="267"/>
        <v>405.05725957640641</v>
      </c>
      <c r="F281" s="21">
        <f t="shared" si="267"/>
        <v>403.46028261795692</v>
      </c>
      <c r="G281" s="21">
        <f t="shared" si="267"/>
        <v>386.49580094352598</v>
      </c>
      <c r="H281" s="21">
        <f t="shared" si="267"/>
        <v>237.06078914533884</v>
      </c>
      <c r="I281" s="21">
        <f t="shared" si="267"/>
        <v>669.08917590690737</v>
      </c>
      <c r="J281" s="21">
        <f t="shared" si="267"/>
        <v>107304.42497215114</v>
      </c>
      <c r="K281" s="21">
        <f t="shared" si="267"/>
        <v>483612.19811986206</v>
      </c>
      <c r="L281" s="21">
        <f t="shared" si="267"/>
        <v>457094.29792676773</v>
      </c>
      <c r="M281" s="21">
        <f t="shared" si="267"/>
        <v>313180.7738374871</v>
      </c>
      <c r="N281" s="21">
        <f t="shared" si="267"/>
        <v>172376.90321024315</v>
      </c>
      <c r="O281" s="21">
        <f t="shared" si="267"/>
        <v>68958.056378647074</v>
      </c>
      <c r="P281" s="21">
        <f t="shared" si="267"/>
        <v>19001.829096826528</v>
      </c>
      <c r="Q281" s="21">
        <f t="shared" si="267"/>
        <v>67067.005259061538</v>
      </c>
      <c r="R281" s="21">
        <f t="shared" si="267"/>
        <v>75790.934485334801</v>
      </c>
      <c r="S281" s="21">
        <f t="shared" si="267"/>
        <v>35228.000508470781</v>
      </c>
      <c r="T281" s="21">
        <f t="shared" si="267"/>
        <v>163.15434293571562</v>
      </c>
      <c r="U281" s="21">
        <f t="shared" si="267"/>
        <v>42792.839792138875</v>
      </c>
      <c r="V281" s="21">
        <f t="shared" si="267"/>
        <v>94125.371293095814</v>
      </c>
      <c r="W281" s="21">
        <f t="shared" si="267"/>
        <v>74786.610369297516</v>
      </c>
      <c r="X281" s="21">
        <f t="shared" si="267"/>
        <v>26623.039314549922</v>
      </c>
      <c r="Y281" s="21">
        <f t="shared" si="267"/>
        <v>19.897278513031221</v>
      </c>
      <c r="Z281" s="21">
        <f t="shared" si="267"/>
        <v>41054.833720983566</v>
      </c>
      <c r="AA281" s="21">
        <f t="shared" si="267"/>
        <v>69579.333654954185</v>
      </c>
      <c r="AB281" s="21">
        <f t="shared" si="267"/>
        <v>36487.369019794198</v>
      </c>
      <c r="AC281" s="21">
        <f t="shared" si="267"/>
        <v>15762.633672966063</v>
      </c>
      <c r="AD281" s="21">
        <f t="shared" si="267"/>
        <v>1800.1710642307251</v>
      </c>
      <c r="AE281" s="21">
        <f t="shared" si="267"/>
        <v>13.846323456097847</v>
      </c>
      <c r="AF281" s="21">
        <f t="shared" si="267"/>
        <v>51.11684239980351</v>
      </c>
      <c r="AG281" s="3"/>
      <c r="AH281" s="3"/>
    </row>
    <row r="282" spans="1:34" s="3" customFormat="1" x14ac:dyDescent="0.25">
      <c r="A282" s="71">
        <f>SUM(B282:AF282)</f>
        <v>2041440.5321411982</v>
      </c>
      <c r="B282" s="21">
        <f>IF($D$61&lt;=B246,IF($E$61&gt;=B246,ABS(B281),0),0)</f>
        <v>405.6729840962181</v>
      </c>
      <c r="C282" s="21">
        <f t="shared" ref="C282:AF282" si="268">IF($D$61&lt;=C246,IF($E$61&gt;=C246,ABS(C281),0),0)</f>
        <v>403.52509053035209</v>
      </c>
      <c r="D282" s="21">
        <f t="shared" si="268"/>
        <v>404.83457299878842</v>
      </c>
      <c r="E282" s="21">
        <f t="shared" si="268"/>
        <v>405.05725957640641</v>
      </c>
      <c r="F282" s="21">
        <f t="shared" si="268"/>
        <v>403.46028261795692</v>
      </c>
      <c r="G282" s="21">
        <f t="shared" si="268"/>
        <v>386.49580094352598</v>
      </c>
      <c r="H282" s="21">
        <f t="shared" si="268"/>
        <v>237.06078914533884</v>
      </c>
      <c r="I282" s="21">
        <f t="shared" si="268"/>
        <v>669.08917590690737</v>
      </c>
      <c r="J282" s="21">
        <f t="shared" si="268"/>
        <v>107304.42497215114</v>
      </c>
      <c r="K282" s="21">
        <f t="shared" si="268"/>
        <v>483612.19811986206</v>
      </c>
      <c r="L282" s="21">
        <f t="shared" si="268"/>
        <v>457094.29792676773</v>
      </c>
      <c r="M282" s="21">
        <f t="shared" si="268"/>
        <v>313180.7738374871</v>
      </c>
      <c r="N282" s="21">
        <f t="shared" si="268"/>
        <v>172376.90321024315</v>
      </c>
      <c r="O282" s="21">
        <f t="shared" si="268"/>
        <v>68958.056378647074</v>
      </c>
      <c r="P282" s="21">
        <f t="shared" si="268"/>
        <v>19001.829096826528</v>
      </c>
      <c r="Q282" s="21">
        <f t="shared" si="268"/>
        <v>67067.005259061538</v>
      </c>
      <c r="R282" s="21">
        <f t="shared" si="268"/>
        <v>75790.934485334801</v>
      </c>
      <c r="S282" s="21">
        <f t="shared" si="268"/>
        <v>35228.000508470781</v>
      </c>
      <c r="T282" s="21">
        <f t="shared" si="268"/>
        <v>163.15434293571562</v>
      </c>
      <c r="U282" s="21">
        <f t="shared" si="268"/>
        <v>42792.839792138875</v>
      </c>
      <c r="V282" s="21">
        <f t="shared" si="268"/>
        <v>94125.371293095814</v>
      </c>
      <c r="W282" s="21">
        <f t="shared" si="268"/>
        <v>74786.610369297516</v>
      </c>
      <c r="X282" s="21">
        <f t="shared" si="268"/>
        <v>26623.039314549922</v>
      </c>
      <c r="Y282" s="21">
        <f t="shared" si="268"/>
        <v>19.897278513031221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6479.0859474371819</v>
      </c>
      <c r="C286" s="26">
        <f>INDEX(Comparison!$AM$3:$AS$33,G$14,$F$122)</f>
        <v>6479.1324839978006</v>
      </c>
      <c r="D286" s="26">
        <f>INDEX(Comparison!$AM$3:$AS$33,H$14,$F$122)</f>
        <v>6479.041978197979</v>
      </c>
      <c r="E286" s="26">
        <f>INDEX(Comparison!$AM$3:$AS$33,I$14,$F$122)</f>
        <v>6478.4539559822069</v>
      </c>
      <c r="F286" s="26">
        <f>INDEX(Comparison!$AM$3:$AS$33,J$14,$F$122)</f>
        <v>6472.7726535549082</v>
      </c>
      <c r="G286" s="26">
        <f>INDEX(Comparison!$AM$3:$AS$33,K$14,$F$122)</f>
        <v>6425.3224026678754</v>
      </c>
      <c r="H286" s="26">
        <f>INDEX(Comparison!$AM$3:$AS$33,L$14,$F$122)</f>
        <v>6280.1372572444334</v>
      </c>
      <c r="I286" s="26">
        <f>INDEX(Comparison!$AM$3:$AS$33,M$14,$F$122)</f>
        <v>6130.7451181848783</v>
      </c>
      <c r="J286" s="26">
        <f>INDEX(Comparison!$AM$3:$AS$33,N$14,$F$122)</f>
        <v>5959.459898848826</v>
      </c>
      <c r="K286" s="26">
        <f>INDEX(Comparison!$AM$3:$AS$33,O$14,$F$122)</f>
        <v>5758.6320512376351</v>
      </c>
      <c r="L286" s="26">
        <f>INDEX(Comparison!$AM$3:$AS$33,P$14,$F$122)</f>
        <v>5553.7107715147085</v>
      </c>
      <c r="M286" s="26">
        <f>INDEX(Comparison!$AM$3:$AS$33,Q$14,$F$122)</f>
        <v>5296.2160470219478</v>
      </c>
      <c r="N286" s="26">
        <f>INDEX(Comparison!$AM$3:$AS$33,R$14,$F$122)</f>
        <v>5014.3504980568096</v>
      </c>
      <c r="O286" s="26">
        <f>INDEX(Comparison!$AM$3:$AS$33,S$14,$F$122)</f>
        <v>4737.7084148388376</v>
      </c>
      <c r="P286" s="26">
        <f>INDEX(Comparison!$AM$3:$AS$33,T$14,$F$122)</f>
        <v>4438.626264954587</v>
      </c>
      <c r="Q286" s="26">
        <f>INDEX(Comparison!$AM$3:$AS$33,U$14,$F$122)</f>
        <v>4115.3629839514006</v>
      </c>
      <c r="R286" s="26">
        <f>INDEX(Comparison!$AM$3:$AS$33,V$14,$F$122)</f>
        <v>3662.5886079597385</v>
      </c>
      <c r="S286" s="26">
        <f>INDEX(Comparison!$AM$3:$AS$33,W$14,$F$122)</f>
        <v>3039.7716426269371</v>
      </c>
      <c r="T286" s="26">
        <f>INDEX(Comparison!$AM$3:$AS$33,X$14,$F$122)</f>
        <v>2356.5178874385392</v>
      </c>
      <c r="U286" s="26">
        <f>INDEX(Comparison!$AM$3:$AS$33,Y$14,$F$122)</f>
        <v>1664.6092730189016</v>
      </c>
      <c r="V286" s="26">
        <f>INDEX(Comparison!$AM$3:$AS$33,Z$14,$F$122)</f>
        <v>1039.9214556238178</v>
      </c>
      <c r="W286" s="26">
        <f>INDEX(Comparison!$AM$3:$AS$33,AA$14,$F$122)</f>
        <v>595.89522173414423</v>
      </c>
      <c r="X286" s="26">
        <f>INDEX(Comparison!$AM$3:$AS$33,AB$14,$F$122)</f>
        <v>331.71701217899948</v>
      </c>
      <c r="Y286" s="26">
        <f>INDEX(Comparison!$AM$3:$AS$33,AC$14,$F$122)</f>
        <v>192.72704730170403</v>
      </c>
      <c r="Z286" s="26">
        <f>INDEX(Comparison!$AM$3:$AS$33,AD$14,$F$122)</f>
        <v>148.89299884614732</v>
      </c>
      <c r="AA286" s="26">
        <f>INDEX(Comparison!$AM$3:$AS$33,AE$14,$F$122)</f>
        <v>134.12130031566326</v>
      </c>
      <c r="AB286" s="26">
        <f>INDEX(Comparison!$AM$3:$AS$33,AF$14,$F$122)</f>
        <v>124.90206072555479</v>
      </c>
      <c r="AC286" s="26">
        <f>INDEX(Comparison!$AM$3:$AS$33,AG$14,$F$122)</f>
        <v>124.64007063602084</v>
      </c>
      <c r="AD286" s="26">
        <f>INDEX(Comparison!$AM$3:$AS$33,AH$14,$F$122)</f>
        <v>123.89500698166064</v>
      </c>
      <c r="AE286" s="26">
        <f>INDEX(Comparison!$AM$3:$AS$33,AI$14,$F$122)</f>
        <v>123.88320178471095</v>
      </c>
      <c r="AF286" s="26">
        <f>INDEX(Comparison!$AM$3:$AS$33,AJ$14,$F$122)</f>
        <v>123.47472292148701</v>
      </c>
      <c r="AG286" s="26"/>
      <c r="AH286" s="26"/>
    </row>
    <row r="287" spans="1:34" x14ac:dyDescent="0.25">
      <c r="A287" s="70" t="s">
        <v>22</v>
      </c>
      <c r="B287" s="27">
        <f>($C$17+SUM(B288:B318))*$B$51</f>
        <v>6523.8287062477484</v>
      </c>
      <c r="C287" s="27">
        <f t="shared" ref="C287:AF287" si="269">($C$17+SUM(C288:C318))*$B$51</f>
        <v>6521.4607072407798</v>
      </c>
      <c r="D287" s="27">
        <f t="shared" si="269"/>
        <v>6498.2056370615846</v>
      </c>
      <c r="E287" s="27">
        <f t="shared" si="269"/>
        <v>6303.3856607035787</v>
      </c>
      <c r="F287" s="27">
        <f t="shared" si="269"/>
        <v>5823.5222812950351</v>
      </c>
      <c r="G287" s="27">
        <f t="shared" si="269"/>
        <v>5805.149154427063</v>
      </c>
      <c r="H287" s="27">
        <f t="shared" si="269"/>
        <v>5805.1100638873677</v>
      </c>
      <c r="I287" s="27">
        <f t="shared" si="269"/>
        <v>5804.7193319674498</v>
      </c>
      <c r="J287" s="27">
        <f t="shared" si="269"/>
        <v>5800.829306532527</v>
      </c>
      <c r="K287" s="27">
        <f t="shared" si="269"/>
        <v>5763.6057349189914</v>
      </c>
      <c r="L287" s="27">
        <f t="shared" si="269"/>
        <v>5516.7575050059868</v>
      </c>
      <c r="M287" s="27">
        <f t="shared" si="269"/>
        <v>5213.8508933057892</v>
      </c>
      <c r="N287" s="27">
        <f t="shared" si="269"/>
        <v>4958.8258230284691</v>
      </c>
      <c r="O287" s="27">
        <f t="shared" si="269"/>
        <v>4671.8703526207755</v>
      </c>
      <c r="P287" s="27">
        <f t="shared" si="269"/>
        <v>4377.4388525974691</v>
      </c>
      <c r="Q287" s="27">
        <f t="shared" si="269"/>
        <v>4046.2049490554805</v>
      </c>
      <c r="R287" s="27">
        <f t="shared" si="269"/>
        <v>3633.8422531078954</v>
      </c>
      <c r="S287" s="27">
        <f t="shared" si="269"/>
        <v>3097.9883782798829</v>
      </c>
      <c r="T287" s="27">
        <f t="shared" si="269"/>
        <v>2460.8039693224518</v>
      </c>
      <c r="U287" s="27">
        <f t="shared" si="269"/>
        <v>1727.9495071850351</v>
      </c>
      <c r="V287" s="27">
        <f t="shared" si="269"/>
        <v>1018.90914871687</v>
      </c>
      <c r="W287" s="27">
        <f t="shared" si="269"/>
        <v>584.32182149081109</v>
      </c>
      <c r="X287" s="27">
        <f t="shared" si="269"/>
        <v>313.15910369264674</v>
      </c>
      <c r="Y287" s="27">
        <f t="shared" si="269"/>
        <v>196.72429295373485</v>
      </c>
      <c r="Z287" s="27">
        <f t="shared" si="269"/>
        <v>165.70902810605821</v>
      </c>
      <c r="AA287" s="27">
        <f t="shared" si="269"/>
        <v>146.81986336674211</v>
      </c>
      <c r="AB287" s="27">
        <f t="shared" si="269"/>
        <v>140.54390389896784</v>
      </c>
      <c r="AC287" s="27">
        <f t="shared" si="269"/>
        <v>137.01572099425789</v>
      </c>
      <c r="AD287" s="27">
        <f t="shared" si="269"/>
        <v>133.5981805143777</v>
      </c>
      <c r="AE287" s="27">
        <f t="shared" si="269"/>
        <v>130.55725596012817</v>
      </c>
      <c r="AF287" s="27">
        <f t="shared" si="269"/>
        <v>128.75514676802663</v>
      </c>
      <c r="AG287" s="27"/>
      <c r="AH287" s="27"/>
    </row>
    <row r="288" spans="1:34" x14ac:dyDescent="0.25">
      <c r="B288" s="3">
        <f t="shared" ref="B288:AF288" si="270">$C18*EXP(-B$285/$A18/EXP(-$F$126))</f>
        <v>0.11015711845095502</v>
      </c>
      <c r="C288" s="3">
        <f t="shared" si="270"/>
        <v>0.10979415629359189</v>
      </c>
      <c r="D288" s="3">
        <f t="shared" si="270"/>
        <v>0.10622966560268791</v>
      </c>
      <c r="E288" s="3">
        <f t="shared" si="270"/>
        <v>7.6368049870252572E-2</v>
      </c>
      <c r="F288" s="3">
        <f t="shared" si="270"/>
        <v>2.8155974495443553E-3</v>
      </c>
      <c r="G288" s="3">
        <f t="shared" si="270"/>
        <v>1.3066497454781056E-17</v>
      </c>
      <c r="H288" s="3">
        <f t="shared" si="270"/>
        <v>6.0540421295578889E-161</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6.7386263948433459E-2</v>
      </c>
      <c r="C289" s="3">
        <f t="shared" si="271"/>
        <v>6.7386263891464473E-2</v>
      </c>
      <c r="D289" s="3">
        <f t="shared" si="271"/>
        <v>6.7386263321774553E-2</v>
      </c>
      <c r="E289" s="3">
        <f t="shared" si="271"/>
        <v>6.7386257624875531E-2</v>
      </c>
      <c r="F289" s="3">
        <f t="shared" si="271"/>
        <v>6.738620065591186E-2</v>
      </c>
      <c r="G289" s="3">
        <f t="shared" si="271"/>
        <v>6.7385630968924123E-2</v>
      </c>
      <c r="H289" s="3">
        <f t="shared" si="271"/>
        <v>6.7379934363929195E-2</v>
      </c>
      <c r="I289" s="3">
        <f t="shared" si="271"/>
        <v>6.7322994793948543E-2</v>
      </c>
      <c r="J289" s="3">
        <f t="shared" si="271"/>
        <v>6.6756238826721256E-2</v>
      </c>
      <c r="K289" s="3">
        <f t="shared" si="271"/>
        <v>6.1344578699533581E-2</v>
      </c>
      <c r="L289" s="3">
        <f t="shared" si="271"/>
        <v>2.63402245318465E-2</v>
      </c>
      <c r="M289" s="3">
        <f t="shared" si="271"/>
        <v>5.6111556757610964E-6</v>
      </c>
      <c r="N289" s="3">
        <f t="shared" si="271"/>
        <v>1.0798931098870305E-42</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3.4082747841219521E-2</v>
      </c>
      <c r="C290" s="3">
        <f t="shared" si="272"/>
        <v>3.4082747838620267E-2</v>
      </c>
      <c r="D290" s="3">
        <f t="shared" si="272"/>
        <v>3.4082747812627746E-2</v>
      </c>
      <c r="E290" s="3">
        <f t="shared" si="272"/>
        <v>3.4082747552702568E-2</v>
      </c>
      <c r="F290" s="3">
        <f t="shared" si="272"/>
        <v>3.4082744953450865E-2</v>
      </c>
      <c r="G290" s="3">
        <f t="shared" si="272"/>
        <v>3.4082718960944752E-2</v>
      </c>
      <c r="H290" s="3">
        <f t="shared" si="272"/>
        <v>3.4082459036973871E-2</v>
      </c>
      <c r="I290" s="3">
        <f t="shared" si="272"/>
        <v>3.4079859906286279E-2</v>
      </c>
      <c r="J290" s="3">
        <f t="shared" si="272"/>
        <v>3.405387949846047E-2</v>
      </c>
      <c r="K290" s="3">
        <f t="shared" si="272"/>
        <v>3.3795162256055319E-2</v>
      </c>
      <c r="L290" s="3">
        <f t="shared" si="272"/>
        <v>3.1313668217528373E-2</v>
      </c>
      <c r="M290" s="3">
        <f t="shared" si="272"/>
        <v>1.4605890615618873E-2</v>
      </c>
      <c r="N290" s="3">
        <f t="shared" si="272"/>
        <v>7.1198201828098716E-6</v>
      </c>
      <c r="O290" s="3">
        <f t="shared" si="272"/>
        <v>5.3936012972469667E-39</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4.667425767610494E-2</v>
      </c>
      <c r="C291" s="3">
        <f t="shared" si="273"/>
        <v>4.6674257675783842E-2</v>
      </c>
      <c r="D291" s="3">
        <f t="shared" si="273"/>
        <v>4.6674257672572862E-2</v>
      </c>
      <c r="E291" s="3">
        <f t="shared" si="273"/>
        <v>4.6674257640463047E-2</v>
      </c>
      <c r="F291" s="3">
        <f t="shared" si="273"/>
        <v>4.6674257319364934E-2</v>
      </c>
      <c r="G291" s="3">
        <f t="shared" si="273"/>
        <v>4.6674254108383842E-2</v>
      </c>
      <c r="H291" s="3">
        <f t="shared" si="273"/>
        <v>4.6674221998585091E-2</v>
      </c>
      <c r="I291" s="3">
        <f t="shared" si="273"/>
        <v>4.6673900901812594E-2</v>
      </c>
      <c r="J291" s="3">
        <f t="shared" si="273"/>
        <v>4.6670690055579792E-2</v>
      </c>
      <c r="K291" s="3">
        <f t="shared" si="273"/>
        <v>4.6638593739383311E-2</v>
      </c>
      <c r="L291" s="3">
        <f t="shared" si="273"/>
        <v>4.6318842104530702E-2</v>
      </c>
      <c r="M291" s="3">
        <f t="shared" si="273"/>
        <v>4.3239450531432536E-2</v>
      </c>
      <c r="N291" s="3">
        <f t="shared" si="273"/>
        <v>2.1732259856797793E-2</v>
      </c>
      <c r="O291" s="3">
        <f t="shared" si="273"/>
        <v>2.235383895633397E-5</v>
      </c>
      <c r="P291" s="3">
        <f t="shared" si="273"/>
        <v>2.9636328681390586E-35</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4.4764266498864509E-2</v>
      </c>
      <c r="C292" s="3">
        <f t="shared" si="274"/>
        <v>4.4764266498836733E-2</v>
      </c>
      <c r="D292" s="3">
        <f t="shared" si="274"/>
        <v>4.4764266498558927E-2</v>
      </c>
      <c r="E292" s="3">
        <f t="shared" si="274"/>
        <v>4.4764266495780886E-2</v>
      </c>
      <c r="F292" s="3">
        <f t="shared" si="274"/>
        <v>4.476426646800049E-2</v>
      </c>
      <c r="G292" s="3">
        <f t="shared" si="274"/>
        <v>4.476426619019655E-2</v>
      </c>
      <c r="H292" s="3">
        <f t="shared" si="274"/>
        <v>4.4764263412157196E-2</v>
      </c>
      <c r="I292" s="3">
        <f t="shared" si="274"/>
        <v>4.476423563177314E-2</v>
      </c>
      <c r="J292" s="3">
        <f t="shared" si="274"/>
        <v>4.4763957828880784E-2</v>
      </c>
      <c r="K292" s="3">
        <f t="shared" si="274"/>
        <v>4.4761179894776626E-2</v>
      </c>
      <c r="L292" s="3">
        <f t="shared" si="274"/>
        <v>4.47334100334928E-2</v>
      </c>
      <c r="M292" s="3">
        <f t="shared" si="274"/>
        <v>4.445665722330229E-2</v>
      </c>
      <c r="N292" s="3">
        <f t="shared" si="274"/>
        <v>4.1781573219713562E-2</v>
      </c>
      <c r="O292" s="3">
        <f t="shared" si="274"/>
        <v>2.2462838408806682E-2</v>
      </c>
      <c r="P292" s="3">
        <f t="shared" si="274"/>
        <v>4.5317200786640237E-5</v>
      </c>
      <c r="Q292" s="3">
        <f t="shared" si="274"/>
        <v>5.0611301548053317E-32</v>
      </c>
      <c r="R292" s="3">
        <f t="shared" si="274"/>
        <v>1.5278890087575868E-301</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4.8577269491505648E-2</v>
      </c>
      <c r="C293" s="3">
        <f t="shared" si="275"/>
        <v>4.8577269491502935E-2</v>
      </c>
      <c r="D293" s="3">
        <f t="shared" si="275"/>
        <v>4.8577269491475734E-2</v>
      </c>
      <c r="E293" s="3">
        <f t="shared" si="275"/>
        <v>4.8577269491203792E-2</v>
      </c>
      <c r="F293" s="3">
        <f t="shared" si="275"/>
        <v>4.8577269488484308E-2</v>
      </c>
      <c r="G293" s="3">
        <f t="shared" si="275"/>
        <v>4.8577269461289457E-2</v>
      </c>
      <c r="H293" s="3">
        <f t="shared" si="275"/>
        <v>4.857726918934098E-2</v>
      </c>
      <c r="I293" s="3">
        <f t="shared" si="275"/>
        <v>4.8577266469856321E-2</v>
      </c>
      <c r="J293" s="3">
        <f t="shared" si="275"/>
        <v>4.8577239275018107E-2</v>
      </c>
      <c r="K293" s="3">
        <f t="shared" si="275"/>
        <v>4.8576967327473262E-2</v>
      </c>
      <c r="L293" s="3">
        <f t="shared" si="275"/>
        <v>4.8574247935757084E-2</v>
      </c>
      <c r="M293" s="3">
        <f t="shared" si="275"/>
        <v>4.8547062390087929E-2</v>
      </c>
      <c r="N293" s="3">
        <f t="shared" si="275"/>
        <v>4.827604235121264E-2</v>
      </c>
      <c r="O293" s="3">
        <f t="shared" si="275"/>
        <v>4.5647678901743247E-2</v>
      </c>
      <c r="P293" s="3">
        <f t="shared" si="275"/>
        <v>2.6078889670486653E-2</v>
      </c>
      <c r="Q293" s="3">
        <f t="shared" si="275"/>
        <v>9.6603547157691534E-5</v>
      </c>
      <c r="R293" s="3">
        <f t="shared" si="275"/>
        <v>4.6992963935047874E-29</v>
      </c>
      <c r="S293" s="3">
        <f t="shared" si="275"/>
        <v>3.4868276390381016E-272</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5.5549505588396546E-2</v>
      </c>
      <c r="C294" s="3">
        <f t="shared" si="276"/>
        <v>5.5549505588396261E-2</v>
      </c>
      <c r="D294" s="3">
        <f t="shared" si="276"/>
        <v>5.5549505588393458E-2</v>
      </c>
      <c r="E294" s="3">
        <f t="shared" si="276"/>
        <v>5.5549505588365404E-2</v>
      </c>
      <c r="F294" s="3">
        <f t="shared" si="276"/>
        <v>5.5549505588084878E-2</v>
      </c>
      <c r="G294" s="3">
        <f t="shared" si="276"/>
        <v>5.5549505585279567E-2</v>
      </c>
      <c r="H294" s="3">
        <f t="shared" si="276"/>
        <v>5.55495055572265E-2</v>
      </c>
      <c r="I294" s="3">
        <f t="shared" si="276"/>
        <v>5.5549505276695853E-2</v>
      </c>
      <c r="J294" s="3">
        <f t="shared" si="276"/>
        <v>5.5549502471389442E-2</v>
      </c>
      <c r="K294" s="3">
        <f t="shared" si="276"/>
        <v>5.5549474418333147E-2</v>
      </c>
      <c r="L294" s="3">
        <f t="shared" si="276"/>
        <v>5.5549193888549342E-2</v>
      </c>
      <c r="M294" s="3">
        <f t="shared" si="276"/>
        <v>5.5546388668628641E-2</v>
      </c>
      <c r="N294" s="3">
        <f t="shared" si="276"/>
        <v>5.5518344259699752E-2</v>
      </c>
      <c r="O294" s="3">
        <f t="shared" si="276"/>
        <v>5.5238677744545925E-2</v>
      </c>
      <c r="P294" s="3">
        <f t="shared" si="276"/>
        <v>5.2518336497834092E-2</v>
      </c>
      <c r="Q294" s="3">
        <f t="shared" si="276"/>
        <v>3.1694786724289596E-2</v>
      </c>
      <c r="R294" s="3">
        <f t="shared" si="276"/>
        <v>2.0312180919360663E-4</v>
      </c>
      <c r="S294" s="3">
        <f t="shared" si="276"/>
        <v>2.3737981114770561E-26</v>
      </c>
      <c r="T294" s="3">
        <f t="shared" si="276"/>
        <v>1.128017971250468E-245</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7.866276737132312E-2</v>
      </c>
      <c r="C295" s="3">
        <f t="shared" si="277"/>
        <v>7.8662767371323078E-2</v>
      </c>
      <c r="D295" s="3">
        <f t="shared" si="277"/>
        <v>7.8662767371322717E-2</v>
      </c>
      <c r="E295" s="3">
        <f t="shared" si="277"/>
        <v>7.8662767371319137E-2</v>
      </c>
      <c r="F295" s="3">
        <f t="shared" si="277"/>
        <v>7.8662767371283304E-2</v>
      </c>
      <c r="G295" s="3">
        <f t="shared" si="277"/>
        <v>7.8662767370924938E-2</v>
      </c>
      <c r="H295" s="3">
        <f t="shared" si="277"/>
        <v>7.8662767367341374E-2</v>
      </c>
      <c r="I295" s="3">
        <f t="shared" si="277"/>
        <v>7.8662767331505665E-2</v>
      </c>
      <c r="J295" s="3">
        <f t="shared" si="277"/>
        <v>7.866276697314864E-2</v>
      </c>
      <c r="K295" s="3">
        <f t="shared" si="277"/>
        <v>7.8662763389578422E-2</v>
      </c>
      <c r="L295" s="3">
        <f t="shared" si="277"/>
        <v>7.8662727553885176E-2</v>
      </c>
      <c r="M295" s="3">
        <f t="shared" si="277"/>
        <v>7.8662369197850621E-2</v>
      </c>
      <c r="N295" s="3">
        <f t="shared" si="277"/>
        <v>7.8658785727292929E-2</v>
      </c>
      <c r="O295" s="3">
        <f t="shared" si="277"/>
        <v>7.8622959998979891E-2</v>
      </c>
      <c r="P295" s="3">
        <f t="shared" si="277"/>
        <v>7.8265598930904429E-2</v>
      </c>
      <c r="Q295" s="3">
        <f t="shared" si="277"/>
        <v>7.4780117348115044E-2</v>
      </c>
      <c r="R295" s="3">
        <f t="shared" si="277"/>
        <v>4.7417476230074945E-2</v>
      </c>
      <c r="S295" s="3">
        <f t="shared" si="277"/>
        <v>4.9826612632760151E-4</v>
      </c>
      <c r="T295" s="3">
        <f t="shared" si="277"/>
        <v>8.1788199332336667E-24</v>
      </c>
      <c r="U295" s="3">
        <f t="shared" si="277"/>
        <v>1.1614044334535379E-221</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9.4543741847587029E-2</v>
      </c>
      <c r="C296" s="3">
        <f t="shared" si="278"/>
        <v>9.4543741847587029E-2</v>
      </c>
      <c r="D296" s="3">
        <f t="shared" si="278"/>
        <v>9.4543741847586987E-2</v>
      </c>
      <c r="E296" s="3">
        <f t="shared" si="278"/>
        <v>9.4543741847586599E-2</v>
      </c>
      <c r="F296" s="3">
        <f t="shared" si="278"/>
        <v>9.4543741847582713E-2</v>
      </c>
      <c r="G296" s="3">
        <f t="shared" si="278"/>
        <v>9.4543741847543855E-2</v>
      </c>
      <c r="H296" s="3">
        <f t="shared" si="278"/>
        <v>9.4543741847155333E-2</v>
      </c>
      <c r="I296" s="3">
        <f t="shared" si="278"/>
        <v>9.454374184327001E-2</v>
      </c>
      <c r="J296" s="3">
        <f t="shared" si="278"/>
        <v>9.4543741804416881E-2</v>
      </c>
      <c r="K296" s="3">
        <f t="shared" si="278"/>
        <v>9.4543741415885507E-2</v>
      </c>
      <c r="L296" s="3">
        <f t="shared" si="278"/>
        <v>9.4543737530571922E-2</v>
      </c>
      <c r="M296" s="3">
        <f t="shared" si="278"/>
        <v>9.4543698677444804E-2</v>
      </c>
      <c r="N296" s="3">
        <f t="shared" si="278"/>
        <v>9.4543310147051793E-2</v>
      </c>
      <c r="O296" s="3">
        <f t="shared" si="278"/>
        <v>9.4539424930938032E-2</v>
      </c>
      <c r="P296" s="3">
        <f t="shared" si="278"/>
        <v>9.4500581550087226E-2</v>
      </c>
      <c r="Q296" s="3">
        <f t="shared" si="278"/>
        <v>9.4113024436668746E-2</v>
      </c>
      <c r="R296" s="3">
        <f t="shared" si="278"/>
        <v>9.0323804296638679E-2</v>
      </c>
      <c r="S296" s="3">
        <f t="shared" si="278"/>
        <v>5.9886251505934449E-2</v>
      </c>
      <c r="T296" s="3">
        <f t="shared" si="278"/>
        <v>9.8305138140452339E-4</v>
      </c>
      <c r="U296" s="3">
        <f t="shared" si="278"/>
        <v>1.3965841116746631E-21</v>
      </c>
      <c r="V296" s="3">
        <f t="shared" si="278"/>
        <v>4.6770917383310553E-200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0.11359632384203742</v>
      </c>
      <c r="C297" s="3">
        <f t="shared" si="279"/>
        <v>0.11359632384203742</v>
      </c>
      <c r="D297" s="3">
        <f t="shared" si="279"/>
        <v>0.11359632384203742</v>
      </c>
      <c r="E297" s="3">
        <f t="shared" si="279"/>
        <v>0.11359632384203737</v>
      </c>
      <c r="F297" s="3">
        <f t="shared" si="279"/>
        <v>0.11359632384203695</v>
      </c>
      <c r="G297" s="3">
        <f t="shared" si="279"/>
        <v>0.11359632384203275</v>
      </c>
      <c r="H297" s="3">
        <f t="shared" si="279"/>
        <v>0.11359632384199063</v>
      </c>
      <c r="I297" s="3">
        <f t="shared" si="279"/>
        <v>0.11359632384156952</v>
      </c>
      <c r="J297" s="3">
        <f t="shared" si="279"/>
        <v>0.11359632383735833</v>
      </c>
      <c r="K297" s="3">
        <f t="shared" si="279"/>
        <v>0.11359632379524649</v>
      </c>
      <c r="L297" s="3">
        <f t="shared" si="279"/>
        <v>0.11359632337412814</v>
      </c>
      <c r="M297" s="3">
        <f t="shared" si="279"/>
        <v>0.1135963191629447</v>
      </c>
      <c r="N297" s="3">
        <f t="shared" si="279"/>
        <v>0.11359627705111892</v>
      </c>
      <c r="O297" s="3">
        <f t="shared" si="279"/>
        <v>0.11359585593371968</v>
      </c>
      <c r="P297" s="3">
        <f t="shared" si="279"/>
        <v>0.1135916448455892</v>
      </c>
      <c r="Q297" s="3">
        <f t="shared" si="279"/>
        <v>0.11354954254928949</v>
      </c>
      <c r="R297" s="3">
        <f t="shared" si="279"/>
        <v>0.1131293769104251</v>
      </c>
      <c r="S297" s="3">
        <f t="shared" si="279"/>
        <v>0.10901228856064732</v>
      </c>
      <c r="T297" s="3">
        <f t="shared" si="279"/>
        <v>7.5244728097429311E-2</v>
      </c>
      <c r="U297" s="3">
        <f t="shared" si="279"/>
        <v>1.8470654191455158E-3</v>
      </c>
      <c r="V297" s="3">
        <f t="shared" si="279"/>
        <v>1.4673856942562748E-19</v>
      </c>
      <c r="W297" s="3">
        <f t="shared" si="279"/>
        <v>1.4694821444281772E-180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0.12987660327805553</v>
      </c>
      <c r="C298" s="3">
        <f t="shared" si="280"/>
        <v>0.12987660327805553</v>
      </c>
      <c r="D298" s="3">
        <f t="shared" si="280"/>
        <v>0.12987660327805553</v>
      </c>
      <c r="E298" s="3">
        <f t="shared" si="280"/>
        <v>0.12987660327805553</v>
      </c>
      <c r="F298" s="3">
        <f t="shared" si="280"/>
        <v>0.12987660327805547</v>
      </c>
      <c r="G298" s="3">
        <f t="shared" si="280"/>
        <v>0.12987660327805506</v>
      </c>
      <c r="H298" s="3">
        <f t="shared" si="280"/>
        <v>0.1298766032780507</v>
      </c>
      <c r="I298" s="3">
        <f t="shared" si="280"/>
        <v>0.12987660327800726</v>
      </c>
      <c r="J298" s="3">
        <f t="shared" si="280"/>
        <v>0.12987660327757294</v>
      </c>
      <c r="K298" s="3">
        <f t="shared" si="280"/>
        <v>0.12987660327322967</v>
      </c>
      <c r="L298" s="3">
        <f t="shared" si="280"/>
        <v>0.12987660322979691</v>
      </c>
      <c r="M298" s="3">
        <f t="shared" si="280"/>
        <v>0.12987660279546934</v>
      </c>
      <c r="N298" s="3">
        <f t="shared" si="280"/>
        <v>0.12987659845219365</v>
      </c>
      <c r="O298" s="3">
        <f t="shared" si="280"/>
        <v>0.12987655501944484</v>
      </c>
      <c r="P298" s="3">
        <f t="shared" si="280"/>
        <v>0.12987612069275567</v>
      </c>
      <c r="Q298" s="3">
        <f t="shared" si="280"/>
        <v>0.12987177750574799</v>
      </c>
      <c r="R298" s="3">
        <f t="shared" si="280"/>
        <v>0.12982835362309769</v>
      </c>
      <c r="S298" s="3">
        <f t="shared" si="280"/>
        <v>0.12939491255180766</v>
      </c>
      <c r="T298" s="3">
        <f t="shared" si="280"/>
        <v>0.12513929903514925</v>
      </c>
      <c r="U298" s="3">
        <f t="shared" si="280"/>
        <v>8.956923879390373E-2</v>
      </c>
      <c r="V298" s="3">
        <f t="shared" si="280"/>
        <v>3.160898406121057E-3</v>
      </c>
      <c r="W298" s="3">
        <f t="shared" si="280"/>
        <v>9.4695006589498372E-18</v>
      </c>
      <c r="X298" s="3">
        <f t="shared" si="280"/>
        <v>5.5143266648211911E-163</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7.5604381501705717E-2</v>
      </c>
      <c r="C299" s="3">
        <f t="shared" si="281"/>
        <v>7.5604381501705717E-2</v>
      </c>
      <c r="D299" s="3">
        <f t="shared" si="281"/>
        <v>7.5604381501705717E-2</v>
      </c>
      <c r="E299" s="3">
        <f t="shared" si="281"/>
        <v>7.5604381501705717E-2</v>
      </c>
      <c r="F299" s="3">
        <f t="shared" si="281"/>
        <v>7.5604381501705717E-2</v>
      </c>
      <c r="G299" s="3">
        <f t="shared" si="281"/>
        <v>7.5604381501705689E-2</v>
      </c>
      <c r="H299" s="3">
        <f t="shared" si="281"/>
        <v>7.5604381501705467E-2</v>
      </c>
      <c r="I299" s="3">
        <f t="shared" si="281"/>
        <v>7.5604381501703177E-2</v>
      </c>
      <c r="J299" s="3">
        <f t="shared" si="281"/>
        <v>7.5604381501680376E-2</v>
      </c>
      <c r="K299" s="3">
        <f t="shared" si="281"/>
        <v>7.5604381501452295E-2</v>
      </c>
      <c r="L299" s="3">
        <f t="shared" si="281"/>
        <v>7.5604381499171536E-2</v>
      </c>
      <c r="M299" s="3">
        <f t="shared" si="281"/>
        <v>7.5604381476363905E-2</v>
      </c>
      <c r="N299" s="3">
        <f t="shared" si="281"/>
        <v>7.560438124828768E-2</v>
      </c>
      <c r="O299" s="3">
        <f t="shared" si="281"/>
        <v>7.5604378967525351E-2</v>
      </c>
      <c r="P299" s="3">
        <f t="shared" si="281"/>
        <v>7.560435615990585E-2</v>
      </c>
      <c r="Q299" s="3">
        <f t="shared" si="281"/>
        <v>7.5604128084089339E-2</v>
      </c>
      <c r="R299" s="3">
        <f t="shared" si="281"/>
        <v>7.5601847363765851E-2</v>
      </c>
      <c r="S299" s="3">
        <f t="shared" si="281"/>
        <v>7.5579043944276753E-2</v>
      </c>
      <c r="T299" s="3">
        <f t="shared" si="281"/>
        <v>7.535138770196334E-2</v>
      </c>
      <c r="U299" s="3">
        <f t="shared" si="281"/>
        <v>7.3112202055441486E-2</v>
      </c>
      <c r="V299" s="3">
        <f t="shared" si="281"/>
        <v>5.4072439249653437E-2</v>
      </c>
      <c r="W299" s="3">
        <f t="shared" si="281"/>
        <v>2.647505857527765E-3</v>
      </c>
      <c r="X299" s="3">
        <f t="shared" si="281"/>
        <v>2.0962670709383999E-16</v>
      </c>
      <c r="Y299" s="3">
        <f t="shared" si="281"/>
        <v>2.0302215760094046E-147</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4.9796050081425132E-2</v>
      </c>
      <c r="C300" s="3">
        <f t="shared" si="282"/>
        <v>4.9796050081425132E-2</v>
      </c>
      <c r="D300" s="3">
        <f t="shared" si="282"/>
        <v>4.9796050081425132E-2</v>
      </c>
      <c r="E300" s="3">
        <f t="shared" si="282"/>
        <v>4.9796050081425132E-2</v>
      </c>
      <c r="F300" s="3">
        <f t="shared" si="282"/>
        <v>4.9796050081425132E-2</v>
      </c>
      <c r="G300" s="3">
        <f t="shared" si="282"/>
        <v>4.9796050081425132E-2</v>
      </c>
      <c r="H300" s="3">
        <f t="shared" si="282"/>
        <v>4.9796050081425118E-2</v>
      </c>
      <c r="I300" s="3">
        <f t="shared" si="282"/>
        <v>4.9796050081424979E-2</v>
      </c>
      <c r="J300" s="3">
        <f t="shared" si="282"/>
        <v>4.9796050081423626E-2</v>
      </c>
      <c r="K300" s="3">
        <f t="shared" si="282"/>
        <v>4.9796050081410075E-2</v>
      </c>
      <c r="L300" s="3">
        <f t="shared" si="282"/>
        <v>4.9796050081274565E-2</v>
      </c>
      <c r="M300" s="3">
        <f t="shared" si="282"/>
        <v>4.9796050079919454E-2</v>
      </c>
      <c r="N300" s="3">
        <f t="shared" si="282"/>
        <v>4.9796050066368357E-2</v>
      </c>
      <c r="O300" s="3">
        <f t="shared" si="282"/>
        <v>4.9796049930857351E-2</v>
      </c>
      <c r="P300" s="3">
        <f t="shared" si="282"/>
        <v>4.9796048575747341E-2</v>
      </c>
      <c r="Q300" s="3">
        <f t="shared" si="282"/>
        <v>4.9796035024649285E-2</v>
      </c>
      <c r="R300" s="3">
        <f t="shared" si="282"/>
        <v>4.9795899513871568E-2</v>
      </c>
      <c r="S300" s="3">
        <f t="shared" si="282"/>
        <v>4.9794544426376375E-2</v>
      </c>
      <c r="T300" s="3">
        <f t="shared" si="282"/>
        <v>4.9780995579426314E-2</v>
      </c>
      <c r="U300" s="3">
        <f t="shared" si="282"/>
        <v>4.9645709706053302E-2</v>
      </c>
      <c r="V300" s="3">
        <f t="shared" si="282"/>
        <v>4.831290806975172E-2</v>
      </c>
      <c r="W300" s="3">
        <f t="shared" si="282"/>
        <v>3.6802535435047481E-2</v>
      </c>
      <c r="X300" s="3">
        <f t="shared" si="282"/>
        <v>2.42115916108479E-3</v>
      </c>
      <c r="Y300" s="3">
        <f t="shared" si="282"/>
        <v>3.6768790399914938E-15</v>
      </c>
      <c r="Z300" s="3">
        <f t="shared" si="282"/>
        <v>2.3990504101232743E-133</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2.0966447401353387E-2</v>
      </c>
      <c r="C301" s="3">
        <f t="shared" si="283"/>
        <v>2.0966447401353387E-2</v>
      </c>
      <c r="D301" s="3">
        <f t="shared" si="283"/>
        <v>2.0966447401353387E-2</v>
      </c>
      <c r="E301" s="3">
        <f t="shared" si="283"/>
        <v>2.0966447401353387E-2</v>
      </c>
      <c r="F301" s="3">
        <f t="shared" si="283"/>
        <v>2.0966447401353387E-2</v>
      </c>
      <c r="G301" s="3">
        <f t="shared" si="283"/>
        <v>2.0966447401353387E-2</v>
      </c>
      <c r="H301" s="3">
        <f t="shared" si="283"/>
        <v>2.0966447401353387E-2</v>
      </c>
      <c r="I301" s="3">
        <f t="shared" si="283"/>
        <v>2.0966447401353384E-2</v>
      </c>
      <c r="J301" s="3">
        <f t="shared" si="283"/>
        <v>2.0966447401353328E-2</v>
      </c>
      <c r="K301" s="3">
        <f t="shared" si="283"/>
        <v>2.0966447401352815E-2</v>
      </c>
      <c r="L301" s="3">
        <f t="shared" si="283"/>
        <v>2.096644740134767E-2</v>
      </c>
      <c r="M301" s="3">
        <f t="shared" si="283"/>
        <v>2.09664474012962E-2</v>
      </c>
      <c r="N301" s="3">
        <f t="shared" si="283"/>
        <v>2.0966447400781501E-2</v>
      </c>
      <c r="O301" s="3">
        <f t="shared" si="283"/>
        <v>2.0966447395634538E-2</v>
      </c>
      <c r="P301" s="3">
        <f t="shared" si="283"/>
        <v>2.0966447344164901E-2</v>
      </c>
      <c r="Q301" s="3">
        <f t="shared" si="283"/>
        <v>2.0966446829468542E-2</v>
      </c>
      <c r="R301" s="3">
        <f t="shared" si="283"/>
        <v>2.0966441682505617E-2</v>
      </c>
      <c r="S301" s="3">
        <f t="shared" si="283"/>
        <v>2.0966390212945885E-2</v>
      </c>
      <c r="T301" s="3">
        <f t="shared" si="283"/>
        <v>2.0965875524297791E-2</v>
      </c>
      <c r="U301" s="3">
        <f t="shared" si="283"/>
        <v>2.0960729332675076E-2</v>
      </c>
      <c r="V301" s="3">
        <f t="shared" si="283"/>
        <v>2.090933683920105E-2</v>
      </c>
      <c r="W301" s="3">
        <f t="shared" si="283"/>
        <v>2.0402291535194819E-2</v>
      </c>
      <c r="X301" s="3">
        <f t="shared" si="283"/>
        <v>1.5961211415620808E-2</v>
      </c>
      <c r="Y301" s="3">
        <f t="shared" si="283"/>
        <v>1.3706761649590843E-3</v>
      </c>
      <c r="Z301" s="3">
        <f t="shared" si="283"/>
        <v>2.9896817984484011E-14</v>
      </c>
      <c r="AA301" s="3">
        <f t="shared" si="283"/>
        <v>7.286618526901869E-121</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3.9443248072899657E-3</v>
      </c>
      <c r="C302" s="3">
        <f t="shared" si="284"/>
        <v>3.9443248072899657E-3</v>
      </c>
      <c r="D302" s="3">
        <f t="shared" si="284"/>
        <v>3.9443248072899657E-3</v>
      </c>
      <c r="E302" s="3">
        <f t="shared" si="284"/>
        <v>3.9443248072899657E-3</v>
      </c>
      <c r="F302" s="3">
        <f t="shared" si="284"/>
        <v>3.9443248072899657E-3</v>
      </c>
      <c r="G302" s="3">
        <f t="shared" si="284"/>
        <v>3.9443248072899657E-3</v>
      </c>
      <c r="H302" s="3">
        <f t="shared" si="284"/>
        <v>3.9443248072899657E-3</v>
      </c>
      <c r="I302" s="3">
        <f t="shared" si="284"/>
        <v>3.9443248072899657E-3</v>
      </c>
      <c r="J302" s="3">
        <f t="shared" si="284"/>
        <v>3.9443248072899648E-3</v>
      </c>
      <c r="K302" s="3">
        <f t="shared" si="284"/>
        <v>3.9443248072899562E-3</v>
      </c>
      <c r="L302" s="3">
        <f t="shared" si="284"/>
        <v>3.9443248072898686E-3</v>
      </c>
      <c r="M302" s="3">
        <f t="shared" si="284"/>
        <v>3.9443248072889951E-3</v>
      </c>
      <c r="N302" s="3">
        <f t="shared" si="284"/>
        <v>3.9443248072802599E-3</v>
      </c>
      <c r="O302" s="3">
        <f t="shared" si="284"/>
        <v>3.944324807192914E-3</v>
      </c>
      <c r="P302" s="3">
        <f t="shared" si="284"/>
        <v>3.9443248063194486E-3</v>
      </c>
      <c r="Q302" s="3">
        <f t="shared" si="284"/>
        <v>3.9443247975847993E-3</v>
      </c>
      <c r="R302" s="3">
        <f t="shared" si="284"/>
        <v>3.9443247102382978E-3</v>
      </c>
      <c r="S302" s="3">
        <f t="shared" si="284"/>
        <v>3.9443238367733949E-3</v>
      </c>
      <c r="T302" s="3">
        <f t="shared" si="284"/>
        <v>3.9443151021350039E-3</v>
      </c>
      <c r="U302" s="3">
        <f t="shared" si="284"/>
        <v>3.9442277568149378E-3</v>
      </c>
      <c r="V302" s="3">
        <f t="shared" si="284"/>
        <v>3.943354409989751E-3</v>
      </c>
      <c r="W302" s="3">
        <f t="shared" si="284"/>
        <v>3.9346315705746666E-3</v>
      </c>
      <c r="X302" s="3">
        <f t="shared" si="284"/>
        <v>3.848457402608869E-3</v>
      </c>
      <c r="Y302" s="3">
        <f t="shared" si="284"/>
        <v>3.0839888503095959E-3</v>
      </c>
      <c r="Z302" s="3">
        <f t="shared" si="284"/>
        <v>3.3680145058982274E-4</v>
      </c>
      <c r="AA302" s="3">
        <f t="shared" si="284"/>
        <v>8.1280336693699173E-14</v>
      </c>
      <c r="AB302" s="3">
        <f t="shared" si="284"/>
        <v>5.4462917267276452E-110</v>
      </c>
      <c r="AC302" s="3">
        <f t="shared" si="284"/>
        <v>0</v>
      </c>
      <c r="AD302" s="3">
        <f t="shared" si="284"/>
        <v>0</v>
      </c>
      <c r="AE302" s="3">
        <f t="shared" si="284"/>
        <v>0</v>
      </c>
      <c r="AF302" s="3">
        <f t="shared" si="284"/>
        <v>0</v>
      </c>
      <c r="AG302" s="3"/>
      <c r="AH302" s="3"/>
    </row>
    <row r="303" spans="2:34" x14ac:dyDescent="0.25">
      <c r="B303" s="3">
        <f t="shared" ref="B303:AF303" si="285">$C33*EXP(-B$285/$A33/EXP(-$F$126))</f>
        <v>3.51380910541953E-3</v>
      </c>
      <c r="C303" s="3">
        <f t="shared" si="285"/>
        <v>3.51380910541953E-3</v>
      </c>
      <c r="D303" s="3">
        <f t="shared" si="285"/>
        <v>3.51380910541953E-3</v>
      </c>
      <c r="E303" s="3">
        <f t="shared" si="285"/>
        <v>3.51380910541953E-3</v>
      </c>
      <c r="F303" s="3">
        <f t="shared" si="285"/>
        <v>3.51380910541953E-3</v>
      </c>
      <c r="G303" s="3">
        <f t="shared" si="285"/>
        <v>3.51380910541953E-3</v>
      </c>
      <c r="H303" s="3">
        <f t="shared" si="285"/>
        <v>3.51380910541953E-3</v>
      </c>
      <c r="I303" s="3">
        <f t="shared" si="285"/>
        <v>3.51380910541953E-3</v>
      </c>
      <c r="J303" s="3">
        <f t="shared" si="285"/>
        <v>3.51380910541953E-3</v>
      </c>
      <c r="K303" s="3">
        <f t="shared" si="285"/>
        <v>3.5138091054195291E-3</v>
      </c>
      <c r="L303" s="3">
        <f t="shared" si="285"/>
        <v>3.5138091054195222E-3</v>
      </c>
      <c r="M303" s="3">
        <f t="shared" si="285"/>
        <v>3.5138091054194519E-3</v>
      </c>
      <c r="N303" s="3">
        <f t="shared" si="285"/>
        <v>3.5138091054187502E-3</v>
      </c>
      <c r="O303" s="3">
        <f t="shared" si="285"/>
        <v>3.5138091054117307E-3</v>
      </c>
      <c r="P303" s="3">
        <f t="shared" si="285"/>
        <v>3.5138091053415368E-3</v>
      </c>
      <c r="Q303" s="3">
        <f t="shared" si="285"/>
        <v>3.5138091046396009E-3</v>
      </c>
      <c r="R303" s="3">
        <f t="shared" si="285"/>
        <v>3.5138090976202397E-3</v>
      </c>
      <c r="S303" s="3">
        <f t="shared" si="285"/>
        <v>3.5138090274266266E-3</v>
      </c>
      <c r="T303" s="3">
        <f t="shared" si="285"/>
        <v>3.5138083254905748E-3</v>
      </c>
      <c r="U303" s="3">
        <f t="shared" si="285"/>
        <v>3.5138013061377675E-3</v>
      </c>
      <c r="V303" s="3">
        <f t="shared" si="285"/>
        <v>3.5137311133809136E-3</v>
      </c>
      <c r="W303" s="3">
        <f t="shared" si="285"/>
        <v>3.5130292629282954E-3</v>
      </c>
      <c r="X303" s="3">
        <f t="shared" si="285"/>
        <v>3.5060184642976182E-3</v>
      </c>
      <c r="Y303" s="3">
        <f t="shared" si="285"/>
        <v>3.4366754021847635E-3</v>
      </c>
      <c r="Z303" s="3">
        <f t="shared" si="285"/>
        <v>2.814373090700832E-3</v>
      </c>
      <c r="AA303" s="3">
        <f t="shared" si="285"/>
        <v>3.8178004224690229E-4</v>
      </c>
      <c r="AB303" s="3">
        <f t="shared" si="285"/>
        <v>8.0561722191228852E-13</v>
      </c>
      <c r="AC303" s="3">
        <f t="shared" si="285"/>
        <v>1.4102104927311032E-99</v>
      </c>
      <c r="AD303" s="3">
        <f t="shared" si="285"/>
        <v>0</v>
      </c>
      <c r="AE303" s="3">
        <f t="shared" si="285"/>
        <v>0</v>
      </c>
      <c r="AF303" s="3">
        <f t="shared" si="285"/>
        <v>0</v>
      </c>
      <c r="AG303" s="3"/>
      <c r="AH303" s="3"/>
    </row>
    <row r="304" spans="2:34" x14ac:dyDescent="0.25">
      <c r="B304" s="3">
        <f t="shared" ref="B304:AF304" si="286">$C34*EXP(-B$285/$A34/EXP(-$F$126))</f>
        <v>7.1978944921583432E-4</v>
      </c>
      <c r="C304" s="3">
        <f t="shared" si="286"/>
        <v>7.1978944921583432E-4</v>
      </c>
      <c r="D304" s="3">
        <f t="shared" si="286"/>
        <v>7.1978944921583432E-4</v>
      </c>
      <c r="E304" s="3">
        <f t="shared" si="286"/>
        <v>7.1978944921583432E-4</v>
      </c>
      <c r="F304" s="3">
        <f t="shared" si="286"/>
        <v>7.1978944921583432E-4</v>
      </c>
      <c r="G304" s="3">
        <f t="shared" si="286"/>
        <v>7.1978944921583432E-4</v>
      </c>
      <c r="H304" s="3">
        <f t="shared" si="286"/>
        <v>7.1978944921583432E-4</v>
      </c>
      <c r="I304" s="3">
        <f t="shared" si="286"/>
        <v>7.1978944921583432E-4</v>
      </c>
      <c r="J304" s="3">
        <f t="shared" si="286"/>
        <v>7.1978944921583432E-4</v>
      </c>
      <c r="K304" s="3">
        <f t="shared" si="286"/>
        <v>7.1978944921583432E-4</v>
      </c>
      <c r="L304" s="3">
        <f t="shared" si="286"/>
        <v>7.1978944921583421E-4</v>
      </c>
      <c r="M304" s="3">
        <f t="shared" si="286"/>
        <v>7.1978944921583291E-4</v>
      </c>
      <c r="N304" s="3">
        <f t="shared" si="286"/>
        <v>7.197894492158199E-4</v>
      </c>
      <c r="O304" s="3">
        <f t="shared" si="286"/>
        <v>7.1978944921569023E-4</v>
      </c>
      <c r="P304" s="3">
        <f t="shared" si="286"/>
        <v>7.1978944921439309E-4</v>
      </c>
      <c r="Q304" s="3">
        <f t="shared" si="286"/>
        <v>7.1978944920142213E-4</v>
      </c>
      <c r="R304" s="3">
        <f t="shared" si="286"/>
        <v>7.1978944907171273E-4</v>
      </c>
      <c r="S304" s="3">
        <f t="shared" si="286"/>
        <v>7.1978944777461857E-4</v>
      </c>
      <c r="T304" s="3">
        <f t="shared" si="286"/>
        <v>7.1978943480367709E-4</v>
      </c>
      <c r="U304" s="3">
        <f t="shared" si="286"/>
        <v>7.1978930509427501E-4</v>
      </c>
      <c r="V304" s="3">
        <f t="shared" si="286"/>
        <v>7.1978800800154004E-4</v>
      </c>
      <c r="W304" s="3">
        <f t="shared" si="286"/>
        <v>7.1977503720274812E-4</v>
      </c>
      <c r="X304" s="3">
        <f t="shared" si="286"/>
        <v>7.1964534206970892E-4</v>
      </c>
      <c r="Y304" s="3">
        <f t="shared" si="286"/>
        <v>7.1834967537068761E-4</v>
      </c>
      <c r="Z304" s="3">
        <f t="shared" si="286"/>
        <v>7.0552061909338307E-4</v>
      </c>
      <c r="AA304" s="3">
        <f t="shared" si="286"/>
        <v>5.8917976003754495E-4</v>
      </c>
      <c r="AB304" s="3">
        <f t="shared" si="286"/>
        <v>9.7191638645278194E-5</v>
      </c>
      <c r="AC304" s="3">
        <f t="shared" si="286"/>
        <v>1.4502395875225476E-12</v>
      </c>
      <c r="AD304" s="3">
        <f t="shared" si="286"/>
        <v>7.9350245037496451E-91</v>
      </c>
      <c r="AE304" s="3">
        <f t="shared" si="286"/>
        <v>0</v>
      </c>
      <c r="AF304" s="3">
        <f t="shared" si="286"/>
        <v>0</v>
      </c>
      <c r="AG304" s="3"/>
      <c r="AH304" s="3"/>
    </row>
    <row r="305" spans="1:34" x14ac:dyDescent="0.25">
      <c r="B305" s="3">
        <f t="shared" ref="B305:AF305" si="287">$C35*EXP(-B$285/$A35/EXP(-$F$126))</f>
        <v>5.3803230598076777E-4</v>
      </c>
      <c r="C305" s="3">
        <f t="shared" si="287"/>
        <v>5.3803230598076777E-4</v>
      </c>
      <c r="D305" s="3">
        <f t="shared" si="287"/>
        <v>5.3803230598076777E-4</v>
      </c>
      <c r="E305" s="3">
        <f t="shared" si="287"/>
        <v>5.3803230598076777E-4</v>
      </c>
      <c r="F305" s="3">
        <f t="shared" si="287"/>
        <v>5.3803230598076777E-4</v>
      </c>
      <c r="G305" s="3">
        <f t="shared" si="287"/>
        <v>5.3803230598076777E-4</v>
      </c>
      <c r="H305" s="3">
        <f t="shared" si="287"/>
        <v>5.3803230598076777E-4</v>
      </c>
      <c r="I305" s="3">
        <f t="shared" si="287"/>
        <v>5.3803230598076777E-4</v>
      </c>
      <c r="J305" s="3">
        <f t="shared" si="287"/>
        <v>5.3803230598076777E-4</v>
      </c>
      <c r="K305" s="3">
        <f t="shared" si="287"/>
        <v>5.3803230598076777E-4</v>
      </c>
      <c r="L305" s="3">
        <f t="shared" si="287"/>
        <v>5.3803230598076777E-4</v>
      </c>
      <c r="M305" s="3">
        <f t="shared" si="287"/>
        <v>5.3803230598076766E-4</v>
      </c>
      <c r="N305" s="3">
        <f t="shared" si="287"/>
        <v>5.3803230598076679E-4</v>
      </c>
      <c r="O305" s="3">
        <f t="shared" si="287"/>
        <v>5.3803230598075801E-4</v>
      </c>
      <c r="P305" s="3">
        <f t="shared" si="287"/>
        <v>5.3803230598067063E-4</v>
      </c>
      <c r="Q305" s="3">
        <f t="shared" si="287"/>
        <v>5.38032305979796E-4</v>
      </c>
      <c r="R305" s="3">
        <f t="shared" si="287"/>
        <v>5.3803230597104974E-4</v>
      </c>
      <c r="S305" s="3">
        <f t="shared" si="287"/>
        <v>5.3803230588358748E-4</v>
      </c>
      <c r="T305" s="3">
        <f t="shared" si="287"/>
        <v>5.3803230500896429E-4</v>
      </c>
      <c r="U305" s="3">
        <f t="shared" si="287"/>
        <v>5.3803229626273269E-4</v>
      </c>
      <c r="V305" s="3">
        <f t="shared" si="287"/>
        <v>5.3803220880042544E-4</v>
      </c>
      <c r="W305" s="3">
        <f t="shared" si="287"/>
        <v>5.380313341781345E-4</v>
      </c>
      <c r="X305" s="3">
        <f t="shared" si="287"/>
        <v>5.3802258803342315E-4</v>
      </c>
      <c r="Y305" s="3">
        <f t="shared" si="287"/>
        <v>5.37935134405598E-4</v>
      </c>
      <c r="Z305" s="3">
        <f t="shared" si="287"/>
        <v>5.370613795861323E-4</v>
      </c>
      <c r="AA305" s="3">
        <f t="shared" si="287"/>
        <v>5.2840150928247943E-4</v>
      </c>
      <c r="AB305" s="3">
        <f t="shared" si="287"/>
        <v>4.4912301685283743E-4</v>
      </c>
      <c r="AC305" s="3">
        <f t="shared" si="287"/>
        <v>8.8384873309290538E-5</v>
      </c>
      <c r="AD305" s="3">
        <f t="shared" si="287"/>
        <v>7.7002398984631819E-12</v>
      </c>
      <c r="AE305" s="3">
        <f t="shared" si="287"/>
        <v>1.9398465426901237E-82</v>
      </c>
      <c r="AF305" s="3">
        <f t="shared" si="287"/>
        <v>0</v>
      </c>
      <c r="AG305" s="3"/>
      <c r="AH305" s="3"/>
    </row>
    <row r="306" spans="1:34" x14ac:dyDescent="0.25">
      <c r="B306" s="3">
        <f t="shared" ref="B306:AF306" si="288">$C36*EXP(-B$285/$A36/EXP(-$F$126))</f>
        <v>5.6418757759686938E-4</v>
      </c>
      <c r="C306" s="3">
        <f t="shared" si="288"/>
        <v>5.6418757759686938E-4</v>
      </c>
      <c r="D306" s="3">
        <f t="shared" si="288"/>
        <v>5.6418757759686938E-4</v>
      </c>
      <c r="E306" s="3">
        <f t="shared" si="288"/>
        <v>5.6418757759686938E-4</v>
      </c>
      <c r="F306" s="3">
        <f t="shared" si="288"/>
        <v>5.6418757759686938E-4</v>
      </c>
      <c r="G306" s="3">
        <f t="shared" si="288"/>
        <v>5.6418757759686938E-4</v>
      </c>
      <c r="H306" s="3">
        <f t="shared" si="288"/>
        <v>5.6418757759686938E-4</v>
      </c>
      <c r="I306" s="3">
        <f t="shared" si="288"/>
        <v>5.6418757759686938E-4</v>
      </c>
      <c r="J306" s="3">
        <f t="shared" si="288"/>
        <v>5.6418757759686938E-4</v>
      </c>
      <c r="K306" s="3">
        <f t="shared" si="288"/>
        <v>5.6418757759686938E-4</v>
      </c>
      <c r="L306" s="3">
        <f t="shared" si="288"/>
        <v>5.6418757759686938E-4</v>
      </c>
      <c r="M306" s="3">
        <f t="shared" si="288"/>
        <v>5.6418757759686938E-4</v>
      </c>
      <c r="N306" s="3">
        <f t="shared" si="288"/>
        <v>5.6418757759686927E-4</v>
      </c>
      <c r="O306" s="3">
        <f t="shared" si="288"/>
        <v>5.641875775968684E-4</v>
      </c>
      <c r="P306" s="3">
        <f t="shared" si="288"/>
        <v>5.6418757759686016E-4</v>
      </c>
      <c r="Q306" s="3">
        <f t="shared" si="288"/>
        <v>5.6418757759677744E-4</v>
      </c>
      <c r="R306" s="3">
        <f t="shared" si="288"/>
        <v>5.6418757759595008E-4</v>
      </c>
      <c r="S306" s="3">
        <f t="shared" si="288"/>
        <v>5.6418757758767675E-4</v>
      </c>
      <c r="T306" s="3">
        <f t="shared" si="288"/>
        <v>5.6418757750494302E-4</v>
      </c>
      <c r="U306" s="3">
        <f t="shared" si="288"/>
        <v>5.6418757667760547E-4</v>
      </c>
      <c r="V306" s="3">
        <f t="shared" si="288"/>
        <v>5.6418756840423011E-4</v>
      </c>
      <c r="W306" s="3">
        <f t="shared" si="288"/>
        <v>5.641874856704836E-4</v>
      </c>
      <c r="X306" s="3">
        <f t="shared" si="288"/>
        <v>5.6418665833368612E-4</v>
      </c>
      <c r="Y306" s="3">
        <f t="shared" si="288"/>
        <v>5.6417838503243815E-4</v>
      </c>
      <c r="Z306" s="3">
        <f t="shared" si="288"/>
        <v>5.6409565869230201E-4</v>
      </c>
      <c r="AA306" s="3">
        <f t="shared" si="288"/>
        <v>5.6326906216348728E-4</v>
      </c>
      <c r="AB306" s="3">
        <f t="shared" si="288"/>
        <v>5.5506942371556886E-4</v>
      </c>
      <c r="AC306" s="3">
        <f t="shared" si="288"/>
        <v>4.7935953537749088E-4</v>
      </c>
      <c r="AD306" s="3">
        <f t="shared" si="288"/>
        <v>1.1061194565237012E-4</v>
      </c>
      <c r="AE306" s="3">
        <f t="shared" si="288"/>
        <v>4.7337862085956682E-11</v>
      </c>
      <c r="AF306" s="3">
        <f t="shared" si="288"/>
        <v>9.7560658875387735E-75</v>
      </c>
      <c r="AG306" s="3"/>
      <c r="AH306" s="3"/>
    </row>
    <row r="307" spans="1:34" x14ac:dyDescent="0.25">
      <c r="B307" s="3">
        <f t="shared" ref="B307:AF307" si="289">$C37*EXP(-B$285/$A37/EXP(-$F$126))</f>
        <v>5.289794145093928E-4</v>
      </c>
      <c r="C307" s="3">
        <f t="shared" si="289"/>
        <v>5.289794145093928E-4</v>
      </c>
      <c r="D307" s="3">
        <f t="shared" si="289"/>
        <v>5.289794145093928E-4</v>
      </c>
      <c r="E307" s="3">
        <f t="shared" si="289"/>
        <v>5.289794145093928E-4</v>
      </c>
      <c r="F307" s="3">
        <f t="shared" si="289"/>
        <v>5.289794145093928E-4</v>
      </c>
      <c r="G307" s="3">
        <f t="shared" si="289"/>
        <v>5.289794145093928E-4</v>
      </c>
      <c r="H307" s="3">
        <f t="shared" si="289"/>
        <v>5.289794145093928E-4</v>
      </c>
      <c r="I307" s="3">
        <f t="shared" si="289"/>
        <v>5.289794145093928E-4</v>
      </c>
      <c r="J307" s="3">
        <f t="shared" si="289"/>
        <v>5.289794145093928E-4</v>
      </c>
      <c r="K307" s="3">
        <f t="shared" si="289"/>
        <v>5.289794145093928E-4</v>
      </c>
      <c r="L307" s="3">
        <f t="shared" si="289"/>
        <v>5.289794145093928E-4</v>
      </c>
      <c r="M307" s="3">
        <f t="shared" si="289"/>
        <v>5.289794145093928E-4</v>
      </c>
      <c r="N307" s="3">
        <f t="shared" si="289"/>
        <v>5.289794145093928E-4</v>
      </c>
      <c r="O307" s="3">
        <f t="shared" si="289"/>
        <v>5.2897941450939269E-4</v>
      </c>
      <c r="P307" s="3">
        <f t="shared" si="289"/>
        <v>5.2897941450939204E-4</v>
      </c>
      <c r="Q307" s="3">
        <f t="shared" si="289"/>
        <v>5.2897941450938499E-4</v>
      </c>
      <c r="R307" s="3">
        <f t="shared" si="289"/>
        <v>5.2897941450931506E-4</v>
      </c>
      <c r="S307" s="3">
        <f t="shared" si="289"/>
        <v>5.2897941450861532E-4</v>
      </c>
      <c r="T307" s="3">
        <f t="shared" si="289"/>
        <v>5.2897941450161777E-4</v>
      </c>
      <c r="U307" s="3">
        <f t="shared" si="289"/>
        <v>5.2897941443164249E-4</v>
      </c>
      <c r="V307" s="3">
        <f t="shared" si="289"/>
        <v>5.2897941373188984E-4</v>
      </c>
      <c r="W307" s="3">
        <f t="shared" si="289"/>
        <v>5.2897940673436305E-4</v>
      </c>
      <c r="X307" s="3">
        <f t="shared" si="289"/>
        <v>5.2897933675910027E-4</v>
      </c>
      <c r="Y307" s="3">
        <f t="shared" si="289"/>
        <v>5.2897863700698171E-4</v>
      </c>
      <c r="Z307" s="3">
        <f t="shared" si="289"/>
        <v>5.2897163953670727E-4</v>
      </c>
      <c r="AA307" s="3">
        <f t="shared" si="289"/>
        <v>5.2890166992480348E-4</v>
      </c>
      <c r="AB307" s="3">
        <f t="shared" si="289"/>
        <v>5.2820248264067945E-4</v>
      </c>
      <c r="AC307" s="3">
        <f t="shared" si="289"/>
        <v>5.2126124512097589E-4</v>
      </c>
      <c r="AD307" s="3">
        <f t="shared" si="289"/>
        <v>4.5667309576239616E-4</v>
      </c>
      <c r="AE307" s="3">
        <f t="shared" si="289"/>
        <v>1.2164809744126023E-4</v>
      </c>
      <c r="AF307" s="3">
        <f t="shared" si="289"/>
        <v>2.1882869273169016E-10</v>
      </c>
      <c r="AG307" s="3"/>
      <c r="AH307" s="3"/>
    </row>
    <row r="308" spans="1:34" x14ac:dyDescent="0.25">
      <c r="B308" s="3">
        <f t="shared" ref="B308:AF308" si="290">$C38*EXP(-B$285/$A38/EXP(-$F$126))</f>
        <v>5.3547450135887617E-5</v>
      </c>
      <c r="C308" s="3">
        <f t="shared" si="290"/>
        <v>5.3547450135887617E-5</v>
      </c>
      <c r="D308" s="3">
        <f t="shared" si="290"/>
        <v>5.3547450135887617E-5</v>
      </c>
      <c r="E308" s="3">
        <f t="shared" si="290"/>
        <v>5.3547450135887617E-5</v>
      </c>
      <c r="F308" s="3">
        <f t="shared" si="290"/>
        <v>5.3547450135887617E-5</v>
      </c>
      <c r="G308" s="3">
        <f t="shared" si="290"/>
        <v>5.3547450135887617E-5</v>
      </c>
      <c r="H308" s="3">
        <f t="shared" si="290"/>
        <v>5.3547450135887617E-5</v>
      </c>
      <c r="I308" s="3">
        <f t="shared" si="290"/>
        <v>5.3547450135887617E-5</v>
      </c>
      <c r="J308" s="3">
        <f t="shared" si="290"/>
        <v>5.3547450135887617E-5</v>
      </c>
      <c r="K308" s="3">
        <f t="shared" si="290"/>
        <v>5.3547450135887617E-5</v>
      </c>
      <c r="L308" s="3">
        <f t="shared" si="290"/>
        <v>5.3547450135887617E-5</v>
      </c>
      <c r="M308" s="3">
        <f t="shared" si="290"/>
        <v>5.3547450135887617E-5</v>
      </c>
      <c r="N308" s="3">
        <f t="shared" si="290"/>
        <v>5.3547450135887617E-5</v>
      </c>
      <c r="O308" s="3">
        <f t="shared" si="290"/>
        <v>5.3547450135887617E-5</v>
      </c>
      <c r="P308" s="3">
        <f t="shared" si="290"/>
        <v>5.354745013588761E-5</v>
      </c>
      <c r="Q308" s="3">
        <f t="shared" si="290"/>
        <v>5.3547450135887543E-5</v>
      </c>
      <c r="R308" s="3">
        <f t="shared" si="290"/>
        <v>5.3547450135886912E-5</v>
      </c>
      <c r="S308" s="3">
        <f t="shared" si="290"/>
        <v>5.3547450135880516E-5</v>
      </c>
      <c r="T308" s="3">
        <f t="shared" si="290"/>
        <v>5.3547450135816615E-5</v>
      </c>
      <c r="U308" s="3">
        <f t="shared" si="290"/>
        <v>5.3547450135177634E-5</v>
      </c>
      <c r="V308" s="3">
        <f t="shared" si="290"/>
        <v>5.3547450128787773E-5</v>
      </c>
      <c r="W308" s="3">
        <f t="shared" si="290"/>
        <v>5.35474500648892E-5</v>
      </c>
      <c r="X308" s="3">
        <f t="shared" si="290"/>
        <v>5.3547449425903428E-5</v>
      </c>
      <c r="Y308" s="3">
        <f t="shared" si="290"/>
        <v>5.3547443036046184E-5</v>
      </c>
      <c r="Z308" s="3">
        <f t="shared" si="290"/>
        <v>5.3547379137515661E-5</v>
      </c>
      <c r="AA308" s="3">
        <f t="shared" si="290"/>
        <v>5.3546740156404183E-5</v>
      </c>
      <c r="AB308" s="3">
        <f t="shared" si="290"/>
        <v>5.354035076464745E-5</v>
      </c>
      <c r="AC308" s="3">
        <f t="shared" si="290"/>
        <v>5.3476498764373418E-5</v>
      </c>
      <c r="AD308" s="3">
        <f t="shared" si="290"/>
        <v>5.2842152042407737E-5</v>
      </c>
      <c r="AE308" s="3">
        <f t="shared" si="290"/>
        <v>4.6898160373866426E-5</v>
      </c>
      <c r="AF308" s="3">
        <f t="shared" si="290"/>
        <v>1.4220305233100328E-5</v>
      </c>
      <c r="AG308" s="3"/>
      <c r="AH308" s="3"/>
    </row>
    <row r="309" spans="1:34" x14ac:dyDescent="0.25">
      <c r="B309" s="3">
        <f t="shared" ref="B309:AF309" si="291">$C39*EXP(-B$285/$A39/EXP(-$F$126))</f>
        <v>4.4495454548071421E-4</v>
      </c>
      <c r="C309" s="3">
        <f t="shared" si="291"/>
        <v>4.4495454548071421E-4</v>
      </c>
      <c r="D309" s="3">
        <f t="shared" si="291"/>
        <v>4.4495454548071421E-4</v>
      </c>
      <c r="E309" s="3">
        <f t="shared" si="291"/>
        <v>4.4495454548071421E-4</v>
      </c>
      <c r="F309" s="3">
        <f t="shared" si="291"/>
        <v>4.4495454548071421E-4</v>
      </c>
      <c r="G309" s="3">
        <f t="shared" si="291"/>
        <v>4.4495454548071421E-4</v>
      </c>
      <c r="H309" s="3">
        <f t="shared" si="291"/>
        <v>4.4495454548071421E-4</v>
      </c>
      <c r="I309" s="3">
        <f t="shared" si="291"/>
        <v>4.4495454548071421E-4</v>
      </c>
      <c r="J309" s="3">
        <f t="shared" si="291"/>
        <v>4.4495454548071421E-4</v>
      </c>
      <c r="K309" s="3">
        <f t="shared" si="291"/>
        <v>4.4495454548071421E-4</v>
      </c>
      <c r="L309" s="3">
        <f t="shared" si="291"/>
        <v>4.4495454548071421E-4</v>
      </c>
      <c r="M309" s="3">
        <f t="shared" si="291"/>
        <v>4.4495454548071421E-4</v>
      </c>
      <c r="N309" s="3">
        <f t="shared" si="291"/>
        <v>4.4495454548071421E-4</v>
      </c>
      <c r="O309" s="3">
        <f t="shared" si="291"/>
        <v>4.4495454548071421E-4</v>
      </c>
      <c r="P309" s="3">
        <f t="shared" si="291"/>
        <v>4.4495454548071421E-4</v>
      </c>
      <c r="Q309" s="3">
        <f t="shared" si="291"/>
        <v>4.4495454548071405E-4</v>
      </c>
      <c r="R309" s="3">
        <f t="shared" si="291"/>
        <v>4.4495454548071258E-4</v>
      </c>
      <c r="S309" s="3">
        <f t="shared" si="291"/>
        <v>4.4495454548069789E-4</v>
      </c>
      <c r="T309" s="3">
        <f t="shared" si="291"/>
        <v>4.4495454548055104E-4</v>
      </c>
      <c r="U309" s="3">
        <f t="shared" si="291"/>
        <v>4.4495454547908254E-4</v>
      </c>
      <c r="V309" s="3">
        <f t="shared" si="291"/>
        <v>4.4495454546439729E-4</v>
      </c>
      <c r="W309" s="3">
        <f t="shared" si="291"/>
        <v>4.4495454531754493E-4</v>
      </c>
      <c r="X309" s="3">
        <f t="shared" si="291"/>
        <v>4.4495454384902144E-4</v>
      </c>
      <c r="Y309" s="3">
        <f t="shared" si="291"/>
        <v>4.4495452916378669E-4</v>
      </c>
      <c r="Z309" s="3">
        <f t="shared" si="291"/>
        <v>4.4495438231146591E-4</v>
      </c>
      <c r="AA309" s="3">
        <f t="shared" si="291"/>
        <v>4.4495291379092371E-4</v>
      </c>
      <c r="AB309" s="3">
        <f t="shared" si="291"/>
        <v>4.4493822885206683E-4</v>
      </c>
      <c r="AC309" s="3">
        <f t="shared" si="291"/>
        <v>4.4479140611673263E-4</v>
      </c>
      <c r="AD309" s="3">
        <f t="shared" si="291"/>
        <v>4.4332584083497023E-4</v>
      </c>
      <c r="AE309" s="3">
        <f t="shared" si="291"/>
        <v>4.289331729003685E-4</v>
      </c>
      <c r="AF309" s="3">
        <f t="shared" si="291"/>
        <v>3.0835821381171866E-4</v>
      </c>
      <c r="AG309" s="3"/>
      <c r="AH309" s="3"/>
    </row>
    <row r="310" spans="1:34" x14ac:dyDescent="0.25">
      <c r="B310" s="3">
        <f t="shared" ref="B310:AF310" si="292">$C40*EXP(-B$285/$A40/EXP(-$F$126))</f>
        <v>1.5289773047840316E-5</v>
      </c>
      <c r="C310" s="3">
        <f t="shared" si="292"/>
        <v>1.5289773047840316E-5</v>
      </c>
      <c r="D310" s="3">
        <f t="shared" si="292"/>
        <v>1.5289773047840316E-5</v>
      </c>
      <c r="E310" s="3">
        <f t="shared" si="292"/>
        <v>1.5289773047840316E-5</v>
      </c>
      <c r="F310" s="3">
        <f t="shared" si="292"/>
        <v>1.5289773047840316E-5</v>
      </c>
      <c r="G310" s="3">
        <f t="shared" si="292"/>
        <v>1.5289773047840316E-5</v>
      </c>
      <c r="H310" s="3">
        <f t="shared" si="292"/>
        <v>1.5289773047840316E-5</v>
      </c>
      <c r="I310" s="3">
        <f t="shared" si="292"/>
        <v>1.5289773047840316E-5</v>
      </c>
      <c r="J310" s="3">
        <f t="shared" si="292"/>
        <v>1.5289773047840316E-5</v>
      </c>
      <c r="K310" s="3">
        <f t="shared" si="292"/>
        <v>1.5289773047840316E-5</v>
      </c>
      <c r="L310" s="3">
        <f t="shared" si="292"/>
        <v>1.5289773047840316E-5</v>
      </c>
      <c r="M310" s="3">
        <f t="shared" si="292"/>
        <v>1.5289773047840316E-5</v>
      </c>
      <c r="N310" s="3">
        <f t="shared" si="292"/>
        <v>1.5289773047840316E-5</v>
      </c>
      <c r="O310" s="3">
        <f t="shared" si="292"/>
        <v>1.5289773047840316E-5</v>
      </c>
      <c r="P310" s="3">
        <f t="shared" si="292"/>
        <v>1.5289773047840316E-5</v>
      </c>
      <c r="Q310" s="3">
        <f t="shared" si="292"/>
        <v>1.5289773047840316E-5</v>
      </c>
      <c r="R310" s="3">
        <f t="shared" si="292"/>
        <v>1.5289773047840309E-5</v>
      </c>
      <c r="S310" s="3">
        <f t="shared" si="292"/>
        <v>1.5289773047840258E-5</v>
      </c>
      <c r="T310" s="3">
        <f t="shared" si="292"/>
        <v>1.5289773047839757E-5</v>
      </c>
      <c r="U310" s="3">
        <f t="shared" si="292"/>
        <v>1.5289773047834708E-5</v>
      </c>
      <c r="V310" s="3">
        <f t="shared" si="292"/>
        <v>1.5289773047784246E-5</v>
      </c>
      <c r="W310" s="3">
        <f t="shared" si="292"/>
        <v>1.5289773047279624E-5</v>
      </c>
      <c r="X310" s="3">
        <f t="shared" si="292"/>
        <v>1.5289773042233402E-5</v>
      </c>
      <c r="Y310" s="3">
        <f t="shared" si="292"/>
        <v>1.528977299177119E-5</v>
      </c>
      <c r="Z310" s="3">
        <f t="shared" si="292"/>
        <v>1.5289772487149069E-5</v>
      </c>
      <c r="AA310" s="3">
        <f t="shared" si="292"/>
        <v>1.5289767440928778E-5</v>
      </c>
      <c r="AB310" s="3">
        <f t="shared" si="292"/>
        <v>1.5289716978817458E-5</v>
      </c>
      <c r="AC310" s="3">
        <f t="shared" si="292"/>
        <v>1.5289212366864117E-5</v>
      </c>
      <c r="AD310" s="3">
        <f t="shared" si="292"/>
        <v>1.5284167163203826E-5</v>
      </c>
      <c r="AE310" s="3">
        <f t="shared" si="292"/>
        <v>1.523380660217004E-5</v>
      </c>
      <c r="AF310" s="3">
        <f t="shared" si="292"/>
        <v>1.4739237823160842E-5</v>
      </c>
      <c r="AG310" s="3"/>
      <c r="AH310" s="3"/>
    </row>
    <row r="311" spans="1:34" x14ac:dyDescent="0.25">
      <c r="B311" s="3">
        <f t="shared" ref="B311:AF311" si="293">$C41*EXP(-B$285/$A41/EXP(-$F$126))</f>
        <v>2.5082649304706281E-4</v>
      </c>
      <c r="C311" s="3">
        <f t="shared" si="293"/>
        <v>2.5082649304706281E-4</v>
      </c>
      <c r="D311" s="3">
        <f t="shared" si="293"/>
        <v>2.5082649304706281E-4</v>
      </c>
      <c r="E311" s="3">
        <f t="shared" si="293"/>
        <v>2.5082649304706281E-4</v>
      </c>
      <c r="F311" s="3">
        <f t="shared" si="293"/>
        <v>2.5082649304706281E-4</v>
      </c>
      <c r="G311" s="3">
        <f t="shared" si="293"/>
        <v>2.5082649304706281E-4</v>
      </c>
      <c r="H311" s="3">
        <f t="shared" si="293"/>
        <v>2.5082649304706281E-4</v>
      </c>
      <c r="I311" s="3">
        <f t="shared" si="293"/>
        <v>2.5082649304706281E-4</v>
      </c>
      <c r="J311" s="3">
        <f t="shared" si="293"/>
        <v>2.5082649304706281E-4</v>
      </c>
      <c r="K311" s="3">
        <f t="shared" si="293"/>
        <v>2.5082649304706281E-4</v>
      </c>
      <c r="L311" s="3">
        <f t="shared" si="293"/>
        <v>2.5082649304706281E-4</v>
      </c>
      <c r="M311" s="3">
        <f t="shared" si="293"/>
        <v>2.5082649304706281E-4</v>
      </c>
      <c r="N311" s="3">
        <f t="shared" si="293"/>
        <v>2.5082649304706281E-4</v>
      </c>
      <c r="O311" s="3">
        <f t="shared" si="293"/>
        <v>2.5082649304706281E-4</v>
      </c>
      <c r="P311" s="3">
        <f t="shared" si="293"/>
        <v>2.5082649304706281E-4</v>
      </c>
      <c r="Q311" s="3">
        <f t="shared" si="293"/>
        <v>2.5082649304706281E-4</v>
      </c>
      <c r="R311" s="3">
        <f t="shared" si="293"/>
        <v>2.5082649304706281E-4</v>
      </c>
      <c r="S311" s="3">
        <f t="shared" si="293"/>
        <v>2.508264930470627E-4</v>
      </c>
      <c r="T311" s="3">
        <f t="shared" si="293"/>
        <v>2.5082649304706189E-4</v>
      </c>
      <c r="U311" s="3">
        <f t="shared" si="293"/>
        <v>2.508264930470536E-4</v>
      </c>
      <c r="V311" s="3">
        <f t="shared" si="293"/>
        <v>2.5082649304697082E-4</v>
      </c>
      <c r="W311" s="3">
        <f t="shared" si="293"/>
        <v>2.5082649304614303E-4</v>
      </c>
      <c r="X311" s="3">
        <f t="shared" si="293"/>
        <v>2.5082649303786477E-4</v>
      </c>
      <c r="Y311" s="3">
        <f t="shared" si="293"/>
        <v>2.5082649295508224E-4</v>
      </c>
      <c r="Z311" s="3">
        <f t="shared" si="293"/>
        <v>2.5082649212725697E-4</v>
      </c>
      <c r="AA311" s="3">
        <f t="shared" si="293"/>
        <v>2.5082648384900486E-4</v>
      </c>
      <c r="AB311" s="3">
        <f t="shared" si="293"/>
        <v>2.5082640106649821E-4</v>
      </c>
      <c r="AC311" s="3">
        <f t="shared" si="293"/>
        <v>2.5082557324293439E-4</v>
      </c>
      <c r="AD311" s="3">
        <f t="shared" si="293"/>
        <v>2.5081729515756253E-4</v>
      </c>
      <c r="AE311" s="3">
        <f t="shared" si="293"/>
        <v>2.5073452932860879E-4</v>
      </c>
      <c r="AF311" s="3">
        <f t="shared" si="293"/>
        <v>2.4990837168241853E-4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5.6673676320409674E-5</v>
      </c>
      <c r="C313" s="3">
        <f t="shared" si="295"/>
        <v>5.6673676320409674E-5</v>
      </c>
      <c r="D313" s="3">
        <f t="shared" si="295"/>
        <v>5.6673676320409674E-5</v>
      </c>
      <c r="E313" s="3">
        <f t="shared" si="295"/>
        <v>5.6673676320409674E-5</v>
      </c>
      <c r="F313" s="3">
        <f t="shared" si="295"/>
        <v>5.6673676320409674E-5</v>
      </c>
      <c r="G313" s="3">
        <f t="shared" si="295"/>
        <v>5.6673676320409674E-5</v>
      </c>
      <c r="H313" s="3">
        <f t="shared" si="295"/>
        <v>5.6673676320409674E-5</v>
      </c>
      <c r="I313" s="3">
        <f t="shared" si="295"/>
        <v>5.6673676320409674E-5</v>
      </c>
      <c r="J313" s="3">
        <f t="shared" si="295"/>
        <v>5.6673676320409674E-5</v>
      </c>
      <c r="K313" s="3">
        <f t="shared" si="295"/>
        <v>5.6673676320409674E-5</v>
      </c>
      <c r="L313" s="3">
        <f t="shared" si="295"/>
        <v>5.6673676320409674E-5</v>
      </c>
      <c r="M313" s="3">
        <f t="shared" si="295"/>
        <v>5.6673676320409674E-5</v>
      </c>
      <c r="N313" s="3">
        <f t="shared" si="295"/>
        <v>5.6673676320409674E-5</v>
      </c>
      <c r="O313" s="3">
        <f t="shared" si="295"/>
        <v>5.6673676320409674E-5</v>
      </c>
      <c r="P313" s="3">
        <f t="shared" si="295"/>
        <v>5.6673676320409674E-5</v>
      </c>
      <c r="Q313" s="3">
        <f t="shared" si="295"/>
        <v>5.6673676320409674E-5</v>
      </c>
      <c r="R313" s="3">
        <f t="shared" si="295"/>
        <v>5.6673676320409674E-5</v>
      </c>
      <c r="S313" s="3">
        <f t="shared" si="295"/>
        <v>5.6673676320409674E-5</v>
      </c>
      <c r="T313" s="3">
        <f t="shared" si="295"/>
        <v>5.6673676320409674E-5</v>
      </c>
      <c r="U313" s="3">
        <f t="shared" si="295"/>
        <v>5.6673676320409654E-5</v>
      </c>
      <c r="V313" s="3">
        <f t="shared" si="295"/>
        <v>5.6673676320409464E-5</v>
      </c>
      <c r="W313" s="3">
        <f t="shared" si="295"/>
        <v>5.66736763204076E-5</v>
      </c>
      <c r="X313" s="3">
        <f t="shared" si="295"/>
        <v>5.6673676320388891E-5</v>
      </c>
      <c r="Y313" s="3">
        <f t="shared" si="295"/>
        <v>5.6673676320201846E-5</v>
      </c>
      <c r="Z313" s="3">
        <f t="shared" si="295"/>
        <v>5.6673676318331394E-5</v>
      </c>
      <c r="AA313" s="3">
        <f t="shared" si="295"/>
        <v>5.6673676299626874E-5</v>
      </c>
      <c r="AB313" s="3">
        <f t="shared" si="295"/>
        <v>5.6673676112581636E-5</v>
      </c>
      <c r="AC313" s="3">
        <f t="shared" si="295"/>
        <v>5.667367424212937E-5</v>
      </c>
      <c r="AD313" s="3">
        <f t="shared" si="295"/>
        <v>5.6673655537610046E-5</v>
      </c>
      <c r="AE313" s="3">
        <f t="shared" si="295"/>
        <v>5.6673468492756306E-5</v>
      </c>
      <c r="AF313" s="3">
        <f t="shared" si="295"/>
        <v>5.6671598078171237E-5</v>
      </c>
      <c r="AG313" s="3"/>
      <c r="AH313" s="3"/>
    </row>
    <row r="314" spans="1:34" x14ac:dyDescent="0.25">
      <c r="B314" s="3">
        <f t="shared" ref="B314:AF314" si="296">$C44*EXP(-B$285/$A44/EXP(-$F$126))</f>
        <v>1.228688753482083E-4</v>
      </c>
      <c r="C314" s="3">
        <f t="shared" si="296"/>
        <v>1.228688753482083E-4</v>
      </c>
      <c r="D314" s="3">
        <f t="shared" si="296"/>
        <v>1.228688753482083E-4</v>
      </c>
      <c r="E314" s="3">
        <f t="shared" si="296"/>
        <v>1.228688753482083E-4</v>
      </c>
      <c r="F314" s="3">
        <f t="shared" si="296"/>
        <v>1.228688753482083E-4</v>
      </c>
      <c r="G314" s="3">
        <f t="shared" si="296"/>
        <v>1.228688753482083E-4</v>
      </c>
      <c r="H314" s="3">
        <f t="shared" si="296"/>
        <v>1.228688753482083E-4</v>
      </c>
      <c r="I314" s="3">
        <f t="shared" si="296"/>
        <v>1.228688753482083E-4</v>
      </c>
      <c r="J314" s="3">
        <f t="shared" si="296"/>
        <v>1.228688753482083E-4</v>
      </c>
      <c r="K314" s="3">
        <f t="shared" si="296"/>
        <v>1.228688753482083E-4</v>
      </c>
      <c r="L314" s="3">
        <f t="shared" si="296"/>
        <v>1.228688753482083E-4</v>
      </c>
      <c r="M314" s="3">
        <f t="shared" si="296"/>
        <v>1.228688753482083E-4</v>
      </c>
      <c r="N314" s="3">
        <f t="shared" si="296"/>
        <v>1.228688753482083E-4</v>
      </c>
      <c r="O314" s="3">
        <f t="shared" si="296"/>
        <v>1.228688753482083E-4</v>
      </c>
      <c r="P314" s="3">
        <f t="shared" si="296"/>
        <v>1.228688753482083E-4</v>
      </c>
      <c r="Q314" s="3">
        <f t="shared" si="296"/>
        <v>1.228688753482083E-4</v>
      </c>
      <c r="R314" s="3">
        <f t="shared" si="296"/>
        <v>1.228688753482083E-4</v>
      </c>
      <c r="S314" s="3">
        <f t="shared" si="296"/>
        <v>1.228688753482083E-4</v>
      </c>
      <c r="T314" s="3">
        <f t="shared" si="296"/>
        <v>1.228688753482083E-4</v>
      </c>
      <c r="U314" s="3">
        <f t="shared" si="296"/>
        <v>1.228688753482083E-4</v>
      </c>
      <c r="V314" s="3">
        <f t="shared" si="296"/>
        <v>1.2286887534820824E-4</v>
      </c>
      <c r="W314" s="3">
        <f t="shared" si="296"/>
        <v>1.2286887534820783E-4</v>
      </c>
      <c r="X314" s="3">
        <f t="shared" si="296"/>
        <v>1.228688753482038E-4</v>
      </c>
      <c r="Y314" s="3">
        <f t="shared" si="296"/>
        <v>1.2286887534816325E-4</v>
      </c>
      <c r="Z314" s="3">
        <f t="shared" si="296"/>
        <v>1.2286887534775773E-4</v>
      </c>
      <c r="AA314" s="3">
        <f t="shared" si="296"/>
        <v>1.2286887534370257E-4</v>
      </c>
      <c r="AB314" s="3">
        <f t="shared" si="296"/>
        <v>1.2286887530315105E-4</v>
      </c>
      <c r="AC314" s="3">
        <f t="shared" si="296"/>
        <v>1.2286887489763586E-4</v>
      </c>
      <c r="AD314" s="3">
        <f t="shared" si="296"/>
        <v>1.2286887084248394E-4</v>
      </c>
      <c r="AE314" s="3">
        <f t="shared" si="296"/>
        <v>1.2286883029097214E-4</v>
      </c>
      <c r="AF314" s="3">
        <f t="shared" si="296"/>
        <v>1.2286842477659033E-4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1.663721654170598E-4</v>
      </c>
      <c r="C318" s="3">
        <f t="shared" si="300"/>
        <v>1.663721654170598E-4</v>
      </c>
      <c r="D318" s="3">
        <f t="shared" si="300"/>
        <v>1.663721654170598E-4</v>
      </c>
      <c r="E318" s="3">
        <f t="shared" si="300"/>
        <v>1.663721654170598E-4</v>
      </c>
      <c r="F318" s="3">
        <f t="shared" si="300"/>
        <v>1.663721654170598E-4</v>
      </c>
      <c r="G318" s="3">
        <f t="shared" si="300"/>
        <v>1.663721654170598E-4</v>
      </c>
      <c r="H318" s="3">
        <f t="shared" si="300"/>
        <v>1.663721654170598E-4</v>
      </c>
      <c r="I318" s="3">
        <f t="shared" si="300"/>
        <v>1.663721654170598E-4</v>
      </c>
      <c r="J318" s="3">
        <f t="shared" si="300"/>
        <v>1.663721654170598E-4</v>
      </c>
      <c r="K318" s="3">
        <f t="shared" si="300"/>
        <v>1.663721654170598E-4</v>
      </c>
      <c r="L318" s="3">
        <f t="shared" si="300"/>
        <v>1.663721654170598E-4</v>
      </c>
      <c r="M318" s="3">
        <f t="shared" si="300"/>
        <v>1.663721654170598E-4</v>
      </c>
      <c r="N318" s="3">
        <f t="shared" si="300"/>
        <v>1.663721654170598E-4</v>
      </c>
      <c r="O318" s="3">
        <f t="shared" si="300"/>
        <v>1.663721654170598E-4</v>
      </c>
      <c r="P318" s="3">
        <f t="shared" si="300"/>
        <v>1.663721654170598E-4</v>
      </c>
      <c r="Q318" s="3">
        <f t="shared" si="300"/>
        <v>1.663721654170598E-4</v>
      </c>
      <c r="R318" s="3">
        <f t="shared" si="300"/>
        <v>1.663721654170598E-4</v>
      </c>
      <c r="S318" s="3">
        <f t="shared" si="300"/>
        <v>1.663721654170598E-4</v>
      </c>
      <c r="T318" s="3">
        <f t="shared" si="300"/>
        <v>1.663721654170598E-4</v>
      </c>
      <c r="U318" s="3">
        <f t="shared" si="300"/>
        <v>1.663721654170598E-4</v>
      </c>
      <c r="V318" s="3">
        <f t="shared" si="300"/>
        <v>1.663721654170598E-4</v>
      </c>
      <c r="W318" s="3">
        <f t="shared" si="300"/>
        <v>1.663721654170598E-4</v>
      </c>
      <c r="X318" s="3">
        <f t="shared" si="300"/>
        <v>1.663721654170598E-4</v>
      </c>
      <c r="Y318" s="3">
        <f t="shared" si="300"/>
        <v>1.663721654170598E-4</v>
      </c>
      <c r="Z318" s="3">
        <f t="shared" si="300"/>
        <v>1.6637216541705974E-4</v>
      </c>
      <c r="AA318" s="3">
        <f t="shared" si="300"/>
        <v>1.663721654170592E-4</v>
      </c>
      <c r="AB318" s="3">
        <f t="shared" si="300"/>
        <v>1.663721654170537E-4</v>
      </c>
      <c r="AC318" s="3">
        <f t="shared" si="300"/>
        <v>1.6637216541699878E-4</v>
      </c>
      <c r="AD318" s="3">
        <f t="shared" si="300"/>
        <v>1.6637216541644969E-4</v>
      </c>
      <c r="AE318" s="3">
        <f t="shared" si="300"/>
        <v>1.6637216541095877E-4</v>
      </c>
      <c r="AF318" s="3">
        <f t="shared" si="300"/>
        <v>1.6637216535604946E-4</v>
      </c>
      <c r="AG318" s="3"/>
      <c r="AH318" s="3"/>
    </row>
    <row r="319" spans="1:34" x14ac:dyDescent="0.25">
      <c r="A319" s="79">
        <f>AVERAGE(B319:AF319)</f>
        <v>6.6863461576867544E-3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6.6537974390487014E-3</v>
      </c>
      <c r="M319" s="80">
        <f t="shared" si="301"/>
        <v>1.5551698228487558E-2</v>
      </c>
      <c r="N319" s="80">
        <f t="shared" si="301"/>
        <v>1.1073153950817293E-2</v>
      </c>
      <c r="O319" s="80">
        <f t="shared" si="301"/>
        <v>1.3896604951848157E-2</v>
      </c>
      <c r="P319" s="80">
        <f t="shared" si="301"/>
        <v>1.3785213871288596E-2</v>
      </c>
      <c r="Q319" s="80">
        <f t="shared" si="301"/>
        <v>1.6804844473164167E-2</v>
      </c>
      <c r="R319" s="80">
        <f t="shared" si="301"/>
        <v>7.8486442046398347E-3</v>
      </c>
      <c r="S319" s="80">
        <f t="shared" si="301"/>
        <v>1.9151680618559725E-2</v>
      </c>
      <c r="T319" s="80">
        <f t="shared" si="301"/>
        <v>4.4254313722722607E-2</v>
      </c>
      <c r="U319" s="80">
        <f t="shared" si="301"/>
        <v>3.8051112169560954E-2</v>
      </c>
      <c r="V319" s="80">
        <f t="shared" si="301"/>
        <v>2.0205667258151806E-2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2001.9144659805313</v>
      </c>
      <c r="C320" s="21">
        <f t="shared" ref="C320:AF320" si="302">(C287-C286)^2</f>
        <v>1791.6784829074863</v>
      </c>
      <c r="D320" s="21">
        <f t="shared" si="302"/>
        <v>367.24582104065075</v>
      </c>
      <c r="E320" s="21">
        <f t="shared" si="302"/>
        <v>30648.908011764983</v>
      </c>
      <c r="F320" s="21">
        <f t="shared" si="302"/>
        <v>421526.04587958375</v>
      </c>
      <c r="G320" s="21">
        <f t="shared" si="302"/>
        <v>384614.85783356038</v>
      </c>
      <c r="H320" s="21">
        <f t="shared" si="302"/>
        <v>225650.83442869107</v>
      </c>
      <c r="I320" s="21">
        <f t="shared" si="302"/>
        <v>106292.8132786924</v>
      </c>
      <c r="J320" s="21">
        <f t="shared" si="302"/>
        <v>25163.664818619873</v>
      </c>
      <c r="K320" s="21">
        <f t="shared" si="302"/>
        <v>24.737529362190017</v>
      </c>
      <c r="L320" s="21">
        <f t="shared" si="302"/>
        <v>1365.5439056646169</v>
      </c>
      <c r="M320" s="21">
        <f t="shared" si="302"/>
        <v>6784.018546686435</v>
      </c>
      <c r="N320" s="21">
        <f t="shared" si="302"/>
        <v>3082.9895370028107</v>
      </c>
      <c r="O320" s="21">
        <f t="shared" si="302"/>
        <v>4334.650436629413</v>
      </c>
      <c r="P320" s="21">
        <f t="shared" si="302"/>
        <v>3743.8994309599798</v>
      </c>
      <c r="Q320" s="21">
        <f t="shared" si="302"/>
        <v>4782.8337906652996</v>
      </c>
      <c r="R320" s="21">
        <f t="shared" si="302"/>
        <v>826.35291726808214</v>
      </c>
      <c r="S320" s="21">
        <f t="shared" si="302"/>
        <v>3389.1883100849673</v>
      </c>
      <c r="T320" s="21">
        <f t="shared" si="302"/>
        <v>10875.58687469813</v>
      </c>
      <c r="U320" s="21">
        <f t="shared" si="302"/>
        <v>4011.9852642206306</v>
      </c>
      <c r="V320" s="21">
        <f t="shared" si="302"/>
        <v>441.51704155176378</v>
      </c>
      <c r="W320" s="21">
        <f t="shared" si="302"/>
        <v>133.94359319238359</v>
      </c>
      <c r="X320" s="21">
        <f t="shared" si="302"/>
        <v>344.3959673878432</v>
      </c>
      <c r="Y320" s="21">
        <f t="shared" si="302"/>
        <v>15.977972802679238</v>
      </c>
      <c r="Z320" s="21">
        <f t="shared" si="302"/>
        <v>282.77884007017923</v>
      </c>
      <c r="AA320" s="21">
        <f t="shared" si="302"/>
        <v>161.25350356222498</v>
      </c>
      <c r="AB320" s="21">
        <f t="shared" si="302"/>
        <v>244.66725786164847</v>
      </c>
      <c r="AC320" s="21">
        <f t="shared" si="302"/>
        <v>153.15672178933289</v>
      </c>
      <c r="AD320" s="21">
        <f t="shared" si="302"/>
        <v>94.151576606020853</v>
      </c>
      <c r="AE320" s="21">
        <f t="shared" si="302"/>
        <v>44.542999136404106</v>
      </c>
      <c r="AF320" s="21">
        <f t="shared" si="302"/>
        <v>27.882875999104272</v>
      </c>
      <c r="AG320" s="3"/>
      <c r="AH320" s="3"/>
    </row>
    <row r="321" spans="1:34" x14ac:dyDescent="0.25">
      <c r="A321" s="71">
        <f>SUM(B321:AF321)</f>
        <v>43638.566055432129</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1365.5439056646169</v>
      </c>
      <c r="M321" s="60">
        <f t="shared" ref="M321" si="313">IF($A$64&lt;=M285,IF($B$64&gt;=M285,ABS(M320),0),0)</f>
        <v>6784.018546686435</v>
      </c>
      <c r="N321" s="60">
        <f t="shared" ref="N321" si="314">IF($A$64&lt;=N285,IF($B$64&gt;=N285,ABS(N320),0),0)</f>
        <v>3082.9895370028107</v>
      </c>
      <c r="O321" s="60">
        <f t="shared" ref="O321" si="315">IF($A$64&lt;=O285,IF($B$64&gt;=O285,ABS(O320),0),0)</f>
        <v>4334.650436629413</v>
      </c>
      <c r="P321" s="60">
        <f t="shared" ref="P321" si="316">IF($A$64&lt;=P285,IF($B$64&gt;=P285,ABS(P320),0),0)</f>
        <v>3743.8994309599798</v>
      </c>
      <c r="Q321" s="60">
        <f t="shared" ref="Q321" si="317">IF($A$64&lt;=Q285,IF($B$64&gt;=Q285,ABS(Q320),0),0)</f>
        <v>4782.8337906652996</v>
      </c>
      <c r="R321" s="60">
        <f t="shared" ref="R321" si="318">IF($A$64&lt;=R285,IF($B$64&gt;=R285,ABS(R320),0),0)</f>
        <v>826.35291726808214</v>
      </c>
      <c r="S321" s="60">
        <f t="shared" ref="S321" si="319">IF($A$64&lt;=S285,IF($B$64&gt;=S285,ABS(S320),0),0)</f>
        <v>3389.1883100849673</v>
      </c>
      <c r="T321" s="60">
        <f t="shared" ref="T321" si="320">IF($A$64&lt;=T285,IF($B$64&gt;=T285,ABS(T320),0),0)</f>
        <v>10875.58687469813</v>
      </c>
      <c r="U321" s="60">
        <f t="shared" ref="U321" si="321">IF($A$64&lt;=U285,IF($B$64&gt;=U285,ABS(U320),0),0)</f>
        <v>4011.9852642206306</v>
      </c>
      <c r="V321" s="60">
        <f t="shared" ref="V321" si="322">IF($A$64&lt;=V285,IF($B$64&gt;=V285,ABS(V320),0),0)</f>
        <v>441.51704155176378</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5863.6829549380891</v>
      </c>
      <c r="C325" s="26">
        <f>INDEX(Comparison!$AM$3:$AS$33,G$14,$G$122)</f>
        <v>5609.1927579282792</v>
      </c>
      <c r="D325" s="26">
        <f>INDEX(Comparison!$AM$3:$AS$33,H$14,$G$122)</f>
        <v>5370.7345311781783</v>
      </c>
      <c r="E325" s="26">
        <f>INDEX(Comparison!$AM$3:$AS$33,I$14,$G$122)</f>
        <v>5097.9534912421213</v>
      </c>
      <c r="F325" s="26">
        <f>INDEX(Comparison!$AM$3:$AS$33,J$14,$G$122)</f>
        <v>4821.046341164677</v>
      </c>
      <c r="G325" s="26">
        <f>INDEX(Comparison!$AM$3:$AS$33,K$14,$G$122)</f>
        <v>4535.3452020984814</v>
      </c>
      <c r="H325" s="26">
        <f>INDEX(Comparison!$AM$3:$AS$33,L$14,$G$122)</f>
        <v>4228.4929725950406</v>
      </c>
      <c r="I325" s="26">
        <f>INDEX(Comparison!$AM$3:$AS$33,M$14,$G$122)</f>
        <v>3871.0057883923755</v>
      </c>
      <c r="J325" s="26">
        <f>INDEX(Comparison!$AM$3:$AS$33,N$14,$G$122)</f>
        <v>3401.7561264704505</v>
      </c>
      <c r="K325" s="26">
        <f>INDEX(Comparison!$AM$3:$AS$33,O$14,$G$122)</f>
        <v>2827.0529060658037</v>
      </c>
      <c r="L325" s="26">
        <f>INDEX(Comparison!$AM$3:$AS$33,P$14,$G$122)</f>
        <v>2150.7951483518323</v>
      </c>
      <c r="M325" s="26">
        <f>INDEX(Comparison!$AM$3:$AS$33,Q$14,$G$122)</f>
        <v>1410.5199057082755</v>
      </c>
      <c r="N325" s="26">
        <f>INDEX(Comparison!$AM$3:$AS$33,R$14,$G$122)</f>
        <v>826.67973456797017</v>
      </c>
      <c r="O325" s="26">
        <f>INDEX(Comparison!$AM$3:$AS$33,S$14,$G$122)</f>
        <v>463.10914863390207</v>
      </c>
      <c r="P325" s="26">
        <f>INDEX(Comparison!$AM$3:$AS$33,T$14,$G$122)</f>
        <v>257.27368574751409</v>
      </c>
      <c r="Q325" s="26">
        <f>INDEX(Comparison!$AM$3:$AS$33,U$14,$G$122)</f>
        <v>179.98076982609024</v>
      </c>
      <c r="R325" s="26">
        <f>INDEX(Comparison!$AM$3:$AS$33,V$14,$G$122)</f>
        <v>157.55849658546879</v>
      </c>
      <c r="S325" s="26">
        <f>INDEX(Comparison!$AM$3:$AS$33,W$14,$G$122)</f>
        <v>143.13037816485394</v>
      </c>
      <c r="T325" s="26">
        <f>INDEX(Comparison!$AM$3:$AS$33,X$14,$G$122)</f>
        <v>139.03929298884987</v>
      </c>
      <c r="U325" s="26">
        <f>INDEX(Comparison!$AM$3:$AS$33,Y$14,$G$122)</f>
        <v>135.60631839895524</v>
      </c>
      <c r="V325" s="26">
        <f>INDEX(Comparison!$AM$3:$AS$33,Z$14,$G$122)</f>
        <v>132.22937471479068</v>
      </c>
      <c r="W325" s="26">
        <f>INDEX(Comparison!$AM$3:$AS$33,AA$14,$G$122)</f>
        <v>129.58780540541244</v>
      </c>
      <c r="X325" s="26">
        <f>INDEX(Comparison!$AM$3:$AS$33,AB$14,$G$122)</f>
        <v>127.7135675720335</v>
      </c>
      <c r="Y325" s="26">
        <f>INDEX(Comparison!$AM$3:$AS$33,AC$14,$G$122)</f>
        <v>126.4367312836393</v>
      </c>
      <c r="Z325" s="26">
        <f>INDEX(Comparison!$AM$3:$AS$33,AD$14,$G$122)</f>
        <v>125.52960401951817</v>
      </c>
      <c r="AA325" s="26">
        <f>INDEX(Comparison!$AM$3:$AS$33,AE$14,$G$122)</f>
        <v>124.83927834622055</v>
      </c>
      <c r="AB325" s="26">
        <f>INDEX(Comparison!$AM$3:$AS$33,AF$14,$G$122)</f>
        <v>124.70417941781746</v>
      </c>
      <c r="AC325" s="26">
        <f>INDEX(Comparison!$AM$3:$AS$33,AG$14,$G$122)</f>
        <v>123.9260383626436</v>
      </c>
      <c r="AD325" s="26">
        <f>INDEX(Comparison!$AM$3:$AS$33,AH$14,$G$122)</f>
        <v>123.91358498832378</v>
      </c>
      <c r="AE325" s="26">
        <f>INDEX(Comparison!$AM$3:$AS$33,AI$14,$G$122)</f>
        <v>123.65466987195585</v>
      </c>
      <c r="AF325" s="26">
        <f>INDEX(Comparison!$AM$3:$AS$33,AJ$14,$G$122)</f>
        <v>123.64094316844046</v>
      </c>
      <c r="AG325" s="26"/>
      <c r="AH325" s="26"/>
    </row>
    <row r="326" spans="1:34" x14ac:dyDescent="0.25">
      <c r="A326" s="77" t="s">
        <v>22</v>
      </c>
      <c r="B326" s="27">
        <f>($C$17+SUM(B327:B357))*$B$51</f>
        <v>5793.4523262066296</v>
      </c>
      <c r="C326" s="27">
        <f t="shared" ref="C326:AF326" si="333">($C$17+SUM(C327:C357))*$B$51</f>
        <v>5700.0320002145754</v>
      </c>
      <c r="D326" s="27">
        <f t="shared" si="333"/>
        <v>5346.6858119917897</v>
      </c>
      <c r="E326" s="27">
        <f t="shared" si="333"/>
        <v>5101.8806073227797</v>
      </c>
      <c r="F326" s="27">
        <f t="shared" si="333"/>
        <v>4820.5007478620018</v>
      </c>
      <c r="G326" s="27">
        <f t="shared" si="333"/>
        <v>4535.4115247590817</v>
      </c>
      <c r="H326" s="27">
        <f t="shared" si="333"/>
        <v>4228.4839931308079</v>
      </c>
      <c r="I326" s="27">
        <f t="shared" si="333"/>
        <v>3871.0148563378666</v>
      </c>
      <c r="J326" s="27">
        <f t="shared" si="333"/>
        <v>3401.742357110476</v>
      </c>
      <c r="K326" s="27">
        <f t="shared" si="333"/>
        <v>2827.0747054310409</v>
      </c>
      <c r="L326" s="27">
        <f t="shared" si="333"/>
        <v>2150.7598754303363</v>
      </c>
      <c r="M326" s="27">
        <f t="shared" si="333"/>
        <v>1410.5800336819257</v>
      </c>
      <c r="N326" s="27">
        <f t="shared" si="333"/>
        <v>826.60168042584962</v>
      </c>
      <c r="O326" s="27">
        <f t="shared" si="333"/>
        <v>463.1928374604496</v>
      </c>
      <c r="P326" s="27">
        <f t="shared" si="333"/>
        <v>257.19732400999129</v>
      </c>
      <c r="Q326" s="27">
        <f t="shared" si="333"/>
        <v>180.03660370531489</v>
      </c>
      <c r="R326" s="27">
        <f t="shared" si="333"/>
        <v>157.52834883173122</v>
      </c>
      <c r="S326" s="27">
        <f t="shared" si="333"/>
        <v>143.1422112769649</v>
      </c>
      <c r="T326" s="27">
        <f t="shared" si="333"/>
        <v>139.03514774125156</v>
      </c>
      <c r="U326" s="27">
        <f t="shared" si="333"/>
        <v>135.60966381136399</v>
      </c>
      <c r="V326" s="27">
        <f t="shared" si="333"/>
        <v>132.2256846736625</v>
      </c>
      <c r="W326" s="27">
        <f t="shared" si="333"/>
        <v>129.59030377047714</v>
      </c>
      <c r="X326" s="27">
        <f t="shared" si="333"/>
        <v>127.71171679074899</v>
      </c>
      <c r="Y326" s="27">
        <f t="shared" si="333"/>
        <v>126.44111315572053</v>
      </c>
      <c r="Z326" s="27">
        <f t="shared" si="333"/>
        <v>125.5215732091377</v>
      </c>
      <c r="AA326" s="27">
        <f t="shared" si="333"/>
        <v>124.88095570816087</v>
      </c>
      <c r="AB326" s="27">
        <f t="shared" si="333"/>
        <v>124.61402786380269</v>
      </c>
      <c r="AC326" s="27">
        <f t="shared" si="333"/>
        <v>124.04749605654963</v>
      </c>
      <c r="AD326" s="27">
        <f t="shared" si="333"/>
        <v>123.75164370729648</v>
      </c>
      <c r="AE326" s="27">
        <f t="shared" si="333"/>
        <v>123.74189203381628</v>
      </c>
      <c r="AF326" s="27">
        <f t="shared" si="333"/>
        <v>123.64940030931194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6.5682058153077746E-2</v>
      </c>
      <c r="C328" s="3">
        <f t="shared" si="335"/>
        <v>5.2158503305632896E-2</v>
      </c>
      <c r="D328" s="3">
        <f t="shared" si="335"/>
        <v>5.2012628132657446E-3</v>
      </c>
      <c r="E328" s="3">
        <f t="shared" si="335"/>
        <v>5.0576128019932966E-13</v>
      </c>
      <c r="F328" s="3">
        <f t="shared" si="335"/>
        <v>3.8221996548418929E-113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3.4004083008989619E-2</v>
      </c>
      <c r="C329" s="3">
        <f t="shared" si="336"/>
        <v>3.3304219753786189E-2</v>
      </c>
      <c r="D329" s="3">
        <f t="shared" si="336"/>
        <v>2.7050869045293396E-2</v>
      </c>
      <c r="E329" s="3">
        <f t="shared" si="336"/>
        <v>3.3806546381692317E-3</v>
      </c>
      <c r="F329" s="3">
        <f t="shared" si="336"/>
        <v>3.14193104352511E-12</v>
      </c>
      <c r="G329" s="3">
        <f t="shared" si="336"/>
        <v>1.5106194753668332E-102</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4.6664529611699049E-2</v>
      </c>
      <c r="C330" s="3">
        <f t="shared" si="337"/>
        <v>4.6577068221598211E-2</v>
      </c>
      <c r="D330" s="3">
        <f t="shared" si="337"/>
        <v>4.5711419704641681E-2</v>
      </c>
      <c r="E330" s="3">
        <f t="shared" si="337"/>
        <v>3.7892243771190111E-2</v>
      </c>
      <c r="F330" s="3">
        <f t="shared" si="337"/>
        <v>5.8050564894117926E-3</v>
      </c>
      <c r="G330" s="3">
        <f t="shared" si="337"/>
        <v>4.1339738672193979E-11</v>
      </c>
      <c r="H330" s="3">
        <f t="shared" si="337"/>
        <v>1.3866935442025933E-92</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4.4763424777673783E-2</v>
      </c>
      <c r="C331" s="3">
        <f t="shared" si="338"/>
        <v>4.4755849999119302E-2</v>
      </c>
      <c r="D331" s="3">
        <f t="shared" si="338"/>
        <v>4.4680172676198525E-2</v>
      </c>
      <c r="E331" s="3">
        <f t="shared" si="338"/>
        <v>4.3930401787554092E-2</v>
      </c>
      <c r="F331" s="3">
        <f t="shared" si="338"/>
        <v>3.7090996384262526E-2</v>
      </c>
      <c r="G331" s="3">
        <f t="shared" si="338"/>
        <v>6.8281294659337998E-3</v>
      </c>
      <c r="H331" s="3">
        <f t="shared" si="338"/>
        <v>3.0523491998258137E-10</v>
      </c>
      <c r="I331" s="3">
        <f t="shared" si="338"/>
        <v>9.7265520799114742E-84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4.857718709283719E-2</v>
      </c>
      <c r="C332" s="3">
        <f t="shared" si="339"/>
        <v>4.8576445511107881E-2</v>
      </c>
      <c r="D332" s="3">
        <f t="shared" si="339"/>
        <v>4.8569030316442496E-2</v>
      </c>
      <c r="E332" s="3">
        <f t="shared" si="339"/>
        <v>4.8494940597409955E-2</v>
      </c>
      <c r="F332" s="3">
        <f t="shared" si="339"/>
        <v>4.776023116312967E-2</v>
      </c>
      <c r="G332" s="3">
        <f t="shared" si="339"/>
        <v>4.0998343016677562E-2</v>
      </c>
      <c r="H332" s="3">
        <f t="shared" si="339"/>
        <v>8.9076911396160589E-3</v>
      </c>
      <c r="I332" s="3">
        <f t="shared" si="339"/>
        <v>2.0881111124293305E-9</v>
      </c>
      <c r="J332" s="3">
        <f t="shared" si="339"/>
        <v>1.0462564519779538E-75</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5.5549497088488678E-2</v>
      </c>
      <c r="C333" s="3">
        <f t="shared" si="340"/>
        <v>5.5549420589376182E-2</v>
      </c>
      <c r="D333" s="3">
        <f t="shared" si="340"/>
        <v>5.5548655604045406E-2</v>
      </c>
      <c r="E333" s="3">
        <f t="shared" si="340"/>
        <v>5.5541006330128172E-2</v>
      </c>
      <c r="F333" s="3">
        <f t="shared" si="340"/>
        <v>5.5464571500502262E-2</v>
      </c>
      <c r="G333" s="3">
        <f t="shared" si="340"/>
        <v>5.4705984760033889E-2</v>
      </c>
      <c r="H333" s="3">
        <f t="shared" si="340"/>
        <v>4.7667965942017727E-2</v>
      </c>
      <c r="I333" s="3">
        <f t="shared" si="340"/>
        <v>1.2026643084814841E-2</v>
      </c>
      <c r="J333" s="3">
        <f t="shared" si="340"/>
        <v>1.2569628573449661E-8</v>
      </c>
      <c r="K333" s="3">
        <f t="shared" si="340"/>
        <v>1.9548015090518149E-68</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7.8662766285523045E-2</v>
      </c>
      <c r="C334" s="3">
        <f t="shared" si="341"/>
        <v>7.8662756513323134E-2</v>
      </c>
      <c r="D334" s="3">
        <f t="shared" si="341"/>
        <v>7.8662658791390713E-2</v>
      </c>
      <c r="E334" s="3">
        <f t="shared" si="341"/>
        <v>7.8661681578743384E-2</v>
      </c>
      <c r="F334" s="3">
        <f t="shared" si="341"/>
        <v>7.8651910119931084E-2</v>
      </c>
      <c r="G334" s="3">
        <f t="shared" si="341"/>
        <v>7.8554262267234443E-2</v>
      </c>
      <c r="H334" s="3">
        <f t="shared" si="341"/>
        <v>7.7584426709792376E-2</v>
      </c>
      <c r="I334" s="3">
        <f t="shared" si="341"/>
        <v>6.8520822203851681E-2</v>
      </c>
      <c r="J334" s="3">
        <f t="shared" si="341"/>
        <v>1.9783479054704487E-2</v>
      </c>
      <c r="K334" s="3">
        <f t="shared" si="341"/>
        <v>7.9634945464493926E-8</v>
      </c>
      <c r="L334" s="3">
        <f t="shared" si="341"/>
        <v>8.8943431676611596E-62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9.4543741729864378E-2</v>
      </c>
      <c r="C335" s="3">
        <f t="shared" si="342"/>
        <v>9.4543740670360546E-2</v>
      </c>
      <c r="D335" s="3">
        <f t="shared" si="342"/>
        <v>9.4543730075322921E-2</v>
      </c>
      <c r="E335" s="3">
        <f t="shared" si="342"/>
        <v>9.4543624125012007E-2</v>
      </c>
      <c r="F335" s="3">
        <f t="shared" si="342"/>
        <v>9.4542564628433051E-2</v>
      </c>
      <c r="G335" s="3">
        <f t="shared" si="342"/>
        <v>9.4531970315646197E-2</v>
      </c>
      <c r="H335" s="3">
        <f t="shared" si="342"/>
        <v>9.4426092460977148E-2</v>
      </c>
      <c r="I335" s="3">
        <f t="shared" si="342"/>
        <v>9.3373814250279422E-2</v>
      </c>
      <c r="J335" s="3">
        <f t="shared" si="342"/>
        <v>8.3474901756459413E-2</v>
      </c>
      <c r="K335" s="3">
        <f t="shared" si="342"/>
        <v>2.7218493549574011E-2</v>
      </c>
      <c r="L335" s="3">
        <f t="shared" si="342"/>
        <v>3.6978200001788189E-7</v>
      </c>
      <c r="M335" s="3">
        <f t="shared" si="342"/>
        <v>7.9206822177402561E-56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0.11359632382927778</v>
      </c>
      <c r="C336" s="3">
        <f t="shared" si="343"/>
        <v>0.11359632371444112</v>
      </c>
      <c r="D336" s="3">
        <f t="shared" si="343"/>
        <v>0.11359632256607437</v>
      </c>
      <c r="E336" s="3">
        <f t="shared" si="343"/>
        <v>0.11359631108240745</v>
      </c>
      <c r="F336" s="3">
        <f t="shared" si="343"/>
        <v>0.1135961962458021</v>
      </c>
      <c r="G336" s="3">
        <f t="shared" si="343"/>
        <v>0.11359504788613363</v>
      </c>
      <c r="H336" s="3">
        <f t="shared" si="343"/>
        <v>0.11358356492792045</v>
      </c>
      <c r="I336" s="3">
        <f t="shared" si="343"/>
        <v>0.11346879916907482</v>
      </c>
      <c r="J336" s="3">
        <f t="shared" si="343"/>
        <v>0.11232750010119129</v>
      </c>
      <c r="K336" s="3">
        <f t="shared" si="343"/>
        <v>0.10152720758355373</v>
      </c>
      <c r="L336" s="3">
        <f t="shared" si="343"/>
        <v>3.6944170539251336E-2</v>
      </c>
      <c r="M336" s="3">
        <f t="shared" si="343"/>
        <v>1.5037675507957291E-6</v>
      </c>
      <c r="N336" s="3">
        <f t="shared" si="343"/>
        <v>1.8772780272635459E-50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0.12987660327673956</v>
      </c>
      <c r="C337" s="3">
        <f t="shared" si="344"/>
        <v>0.12987660326489567</v>
      </c>
      <c r="D337" s="3">
        <f t="shared" si="344"/>
        <v>0.12987660314645691</v>
      </c>
      <c r="E337" s="3">
        <f t="shared" si="344"/>
        <v>0.12987660196206932</v>
      </c>
      <c r="F337" s="3">
        <f t="shared" si="344"/>
        <v>0.12987659011819402</v>
      </c>
      <c r="G337" s="3">
        <f t="shared" si="344"/>
        <v>0.12987647167950059</v>
      </c>
      <c r="H337" s="3">
        <f t="shared" si="344"/>
        <v>0.12987528729850667</v>
      </c>
      <c r="I337" s="3">
        <f t="shared" si="344"/>
        <v>0.12986344408259012</v>
      </c>
      <c r="J337" s="3">
        <f t="shared" si="344"/>
        <v>0.12974507130567606</v>
      </c>
      <c r="K337" s="3">
        <f t="shared" si="344"/>
        <v>0.12856726177397909</v>
      </c>
      <c r="L337" s="3">
        <f t="shared" si="344"/>
        <v>0.11736149896269739</v>
      </c>
      <c r="M337" s="3">
        <f t="shared" si="344"/>
        <v>4.7149618314517583E-2</v>
      </c>
      <c r="N337" s="3">
        <f t="shared" si="344"/>
        <v>5.1642055212264556E-6</v>
      </c>
      <c r="O337" s="3">
        <f t="shared" si="344"/>
        <v>1.2830892916446927E-45</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7.5604381501636606E-2</v>
      </c>
      <c r="C338" s="3">
        <f t="shared" si="345"/>
        <v>7.5604381501014659E-2</v>
      </c>
      <c r="D338" s="3">
        <f t="shared" si="345"/>
        <v>7.5604381494795148E-2</v>
      </c>
      <c r="E338" s="3">
        <f t="shared" si="345"/>
        <v>7.5604381432599996E-2</v>
      </c>
      <c r="F338" s="3">
        <f t="shared" si="345"/>
        <v>7.5604380810648561E-2</v>
      </c>
      <c r="G338" s="3">
        <f t="shared" si="345"/>
        <v>7.560437459113438E-2</v>
      </c>
      <c r="H338" s="3">
        <f t="shared" si="345"/>
        <v>7.5604312396020765E-2</v>
      </c>
      <c r="I338" s="3">
        <f t="shared" si="345"/>
        <v>7.5603690447698588E-2</v>
      </c>
      <c r="J338" s="3">
        <f t="shared" si="345"/>
        <v>7.5597471245870365E-2</v>
      </c>
      <c r="K338" s="3">
        <f t="shared" si="345"/>
        <v>7.5535307358371412E-2</v>
      </c>
      <c r="L338" s="3">
        <f t="shared" si="345"/>
        <v>7.4916473018164967E-2</v>
      </c>
      <c r="M338" s="3">
        <f t="shared" si="345"/>
        <v>6.9000231342488935E-2</v>
      </c>
      <c r="N338" s="3">
        <f t="shared" si="345"/>
        <v>3.0309780006058797E-2</v>
      </c>
      <c r="O338" s="3">
        <f t="shared" si="345"/>
        <v>8.1078397763023187E-6</v>
      </c>
      <c r="P338" s="3">
        <f t="shared" si="345"/>
        <v>1.5209988772857722E-41</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4.9796050081421024E-2</v>
      </c>
      <c r="C339" s="3">
        <f t="shared" si="346"/>
        <v>4.9796050081384075E-2</v>
      </c>
      <c r="D339" s="3">
        <f t="shared" si="346"/>
        <v>4.9796050081014544E-2</v>
      </c>
      <c r="E339" s="3">
        <f t="shared" si="346"/>
        <v>4.9796050077319229E-2</v>
      </c>
      <c r="F339" s="3">
        <f t="shared" si="346"/>
        <v>4.9796050040366122E-2</v>
      </c>
      <c r="G339" s="3">
        <f t="shared" si="346"/>
        <v>4.9796049670835014E-2</v>
      </c>
      <c r="H339" s="3">
        <f t="shared" si="346"/>
        <v>4.9796045975524096E-2</v>
      </c>
      <c r="I339" s="3">
        <f t="shared" si="346"/>
        <v>4.9796009022429991E-2</v>
      </c>
      <c r="J339" s="3">
        <f t="shared" si="346"/>
        <v>4.979563949299718E-2</v>
      </c>
      <c r="K339" s="3">
        <f t="shared" si="346"/>
        <v>4.9791944349488262E-2</v>
      </c>
      <c r="L339" s="3">
        <f t="shared" si="346"/>
        <v>4.9755007992176095E-2</v>
      </c>
      <c r="M339" s="3">
        <f t="shared" si="346"/>
        <v>4.9387148065011953E-2</v>
      </c>
      <c r="N339" s="3">
        <f t="shared" si="346"/>
        <v>4.5854865457968498E-2</v>
      </c>
      <c r="O339" s="3">
        <f t="shared" si="346"/>
        <v>2.1832334657582088E-2</v>
      </c>
      <c r="P339" s="3">
        <f t="shared" si="346"/>
        <v>1.3069162038796922E-5</v>
      </c>
      <c r="Q339" s="3">
        <f t="shared" si="346"/>
        <v>7.7218857337245155E-38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2.0966447401353231E-2</v>
      </c>
      <c r="C340" s="3">
        <f t="shared" si="347"/>
        <v>2.0966447401351826E-2</v>
      </c>
      <c r="D340" s="3">
        <f t="shared" si="347"/>
        <v>2.0966447401337792E-2</v>
      </c>
      <c r="E340" s="3">
        <f t="shared" si="347"/>
        <v>2.0966447401197439E-2</v>
      </c>
      <c r="F340" s="3">
        <f t="shared" si="347"/>
        <v>2.0966447399793888E-2</v>
      </c>
      <c r="G340" s="3">
        <f t="shared" si="347"/>
        <v>2.09664473857584E-2</v>
      </c>
      <c r="H340" s="3">
        <f t="shared" si="347"/>
        <v>2.0966447245403509E-2</v>
      </c>
      <c r="I340" s="3">
        <f t="shared" si="347"/>
        <v>2.0966445841854663E-2</v>
      </c>
      <c r="J340" s="3">
        <f t="shared" si="347"/>
        <v>2.0966431806371352E-2</v>
      </c>
      <c r="K340" s="3">
        <f t="shared" si="347"/>
        <v>2.096629145205502E-2</v>
      </c>
      <c r="L340" s="3">
        <f t="shared" si="347"/>
        <v>2.0964887960566777E-2</v>
      </c>
      <c r="M340" s="3">
        <f t="shared" si="347"/>
        <v>2.0950858211910617E-2</v>
      </c>
      <c r="N340" s="3">
        <f t="shared" si="347"/>
        <v>2.0811076070654726E-2</v>
      </c>
      <c r="O340" s="3">
        <f t="shared" si="347"/>
        <v>1.9463535276412688E-2</v>
      </c>
      <c r="P340" s="3">
        <f t="shared" si="347"/>
        <v>9.9653745227618901E-3</v>
      </c>
      <c r="Q340" s="3">
        <f t="shared" si="347"/>
        <v>1.233708654518229E-5</v>
      </c>
      <c r="R340" s="3">
        <f t="shared" si="347"/>
        <v>1.0432838221486784E-34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3.9443248072899631E-3</v>
      </c>
      <c r="C341" s="3">
        <f t="shared" si="348"/>
        <v>3.9443248072899397E-3</v>
      </c>
      <c r="D341" s="3">
        <f t="shared" si="348"/>
        <v>3.9443248072897012E-3</v>
      </c>
      <c r="E341" s="3">
        <f t="shared" si="348"/>
        <v>3.9443248072873194E-3</v>
      </c>
      <c r="F341" s="3">
        <f t="shared" si="348"/>
        <v>3.9443248072634999E-3</v>
      </c>
      <c r="G341" s="3">
        <f t="shared" si="348"/>
        <v>3.9443248070253111E-3</v>
      </c>
      <c r="H341" s="3">
        <f t="shared" si="348"/>
        <v>3.9443248046434195E-3</v>
      </c>
      <c r="I341" s="3">
        <f t="shared" si="348"/>
        <v>3.9443247808245057E-3</v>
      </c>
      <c r="J341" s="3">
        <f t="shared" si="348"/>
        <v>3.9443245426353706E-3</v>
      </c>
      <c r="K341" s="3">
        <f t="shared" si="348"/>
        <v>3.9443221607448151E-3</v>
      </c>
      <c r="L341" s="3">
        <f t="shared" si="348"/>
        <v>3.944298341918364E-3</v>
      </c>
      <c r="M341" s="3">
        <f t="shared" si="348"/>
        <v>3.9440601615647062E-3</v>
      </c>
      <c r="N341" s="3">
        <f t="shared" si="348"/>
        <v>3.9416791489364257E-3</v>
      </c>
      <c r="O341" s="3">
        <f t="shared" si="348"/>
        <v>3.9179479370517111E-3</v>
      </c>
      <c r="P341" s="3">
        <f t="shared" si="348"/>
        <v>3.6883537476316633E-3</v>
      </c>
      <c r="Q341" s="3">
        <f t="shared" si="348"/>
        <v>2.0163765292804882E-3</v>
      </c>
      <c r="R341" s="3">
        <f t="shared" si="348"/>
        <v>4.8079760608341161E-6</v>
      </c>
      <c r="S341" s="3">
        <f t="shared" si="348"/>
        <v>2.8567282334683389E-32</v>
      </c>
      <c r="T341" s="3">
        <f t="shared" si="348"/>
        <v>1.5665174276484732E-294</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3.5138091054195296E-3</v>
      </c>
      <c r="C342" s="3">
        <f t="shared" si="349"/>
        <v>3.5138091054195283E-3</v>
      </c>
      <c r="D342" s="3">
        <f t="shared" si="349"/>
        <v>3.5138091054195087E-3</v>
      </c>
      <c r="E342" s="3">
        <f t="shared" si="349"/>
        <v>3.5138091054193175E-3</v>
      </c>
      <c r="F342" s="3">
        <f t="shared" si="349"/>
        <v>3.5138091054174032E-3</v>
      </c>
      <c r="G342" s="3">
        <f t="shared" si="349"/>
        <v>3.5138091053982618E-3</v>
      </c>
      <c r="H342" s="3">
        <f t="shared" si="349"/>
        <v>3.5138091052068477E-3</v>
      </c>
      <c r="I342" s="3">
        <f t="shared" si="349"/>
        <v>3.5138091032927057E-3</v>
      </c>
      <c r="J342" s="3">
        <f t="shared" si="349"/>
        <v>3.5138090841512907E-3</v>
      </c>
      <c r="K342" s="3">
        <f t="shared" si="349"/>
        <v>3.513808892737144E-3</v>
      </c>
      <c r="L342" s="3">
        <f t="shared" si="349"/>
        <v>3.5138069785962483E-3</v>
      </c>
      <c r="M342" s="3">
        <f t="shared" si="349"/>
        <v>3.5137878372446451E-3</v>
      </c>
      <c r="N342" s="3">
        <f t="shared" si="349"/>
        <v>3.5135964294634716E-3</v>
      </c>
      <c r="O342" s="3">
        <f t="shared" si="349"/>
        <v>3.5116829250222601E-3</v>
      </c>
      <c r="P342" s="3">
        <f t="shared" si="349"/>
        <v>3.4926051022638135E-3</v>
      </c>
      <c r="Q342" s="3">
        <f t="shared" si="349"/>
        <v>3.3074353671611297E-3</v>
      </c>
      <c r="R342" s="3">
        <f t="shared" si="349"/>
        <v>1.9182719921483971E-3</v>
      </c>
      <c r="S342" s="3">
        <f t="shared" si="349"/>
        <v>8.262250991412219E-6</v>
      </c>
      <c r="T342" s="3">
        <f t="shared" si="349"/>
        <v>1.8154335773920377E-29</v>
      </c>
      <c r="U342" s="3">
        <f t="shared" si="349"/>
        <v>4.7621181012740535E-266</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7.1978944921583432E-4</v>
      </c>
      <c r="C343" s="3">
        <f t="shared" si="350"/>
        <v>7.1978944921583432E-4</v>
      </c>
      <c r="D343" s="3">
        <f t="shared" si="350"/>
        <v>7.1978944921583389E-4</v>
      </c>
      <c r="E343" s="3">
        <f t="shared" si="350"/>
        <v>7.1978944921583042E-4</v>
      </c>
      <c r="F343" s="3">
        <f t="shared" si="350"/>
        <v>7.1978944921579496E-4</v>
      </c>
      <c r="G343" s="3">
        <f t="shared" si="350"/>
        <v>7.197894492154413E-4</v>
      </c>
      <c r="H343" s="3">
        <f t="shared" si="350"/>
        <v>7.197894492119042E-4</v>
      </c>
      <c r="I343" s="3">
        <f t="shared" si="350"/>
        <v>7.1978944917653318E-4</v>
      </c>
      <c r="J343" s="3">
        <f t="shared" si="350"/>
        <v>7.1978944882282263E-4</v>
      </c>
      <c r="K343" s="3">
        <f t="shared" si="350"/>
        <v>7.1978944528571767E-4</v>
      </c>
      <c r="L343" s="3">
        <f t="shared" si="350"/>
        <v>7.1978940991466892E-4</v>
      </c>
      <c r="M343" s="3">
        <f t="shared" si="350"/>
        <v>7.1978905620427689E-4</v>
      </c>
      <c r="N343" s="3">
        <f t="shared" si="350"/>
        <v>7.1978551910991653E-4</v>
      </c>
      <c r="O343" s="3">
        <f t="shared" si="350"/>
        <v>7.1975014912228333E-4</v>
      </c>
      <c r="P343" s="3">
        <f t="shared" si="350"/>
        <v>7.193965448255888E-4</v>
      </c>
      <c r="Q343" s="3">
        <f t="shared" si="350"/>
        <v>7.1587004246681323E-4</v>
      </c>
      <c r="R343" s="3">
        <f t="shared" si="350"/>
        <v>6.8154195851578858E-4</v>
      </c>
      <c r="S343" s="3">
        <f t="shared" si="350"/>
        <v>4.1694300462658202E-4</v>
      </c>
      <c r="T343" s="3">
        <f t="shared" si="350"/>
        <v>3.0613827428796593E-6</v>
      </c>
      <c r="U343" s="3">
        <f t="shared" si="350"/>
        <v>1.3942061999962512E-27</v>
      </c>
      <c r="V343" s="3">
        <f t="shared" si="350"/>
        <v>5.3508257617242978E-241</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5.3803230598076777E-4</v>
      </c>
      <c r="C344" s="3">
        <f t="shared" si="351"/>
        <v>5.3803230598076777E-4</v>
      </c>
      <c r="D344" s="3">
        <f t="shared" si="351"/>
        <v>5.3803230598076777E-4</v>
      </c>
      <c r="E344" s="3">
        <f t="shared" si="351"/>
        <v>5.3803230598076755E-4</v>
      </c>
      <c r="F344" s="3">
        <f t="shared" si="351"/>
        <v>5.3803230598076517E-4</v>
      </c>
      <c r="G344" s="3">
        <f t="shared" si="351"/>
        <v>5.3803230598074121E-4</v>
      </c>
      <c r="H344" s="3">
        <f t="shared" si="351"/>
        <v>5.3803230598050279E-4</v>
      </c>
      <c r="I344" s="3">
        <f t="shared" si="351"/>
        <v>5.3803230597811765E-4</v>
      </c>
      <c r="J344" s="3">
        <f t="shared" si="351"/>
        <v>5.3803230595426716E-4</v>
      </c>
      <c r="K344" s="3">
        <f t="shared" si="351"/>
        <v>5.380323057157623E-4</v>
      </c>
      <c r="L344" s="3">
        <f t="shared" si="351"/>
        <v>5.3803230333071268E-4</v>
      </c>
      <c r="M344" s="3">
        <f t="shared" si="351"/>
        <v>5.380322794802171E-4</v>
      </c>
      <c r="N344" s="3">
        <f t="shared" si="351"/>
        <v>5.3803204097532017E-4</v>
      </c>
      <c r="O344" s="3">
        <f t="shared" si="351"/>
        <v>5.3802965593216534E-4</v>
      </c>
      <c r="P344" s="3">
        <f t="shared" si="351"/>
        <v>5.3800580608210562E-4</v>
      </c>
      <c r="Q344" s="3">
        <f t="shared" si="351"/>
        <v>5.377673657208389E-4</v>
      </c>
      <c r="R344" s="3">
        <f t="shared" si="351"/>
        <v>5.3538876651666094E-4</v>
      </c>
      <c r="S344" s="3">
        <f t="shared" si="351"/>
        <v>5.1217380689620718E-4</v>
      </c>
      <c r="T344" s="3">
        <f t="shared" si="351"/>
        <v>3.287747547990349E-4</v>
      </c>
      <c r="U344" s="3">
        <f t="shared" si="351"/>
        <v>3.9057949870670592E-6</v>
      </c>
      <c r="V344" s="3">
        <f t="shared" si="351"/>
        <v>2.1868513096332923E-25</v>
      </c>
      <c r="W344" s="3">
        <f t="shared" si="351"/>
        <v>6.6209051953342995E-218</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5.6418757759686938E-4</v>
      </c>
      <c r="C345" s="3">
        <f t="shared" si="352"/>
        <v>5.6418757759686938E-4</v>
      </c>
      <c r="D345" s="3">
        <f t="shared" si="352"/>
        <v>5.6418757759686938E-4</v>
      </c>
      <c r="E345" s="3">
        <f t="shared" si="352"/>
        <v>5.6418757759686938E-4</v>
      </c>
      <c r="F345" s="3">
        <f t="shared" si="352"/>
        <v>5.6418757759686916E-4</v>
      </c>
      <c r="G345" s="3">
        <f t="shared" si="352"/>
        <v>5.6418757759686688E-4</v>
      </c>
      <c r="H345" s="3">
        <f t="shared" si="352"/>
        <v>5.6418757759684433E-4</v>
      </c>
      <c r="I345" s="3">
        <f t="shared" si="352"/>
        <v>5.6418757759661871E-4</v>
      </c>
      <c r="J345" s="3">
        <f t="shared" si="352"/>
        <v>5.6418757759436259E-4</v>
      </c>
      <c r="K345" s="3">
        <f t="shared" si="352"/>
        <v>5.6418757757180154E-4</v>
      </c>
      <c r="L345" s="3">
        <f t="shared" si="352"/>
        <v>5.641875773461911E-4</v>
      </c>
      <c r="M345" s="3">
        <f t="shared" si="352"/>
        <v>5.6418757509008684E-4</v>
      </c>
      <c r="N345" s="3">
        <f t="shared" si="352"/>
        <v>5.6418755252904428E-4</v>
      </c>
      <c r="O345" s="3">
        <f t="shared" si="352"/>
        <v>5.6418732691866853E-4</v>
      </c>
      <c r="P345" s="3">
        <f t="shared" si="352"/>
        <v>5.6418507081987289E-4</v>
      </c>
      <c r="Q345" s="3">
        <f t="shared" si="352"/>
        <v>5.6416251032810941E-4</v>
      </c>
      <c r="R345" s="3">
        <f t="shared" si="352"/>
        <v>5.6393695502240471E-4</v>
      </c>
      <c r="S345" s="3">
        <f t="shared" si="352"/>
        <v>5.6168635582577329E-4</v>
      </c>
      <c r="T345" s="3">
        <f t="shared" si="352"/>
        <v>5.3966849802594263E-4</v>
      </c>
      <c r="U345" s="3">
        <f t="shared" si="352"/>
        <v>3.6179203568404382E-4</v>
      </c>
      <c r="V345" s="3">
        <f t="shared" si="352"/>
        <v>6.6340439899043505E-6</v>
      </c>
      <c r="W345" s="3">
        <f t="shared" si="352"/>
        <v>2.850833108513101E-23</v>
      </c>
      <c r="X345" s="3">
        <f t="shared" si="352"/>
        <v>6.1221823795016197E-197</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5.289794145093928E-4</v>
      </c>
      <c r="C346" s="3">
        <f t="shared" si="353"/>
        <v>5.289794145093928E-4</v>
      </c>
      <c r="D346" s="3">
        <f t="shared" si="353"/>
        <v>5.289794145093928E-4</v>
      </c>
      <c r="E346" s="3">
        <f t="shared" si="353"/>
        <v>5.289794145093928E-4</v>
      </c>
      <c r="F346" s="3">
        <f t="shared" si="353"/>
        <v>5.289794145093928E-4</v>
      </c>
      <c r="G346" s="3">
        <f t="shared" si="353"/>
        <v>5.2897941450939258E-4</v>
      </c>
      <c r="H346" s="3">
        <f t="shared" si="353"/>
        <v>5.2897941450939063E-4</v>
      </c>
      <c r="I346" s="3">
        <f t="shared" si="353"/>
        <v>5.2897941450937155E-4</v>
      </c>
      <c r="J346" s="3">
        <f t="shared" si="353"/>
        <v>5.2897941450918084E-4</v>
      </c>
      <c r="K346" s="3">
        <f t="shared" si="353"/>
        <v>5.2897941450727253E-4</v>
      </c>
      <c r="L346" s="3">
        <f t="shared" si="353"/>
        <v>5.2897941448819068E-4</v>
      </c>
      <c r="M346" s="3">
        <f t="shared" si="353"/>
        <v>5.2897941429737197E-4</v>
      </c>
      <c r="N346" s="3">
        <f t="shared" si="353"/>
        <v>5.289794123891846E-4</v>
      </c>
      <c r="O346" s="3">
        <f t="shared" si="353"/>
        <v>5.2897939330731126E-4</v>
      </c>
      <c r="P346" s="3">
        <f t="shared" si="353"/>
        <v>5.2897920248861589E-4</v>
      </c>
      <c r="Q346" s="3">
        <f t="shared" si="353"/>
        <v>5.289772943054482E-4</v>
      </c>
      <c r="R346" s="3">
        <f t="shared" si="353"/>
        <v>5.2895821285235223E-4</v>
      </c>
      <c r="S346" s="3">
        <f t="shared" si="353"/>
        <v>5.2876743617450111E-4</v>
      </c>
      <c r="T346" s="3">
        <f t="shared" si="353"/>
        <v>5.2686344965945434E-4</v>
      </c>
      <c r="U346" s="3">
        <f t="shared" si="353"/>
        <v>5.0819661364840069E-4</v>
      </c>
      <c r="V346" s="3">
        <f t="shared" si="353"/>
        <v>3.5429801888909468E-4</v>
      </c>
      <c r="W346" s="3">
        <f t="shared" si="353"/>
        <v>9.6103298708851184E-6</v>
      </c>
      <c r="X346" s="3">
        <f t="shared" si="353"/>
        <v>2.072211143863465E-21</v>
      </c>
      <c r="Y346" s="3">
        <f t="shared" si="353"/>
        <v>4.5018508753262881E-178</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5.3547450135887617E-5</v>
      </c>
      <c r="C347" s="3">
        <f t="shared" si="354"/>
        <v>5.3547450135887617E-5</v>
      </c>
      <c r="D347" s="3">
        <f t="shared" si="354"/>
        <v>5.3547450135887617E-5</v>
      </c>
      <c r="E347" s="3">
        <f t="shared" si="354"/>
        <v>5.3547450135887617E-5</v>
      </c>
      <c r="F347" s="3">
        <f t="shared" si="354"/>
        <v>5.3547450135887617E-5</v>
      </c>
      <c r="G347" s="3">
        <f t="shared" si="354"/>
        <v>5.3547450135887617E-5</v>
      </c>
      <c r="H347" s="3">
        <f t="shared" si="354"/>
        <v>5.3547450135887597E-5</v>
      </c>
      <c r="I347" s="3">
        <f t="shared" si="354"/>
        <v>5.3547450135887421E-5</v>
      </c>
      <c r="J347" s="3">
        <f t="shared" si="354"/>
        <v>5.3547450135885679E-5</v>
      </c>
      <c r="K347" s="3">
        <f t="shared" si="354"/>
        <v>5.3547450135868257E-5</v>
      </c>
      <c r="L347" s="3">
        <f t="shared" si="354"/>
        <v>5.3547450135694006E-5</v>
      </c>
      <c r="M347" s="3">
        <f t="shared" si="354"/>
        <v>5.354745013395153E-5</v>
      </c>
      <c r="N347" s="3">
        <f t="shared" si="354"/>
        <v>5.3547450116526734E-5</v>
      </c>
      <c r="O347" s="3">
        <f t="shared" si="354"/>
        <v>5.3547449942278803E-5</v>
      </c>
      <c r="P347" s="3">
        <f t="shared" si="354"/>
        <v>5.354744819979952E-5</v>
      </c>
      <c r="Q347" s="3">
        <f t="shared" si="354"/>
        <v>5.3547430775009794E-5</v>
      </c>
      <c r="R347" s="3">
        <f t="shared" si="354"/>
        <v>5.3547256527424351E-5</v>
      </c>
      <c r="S347" s="3">
        <f t="shared" si="354"/>
        <v>5.3545514082755521E-5</v>
      </c>
      <c r="T347" s="3">
        <f t="shared" si="354"/>
        <v>5.3528092754246375E-5</v>
      </c>
      <c r="U347" s="3">
        <f t="shared" si="354"/>
        <v>5.3354190911962662E-5</v>
      </c>
      <c r="V347" s="3">
        <f t="shared" si="354"/>
        <v>5.1645945030776559E-5</v>
      </c>
      <c r="W347" s="3">
        <f t="shared" si="354"/>
        <v>3.7300369231932578E-5</v>
      </c>
      <c r="X347" s="3">
        <f t="shared" si="354"/>
        <v>1.4403968163727291E-6</v>
      </c>
      <c r="Y347" s="3">
        <f t="shared" si="354"/>
        <v>1.0621170296772871E-20</v>
      </c>
      <c r="Z347" s="3">
        <f t="shared" si="354"/>
        <v>5.0474795339262494E-162</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4.4495454548071421E-4</v>
      </c>
      <c r="C348" s="3">
        <f t="shared" si="355"/>
        <v>4.4495454548071421E-4</v>
      </c>
      <c r="D348" s="3">
        <f t="shared" si="355"/>
        <v>4.4495454548071421E-4</v>
      </c>
      <c r="E348" s="3">
        <f t="shared" si="355"/>
        <v>4.4495454548071421E-4</v>
      </c>
      <c r="F348" s="3">
        <f t="shared" si="355"/>
        <v>4.4495454548071421E-4</v>
      </c>
      <c r="G348" s="3">
        <f t="shared" si="355"/>
        <v>4.4495454548071421E-4</v>
      </c>
      <c r="H348" s="3">
        <f t="shared" si="355"/>
        <v>4.4495454548071416E-4</v>
      </c>
      <c r="I348" s="3">
        <f t="shared" si="355"/>
        <v>4.4495454548071378E-4</v>
      </c>
      <c r="J348" s="3">
        <f t="shared" si="355"/>
        <v>4.4495454548070976E-4</v>
      </c>
      <c r="K348" s="3">
        <f t="shared" si="355"/>
        <v>4.449545454806697E-4</v>
      </c>
      <c r="L348" s="3">
        <f t="shared" si="355"/>
        <v>4.4495454548026925E-4</v>
      </c>
      <c r="M348" s="3">
        <f t="shared" si="355"/>
        <v>4.4495454547626464E-4</v>
      </c>
      <c r="N348" s="3">
        <f t="shared" si="355"/>
        <v>4.4495454543621882E-4</v>
      </c>
      <c r="O348" s="3">
        <f t="shared" si="355"/>
        <v>4.4495454503576051E-4</v>
      </c>
      <c r="P348" s="3">
        <f t="shared" si="355"/>
        <v>4.4495454103117706E-4</v>
      </c>
      <c r="Q348" s="3">
        <f t="shared" si="355"/>
        <v>4.4495450098534491E-4</v>
      </c>
      <c r="R348" s="3">
        <f t="shared" si="355"/>
        <v>4.4495410052722143E-4</v>
      </c>
      <c r="S348" s="3">
        <f t="shared" si="355"/>
        <v>4.4495009596580946E-4</v>
      </c>
      <c r="T348" s="3">
        <f t="shared" si="355"/>
        <v>4.4491005233388112E-4</v>
      </c>
      <c r="U348" s="3">
        <f t="shared" si="355"/>
        <v>4.4450981416778267E-4</v>
      </c>
      <c r="V348" s="3">
        <f t="shared" si="355"/>
        <v>4.4052718199897499E-4</v>
      </c>
      <c r="W348" s="3">
        <f t="shared" si="355"/>
        <v>4.0261159719997836E-4</v>
      </c>
      <c r="X348" s="3">
        <f t="shared" si="355"/>
        <v>1.6368993496915568E-4</v>
      </c>
      <c r="Y348" s="3">
        <f t="shared" si="355"/>
        <v>2.0201282047307998E-8</v>
      </c>
      <c r="Z348" s="3">
        <f t="shared" si="355"/>
        <v>1.6555736020021911E-47</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1.5289773047840316E-5</v>
      </c>
      <c r="C349" s="3">
        <f t="shared" si="356"/>
        <v>1.5289773047840316E-5</v>
      </c>
      <c r="D349" s="3">
        <f t="shared" si="356"/>
        <v>1.5289773047840316E-5</v>
      </c>
      <c r="E349" s="3">
        <f t="shared" si="356"/>
        <v>1.5289773047840316E-5</v>
      </c>
      <c r="F349" s="3">
        <f t="shared" si="356"/>
        <v>1.5289773047840316E-5</v>
      </c>
      <c r="G349" s="3">
        <f t="shared" si="356"/>
        <v>1.5289773047840316E-5</v>
      </c>
      <c r="H349" s="3">
        <f t="shared" si="356"/>
        <v>1.5289773047840316E-5</v>
      </c>
      <c r="I349" s="3">
        <f t="shared" si="356"/>
        <v>1.5289773047840312E-5</v>
      </c>
      <c r="J349" s="3">
        <f t="shared" si="356"/>
        <v>1.5289773047840299E-5</v>
      </c>
      <c r="K349" s="3">
        <f t="shared" si="356"/>
        <v>1.5289773047840163E-5</v>
      </c>
      <c r="L349" s="3">
        <f t="shared" si="356"/>
        <v>1.5289773047838788E-5</v>
      </c>
      <c r="M349" s="3">
        <f t="shared" si="356"/>
        <v>1.5289773047825025E-5</v>
      </c>
      <c r="N349" s="3">
        <f t="shared" si="356"/>
        <v>1.528977304768742E-5</v>
      </c>
      <c r="O349" s="3">
        <f t="shared" si="356"/>
        <v>1.5289773046311343E-5</v>
      </c>
      <c r="P349" s="3">
        <f t="shared" si="356"/>
        <v>1.5289773032550572E-5</v>
      </c>
      <c r="Q349" s="3">
        <f t="shared" si="356"/>
        <v>1.5289772894942873E-5</v>
      </c>
      <c r="R349" s="3">
        <f t="shared" si="356"/>
        <v>1.528977151886594E-5</v>
      </c>
      <c r="S349" s="3">
        <f t="shared" si="356"/>
        <v>1.5289757758103442E-5</v>
      </c>
      <c r="T349" s="3">
        <f t="shared" si="356"/>
        <v>1.5289620151159614E-5</v>
      </c>
      <c r="U349" s="3">
        <f t="shared" si="356"/>
        <v>1.5288244149834505E-5</v>
      </c>
      <c r="V349" s="3">
        <f t="shared" si="356"/>
        <v>1.5274490945632224E-5</v>
      </c>
      <c r="W349" s="3">
        <f t="shared" si="356"/>
        <v>1.5137637546532075E-5</v>
      </c>
      <c r="X349" s="3">
        <f t="shared" si="356"/>
        <v>1.3834761348410554E-5</v>
      </c>
      <c r="Y349" s="3">
        <f t="shared" si="356"/>
        <v>5.6248036598664424E-6</v>
      </c>
      <c r="Z349" s="3">
        <f t="shared" si="356"/>
        <v>6.9416757490375572E-10</v>
      </c>
      <c r="AA349" s="3">
        <f t="shared" si="356"/>
        <v>5.688973153709737E-49</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2.5082649304706281E-4</v>
      </c>
      <c r="C350" s="3">
        <f t="shared" si="357"/>
        <v>2.5082649304706281E-4</v>
      </c>
      <c r="D350" s="3">
        <f t="shared" si="357"/>
        <v>2.5082649304706281E-4</v>
      </c>
      <c r="E350" s="3">
        <f t="shared" si="357"/>
        <v>2.5082649304706281E-4</v>
      </c>
      <c r="F350" s="3">
        <f t="shared" si="357"/>
        <v>2.5082649304706281E-4</v>
      </c>
      <c r="G350" s="3">
        <f t="shared" si="357"/>
        <v>2.5082649304706281E-4</v>
      </c>
      <c r="H350" s="3">
        <f t="shared" si="357"/>
        <v>2.5082649304706281E-4</v>
      </c>
      <c r="I350" s="3">
        <f t="shared" si="357"/>
        <v>2.5082649304706281E-4</v>
      </c>
      <c r="J350" s="3">
        <f t="shared" si="357"/>
        <v>2.5082649304706276E-4</v>
      </c>
      <c r="K350" s="3">
        <f t="shared" si="357"/>
        <v>2.5082649304706254E-4</v>
      </c>
      <c r="L350" s="3">
        <f t="shared" si="357"/>
        <v>2.5082649304706032E-4</v>
      </c>
      <c r="M350" s="3">
        <f t="shared" si="357"/>
        <v>2.5082649304703771E-4</v>
      </c>
      <c r="N350" s="3">
        <f t="shared" si="357"/>
        <v>2.5082649304681198E-4</v>
      </c>
      <c r="O350" s="3">
        <f t="shared" si="357"/>
        <v>2.5082649304455457E-4</v>
      </c>
      <c r="P350" s="3">
        <f t="shared" si="357"/>
        <v>2.5082649302198023E-4</v>
      </c>
      <c r="Q350" s="3">
        <f t="shared" si="357"/>
        <v>2.5082649279623681E-4</v>
      </c>
      <c r="R350" s="3">
        <f t="shared" si="357"/>
        <v>2.5082649053880256E-4</v>
      </c>
      <c r="S350" s="3">
        <f t="shared" si="357"/>
        <v>2.5082646796446156E-4</v>
      </c>
      <c r="T350" s="3">
        <f t="shared" si="357"/>
        <v>2.5082624222116321E-4</v>
      </c>
      <c r="U350" s="3">
        <f t="shared" si="357"/>
        <v>2.5082398479935378E-4</v>
      </c>
      <c r="V350" s="3">
        <f t="shared" si="357"/>
        <v>2.5080141169864614E-4</v>
      </c>
      <c r="W350" s="3">
        <f t="shared" si="357"/>
        <v>2.5057579239302116E-4</v>
      </c>
      <c r="X350" s="3">
        <f t="shared" si="357"/>
        <v>2.4833073237476863E-4</v>
      </c>
      <c r="Y350" s="3">
        <f t="shared" si="357"/>
        <v>2.2695723869197844E-4</v>
      </c>
      <c r="Z350" s="3">
        <f t="shared" si="357"/>
        <v>9.2274082268465496E-5</v>
      </c>
      <c r="AA350" s="3">
        <f t="shared" si="357"/>
        <v>1.1387717649915491E-8</v>
      </c>
      <c r="AB350" s="3">
        <f t="shared" si="357"/>
        <v>9.3326773439940535E-48</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5.6673676320409674E-5</v>
      </c>
      <c r="C352" s="3">
        <f t="shared" si="359"/>
        <v>5.6673676320409674E-5</v>
      </c>
      <c r="D352" s="3">
        <f t="shared" si="359"/>
        <v>5.6673676320409674E-5</v>
      </c>
      <c r="E352" s="3">
        <f t="shared" si="359"/>
        <v>5.6673676320409674E-5</v>
      </c>
      <c r="F352" s="3">
        <f t="shared" si="359"/>
        <v>5.6673676320409674E-5</v>
      </c>
      <c r="G352" s="3">
        <f t="shared" si="359"/>
        <v>5.6673676320409674E-5</v>
      </c>
      <c r="H352" s="3">
        <f t="shared" si="359"/>
        <v>5.6673676320409674E-5</v>
      </c>
      <c r="I352" s="3">
        <f t="shared" si="359"/>
        <v>5.6673676320409674E-5</v>
      </c>
      <c r="J352" s="3">
        <f t="shared" si="359"/>
        <v>5.6673676320409674E-5</v>
      </c>
      <c r="K352" s="3">
        <f t="shared" si="359"/>
        <v>5.6673676320409674E-5</v>
      </c>
      <c r="L352" s="3">
        <f t="shared" si="359"/>
        <v>5.6673676320409667E-5</v>
      </c>
      <c r="M352" s="3">
        <f t="shared" si="359"/>
        <v>5.667367632040962E-5</v>
      </c>
      <c r="N352" s="3">
        <f t="shared" si="359"/>
        <v>5.6673676320409105E-5</v>
      </c>
      <c r="O352" s="3">
        <f t="shared" si="359"/>
        <v>5.6673676320404002E-5</v>
      </c>
      <c r="P352" s="3">
        <f t="shared" si="359"/>
        <v>5.6673676320353004E-5</v>
      </c>
      <c r="Q352" s="3">
        <f t="shared" si="359"/>
        <v>5.6673676319842934E-5</v>
      </c>
      <c r="R352" s="3">
        <f t="shared" si="359"/>
        <v>5.6673676314742319E-5</v>
      </c>
      <c r="S352" s="3">
        <f t="shared" si="359"/>
        <v>5.6673676263736109E-5</v>
      </c>
      <c r="T352" s="3">
        <f t="shared" si="359"/>
        <v>5.6673675753673969E-5</v>
      </c>
      <c r="U352" s="3">
        <f t="shared" si="359"/>
        <v>5.6673670653052899E-5</v>
      </c>
      <c r="V352" s="3">
        <f t="shared" si="359"/>
        <v>5.6673619646867438E-5</v>
      </c>
      <c r="W352" s="3">
        <f t="shared" si="359"/>
        <v>5.6673109587537617E-5</v>
      </c>
      <c r="X352" s="3">
        <f t="shared" si="359"/>
        <v>5.6668009246710331E-5</v>
      </c>
      <c r="Y352" s="3">
        <f t="shared" si="359"/>
        <v>5.6617031077126675E-5</v>
      </c>
      <c r="Z352" s="3">
        <f t="shared" si="359"/>
        <v>5.6109764865935576E-5</v>
      </c>
      <c r="AA352" s="3">
        <f t="shared" si="359"/>
        <v>5.128047252085824E-5</v>
      </c>
      <c r="AB352" s="3">
        <f t="shared" si="359"/>
        <v>2.0849119276505807E-5</v>
      </c>
      <c r="AC352" s="3">
        <f t="shared" si="359"/>
        <v>2.5730289343814766E-9</v>
      </c>
      <c r="AD352" s="3">
        <f t="shared" si="359"/>
        <v>2.1086972455381676E-48</v>
      </c>
      <c r="AE352" s="3">
        <f t="shared" si="359"/>
        <v>0</v>
      </c>
      <c r="AF352" s="3">
        <f t="shared" si="359"/>
        <v>0</v>
      </c>
      <c r="AG352" s="3"/>
      <c r="AH352" s="3"/>
    </row>
    <row r="353" spans="1:34" x14ac:dyDescent="0.25">
      <c r="B353" s="3">
        <f t="shared" ref="B353:AF353" si="360">$C44*EXP(-B$363/$A44/EXP(-$G$126))</f>
        <v>1.228688753482083E-4</v>
      </c>
      <c r="C353" s="3">
        <f t="shared" si="360"/>
        <v>1.228688753482083E-4</v>
      </c>
      <c r="D353" s="3">
        <f t="shared" si="360"/>
        <v>1.228688753482083E-4</v>
      </c>
      <c r="E353" s="3">
        <f t="shared" si="360"/>
        <v>1.228688753482083E-4</v>
      </c>
      <c r="F353" s="3">
        <f t="shared" si="360"/>
        <v>1.228688753482083E-4</v>
      </c>
      <c r="G353" s="3">
        <f t="shared" si="360"/>
        <v>1.228688753482083E-4</v>
      </c>
      <c r="H353" s="3">
        <f t="shared" si="360"/>
        <v>1.228688753482083E-4</v>
      </c>
      <c r="I353" s="3">
        <f t="shared" si="360"/>
        <v>1.228688753482083E-4</v>
      </c>
      <c r="J353" s="3">
        <f t="shared" si="360"/>
        <v>1.228688753482083E-4</v>
      </c>
      <c r="K353" s="3">
        <f t="shared" si="360"/>
        <v>1.228688753482083E-4</v>
      </c>
      <c r="L353" s="3">
        <f t="shared" si="360"/>
        <v>1.228688753482083E-4</v>
      </c>
      <c r="M353" s="3">
        <f t="shared" si="360"/>
        <v>1.2286887534820827E-4</v>
      </c>
      <c r="N353" s="3">
        <f t="shared" si="360"/>
        <v>1.2286887534820816E-4</v>
      </c>
      <c r="O353" s="3">
        <f t="shared" si="360"/>
        <v>1.2286887534820708E-4</v>
      </c>
      <c r="P353" s="3">
        <f t="shared" si="360"/>
        <v>1.2286887534819602E-4</v>
      </c>
      <c r="Q353" s="3">
        <f t="shared" si="360"/>
        <v>1.2286887534808543E-4</v>
      </c>
      <c r="R353" s="3">
        <f t="shared" si="360"/>
        <v>1.228688753469796E-4</v>
      </c>
      <c r="S353" s="3">
        <f t="shared" si="360"/>
        <v>1.2286887533592144E-4</v>
      </c>
      <c r="T353" s="3">
        <f t="shared" si="360"/>
        <v>1.2286887522533965E-4</v>
      </c>
      <c r="U353" s="3">
        <f t="shared" si="360"/>
        <v>1.2286887411952185E-4</v>
      </c>
      <c r="V353" s="3">
        <f t="shared" si="360"/>
        <v>1.2286886306134431E-4</v>
      </c>
      <c r="W353" s="3">
        <f t="shared" si="360"/>
        <v>1.2286875247962363E-4</v>
      </c>
      <c r="X353" s="3">
        <f t="shared" si="360"/>
        <v>1.2286764666789084E-4</v>
      </c>
      <c r="Y353" s="3">
        <f t="shared" si="360"/>
        <v>1.2285658909792137E-4</v>
      </c>
      <c r="Z353" s="3">
        <f t="shared" si="360"/>
        <v>1.2274606811585832E-4</v>
      </c>
      <c r="AA353" s="3">
        <f t="shared" si="360"/>
        <v>1.2164631188125613E-4</v>
      </c>
      <c r="AB353" s="3">
        <f t="shared" si="360"/>
        <v>1.1117637667160614E-4</v>
      </c>
      <c r="AC353" s="3">
        <f t="shared" si="360"/>
        <v>4.520101754158448E-5</v>
      </c>
      <c r="AD353" s="3">
        <f t="shared" si="360"/>
        <v>5.5783423968915656E-9</v>
      </c>
      <c r="AE353" s="3">
        <f t="shared" si="360"/>
        <v>4.5716684681673461E-48</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1.663721654170598E-4</v>
      </c>
      <c r="C357" s="3">
        <f t="shared" si="364"/>
        <v>1.663721654170598E-4</v>
      </c>
      <c r="D357" s="3">
        <f t="shared" si="364"/>
        <v>1.663721654170598E-4</v>
      </c>
      <c r="E357" s="3">
        <f t="shared" si="364"/>
        <v>1.663721654170598E-4</v>
      </c>
      <c r="F357" s="3">
        <f t="shared" si="364"/>
        <v>1.663721654170598E-4</v>
      </c>
      <c r="G357" s="3">
        <f t="shared" si="364"/>
        <v>1.663721654170598E-4</v>
      </c>
      <c r="H357" s="3">
        <f t="shared" si="364"/>
        <v>1.663721654170598E-4</v>
      </c>
      <c r="I357" s="3">
        <f t="shared" si="364"/>
        <v>1.663721654170598E-4</v>
      </c>
      <c r="J357" s="3">
        <f t="shared" si="364"/>
        <v>1.663721654170598E-4</v>
      </c>
      <c r="K357" s="3">
        <f t="shared" si="364"/>
        <v>1.663721654170598E-4</v>
      </c>
      <c r="L357" s="3">
        <f t="shared" si="364"/>
        <v>1.663721654170598E-4</v>
      </c>
      <c r="M357" s="3">
        <f t="shared" si="364"/>
        <v>1.663721654170598E-4</v>
      </c>
      <c r="N357" s="3">
        <f t="shared" si="364"/>
        <v>1.663721654170598E-4</v>
      </c>
      <c r="O357" s="3">
        <f t="shared" si="364"/>
        <v>1.663721654170598E-4</v>
      </c>
      <c r="P357" s="3">
        <f t="shared" si="364"/>
        <v>1.663721654170598E-4</v>
      </c>
      <c r="Q357" s="3">
        <f t="shared" si="364"/>
        <v>1.6637216541705977E-4</v>
      </c>
      <c r="R357" s="3">
        <f t="shared" si="364"/>
        <v>1.6637216541705963E-4</v>
      </c>
      <c r="S357" s="3">
        <f t="shared" si="364"/>
        <v>1.6637216541705814E-4</v>
      </c>
      <c r="T357" s="3">
        <f t="shared" si="364"/>
        <v>1.6637216541704315E-4</v>
      </c>
      <c r="U357" s="3">
        <f t="shared" si="364"/>
        <v>1.6637216541689342E-4</v>
      </c>
      <c r="V357" s="3">
        <f t="shared" si="364"/>
        <v>1.6637216541539609E-4</v>
      </c>
      <c r="W357" s="3">
        <f t="shared" si="364"/>
        <v>1.6637216540042261E-4</v>
      </c>
      <c r="X357" s="3">
        <f t="shared" si="364"/>
        <v>1.6637216525068794E-4</v>
      </c>
      <c r="Y357" s="3">
        <f t="shared" si="364"/>
        <v>1.6637216375334126E-4</v>
      </c>
      <c r="Z357" s="3">
        <f t="shared" si="364"/>
        <v>1.6637214877987514E-4</v>
      </c>
      <c r="AA357" s="3">
        <f t="shared" si="364"/>
        <v>1.6637199904528799E-4</v>
      </c>
      <c r="AB357" s="3">
        <f t="shared" si="364"/>
        <v>1.6637050170682853E-4</v>
      </c>
      <c r="AC357" s="3">
        <f t="shared" si="364"/>
        <v>1.663555290633917E-4</v>
      </c>
      <c r="AD357" s="3">
        <f t="shared" si="364"/>
        <v>1.6620587672012952E-4</v>
      </c>
      <c r="AE357" s="3">
        <f t="shared" si="364"/>
        <v>1.6471673778512138E-4</v>
      </c>
      <c r="AF357" s="3">
        <f t="shared" si="364"/>
        <v>1.5053978867844768E-4</v>
      </c>
      <c r="AG357" s="3"/>
      <c r="AH357" s="3"/>
    </row>
    <row r="358" spans="1:34" x14ac:dyDescent="0.25">
      <c r="A358" s="79">
        <f>AVERAGE(B358:AF358)</f>
        <v>4.1857976888759565E-5</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1.6399944700938262E-5</v>
      </c>
      <c r="M358" s="80">
        <f t="shared" si="365"/>
        <v>4.2628234742992852E-5</v>
      </c>
      <c r="N358" s="80">
        <f t="shared" si="365"/>
        <v>9.4418840642490883E-5</v>
      </c>
      <c r="O358" s="80">
        <f t="shared" si="365"/>
        <v>1.8071080390961433E-4</v>
      </c>
      <c r="P358" s="80">
        <f t="shared" si="365"/>
        <v>2.9681130155589621E-4</v>
      </c>
      <c r="Q358" s="80">
        <f t="shared" si="365"/>
        <v>3.1022136019642955E-4</v>
      </c>
      <c r="R358" s="80">
        <f t="shared" si="365"/>
        <v>1.913432432456106E-4</v>
      </c>
      <c r="S358" s="80">
        <f t="shared" si="365"/>
        <v>8.2673659237693798E-5</v>
      </c>
      <c r="T358" s="80">
        <f t="shared" si="365"/>
        <v>2.9813497387638279E-5</v>
      </c>
      <c r="U358" s="80">
        <f t="shared" si="365"/>
        <v>2.4670033433886E-5</v>
      </c>
      <c r="V358" s="80">
        <f t="shared" si="365"/>
        <v>2.790636449835572E-5</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4932.3412120161111</v>
      </c>
      <c r="C359" s="21">
        <f t="shared" ref="C359:AF359" si="366">(C326-C325)^2</f>
        <v>8251.7679391484253</v>
      </c>
      <c r="D359" s="21">
        <f t="shared" si="366"/>
        <v>578.34089450577289</v>
      </c>
      <c r="E359" s="21">
        <f t="shared" si="366"/>
        <v>15.42224071096563</v>
      </c>
      <c r="F359" s="21">
        <f t="shared" si="366"/>
        <v>0.29767205192394008</v>
      </c>
      <c r="G359" s="21">
        <f t="shared" si="366"/>
        <v>4.3986953090940162E-3</v>
      </c>
      <c r="H359" s="21">
        <f t="shared" si="366"/>
        <v>8.0630777905483578E-5</v>
      </c>
      <c r="I359" s="21">
        <f t="shared" si="366"/>
        <v>8.2227635429504733E-5</v>
      </c>
      <c r="J359" s="21">
        <f t="shared" si="366"/>
        <v>1.895952741074579E-4</v>
      </c>
      <c r="K359" s="21">
        <f t="shared" si="366"/>
        <v>4.7521232474732921E-4</v>
      </c>
      <c r="L359" s="21">
        <f t="shared" si="366"/>
        <v>1.2441789908641324E-3</v>
      </c>
      <c r="M359" s="21">
        <f t="shared" si="366"/>
        <v>3.6153732152787257E-3</v>
      </c>
      <c r="N359" s="21">
        <f t="shared" si="366"/>
        <v>6.0924491021749931E-3</v>
      </c>
      <c r="O359" s="21">
        <f t="shared" si="366"/>
        <v>7.0038196889024807E-3</v>
      </c>
      <c r="P359" s="21">
        <f t="shared" si="366"/>
        <v>5.8311149575013509E-3</v>
      </c>
      <c r="Q359" s="21">
        <f t="shared" si="366"/>
        <v>3.1174220692728274E-3</v>
      </c>
      <c r="R359" s="21">
        <f t="shared" si="366"/>
        <v>9.0888705542092852E-4</v>
      </c>
      <c r="S359" s="21">
        <f t="shared" si="366"/>
        <v>1.4002254223062833E-4</v>
      </c>
      <c r="T359" s="21">
        <f t="shared" si="366"/>
        <v>1.718307765122973E-5</v>
      </c>
      <c r="U359" s="21">
        <f t="shared" si="366"/>
        <v>1.1191784184607879E-5</v>
      </c>
      <c r="V359" s="21">
        <f t="shared" si="366"/>
        <v>1.361640352766443E-5</v>
      </c>
      <c r="W359" s="21">
        <f t="shared" si="366"/>
        <v>6.2418279964930371E-6</v>
      </c>
      <c r="X359" s="21">
        <f t="shared" si="366"/>
        <v>3.4253913630665755E-6</v>
      </c>
      <c r="Y359" s="21">
        <f t="shared" si="366"/>
        <v>1.9200802936222829E-5</v>
      </c>
      <c r="Z359" s="21">
        <f t="shared" si="366"/>
        <v>6.4493915367150995E-5</v>
      </c>
      <c r="AA359" s="21">
        <f t="shared" si="366"/>
        <v>1.7370024983040927E-3</v>
      </c>
      <c r="AB359" s="21">
        <f t="shared" si="366"/>
        <v>8.1273026912774601E-3</v>
      </c>
      <c r="AC359" s="21">
        <f t="shared" si="366"/>
        <v>1.4751971408972794E-2</v>
      </c>
      <c r="AD359" s="21">
        <f t="shared" si="366"/>
        <v>2.622497850076173E-2</v>
      </c>
      <c r="AE359" s="21">
        <f t="shared" si="366"/>
        <v>7.6077055196085361E-3</v>
      </c>
      <c r="AF359" s="21">
        <f t="shared" si="366"/>
        <v>7.1523231720143425E-5</v>
      </c>
      <c r="AG359" s="3"/>
      <c r="AH359" s="3"/>
    </row>
    <row r="360" spans="1:34" x14ac:dyDescent="0.25">
      <c r="A360" s="71">
        <f>SUM(B360:AF360)</f>
        <v>2.7995258887009569E-2</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1.2441789908641324E-3</v>
      </c>
      <c r="M360" s="60">
        <f t="shared" si="367"/>
        <v>3.6153732152787257E-3</v>
      </c>
      <c r="N360" s="60">
        <f t="shared" si="367"/>
        <v>6.0924491021749931E-3</v>
      </c>
      <c r="O360" s="60">
        <f t="shared" si="367"/>
        <v>7.0038196889024807E-3</v>
      </c>
      <c r="P360" s="60">
        <f t="shared" si="367"/>
        <v>5.8311149575013509E-3</v>
      </c>
      <c r="Q360" s="60">
        <f t="shared" si="367"/>
        <v>3.1174220692728274E-3</v>
      </c>
      <c r="R360" s="60">
        <f t="shared" si="367"/>
        <v>9.0888705542092852E-4</v>
      </c>
      <c r="S360" s="60">
        <f t="shared" si="367"/>
        <v>1.4002254223062833E-4</v>
      </c>
      <c r="T360" s="60">
        <f t="shared" si="367"/>
        <v>1.718307765122973E-5</v>
      </c>
      <c r="U360" s="60">
        <f t="shared" si="367"/>
        <v>1.1191784184607879E-5</v>
      </c>
      <c r="V360" s="60">
        <f t="shared" si="367"/>
        <v>1.361640352766443E-5</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5469.0375175567433</v>
      </c>
      <c r="C364" s="26">
        <f>INDEX(Comparison!$AM$3:$AS$33,G$14,$H$122)</f>
        <v>5144.4254375399241</v>
      </c>
      <c r="D364" s="26">
        <f>INDEX(Comparison!$AM$3:$AS$33,H$14,$H$122)</f>
        <v>4859.4796757955091</v>
      </c>
      <c r="E364" s="26">
        <f>INDEX(Comparison!$AM$3:$AS$33,I$14,$H$122)</f>
        <v>4579.0872874253573</v>
      </c>
      <c r="F364" s="26">
        <f>INDEX(Comparison!$AM$3:$AS$33,J$14,$H$122)</f>
        <v>4274.6287252900811</v>
      </c>
      <c r="G364" s="26">
        <f>INDEX(Comparison!$AM$3:$AS$33,K$14,$H$122)</f>
        <v>3938.1560081824523</v>
      </c>
      <c r="H364" s="26">
        <f>INDEX(Comparison!$AM$3:$AS$33,L$14,$H$122)</f>
        <v>3491.5925245283374</v>
      </c>
      <c r="I364" s="26">
        <f>INDEX(Comparison!$AM$3:$AS$33,M$14,$H$122)</f>
        <v>2939.5473684961994</v>
      </c>
      <c r="J364" s="26">
        <f>INDEX(Comparison!$AM$3:$AS$33,N$14,$H$122)</f>
        <v>2290.3210430692648</v>
      </c>
      <c r="K364" s="26">
        <f>INDEX(Comparison!$AM$3:$AS$33,O$14,$H$122)</f>
        <v>1556.8723374202477</v>
      </c>
      <c r="L364" s="26">
        <f>INDEX(Comparison!$AM$3:$AS$33,P$14,$H$122)</f>
        <v>939.61789874376836</v>
      </c>
      <c r="M364" s="26">
        <f>INDEX(Comparison!$AM$3:$AS$33,Q$14,$H$122)</f>
        <v>532.22470015904992</v>
      </c>
      <c r="N364" s="26">
        <f>INDEX(Comparison!$AM$3:$AS$33,R$14,$H$122)</f>
        <v>294.61415856723238</v>
      </c>
      <c r="O364" s="26">
        <f>INDEX(Comparison!$AM$3:$AS$33,S$14,$H$122)</f>
        <v>191.85627557437303</v>
      </c>
      <c r="P364" s="26">
        <f>INDEX(Comparison!$AM$3:$AS$33,T$14,$H$122)</f>
        <v>162.27843823453597</v>
      </c>
      <c r="Q364" s="26">
        <f>INDEX(Comparison!$AM$3:$AS$33,U$14,$H$122)</f>
        <v>147.30961753431595</v>
      </c>
      <c r="R364" s="26">
        <f>INDEX(Comparison!$AM$3:$AS$33,V$14,$H$122)</f>
        <v>142.06591803394016</v>
      </c>
      <c r="S364" s="26">
        <f>INDEX(Comparison!$AM$3:$AS$33,W$14,$H$122)</f>
        <v>140.2404472955443</v>
      </c>
      <c r="T364" s="26">
        <f>INDEX(Comparison!$AM$3:$AS$33,X$14,$H$122)</f>
        <v>137.13168564571805</v>
      </c>
      <c r="U364" s="26">
        <f>INDEX(Comparison!$AM$3:$AS$33,Y$14,$H$122)</f>
        <v>133.5914564553571</v>
      </c>
      <c r="V364" s="26">
        <f>INDEX(Comparison!$AM$3:$AS$33,Z$14,$H$122)</f>
        <v>130.60597118111332</v>
      </c>
      <c r="W364" s="26">
        <f>INDEX(Comparison!$AM$3:$AS$33,AA$14,$H$122)</f>
        <v>128.42317853149575</v>
      </c>
      <c r="X364" s="26">
        <f>INDEX(Comparison!$AM$3:$AS$33,AB$14,$H$122)</f>
        <v>126.92571513683149</v>
      </c>
      <c r="Y364" s="26">
        <f>INDEX(Comparison!$AM$3:$AS$33,AC$14,$H$122)</f>
        <v>125.87891264299097</v>
      </c>
      <c r="Z364" s="26">
        <f>INDEX(Comparison!$AM$3:$AS$33,AD$14,$H$122)</f>
        <v>125.11103067782525</v>
      </c>
      <c r="AA364" s="26">
        <f>INDEX(Comparison!$AM$3:$AS$33,AE$14,$H$122)</f>
        <v>124.96985459314666</v>
      </c>
      <c r="AB364" s="26">
        <f>INDEX(Comparison!$AM$3:$AS$33,AF$14,$H$122)</f>
        <v>124.77108605330615</v>
      </c>
      <c r="AC364" s="26">
        <f>INDEX(Comparison!$AM$3:$AS$33,AG$14,$H$122)</f>
        <v>123.93614365125383</v>
      </c>
      <c r="AD364" s="26">
        <f>INDEX(Comparison!$AM$3:$AS$33,AH$14,$H$122)</f>
        <v>123.92285545904397</v>
      </c>
      <c r="AE364" s="26">
        <f>INDEX(Comparison!$AM$3:$AS$33,AI$14,$H$122)</f>
        <v>123.48008539289999</v>
      </c>
      <c r="AF364" s="26">
        <f>INDEX(Comparison!$AM$3:$AS$33,AJ$14,$H$122)</f>
        <v>123.46865182434244</v>
      </c>
      <c r="AG364" s="26"/>
      <c r="AH364" s="26"/>
    </row>
    <row r="365" spans="1:34" x14ac:dyDescent="0.25">
      <c r="A365" s="70" t="s">
        <v>22</v>
      </c>
      <c r="B365" s="27">
        <f>($C$17+SUM(B366:B396))*$B$51</f>
        <v>5441.6959049933012</v>
      </c>
      <c r="C365" s="27">
        <f t="shared" ref="C365:AF365" si="368">($C$17+SUM(C366:C396))*$B$51</f>
        <v>5168.6387650087563</v>
      </c>
      <c r="D365" s="27">
        <f t="shared" si="368"/>
        <v>4902.6919281891742</v>
      </c>
      <c r="E365" s="27">
        <f t="shared" si="368"/>
        <v>4618.0143540347754</v>
      </c>
      <c r="F365" s="27">
        <f t="shared" si="368"/>
        <v>4319.9890152616335</v>
      </c>
      <c r="G365" s="27">
        <f t="shared" si="368"/>
        <v>3980.3753704739979</v>
      </c>
      <c r="H365" s="27">
        <f t="shared" si="368"/>
        <v>3547.2797983172704</v>
      </c>
      <c r="I365" s="27">
        <f t="shared" si="368"/>
        <v>2997.7539534383427</v>
      </c>
      <c r="J365" s="27">
        <f t="shared" si="368"/>
        <v>2346.2501084163969</v>
      </c>
      <c r="K365" s="27">
        <f t="shared" si="368"/>
        <v>1608.3688287837238</v>
      </c>
      <c r="L365" s="27">
        <f t="shared" si="368"/>
        <v>941.22206461919086</v>
      </c>
      <c r="M365" s="27">
        <f t="shared" si="368"/>
        <v>534.16838002297084</v>
      </c>
      <c r="N365" s="27">
        <f t="shared" si="368"/>
        <v>286.96338393431557</v>
      </c>
      <c r="O365" s="27">
        <f t="shared" si="368"/>
        <v>187.40215605408909</v>
      </c>
      <c r="P365" s="27">
        <f t="shared" si="368"/>
        <v>162.13510068453053</v>
      </c>
      <c r="Q365" s="27">
        <f t="shared" si="368"/>
        <v>144.73000073905501</v>
      </c>
      <c r="R365" s="27">
        <f t="shared" si="368"/>
        <v>139.85007546051037</v>
      </c>
      <c r="S365" s="27">
        <f t="shared" si="368"/>
        <v>136.39526249495634</v>
      </c>
      <c r="T365" s="27">
        <f t="shared" si="368"/>
        <v>132.97015027106511</v>
      </c>
      <c r="U365" s="27">
        <f t="shared" si="368"/>
        <v>130.06792607897995</v>
      </c>
      <c r="V365" s="27">
        <f t="shared" si="368"/>
        <v>128.36316546520345</v>
      </c>
      <c r="W365" s="27">
        <f t="shared" si="368"/>
        <v>126.54110832240826</v>
      </c>
      <c r="X365" s="27">
        <f t="shared" si="368"/>
        <v>125.86338124490537</v>
      </c>
      <c r="Y365" s="27">
        <f t="shared" si="368"/>
        <v>124.90623522604371</v>
      </c>
      <c r="Z365" s="27">
        <f t="shared" si="368"/>
        <v>124.72389059556208</v>
      </c>
      <c r="AA365" s="27">
        <f t="shared" si="368"/>
        <v>124.21526195606722</v>
      </c>
      <c r="AB365" s="27">
        <f t="shared" si="368"/>
        <v>123.75527552284882</v>
      </c>
      <c r="AC365" s="27">
        <f t="shared" si="368"/>
        <v>123.74670773846252</v>
      </c>
      <c r="AD365" s="27">
        <f t="shared" si="368"/>
        <v>123.69431077306419</v>
      </c>
      <c r="AE365" s="27">
        <f t="shared" si="368"/>
        <v>123.2917064052064</v>
      </c>
      <c r="AF365" s="27">
        <f t="shared" si="368"/>
        <v>122.67157516980592</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1.6350144361559606E-2</v>
      </c>
      <c r="C367" s="3">
        <f t="shared" si="370"/>
        <v>4.7651163204042471E-8</v>
      </c>
      <c r="D367" s="3">
        <f t="shared" si="370"/>
        <v>2.1066513057254436E-63</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2.9995216017039819E-2</v>
      </c>
      <c r="C368" s="3">
        <f t="shared" si="371"/>
        <v>9.4996701571823106E-3</v>
      </c>
      <c r="D368" s="3">
        <f t="shared" si="371"/>
        <v>9.6443696708210463E-8</v>
      </c>
      <c r="E368" s="3">
        <f t="shared" si="371"/>
        <v>1.1218300600015591E-57</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4.6139451431575468E-2</v>
      </c>
      <c r="C369" s="3">
        <f t="shared" si="372"/>
        <v>4.159369393918666E-2</v>
      </c>
      <c r="D369" s="3">
        <f t="shared" si="372"/>
        <v>1.4742737828766093E-2</v>
      </c>
      <c r="E369" s="3">
        <f t="shared" si="372"/>
        <v>4.6140750007398884E-7</v>
      </c>
      <c r="F369" s="3">
        <f t="shared" si="372"/>
        <v>4.160540179546108E-52</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4.4717753806388476E-2</v>
      </c>
      <c r="C370" s="3">
        <f t="shared" si="373"/>
        <v>4.4301308382392574E-2</v>
      </c>
      <c r="D370" s="3">
        <f t="shared" si="373"/>
        <v>4.0344308312858075E-2</v>
      </c>
      <c r="E370" s="3">
        <f t="shared" si="373"/>
        <v>1.5828490037805568E-2</v>
      </c>
      <c r="F370" s="3">
        <f t="shared" si="373"/>
        <v>1.36776541748861E-6</v>
      </c>
      <c r="G370" s="3">
        <f t="shared" si="373"/>
        <v>3.1749210859652887E-47</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4.8572714106786881E-2</v>
      </c>
      <c r="C371" s="3">
        <f t="shared" si="374"/>
        <v>4.8531734862879247E-2</v>
      </c>
      <c r="D371" s="3">
        <f t="shared" si="374"/>
        <v>4.8123839127380018E-2</v>
      </c>
      <c r="E371" s="3">
        <f t="shared" si="374"/>
        <v>4.4228760292438954E-2</v>
      </c>
      <c r="F371" s="3">
        <f t="shared" si="374"/>
        <v>1.9017339879876582E-2</v>
      </c>
      <c r="G371" s="3">
        <f t="shared" si="374"/>
        <v>4.107710105375168E-6</v>
      </c>
      <c r="H371" s="3">
        <f t="shared" si="374"/>
        <v>9.0802951948309986E-43</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5.5549035653953791E-2</v>
      </c>
      <c r="C372" s="3">
        <f t="shared" si="375"/>
        <v>5.5544806422863281E-2</v>
      </c>
      <c r="D372" s="3">
        <f t="shared" si="375"/>
        <v>5.5502531817523917E-2</v>
      </c>
      <c r="E372" s="3">
        <f t="shared" si="375"/>
        <v>5.5081551342995E-2</v>
      </c>
      <c r="F372" s="3">
        <f t="shared" si="375"/>
        <v>5.104343033827069E-2</v>
      </c>
      <c r="G372" s="3">
        <f t="shared" si="375"/>
        <v>2.383838065336346E-2</v>
      </c>
      <c r="H372" s="3">
        <f t="shared" si="375"/>
        <v>1.1766457277734161E-5</v>
      </c>
      <c r="I372" s="3">
        <f t="shared" si="375"/>
        <v>1.0100327170424875E-38</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7.8662707340463545E-2</v>
      </c>
      <c r="C373" s="3">
        <f t="shared" si="376"/>
        <v>7.866216706478886E-2</v>
      </c>
      <c r="D373" s="3">
        <f t="shared" si="376"/>
        <v>7.8656764512129218E-2</v>
      </c>
      <c r="E373" s="3">
        <f t="shared" si="376"/>
        <v>7.8602759389063304E-2</v>
      </c>
      <c r="F373" s="3">
        <f t="shared" si="376"/>
        <v>7.8064743335887726E-2</v>
      </c>
      <c r="G373" s="3">
        <f t="shared" si="376"/>
        <v>7.2883022274875683E-2</v>
      </c>
      <c r="H373" s="3">
        <f t="shared" si="376"/>
        <v>3.6672519331676603E-2</v>
      </c>
      <c r="I373" s="3">
        <f t="shared" si="376"/>
        <v>3.8149115546263919E-5</v>
      </c>
      <c r="J373" s="3">
        <f t="shared" si="376"/>
        <v>5.6613727289509311E-35</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9.4543735339027671E-2</v>
      </c>
      <c r="C374" s="3">
        <f t="shared" si="377"/>
        <v>9.4543676762013668E-2</v>
      </c>
      <c r="D374" s="3">
        <f t="shared" si="377"/>
        <v>9.4543090993869636E-2</v>
      </c>
      <c r="E374" s="3">
        <f t="shared" si="377"/>
        <v>9.4537233512035301E-2</v>
      </c>
      <c r="F374" s="3">
        <f t="shared" si="377"/>
        <v>9.447867864971872E-2</v>
      </c>
      <c r="G374" s="3">
        <f t="shared" si="377"/>
        <v>9.3895121062005593E-2</v>
      </c>
      <c r="H374" s="3">
        <f t="shared" si="377"/>
        <v>8.8254159075569036E-2</v>
      </c>
      <c r="I374" s="3">
        <f t="shared" si="377"/>
        <v>4.7495966587379049E-2</v>
      </c>
      <c r="J374" s="3">
        <f t="shared" si="377"/>
        <v>9.6799301363830788E-5</v>
      </c>
      <c r="K374" s="3">
        <f t="shared" si="377"/>
        <v>1.196815341023489E-31</v>
      </c>
      <c r="L374" s="3">
        <f t="shared" si="377"/>
        <v>9.9902508478799831E-301</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0.11359632313659275</v>
      </c>
      <c r="C375" s="3">
        <f t="shared" si="378"/>
        <v>0.11359631678759079</v>
      </c>
      <c r="D375" s="3">
        <f t="shared" si="378"/>
        <v>0.11359625329759081</v>
      </c>
      <c r="E375" s="3">
        <f t="shared" si="378"/>
        <v>0.11359561839954266</v>
      </c>
      <c r="F375" s="3">
        <f t="shared" si="378"/>
        <v>0.11358926961422501</v>
      </c>
      <c r="G375" s="3">
        <f t="shared" si="378"/>
        <v>0.11352580127339845</v>
      </c>
      <c r="H375" s="3">
        <f t="shared" si="378"/>
        <v>0.11289306507107613</v>
      </c>
      <c r="I375" s="3">
        <f t="shared" si="378"/>
        <v>0.10675645638264995</v>
      </c>
      <c r="J375" s="3">
        <f t="shared" si="378"/>
        <v>6.104681380076938E-2</v>
      </c>
      <c r="K375" s="3">
        <f t="shared" si="378"/>
        <v>2.2821885616547806E-4</v>
      </c>
      <c r="L375" s="3">
        <f t="shared" si="378"/>
        <v>1.2168491672879786E-28</v>
      </c>
      <c r="M375" s="3">
        <f t="shared" si="378"/>
        <v>2.2598988345547715E-271</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0.12987660320529829</v>
      </c>
      <c r="C376" s="3">
        <f t="shared" si="379"/>
        <v>0.12987660255048317</v>
      </c>
      <c r="D376" s="3">
        <f t="shared" si="379"/>
        <v>0.12987659600233198</v>
      </c>
      <c r="E376" s="3">
        <f t="shared" si="379"/>
        <v>0.12987653052083836</v>
      </c>
      <c r="F376" s="3">
        <f t="shared" si="379"/>
        <v>0.12987587570771789</v>
      </c>
      <c r="G376" s="3">
        <f t="shared" si="379"/>
        <v>0.12986932775808993</v>
      </c>
      <c r="H376" s="3">
        <f t="shared" si="379"/>
        <v>0.12980386641609645</v>
      </c>
      <c r="I376" s="3">
        <f t="shared" si="379"/>
        <v>0.12915106504269336</v>
      </c>
      <c r="J376" s="3">
        <f t="shared" si="379"/>
        <v>0.12280092073730686</v>
      </c>
      <c r="K376" s="3">
        <f t="shared" si="379"/>
        <v>7.4171649011554056E-2</v>
      </c>
      <c r="L376" s="3">
        <f t="shared" si="379"/>
        <v>4.7929295883866209E-4</v>
      </c>
      <c r="M376" s="3">
        <f t="shared" si="379"/>
        <v>6.0846022425719256E-26</v>
      </c>
      <c r="N376" s="3">
        <f t="shared" si="379"/>
        <v>6.6152100002142857E-245</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7.5604381497885051E-2</v>
      </c>
      <c r="C377" s="3">
        <f t="shared" si="380"/>
        <v>7.5604381463499071E-2</v>
      </c>
      <c r="D377" s="3">
        <f t="shared" si="380"/>
        <v>7.5604381119639325E-2</v>
      </c>
      <c r="E377" s="3">
        <f t="shared" si="380"/>
        <v>7.5604377681041904E-2</v>
      </c>
      <c r="F377" s="3">
        <f t="shared" si="380"/>
        <v>7.5604343295076329E-2</v>
      </c>
      <c r="G377" s="3">
        <f t="shared" si="380"/>
        <v>7.5603999436280614E-2</v>
      </c>
      <c r="H377" s="3">
        <f t="shared" si="380"/>
        <v>7.5600560934337716E-2</v>
      </c>
      <c r="I377" s="3">
        <f t="shared" si="380"/>
        <v>7.5566184514884255E-2</v>
      </c>
      <c r="J377" s="3">
        <f t="shared" si="380"/>
        <v>7.5223278872440985E-2</v>
      </c>
      <c r="K377" s="3">
        <f t="shared" si="380"/>
        <v>7.1878650282014483E-2</v>
      </c>
      <c r="L377" s="3">
        <f t="shared" si="380"/>
        <v>4.5611720075782687E-2</v>
      </c>
      <c r="M377" s="3">
        <f t="shared" si="380"/>
        <v>4.8288289223060577E-4</v>
      </c>
      <c r="N377" s="3">
        <f t="shared" si="380"/>
        <v>8.5407401545852155E-24</v>
      </c>
      <c r="O377" s="3">
        <f t="shared" si="380"/>
        <v>2.5587768083162364E-221</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4.9796050081198126E-2</v>
      </c>
      <c r="C378" s="3">
        <f t="shared" si="381"/>
        <v>4.9796050079155094E-2</v>
      </c>
      <c r="D378" s="3">
        <f t="shared" si="381"/>
        <v>4.9796050058724742E-2</v>
      </c>
      <c r="E378" s="3">
        <f t="shared" si="381"/>
        <v>4.9796049854421209E-2</v>
      </c>
      <c r="F378" s="3">
        <f t="shared" si="381"/>
        <v>4.9796047811385982E-2</v>
      </c>
      <c r="G378" s="3">
        <f t="shared" si="381"/>
        <v>4.9796027381038319E-2</v>
      </c>
      <c r="H378" s="3">
        <f t="shared" si="381"/>
        <v>4.9795823078022702E-2</v>
      </c>
      <c r="I378" s="3">
        <f t="shared" si="381"/>
        <v>4.9793780093967691E-2</v>
      </c>
      <c r="J378" s="3">
        <f t="shared" si="381"/>
        <v>4.9773354862837585E-2</v>
      </c>
      <c r="K378" s="3">
        <f t="shared" si="381"/>
        <v>4.956956279456981E-2</v>
      </c>
      <c r="L378" s="3">
        <f t="shared" si="381"/>
        <v>4.7576975349904384E-2</v>
      </c>
      <c r="M378" s="3">
        <f t="shared" si="381"/>
        <v>3.1565613366670756E-2</v>
      </c>
      <c r="N378" s="3">
        <f t="shared" si="381"/>
        <v>5.2166088263022571E-4</v>
      </c>
      <c r="O378" s="3">
        <f t="shared" si="381"/>
        <v>7.9273614976826892E-22</v>
      </c>
      <c r="P378" s="3">
        <f t="shared" si="381"/>
        <v>5.206340580829961E-200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2.0966447401344766E-2</v>
      </c>
      <c r="C379" s="3">
        <f t="shared" si="382"/>
        <v>2.0966447401267168E-2</v>
      </c>
      <c r="D379" s="3">
        <f t="shared" si="382"/>
        <v>2.0966447400491185E-2</v>
      </c>
      <c r="E379" s="3">
        <f t="shared" si="382"/>
        <v>2.096644739273135E-2</v>
      </c>
      <c r="F379" s="3">
        <f t="shared" si="382"/>
        <v>2.0966447315133013E-2</v>
      </c>
      <c r="G379" s="3">
        <f t="shared" si="382"/>
        <v>2.0966446539149669E-2</v>
      </c>
      <c r="H379" s="3">
        <f t="shared" si="382"/>
        <v>2.0966438779317781E-2</v>
      </c>
      <c r="I379" s="3">
        <f t="shared" si="382"/>
        <v>2.096636118115687E-2</v>
      </c>
      <c r="J379" s="3">
        <f t="shared" si="382"/>
        <v>2.0965585215343363E-2</v>
      </c>
      <c r="K379" s="3">
        <f t="shared" si="382"/>
        <v>2.0957827136551734E-2</v>
      </c>
      <c r="L379" s="3">
        <f t="shared" si="382"/>
        <v>2.0880404066919728E-2</v>
      </c>
      <c r="M379" s="3">
        <f t="shared" si="382"/>
        <v>2.0121731341605283E-2</v>
      </c>
      <c r="N379" s="3">
        <f t="shared" si="382"/>
        <v>1.389728042954236E-2</v>
      </c>
      <c r="O379" s="3">
        <f t="shared" si="382"/>
        <v>3.4322156777560837E-4</v>
      </c>
      <c r="P379" s="3">
        <f t="shared" si="382"/>
        <v>2.8974908100769237E-20</v>
      </c>
      <c r="Q379" s="3">
        <f t="shared" si="382"/>
        <v>5.3271758309048504E-181</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3.9443248072898191E-3</v>
      </c>
      <c r="C380" s="3">
        <f t="shared" si="383"/>
        <v>3.9443248072885025E-3</v>
      </c>
      <c r="D380" s="3">
        <f t="shared" si="383"/>
        <v>3.9443248072753342E-3</v>
      </c>
      <c r="E380" s="3">
        <f t="shared" si="383"/>
        <v>3.9443248071436452E-3</v>
      </c>
      <c r="F380" s="3">
        <f t="shared" si="383"/>
        <v>3.9443248058267637E-3</v>
      </c>
      <c r="G380" s="3">
        <f t="shared" si="383"/>
        <v>3.9443247926579453E-3</v>
      </c>
      <c r="H380" s="3">
        <f t="shared" si="383"/>
        <v>3.9443246609697589E-3</v>
      </c>
      <c r="I380" s="3">
        <f t="shared" si="383"/>
        <v>3.9443233440881412E-3</v>
      </c>
      <c r="J380" s="3">
        <f t="shared" si="383"/>
        <v>3.9443101752961521E-3</v>
      </c>
      <c r="K380" s="3">
        <f t="shared" si="383"/>
        <v>3.9441784897943765E-3</v>
      </c>
      <c r="L380" s="3">
        <f t="shared" si="383"/>
        <v>3.9428618765586683E-3</v>
      </c>
      <c r="M380" s="3">
        <f t="shared" si="383"/>
        <v>3.9297198925657998E-3</v>
      </c>
      <c r="N380" s="3">
        <f t="shared" si="383"/>
        <v>3.8006853228763748E-3</v>
      </c>
      <c r="O380" s="3">
        <f t="shared" si="383"/>
        <v>2.7218557064927398E-3</v>
      </c>
      <c r="P380" s="3">
        <f t="shared" si="383"/>
        <v>9.6582166552506356E-5</v>
      </c>
      <c r="Q380" s="3">
        <f t="shared" si="383"/>
        <v>3.056436619625051E-19</v>
      </c>
      <c r="R380" s="3">
        <f t="shared" si="383"/>
        <v>3.0789306337738229E-164</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3.5138091054195183E-3</v>
      </c>
      <c r="C381" s="3">
        <f t="shared" si="384"/>
        <v>3.5138091054194125E-3</v>
      </c>
      <c r="D381" s="3">
        <f t="shared" si="384"/>
        <v>3.5138091054183543E-3</v>
      </c>
      <c r="E381" s="3">
        <f t="shared" si="384"/>
        <v>3.5138091054077712E-3</v>
      </c>
      <c r="F381" s="3">
        <f t="shared" si="384"/>
        <v>3.5138091053019439E-3</v>
      </c>
      <c r="G381" s="3">
        <f t="shared" si="384"/>
        <v>3.5138091042436676E-3</v>
      </c>
      <c r="H381" s="3">
        <f t="shared" si="384"/>
        <v>3.513809093660909E-3</v>
      </c>
      <c r="I381" s="3">
        <f t="shared" si="384"/>
        <v>3.5138089878333206E-3</v>
      </c>
      <c r="J381" s="3">
        <f t="shared" si="384"/>
        <v>3.5138079295576117E-3</v>
      </c>
      <c r="K381" s="3">
        <f t="shared" si="384"/>
        <v>3.5137973468180525E-3</v>
      </c>
      <c r="L381" s="3">
        <f t="shared" si="384"/>
        <v>3.513691521175439E-3</v>
      </c>
      <c r="M381" s="3">
        <f t="shared" si="384"/>
        <v>3.5126334400277749E-3</v>
      </c>
      <c r="N381" s="3">
        <f t="shared" si="384"/>
        <v>3.5020701368814826E-3</v>
      </c>
      <c r="O381" s="3">
        <f t="shared" si="384"/>
        <v>3.3981685841868395E-3</v>
      </c>
      <c r="P381" s="3">
        <f t="shared" si="384"/>
        <v>2.514465784813786E-3</v>
      </c>
      <c r="Q381" s="3">
        <f t="shared" si="384"/>
        <v>1.2372396485879831E-4</v>
      </c>
      <c r="R381" s="3">
        <f t="shared" si="384"/>
        <v>1.0292830346086253E-17</v>
      </c>
      <c r="S381" s="3">
        <f t="shared" si="384"/>
        <v>1.6343485034010515E-148</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7.197894492158341E-4</v>
      </c>
      <c r="C382" s="3">
        <f t="shared" si="385"/>
        <v>7.1978944921583215E-4</v>
      </c>
      <c r="D382" s="3">
        <f t="shared" si="385"/>
        <v>7.1978944921581264E-4</v>
      </c>
      <c r="E382" s="3">
        <f t="shared" si="385"/>
        <v>7.1978944921561705E-4</v>
      </c>
      <c r="F382" s="3">
        <f t="shared" si="385"/>
        <v>7.1978944921366147E-4</v>
      </c>
      <c r="G382" s="3">
        <f t="shared" si="385"/>
        <v>7.1978944919410582E-4</v>
      </c>
      <c r="H382" s="3">
        <f t="shared" si="385"/>
        <v>7.1978944899854904E-4</v>
      </c>
      <c r="I382" s="3">
        <f t="shared" si="385"/>
        <v>7.197894470429816E-4</v>
      </c>
      <c r="J382" s="3">
        <f t="shared" si="385"/>
        <v>7.1978942748730692E-4</v>
      </c>
      <c r="K382" s="3">
        <f t="shared" si="385"/>
        <v>7.197892319305894E-4</v>
      </c>
      <c r="L382" s="3">
        <f t="shared" si="385"/>
        <v>7.1978727636633601E-4</v>
      </c>
      <c r="M382" s="3">
        <f t="shared" si="385"/>
        <v>7.1976772101601443E-4</v>
      </c>
      <c r="N382" s="3">
        <f t="shared" si="385"/>
        <v>7.1957219673105747E-4</v>
      </c>
      <c r="O382" s="3">
        <f t="shared" si="385"/>
        <v>7.1761987277234925E-4</v>
      </c>
      <c r="P382" s="3">
        <f t="shared" si="385"/>
        <v>6.983856092916468E-4</v>
      </c>
      <c r="Q382" s="3">
        <f t="shared" si="385"/>
        <v>5.3223512299102626E-4</v>
      </c>
      <c r="R382" s="3">
        <f t="shared" si="385"/>
        <v>3.5171105666398827E-5</v>
      </c>
      <c r="S382" s="3">
        <f t="shared" si="385"/>
        <v>5.5848424474065755E-17</v>
      </c>
      <c r="T382" s="3">
        <f t="shared" si="385"/>
        <v>5.6919355097810783E-135</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5.3803230598076777E-4</v>
      </c>
      <c r="C383" s="3">
        <f t="shared" si="386"/>
        <v>5.3803230598076766E-4</v>
      </c>
      <c r="D383" s="3">
        <f t="shared" si="386"/>
        <v>5.3803230598076625E-4</v>
      </c>
      <c r="E383" s="3">
        <f t="shared" si="386"/>
        <v>5.3803230598075313E-4</v>
      </c>
      <c r="F383" s="3">
        <f t="shared" si="386"/>
        <v>5.3803230598062129E-4</v>
      </c>
      <c r="G383" s="3">
        <f t="shared" si="386"/>
        <v>5.3803230597930258E-4</v>
      </c>
      <c r="H383" s="3">
        <f t="shared" si="386"/>
        <v>5.380323059661164E-4</v>
      </c>
      <c r="I383" s="3">
        <f t="shared" si="386"/>
        <v>5.3803230583425357E-4</v>
      </c>
      <c r="J383" s="3">
        <f t="shared" si="386"/>
        <v>5.3803230451562563E-4</v>
      </c>
      <c r="K383" s="3">
        <f t="shared" si="386"/>
        <v>5.3803229132934631E-4</v>
      </c>
      <c r="L383" s="3">
        <f t="shared" si="386"/>
        <v>5.3803215946657029E-4</v>
      </c>
      <c r="M383" s="3">
        <f t="shared" si="386"/>
        <v>5.3803084084058867E-4</v>
      </c>
      <c r="N383" s="3">
        <f t="shared" si="386"/>
        <v>5.3801765475851608E-4</v>
      </c>
      <c r="O383" s="3">
        <f t="shared" si="386"/>
        <v>5.3788581171056009E-4</v>
      </c>
      <c r="P383" s="3">
        <f t="shared" si="386"/>
        <v>5.3656915689747318E-4</v>
      </c>
      <c r="Q383" s="3">
        <f t="shared" si="386"/>
        <v>5.2357857572553595E-4</v>
      </c>
      <c r="R383" s="3">
        <f t="shared" si="386"/>
        <v>4.0977314413831217E-4</v>
      </c>
      <c r="S383" s="3">
        <f t="shared" si="386"/>
        <v>3.5331309871811964E-5</v>
      </c>
      <c r="T383" s="3">
        <f t="shared" si="386"/>
        <v>8.0227305405787551E-16</v>
      </c>
      <c r="U383" s="3">
        <f t="shared" si="386"/>
        <v>2.9237947118691849E-122</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5.6418757759686938E-4</v>
      </c>
      <c r="C384" s="3">
        <f t="shared" si="387"/>
        <v>5.6418757759686938E-4</v>
      </c>
      <c r="D384" s="3">
        <f t="shared" si="387"/>
        <v>5.6418757759686927E-4</v>
      </c>
      <c r="E384" s="3">
        <f t="shared" si="387"/>
        <v>5.6418757759686797E-4</v>
      </c>
      <c r="F384" s="3">
        <f t="shared" si="387"/>
        <v>5.641875775968555E-4</v>
      </c>
      <c r="G384" s="3">
        <f t="shared" si="387"/>
        <v>5.6418757759673071E-4</v>
      </c>
      <c r="H384" s="3">
        <f t="shared" si="387"/>
        <v>5.6418757759548344E-4</v>
      </c>
      <c r="I384" s="3">
        <f t="shared" si="387"/>
        <v>5.6418757758301013E-4</v>
      </c>
      <c r="J384" s="3">
        <f t="shared" si="387"/>
        <v>5.6418757745827625E-4</v>
      </c>
      <c r="K384" s="3">
        <f t="shared" si="387"/>
        <v>5.6418757621093862E-4</v>
      </c>
      <c r="L384" s="3">
        <f t="shared" si="387"/>
        <v>5.6418756373756223E-4</v>
      </c>
      <c r="M384" s="3">
        <f t="shared" si="387"/>
        <v>5.6418743900381275E-4</v>
      </c>
      <c r="N384" s="3">
        <f t="shared" si="387"/>
        <v>5.6418619166783465E-4</v>
      </c>
      <c r="O384" s="3">
        <f t="shared" si="387"/>
        <v>5.6417371845972537E-4</v>
      </c>
      <c r="P384" s="3">
        <f t="shared" si="387"/>
        <v>5.6404900154451848E-4</v>
      </c>
      <c r="Q384" s="3">
        <f t="shared" si="387"/>
        <v>5.6280334774112557E-4</v>
      </c>
      <c r="R384" s="3">
        <f t="shared" si="387"/>
        <v>5.5049711229055614E-4</v>
      </c>
      <c r="S384" s="3">
        <f t="shared" si="387"/>
        <v>4.4130492658238515E-4</v>
      </c>
      <c r="T384" s="3">
        <f t="shared" si="387"/>
        <v>4.8369999413630024E-5</v>
      </c>
      <c r="U384" s="3">
        <f t="shared" si="387"/>
        <v>1.2104563844343114E-14</v>
      </c>
      <c r="V384" s="3">
        <f t="shared" si="387"/>
        <v>1.165949601559526E-110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5.289794145093928E-4</v>
      </c>
      <c r="C385" s="3">
        <f t="shared" si="388"/>
        <v>5.289794145093928E-4</v>
      </c>
      <c r="D385" s="3">
        <f t="shared" si="388"/>
        <v>5.289794145093928E-4</v>
      </c>
      <c r="E385" s="3">
        <f t="shared" si="388"/>
        <v>5.2897941450939269E-4</v>
      </c>
      <c r="F385" s="3">
        <f t="shared" si="388"/>
        <v>5.2897941450939161E-4</v>
      </c>
      <c r="G385" s="3">
        <f t="shared" si="388"/>
        <v>5.2897941450938109E-4</v>
      </c>
      <c r="H385" s="3">
        <f t="shared" si="388"/>
        <v>5.289794145092756E-4</v>
      </c>
      <c r="I385" s="3">
        <f t="shared" si="388"/>
        <v>5.2897941450822056E-4</v>
      </c>
      <c r="J385" s="3">
        <f t="shared" si="388"/>
        <v>5.2897941449767073E-4</v>
      </c>
      <c r="K385" s="3">
        <f t="shared" si="388"/>
        <v>5.2897941439217233E-4</v>
      </c>
      <c r="L385" s="3">
        <f t="shared" si="388"/>
        <v>5.2897941333718832E-4</v>
      </c>
      <c r="M385" s="3">
        <f t="shared" si="388"/>
        <v>5.2897940278734835E-4</v>
      </c>
      <c r="N385" s="3">
        <f t="shared" si="388"/>
        <v>5.2897929728895979E-4</v>
      </c>
      <c r="O385" s="3">
        <f t="shared" si="388"/>
        <v>5.2897824230623122E-4</v>
      </c>
      <c r="P385" s="3">
        <f t="shared" si="388"/>
        <v>5.2896769259466703E-4</v>
      </c>
      <c r="Q385" s="3">
        <f t="shared" si="388"/>
        <v>5.2886220705027011E-4</v>
      </c>
      <c r="R385" s="3">
        <f t="shared" si="388"/>
        <v>5.2780850787733573E-4</v>
      </c>
      <c r="S385" s="3">
        <f t="shared" si="388"/>
        <v>5.173862945495461E-4</v>
      </c>
      <c r="T385" s="3">
        <f t="shared" si="388"/>
        <v>4.2383835699001882E-4</v>
      </c>
      <c r="U385" s="3">
        <f t="shared" si="388"/>
        <v>5.7683769116036392E-5</v>
      </c>
      <c r="V385" s="3">
        <f t="shared" si="388"/>
        <v>1.2577298103369278E-13</v>
      </c>
      <c r="W385" s="3">
        <f t="shared" si="388"/>
        <v>3.0543907886535156E-100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5.3547450135887617E-5</v>
      </c>
      <c r="C386" s="3">
        <f t="shared" si="389"/>
        <v>5.3547450135887617E-5</v>
      </c>
      <c r="D386" s="3">
        <f t="shared" si="389"/>
        <v>5.3547450135887617E-5</v>
      </c>
      <c r="E386" s="3">
        <f t="shared" si="389"/>
        <v>5.3547450135887617E-5</v>
      </c>
      <c r="F386" s="3">
        <f t="shared" si="389"/>
        <v>5.3547450135887604E-5</v>
      </c>
      <c r="G386" s="3">
        <f t="shared" si="389"/>
        <v>5.3547450135887509E-5</v>
      </c>
      <c r="H386" s="3">
        <f t="shared" si="389"/>
        <v>5.3547450135886546E-5</v>
      </c>
      <c r="I386" s="3">
        <f t="shared" si="389"/>
        <v>5.3547450135876911E-5</v>
      </c>
      <c r="J386" s="3">
        <f t="shared" si="389"/>
        <v>5.3547450135780579E-5</v>
      </c>
      <c r="K386" s="3">
        <f t="shared" si="389"/>
        <v>5.3547450134817211E-5</v>
      </c>
      <c r="L386" s="3">
        <f t="shared" si="389"/>
        <v>5.3547450125183526E-5</v>
      </c>
      <c r="M386" s="3">
        <f t="shared" si="389"/>
        <v>5.3547450028846661E-5</v>
      </c>
      <c r="N386" s="3">
        <f t="shared" si="389"/>
        <v>5.3547449065478055E-5</v>
      </c>
      <c r="O386" s="3">
        <f t="shared" si="389"/>
        <v>5.354743943179297E-5</v>
      </c>
      <c r="P386" s="3">
        <f t="shared" si="389"/>
        <v>5.3547343095037421E-5</v>
      </c>
      <c r="Q386" s="3">
        <f t="shared" si="389"/>
        <v>5.3546379737014381E-5</v>
      </c>
      <c r="R386" s="3">
        <f t="shared" si="389"/>
        <v>5.3536747109968025E-5</v>
      </c>
      <c r="S386" s="3">
        <f t="shared" si="389"/>
        <v>5.3440516094488533E-5</v>
      </c>
      <c r="T386" s="3">
        <f t="shared" si="389"/>
        <v>5.2487668334219294E-5</v>
      </c>
      <c r="U386" s="3">
        <f t="shared" si="389"/>
        <v>4.3845360883849908E-5</v>
      </c>
      <c r="V386" s="3">
        <f t="shared" si="389"/>
        <v>7.2541634117740097E-6</v>
      </c>
      <c r="W386" s="3">
        <f t="shared" si="389"/>
        <v>1.1148698983843102E-13</v>
      </c>
      <c r="X386" s="3">
        <f t="shared" si="389"/>
        <v>8.1958262030789717E-92</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4.4495454548071421E-4</v>
      </c>
      <c r="C387" s="3">
        <f t="shared" si="390"/>
        <v>4.4495454548071421E-4</v>
      </c>
      <c r="D387" s="3">
        <f t="shared" si="390"/>
        <v>4.4495454548071421E-4</v>
      </c>
      <c r="E387" s="3">
        <f t="shared" si="390"/>
        <v>4.4495454548071421E-4</v>
      </c>
      <c r="F387" s="3">
        <f t="shared" si="390"/>
        <v>4.4495454548071421E-4</v>
      </c>
      <c r="G387" s="3">
        <f t="shared" si="390"/>
        <v>4.4495454548071394E-4</v>
      </c>
      <c r="H387" s="3">
        <f t="shared" si="390"/>
        <v>4.4495454548071172E-4</v>
      </c>
      <c r="I387" s="3">
        <f t="shared" si="390"/>
        <v>4.449545454806896E-4</v>
      </c>
      <c r="J387" s="3">
        <f t="shared" si="390"/>
        <v>4.449545454804682E-4</v>
      </c>
      <c r="K387" s="3">
        <f t="shared" si="390"/>
        <v>4.4495454547825421E-4</v>
      </c>
      <c r="L387" s="3">
        <f t="shared" si="390"/>
        <v>4.4495454545611393E-4</v>
      </c>
      <c r="M387" s="3">
        <f t="shared" si="390"/>
        <v>4.4495454523471161E-4</v>
      </c>
      <c r="N387" s="3">
        <f t="shared" si="390"/>
        <v>4.4495454302068821E-4</v>
      </c>
      <c r="O387" s="3">
        <f t="shared" si="390"/>
        <v>4.4495452088045483E-4</v>
      </c>
      <c r="P387" s="3">
        <f t="shared" si="390"/>
        <v>4.4495429947818152E-4</v>
      </c>
      <c r="Q387" s="3">
        <f t="shared" si="390"/>
        <v>4.4495208546150769E-4</v>
      </c>
      <c r="R387" s="3">
        <f t="shared" si="390"/>
        <v>4.4492994590067137E-4</v>
      </c>
      <c r="S387" s="3">
        <f t="shared" si="390"/>
        <v>4.4470861087138081E-4</v>
      </c>
      <c r="T387" s="3">
        <f t="shared" si="390"/>
        <v>4.4250130734758503E-4</v>
      </c>
      <c r="U387" s="3">
        <f t="shared" si="390"/>
        <v>4.2102196316391418E-4</v>
      </c>
      <c r="V387" s="3">
        <f t="shared" si="390"/>
        <v>2.5598038639839418E-4</v>
      </c>
      <c r="W387" s="3">
        <f t="shared" si="390"/>
        <v>1.7669573771816662E-6</v>
      </c>
      <c r="X387" s="3">
        <f t="shared" si="390"/>
        <v>4.3393022919036908E-28</v>
      </c>
      <c r="Y387" s="3">
        <f t="shared" si="390"/>
        <v>3.4622484386635435E-244</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1.5289773047840316E-5</v>
      </c>
      <c r="C388" s="3">
        <f t="shared" si="391"/>
        <v>1.5289773047840316E-5</v>
      </c>
      <c r="D388" s="3">
        <f t="shared" si="391"/>
        <v>1.5289773047840316E-5</v>
      </c>
      <c r="E388" s="3">
        <f t="shared" si="391"/>
        <v>1.5289773047840316E-5</v>
      </c>
      <c r="F388" s="3">
        <f t="shared" si="391"/>
        <v>1.5289773047840316E-5</v>
      </c>
      <c r="G388" s="3">
        <f t="shared" si="391"/>
        <v>1.5289773047840316E-5</v>
      </c>
      <c r="H388" s="3">
        <f t="shared" si="391"/>
        <v>1.5289773047840306E-5</v>
      </c>
      <c r="I388" s="3">
        <f t="shared" si="391"/>
        <v>1.5289773047840231E-5</v>
      </c>
      <c r="J388" s="3">
        <f t="shared" si="391"/>
        <v>1.5289773047839469E-5</v>
      </c>
      <c r="K388" s="3">
        <f t="shared" si="391"/>
        <v>1.5289773047831862E-5</v>
      </c>
      <c r="L388" s="3">
        <f t="shared" si="391"/>
        <v>1.5289773047755782E-5</v>
      </c>
      <c r="M388" s="3">
        <f t="shared" si="391"/>
        <v>1.5289773046994987E-5</v>
      </c>
      <c r="N388" s="3">
        <f t="shared" si="391"/>
        <v>1.5289773039387039E-5</v>
      </c>
      <c r="O388" s="3">
        <f t="shared" si="391"/>
        <v>1.5289772963307549E-5</v>
      </c>
      <c r="P388" s="3">
        <f t="shared" si="391"/>
        <v>1.5289772202512659E-5</v>
      </c>
      <c r="Q388" s="3">
        <f t="shared" si="391"/>
        <v>1.5289764594565858E-5</v>
      </c>
      <c r="R388" s="3">
        <f t="shared" si="391"/>
        <v>1.5289688515306054E-5</v>
      </c>
      <c r="S388" s="3">
        <f t="shared" si="391"/>
        <v>1.5288927743528343E-5</v>
      </c>
      <c r="T388" s="3">
        <f t="shared" si="391"/>
        <v>1.5281322107402672E-5</v>
      </c>
      <c r="U388" s="3">
        <f t="shared" si="391"/>
        <v>1.5205473528554971E-5</v>
      </c>
      <c r="V388" s="3">
        <f t="shared" si="391"/>
        <v>1.4467388478923738E-5</v>
      </c>
      <c r="W388" s="3">
        <f t="shared" si="391"/>
        <v>8.7961389595458305E-6</v>
      </c>
      <c r="X388" s="3">
        <f t="shared" si="391"/>
        <v>6.071716213872419E-8</v>
      </c>
      <c r="Y388" s="3">
        <f t="shared" si="391"/>
        <v>1.4910949422373405E-29</v>
      </c>
      <c r="Z388" s="3">
        <f t="shared" si="391"/>
        <v>1.189716868836876E-245</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2.5082649304706281E-4</v>
      </c>
      <c r="C389" s="3">
        <f t="shared" si="392"/>
        <v>2.5082649304706281E-4</v>
      </c>
      <c r="D389" s="3">
        <f t="shared" si="392"/>
        <v>2.5082649304706281E-4</v>
      </c>
      <c r="E389" s="3">
        <f t="shared" si="392"/>
        <v>2.5082649304706281E-4</v>
      </c>
      <c r="F389" s="3">
        <f t="shared" si="392"/>
        <v>2.5082649304706281E-4</v>
      </c>
      <c r="G389" s="3">
        <f t="shared" si="392"/>
        <v>2.5082649304706281E-4</v>
      </c>
      <c r="H389" s="3">
        <f t="shared" si="392"/>
        <v>2.5082649304706281E-4</v>
      </c>
      <c r="I389" s="3">
        <f t="shared" si="392"/>
        <v>2.5082649304706265E-4</v>
      </c>
      <c r="J389" s="3">
        <f t="shared" si="392"/>
        <v>2.508264930470614E-4</v>
      </c>
      <c r="K389" s="3">
        <f t="shared" si="392"/>
        <v>2.5082649304704894E-4</v>
      </c>
      <c r="L389" s="3">
        <f t="shared" si="392"/>
        <v>2.5082649304692414E-4</v>
      </c>
      <c r="M389" s="3">
        <f t="shared" si="392"/>
        <v>2.5082649304567606E-4</v>
      </c>
      <c r="N389" s="3">
        <f t="shared" si="392"/>
        <v>2.5082649303319533E-4</v>
      </c>
      <c r="O389" s="3">
        <f t="shared" si="392"/>
        <v>2.5082649290838804E-4</v>
      </c>
      <c r="P389" s="3">
        <f t="shared" si="392"/>
        <v>2.5082649166031511E-4</v>
      </c>
      <c r="Q389" s="3">
        <f t="shared" si="392"/>
        <v>2.5082647917958609E-4</v>
      </c>
      <c r="R389" s="3">
        <f t="shared" si="392"/>
        <v>2.5082635437233036E-4</v>
      </c>
      <c r="S389" s="3">
        <f t="shared" si="392"/>
        <v>2.5082510630318824E-4</v>
      </c>
      <c r="T389" s="3">
        <f t="shared" si="392"/>
        <v>2.50812625953322E-4</v>
      </c>
      <c r="U389" s="3">
        <f t="shared" si="392"/>
        <v>2.5068785660384735E-4</v>
      </c>
      <c r="V389" s="3">
        <f t="shared" si="392"/>
        <v>2.4944357174916409E-4</v>
      </c>
      <c r="W389" s="3">
        <f t="shared" si="392"/>
        <v>2.3733539434259236E-4</v>
      </c>
      <c r="X389" s="3">
        <f t="shared" si="392"/>
        <v>1.4429937453448084E-4</v>
      </c>
      <c r="Y389" s="3">
        <f t="shared" si="392"/>
        <v>9.9605617423976446E-7</v>
      </c>
      <c r="Z389" s="3">
        <f t="shared" si="392"/>
        <v>2.4461194681659011E-28</v>
      </c>
      <c r="AA389" s="3">
        <f t="shared" si="392"/>
        <v>1.9517131418208777E-244</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5.6673676320409674E-5</v>
      </c>
      <c r="C391" s="3">
        <f t="shared" si="394"/>
        <v>5.6673676320409674E-5</v>
      </c>
      <c r="D391" s="3">
        <f t="shared" si="394"/>
        <v>5.6673676320409674E-5</v>
      </c>
      <c r="E391" s="3">
        <f t="shared" si="394"/>
        <v>5.6673676320409674E-5</v>
      </c>
      <c r="F391" s="3">
        <f t="shared" si="394"/>
        <v>5.6673676320409674E-5</v>
      </c>
      <c r="G391" s="3">
        <f t="shared" si="394"/>
        <v>5.6673676320409674E-5</v>
      </c>
      <c r="H391" s="3">
        <f t="shared" si="394"/>
        <v>5.6673676320409674E-5</v>
      </c>
      <c r="I391" s="3">
        <f t="shared" si="394"/>
        <v>5.6673676320409674E-5</v>
      </c>
      <c r="J391" s="3">
        <f t="shared" si="394"/>
        <v>5.6673676320409674E-5</v>
      </c>
      <c r="K391" s="3">
        <f t="shared" si="394"/>
        <v>5.667367632040964E-5</v>
      </c>
      <c r="L391" s="3">
        <f t="shared" si="394"/>
        <v>5.6673676320409362E-5</v>
      </c>
      <c r="M391" s="3">
        <f t="shared" si="394"/>
        <v>5.6673676320406543E-5</v>
      </c>
      <c r="N391" s="3">
        <f t="shared" si="394"/>
        <v>5.667367632037834E-5</v>
      </c>
      <c r="O391" s="3">
        <f t="shared" si="394"/>
        <v>5.6673676320096339E-5</v>
      </c>
      <c r="P391" s="3">
        <f t="shared" si="394"/>
        <v>5.667367631727635E-5</v>
      </c>
      <c r="Q391" s="3">
        <f t="shared" si="394"/>
        <v>5.6673676289076428E-5</v>
      </c>
      <c r="R391" s="3">
        <f t="shared" si="394"/>
        <v>5.6673676007077177E-5</v>
      </c>
      <c r="S391" s="3">
        <f t="shared" si="394"/>
        <v>5.6673673187084816E-5</v>
      </c>
      <c r="T391" s="3">
        <f t="shared" si="394"/>
        <v>5.667364498716889E-5</v>
      </c>
      <c r="U391" s="3">
        <f t="shared" si="394"/>
        <v>5.6673362988781378E-5</v>
      </c>
      <c r="V391" s="3">
        <f t="shared" si="394"/>
        <v>5.6670543082079766E-5</v>
      </c>
      <c r="W391" s="3">
        <f t="shared" si="394"/>
        <v>5.6642351730995062E-5</v>
      </c>
      <c r="X391" s="3">
        <f t="shared" si="394"/>
        <v>5.6361208394627182E-5</v>
      </c>
      <c r="Y391" s="3">
        <f t="shared" si="394"/>
        <v>5.3625393214843162E-5</v>
      </c>
      <c r="Z391" s="3">
        <f t="shared" si="394"/>
        <v>3.2604115882090228E-5</v>
      </c>
      <c r="AA391" s="3">
        <f t="shared" si="394"/>
        <v>2.2505662990399581E-7</v>
      </c>
      <c r="AB391" s="3">
        <f t="shared" si="394"/>
        <v>5.5269513716749026E-29</v>
      </c>
      <c r="AC391" s="3">
        <f t="shared" si="394"/>
        <v>4.4098515083529175E-245</v>
      </c>
      <c r="AD391" s="3">
        <f t="shared" si="394"/>
        <v>0</v>
      </c>
      <c r="AE391" s="3">
        <f t="shared" si="394"/>
        <v>0</v>
      </c>
      <c r="AF391" s="3">
        <f t="shared" si="394"/>
        <v>0</v>
      </c>
      <c r="AG391" s="3"/>
      <c r="AH391" s="3"/>
    </row>
    <row r="392" spans="1:34" x14ac:dyDescent="0.25">
      <c r="B392" s="3">
        <f t="shared" ref="B392:AF392" si="395">$C44*EXP(-B$363/$A44/EXP(-$H$126))</f>
        <v>1.228688753482083E-4</v>
      </c>
      <c r="C392" s="3">
        <f t="shared" si="395"/>
        <v>1.228688753482083E-4</v>
      </c>
      <c r="D392" s="3">
        <f t="shared" si="395"/>
        <v>1.228688753482083E-4</v>
      </c>
      <c r="E392" s="3">
        <f t="shared" si="395"/>
        <v>1.228688753482083E-4</v>
      </c>
      <c r="F392" s="3">
        <f t="shared" si="395"/>
        <v>1.228688753482083E-4</v>
      </c>
      <c r="G392" s="3">
        <f t="shared" si="395"/>
        <v>1.228688753482083E-4</v>
      </c>
      <c r="H392" s="3">
        <f t="shared" si="395"/>
        <v>1.228688753482083E-4</v>
      </c>
      <c r="I392" s="3">
        <f t="shared" si="395"/>
        <v>1.228688753482083E-4</v>
      </c>
      <c r="J392" s="3">
        <f t="shared" si="395"/>
        <v>1.228688753482083E-4</v>
      </c>
      <c r="K392" s="3">
        <f t="shared" si="395"/>
        <v>1.228688753482083E-4</v>
      </c>
      <c r="L392" s="3">
        <f t="shared" si="395"/>
        <v>1.2286887534820821E-4</v>
      </c>
      <c r="M392" s="3">
        <f t="shared" si="395"/>
        <v>1.2286887534820762E-4</v>
      </c>
      <c r="N392" s="3">
        <f t="shared" si="395"/>
        <v>1.2286887534820149E-4</v>
      </c>
      <c r="O392" s="3">
        <f t="shared" si="395"/>
        <v>1.2286887534814037E-4</v>
      </c>
      <c r="P392" s="3">
        <f t="shared" si="395"/>
        <v>1.2286887534752899E-4</v>
      </c>
      <c r="Q392" s="3">
        <f t="shared" si="395"/>
        <v>1.2286887534141523E-4</v>
      </c>
      <c r="R392" s="3">
        <f t="shared" si="395"/>
        <v>1.2286887528027761E-4</v>
      </c>
      <c r="S392" s="3">
        <f t="shared" si="395"/>
        <v>1.2286887466890153E-4</v>
      </c>
      <c r="T392" s="3">
        <f t="shared" si="395"/>
        <v>1.2286886855514091E-4</v>
      </c>
      <c r="U392" s="3">
        <f t="shared" si="395"/>
        <v>1.2286880741755148E-4</v>
      </c>
      <c r="V392" s="3">
        <f t="shared" si="395"/>
        <v>1.2286819604333027E-4</v>
      </c>
      <c r="W392" s="3">
        <f t="shared" si="395"/>
        <v>1.228620824684308E-4</v>
      </c>
      <c r="X392" s="3">
        <f t="shared" si="395"/>
        <v>1.2280096344762225E-4</v>
      </c>
      <c r="Y392" s="3">
        <f t="shared" si="395"/>
        <v>1.2219144298249716E-4</v>
      </c>
      <c r="Z392" s="3">
        <f t="shared" si="395"/>
        <v>1.1626017901436875E-4</v>
      </c>
      <c r="AA392" s="3">
        <f t="shared" si="395"/>
        <v>7.0685921758571467E-5</v>
      </c>
      <c r="AB392" s="3">
        <f t="shared" si="395"/>
        <v>4.8792414399987563E-7</v>
      </c>
      <c r="AC392" s="3">
        <f t="shared" si="395"/>
        <v>1.1982464227353719E-28</v>
      </c>
      <c r="AD392" s="3">
        <f t="shared" si="395"/>
        <v>9.5605849216595564E-245</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1.663721654170598E-4</v>
      </c>
      <c r="C396" s="3">
        <f t="shared" si="399"/>
        <v>1.663721654170598E-4</v>
      </c>
      <c r="D396" s="3">
        <f t="shared" si="399"/>
        <v>1.663721654170598E-4</v>
      </c>
      <c r="E396" s="3">
        <f t="shared" si="399"/>
        <v>1.663721654170598E-4</v>
      </c>
      <c r="F396" s="3">
        <f t="shared" si="399"/>
        <v>1.663721654170598E-4</v>
      </c>
      <c r="G396" s="3">
        <f t="shared" si="399"/>
        <v>1.663721654170598E-4</v>
      </c>
      <c r="H396" s="3">
        <f t="shared" si="399"/>
        <v>1.663721654170598E-4</v>
      </c>
      <c r="I396" s="3">
        <f t="shared" si="399"/>
        <v>1.663721654170598E-4</v>
      </c>
      <c r="J396" s="3">
        <f t="shared" si="399"/>
        <v>1.663721654170598E-4</v>
      </c>
      <c r="K396" s="3">
        <f t="shared" si="399"/>
        <v>1.663721654170598E-4</v>
      </c>
      <c r="L396" s="3">
        <f t="shared" si="399"/>
        <v>1.663721654170598E-4</v>
      </c>
      <c r="M396" s="3">
        <f t="shared" si="399"/>
        <v>1.663721654170598E-4</v>
      </c>
      <c r="N396" s="3">
        <f t="shared" si="399"/>
        <v>1.663721654170598E-4</v>
      </c>
      <c r="O396" s="3">
        <f t="shared" si="399"/>
        <v>1.663721654170598E-4</v>
      </c>
      <c r="P396" s="3">
        <f t="shared" si="399"/>
        <v>1.6637216541705971E-4</v>
      </c>
      <c r="Q396" s="3">
        <f t="shared" si="399"/>
        <v>1.6637216541705887E-4</v>
      </c>
      <c r="R396" s="3">
        <f t="shared" si="399"/>
        <v>1.6637216541705061E-4</v>
      </c>
      <c r="S396" s="3">
        <f t="shared" si="399"/>
        <v>1.663721654169678E-4</v>
      </c>
      <c r="T396" s="3">
        <f t="shared" si="399"/>
        <v>1.6637216541613999E-4</v>
      </c>
      <c r="U396" s="3">
        <f t="shared" si="399"/>
        <v>1.6637216540786156E-4</v>
      </c>
      <c r="V396" s="3">
        <f t="shared" si="399"/>
        <v>1.6637216532507741E-4</v>
      </c>
      <c r="W396" s="3">
        <f t="shared" si="399"/>
        <v>1.6637216449723585E-4</v>
      </c>
      <c r="X396" s="3">
        <f t="shared" si="399"/>
        <v>1.663721562188204E-4</v>
      </c>
      <c r="Y396" s="3">
        <f t="shared" si="399"/>
        <v>1.6637207343468883E-4</v>
      </c>
      <c r="Z396" s="3">
        <f t="shared" si="399"/>
        <v>1.6637124559563867E-4</v>
      </c>
      <c r="AA396" s="3">
        <f t="shared" si="399"/>
        <v>1.6636296743168883E-4</v>
      </c>
      <c r="AB396" s="3">
        <f t="shared" si="399"/>
        <v>1.6628020844320398E-4</v>
      </c>
      <c r="AC396" s="3">
        <f t="shared" si="399"/>
        <v>1.6545487949507542E-4</v>
      </c>
      <c r="AD396" s="3">
        <f t="shared" si="399"/>
        <v>1.574235759835788E-4</v>
      </c>
      <c r="AE396" s="3">
        <f t="shared" si="399"/>
        <v>9.5713172552009421E-5</v>
      </c>
      <c r="AF396" s="3">
        <f t="shared" si="399"/>
        <v>6.6067990096328612E-7</v>
      </c>
      <c r="AG396" s="3"/>
      <c r="AH396" s="3"/>
    </row>
    <row r="397" spans="1:34" x14ac:dyDescent="0.25">
      <c r="A397" s="79">
        <f>AVERAGE(B397:AF397)</f>
        <v>6.1241707205530391E-3</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1.7072534245752462E-3</v>
      </c>
      <c r="M397" s="80">
        <f t="shared" si="400"/>
        <v>3.6519910919956761E-3</v>
      </c>
      <c r="N397" s="80">
        <f t="shared" si="400"/>
        <v>2.5968794813270534E-2</v>
      </c>
      <c r="O397" s="80">
        <f t="shared" si="400"/>
        <v>2.3215917785067711E-2</v>
      </c>
      <c r="P397" s="80">
        <f t="shared" si="400"/>
        <v>8.8328154722736312E-4</v>
      </c>
      <c r="Q397" s="80">
        <f t="shared" si="400"/>
        <v>1.7511530057838943E-2</v>
      </c>
      <c r="R397" s="80">
        <f t="shared" si="400"/>
        <v>1.5597284725956735E-2</v>
      </c>
      <c r="S397" s="80">
        <f t="shared" si="400"/>
        <v>2.7418514948719271E-2</v>
      </c>
      <c r="T397" s="80">
        <f t="shared" si="400"/>
        <v>3.0347000804790927E-2</v>
      </c>
      <c r="U397" s="80">
        <f t="shared" si="400"/>
        <v>2.6375417035404712E-2</v>
      </c>
      <c r="V397" s="80">
        <f t="shared" si="400"/>
        <v>1.7172306102297068E-2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747.56377756937707</v>
      </c>
      <c r="C398" s="21">
        <f t="shared" ref="C398:AF398" si="401">(C365-C364)^2</f>
        <v>586.28522711290282</v>
      </c>
      <c r="D398" s="21">
        <f t="shared" si="401"/>
        <v>1867.29875693381</v>
      </c>
      <c r="E398" s="21">
        <f t="shared" si="401"/>
        <v>1515.3165148140683</v>
      </c>
      <c r="F398" s="21">
        <f t="shared" si="401"/>
        <v>2057.5559063033215</v>
      </c>
      <c r="G398" s="21">
        <f t="shared" si="401"/>
        <v>1782.4745523047843</v>
      </c>
      <c r="H398" s="21">
        <f t="shared" si="401"/>
        <v>3101.072462043584</v>
      </c>
      <c r="I398" s="21">
        <f t="shared" si="401"/>
        <v>3388.0065306269444</v>
      </c>
      <c r="J398" s="21">
        <f t="shared" si="401"/>
        <v>3128.0603506037737</v>
      </c>
      <c r="K398" s="21">
        <f t="shared" si="401"/>
        <v>2651.8886227485609</v>
      </c>
      <c r="L398" s="21">
        <f t="shared" si="401"/>
        <v>2.5733481558700211</v>
      </c>
      <c r="M398" s="21">
        <f t="shared" si="401"/>
        <v>3.7778914134116466</v>
      </c>
      <c r="N398" s="21">
        <f t="shared" si="401"/>
        <v>58.534352483683307</v>
      </c>
      <c r="O398" s="21">
        <f t="shared" si="401"/>
        <v>19.839180700974428</v>
      </c>
      <c r="P398" s="21">
        <f t="shared" si="401"/>
        <v>2.0545653241562305E-2</v>
      </c>
      <c r="Q398" s="21">
        <f t="shared" si="401"/>
        <v>6.6544228103922833</v>
      </c>
      <c r="R398" s="21">
        <f t="shared" si="401"/>
        <v>4.909958310223983</v>
      </c>
      <c r="S398" s="21">
        <f t="shared" si="401"/>
        <v>14.785446150672657</v>
      </c>
      <c r="T398" s="21">
        <f t="shared" si="401"/>
        <v>17.318376674487805</v>
      </c>
      <c r="U398" s="21">
        <f t="shared" si="401"/>
        <v>12.415266313252518</v>
      </c>
      <c r="V398" s="21">
        <f t="shared" si="401"/>
        <v>5.0301774793179712</v>
      </c>
      <c r="W398" s="21">
        <f t="shared" si="401"/>
        <v>3.5421882719346187</v>
      </c>
      <c r="X398" s="21">
        <f t="shared" si="401"/>
        <v>1.1285532979348882</v>
      </c>
      <c r="Y398" s="21">
        <f t="shared" si="401"/>
        <v>0.94610135743920043</v>
      </c>
      <c r="Z398" s="21">
        <f t="shared" si="401"/>
        <v>0.14987744329473618</v>
      </c>
      <c r="AA398" s="21">
        <f t="shared" si="401"/>
        <v>0.56941004793450412</v>
      </c>
      <c r="AB398" s="21">
        <f t="shared" si="401"/>
        <v>1.0318710337880015</v>
      </c>
      <c r="AC398" s="21">
        <f t="shared" si="401"/>
        <v>3.5885965055077018E-2</v>
      </c>
      <c r="AD398" s="21">
        <f t="shared" si="401"/>
        <v>5.2232673489598258E-2</v>
      </c>
      <c r="AE398" s="21">
        <f t="shared" si="401"/>
        <v>3.5486643004464143E-2</v>
      </c>
      <c r="AF398" s="21">
        <f t="shared" si="401"/>
        <v>0.63533119320713893</v>
      </c>
      <c r="AG398" s="3"/>
      <c r="AH398" s="3"/>
    </row>
    <row r="399" spans="1:34" x14ac:dyDescent="0.25">
      <c r="A399" s="71">
        <f>SUM(B399:AF399)</f>
        <v>145.8589661455282</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2.5733481558700211</v>
      </c>
      <c r="M399" s="60">
        <f t="shared" ref="M399" si="412">IF($A$64&lt;=M363,IF($B$64&gt;=M363,ABS(M398),0),0)</f>
        <v>3.7778914134116466</v>
      </c>
      <c r="N399" s="60">
        <f t="shared" ref="N399" si="413">IF($A$64&lt;=N363,IF($B$64&gt;=N363,ABS(N398),0),0)</f>
        <v>58.534352483683307</v>
      </c>
      <c r="O399" s="60">
        <f t="shared" ref="O399" si="414">IF($A$64&lt;=O363,IF($B$64&gt;=O363,ABS(O398),0),0)</f>
        <v>19.839180700974428</v>
      </c>
      <c r="P399" s="60">
        <f t="shared" ref="P399" si="415">IF($A$64&lt;=P363,IF($B$64&gt;=P363,ABS(P398),0),0)</f>
        <v>2.0545653241562305E-2</v>
      </c>
      <c r="Q399" s="60">
        <f t="shared" ref="Q399" si="416">IF($A$64&lt;=Q363,IF($B$64&gt;=Q363,ABS(Q398),0),0)</f>
        <v>6.6544228103922833</v>
      </c>
      <c r="R399" s="60">
        <f t="shared" ref="R399" si="417">IF($A$64&lt;=R363,IF($B$64&gt;=R363,ABS(R398),0),0)</f>
        <v>4.909958310223983</v>
      </c>
      <c r="S399" s="60">
        <f t="shared" ref="S399" si="418">IF($A$64&lt;=S363,IF($B$64&gt;=S363,ABS(S398),0),0)</f>
        <v>14.785446150672657</v>
      </c>
      <c r="T399" s="60">
        <f t="shared" ref="T399" si="419">IF($A$64&lt;=T363,IF($B$64&gt;=T363,ABS(T398),0),0)</f>
        <v>17.318376674487805</v>
      </c>
      <c r="U399" s="60">
        <f t="shared" ref="U399" si="420">IF($A$64&lt;=U363,IF($B$64&gt;=U363,ABS(U398),0),0)</f>
        <v>12.415266313252518</v>
      </c>
      <c r="V399" s="60">
        <f t="shared" ref="V399" si="421">IF($A$64&lt;=V363,IF($B$64&gt;=V363,ABS(V398),0),0)</f>
        <v>5.0301774793179712</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7" t="s">
        <v>163</v>
      </c>
      <c r="K402" s="117"/>
      <c r="L402" s="117"/>
      <c r="M402" s="117"/>
      <c r="N402" s="117"/>
      <c r="O402" s="117"/>
      <c r="P402" s="117"/>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-44.146123426846039</v>
      </c>
      <c r="C403" s="107">
        <f t="shared" ref="C403:H403" si="432">IF(C125=$B$2,0,C126)</f>
        <v>-41.134350911465361</v>
      </c>
      <c r="D403" s="107">
        <f t="shared" si="432"/>
        <v>-36.84655767360919</v>
      </c>
      <c r="E403" s="107">
        <f t="shared" si="432"/>
        <v>-30.346683987809985</v>
      </c>
      <c r="F403" s="107">
        <f t="shared" si="432"/>
        <v>-19.423864697261138</v>
      </c>
      <c r="G403" s="107">
        <f t="shared" si="432"/>
        <v>0</v>
      </c>
      <c r="H403" s="107">
        <f t="shared" si="432"/>
        <v>4.0125401618223879</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6.7232954793040819E-35</v>
      </c>
      <c r="C404" s="3">
        <f t="shared" ref="C404:H419" si="433">$A404/EXP(-C$403)</f>
        <v>1.366401664789014E-33</v>
      </c>
      <c r="D404" s="3">
        <f t="shared" si="433"/>
        <v>9.9481729111568724E-32</v>
      </c>
      <c r="E404" s="3">
        <f t="shared" si="433"/>
        <v>6.6161082147299054E-29</v>
      </c>
      <c r="F404" s="3">
        <f t="shared" si="433"/>
        <v>3.6670999292974019E-24</v>
      </c>
      <c r="G404" s="3">
        <f t="shared" si="433"/>
        <v>1.0000000000000001E-15</v>
      </c>
      <c r="H404" s="3">
        <f t="shared" si="433"/>
        <v>5.5287130604876425E-14</v>
      </c>
      <c r="I404" s="109">
        <f>Comparison!AL3</f>
        <v>1.0000000000000001E-15</v>
      </c>
      <c r="J404" s="3">
        <f>Comparison!AM3</f>
        <v>6574.1423129756067</v>
      </c>
      <c r="K404" s="3">
        <f>Comparison!AN3</f>
        <v>6543.7252261807771</v>
      </c>
      <c r="L404" s="3">
        <f>Comparison!AO3</f>
        <v>6524.0904126194901</v>
      </c>
      <c r="M404" s="3">
        <f>Comparison!AP3</f>
        <v>6503.9509699618966</v>
      </c>
      <c r="N404" s="3">
        <f>Comparison!AQ3</f>
        <v>6479.0859474371819</v>
      </c>
      <c r="O404" s="3">
        <f>Comparison!AR3</f>
        <v>5863.6829549380891</v>
      </c>
      <c r="P404" s="3">
        <f>Comparison!AS3</f>
        <v>5469.0375175567433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6.7232954793040821E-34</v>
      </c>
      <c r="C405" s="3">
        <f t="shared" si="433"/>
        <v>1.3664016647890138E-32</v>
      </c>
      <c r="D405" s="3">
        <f t="shared" si="433"/>
        <v>9.9481729111568719E-31</v>
      </c>
      <c r="E405" s="3">
        <f t="shared" si="433"/>
        <v>6.6161082147299049E-28</v>
      </c>
      <c r="F405" s="3">
        <f t="shared" si="433"/>
        <v>3.6670999292974019E-23</v>
      </c>
      <c r="G405" s="3">
        <f t="shared" si="433"/>
        <v>1E-14</v>
      </c>
      <c r="H405" s="3">
        <f t="shared" si="433"/>
        <v>5.5287130604876418E-13</v>
      </c>
      <c r="I405" s="109">
        <f>Comparison!AL4</f>
        <v>1E-14</v>
      </c>
      <c r="J405" s="3">
        <f>Comparison!AM4</f>
        <v>6574.1983504239388</v>
      </c>
      <c r="K405" s="3">
        <f>Comparison!AN4</f>
        <v>6543.7799387981568</v>
      </c>
      <c r="L405" s="3">
        <f>Comparison!AO4</f>
        <v>6524.1443595856636</v>
      </c>
      <c r="M405" s="3">
        <f>Comparison!AP4</f>
        <v>6504.0043184804708</v>
      </c>
      <c r="N405" s="3">
        <f>Comparison!AQ4</f>
        <v>6479.1324839978006</v>
      </c>
      <c r="O405" s="3">
        <f>Comparison!AR4</f>
        <v>5609.1927579282792</v>
      </c>
      <c r="P405" s="3">
        <f>Comparison!AS4</f>
        <v>5144.4254375399241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6.7232954793040823E-33</v>
      </c>
      <c r="C406" s="3">
        <f t="shared" si="433"/>
        <v>1.3664016647890139E-31</v>
      </c>
      <c r="D406" s="3">
        <f t="shared" si="433"/>
        <v>9.9481729111568723E-30</v>
      </c>
      <c r="E406" s="3">
        <f t="shared" si="433"/>
        <v>6.6161082147299058E-27</v>
      </c>
      <c r="F406" s="3">
        <f t="shared" si="433"/>
        <v>3.6670999292974021E-22</v>
      </c>
      <c r="G406" s="3">
        <f t="shared" si="433"/>
        <v>1E-13</v>
      </c>
      <c r="H406" s="3">
        <f t="shared" si="433"/>
        <v>5.5287130604876424E-12</v>
      </c>
      <c r="I406" s="109">
        <f>Comparison!AL5</f>
        <v>1E-13</v>
      </c>
      <c r="J406" s="3">
        <f>Comparison!AM5</f>
        <v>6574.1641202956771</v>
      </c>
      <c r="K406" s="3">
        <f>Comparison!AN5</f>
        <v>6543.7462938558028</v>
      </c>
      <c r="L406" s="3">
        <f>Comparison!AO5</f>
        <v>6524.1111351538066</v>
      </c>
      <c r="M406" s="3">
        <f>Comparison!AP5</f>
        <v>6503.9713230315656</v>
      </c>
      <c r="N406" s="3">
        <f>Comparison!AQ5</f>
        <v>6479.041978197979</v>
      </c>
      <c r="O406" s="3">
        <f>Comparison!AR5</f>
        <v>5370.7345311781783</v>
      </c>
      <c r="P406" s="3">
        <f>Comparison!AS5</f>
        <v>4859.4796757955091</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6.7232954793040815E-32</v>
      </c>
      <c r="C407" s="3">
        <f t="shared" si="433"/>
        <v>1.3664016647890139E-30</v>
      </c>
      <c r="D407" s="3">
        <f t="shared" si="433"/>
        <v>9.948172911156872E-29</v>
      </c>
      <c r="E407" s="3">
        <f t="shared" si="433"/>
        <v>6.6161082147299049E-26</v>
      </c>
      <c r="F407" s="3">
        <f t="shared" si="433"/>
        <v>3.6670999292974017E-21</v>
      </c>
      <c r="G407" s="3">
        <f t="shared" si="433"/>
        <v>9.9999999999999998E-13</v>
      </c>
      <c r="H407" s="3">
        <f t="shared" si="433"/>
        <v>5.5287130604876419E-11</v>
      </c>
      <c r="I407" s="109">
        <f>Comparison!AL6</f>
        <v>9.9999999999999998E-13</v>
      </c>
      <c r="J407" s="3">
        <f>Comparison!AM6</f>
        <v>6574.1538463873376</v>
      </c>
      <c r="K407" s="3">
        <f>Comparison!AN6</f>
        <v>6543.7363350192272</v>
      </c>
      <c r="L407" s="3">
        <f>Comparison!AO6</f>
        <v>6524.1012603146964</v>
      </c>
      <c r="M407" s="3">
        <f>Comparison!AP6</f>
        <v>6503.9615090652051</v>
      </c>
      <c r="N407" s="3">
        <f>Comparison!AQ6</f>
        <v>6478.4539559822069</v>
      </c>
      <c r="O407" s="3">
        <f>Comparison!AR6</f>
        <v>5097.9534912421213</v>
      </c>
      <c r="P407" s="3">
        <f>Comparison!AS6</f>
        <v>4579.0872874253573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6.7232954793040817E-31</v>
      </c>
      <c r="C408" s="3">
        <f t="shared" si="433"/>
        <v>1.3664016647890138E-29</v>
      </c>
      <c r="D408" s="3">
        <f t="shared" si="433"/>
        <v>9.9481729111568727E-28</v>
      </c>
      <c r="E408" s="3">
        <f t="shared" si="433"/>
        <v>6.6161082147299047E-25</v>
      </c>
      <c r="F408" s="3">
        <f t="shared" si="433"/>
        <v>3.6670999292974017E-20</v>
      </c>
      <c r="G408" s="3">
        <f t="shared" si="433"/>
        <v>9.9999999999999994E-12</v>
      </c>
      <c r="H408" s="3">
        <f t="shared" si="433"/>
        <v>5.528713060487642E-10</v>
      </c>
      <c r="I408" s="109">
        <f>Comparison!AL7</f>
        <v>9.9999999999999994E-12</v>
      </c>
      <c r="J408" s="3">
        <f>Comparison!AM7</f>
        <v>6574.1506604943988</v>
      </c>
      <c r="K408" s="3">
        <f>Comparison!AN7</f>
        <v>6543.7332030080934</v>
      </c>
      <c r="L408" s="3">
        <f>Comparison!AO7</f>
        <v>6524.0981470711258</v>
      </c>
      <c r="M408" s="3">
        <f>Comparison!AP7</f>
        <v>6503.9584150129849</v>
      </c>
      <c r="N408" s="3">
        <f>Comparison!AQ7</f>
        <v>6472.7726535549082</v>
      </c>
      <c r="O408" s="3">
        <f>Comparison!AR7</f>
        <v>4821.046341164677</v>
      </c>
      <c r="P408" s="3">
        <f>Comparison!AS7</f>
        <v>4274.6287252900811</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6.7232954793040822E-30</v>
      </c>
      <c r="C409" s="3">
        <f t="shared" si="433"/>
        <v>1.3664016647890138E-28</v>
      </c>
      <c r="D409" s="3">
        <f t="shared" si="433"/>
        <v>9.948172911156873E-27</v>
      </c>
      <c r="E409" s="3">
        <f t="shared" si="433"/>
        <v>6.6161082147299053E-24</v>
      </c>
      <c r="F409" s="3">
        <f t="shared" si="433"/>
        <v>3.6670999292974017E-19</v>
      </c>
      <c r="G409" s="3">
        <f t="shared" si="433"/>
        <v>1E-10</v>
      </c>
      <c r="H409" s="3">
        <f t="shared" si="433"/>
        <v>5.5287130604876424E-9</v>
      </c>
      <c r="I409" s="109">
        <f>Comparison!AL8</f>
        <v>1E-10</v>
      </c>
      <c r="J409" s="3">
        <f>Comparison!AM8</f>
        <v>6574.149598530772</v>
      </c>
      <c r="K409" s="3">
        <f>Comparison!AN8</f>
        <v>6543.7321508487757</v>
      </c>
      <c r="L409" s="3">
        <f>Comparison!AO8</f>
        <v>6524.0971012165301</v>
      </c>
      <c r="M409" s="3">
        <f>Comparison!AP8</f>
        <v>6503.9573030886877</v>
      </c>
      <c r="N409" s="3">
        <f>Comparison!AQ8</f>
        <v>6425.3224026678754</v>
      </c>
      <c r="O409" s="3">
        <f>Comparison!AR8</f>
        <v>4535.3452020984814</v>
      </c>
      <c r="P409" s="3">
        <f>Comparison!AS8</f>
        <v>3938.1560081824523</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6.7232954793040819E-29</v>
      </c>
      <c r="C410" s="3">
        <f t="shared" si="433"/>
        <v>1.3664016647890139E-27</v>
      </c>
      <c r="D410" s="3">
        <f t="shared" si="433"/>
        <v>9.9481729111568725E-26</v>
      </c>
      <c r="E410" s="3">
        <f t="shared" si="433"/>
        <v>6.6161082147299054E-23</v>
      </c>
      <c r="F410" s="3">
        <f t="shared" si="433"/>
        <v>3.6670999292974018E-18</v>
      </c>
      <c r="G410" s="3">
        <f t="shared" si="433"/>
        <v>1.0000000000000001E-9</v>
      </c>
      <c r="H410" s="3">
        <f t="shared" si="433"/>
        <v>5.5287130604876424E-8</v>
      </c>
      <c r="I410" s="109">
        <f>Comparison!AL9</f>
        <v>1.0000000000000001E-9</v>
      </c>
      <c r="J410" s="3">
        <f>Comparison!AM9</f>
        <v>6574.1492527752453</v>
      </c>
      <c r="K410" s="3">
        <f>Comparison!AN9</f>
        <v>6543.7318082853499</v>
      </c>
      <c r="L410" s="3">
        <f>Comparison!AO9</f>
        <v>6524.0967607058046</v>
      </c>
      <c r="M410" s="3">
        <f>Comparison!AP9</f>
        <v>6503.9546441408229</v>
      </c>
      <c r="N410" s="3">
        <f>Comparison!AQ9</f>
        <v>6280.1372572444334</v>
      </c>
      <c r="O410" s="3">
        <f>Comparison!AR9</f>
        <v>4228.4929725950406</v>
      </c>
      <c r="P410" s="3">
        <f>Comparison!AS9</f>
        <v>3491.5925245283374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6.7232954793040815E-28</v>
      </c>
      <c r="C411" s="3">
        <f t="shared" si="433"/>
        <v>1.3664016647890139E-26</v>
      </c>
      <c r="D411" s="3">
        <f t="shared" si="433"/>
        <v>9.9481729111568734E-25</v>
      </c>
      <c r="E411" s="3">
        <f t="shared" si="433"/>
        <v>6.6161082147299054E-22</v>
      </c>
      <c r="F411" s="3">
        <f t="shared" si="433"/>
        <v>3.667099929297402E-17</v>
      </c>
      <c r="G411" s="3">
        <f t="shared" si="433"/>
        <v>1E-8</v>
      </c>
      <c r="H411" s="3">
        <f t="shared" si="433"/>
        <v>5.5287130604876424E-7</v>
      </c>
      <c r="I411" s="109">
        <f>Comparison!AL10</f>
        <v>1E-8</v>
      </c>
      <c r="J411" s="3">
        <f>Comparison!AM10</f>
        <v>6574.149203381603</v>
      </c>
      <c r="K411" s="3">
        <f>Comparison!AN10</f>
        <v>6543.7317593477201</v>
      </c>
      <c r="L411" s="3">
        <f>Comparison!AO10</f>
        <v>6524.0967120614177</v>
      </c>
      <c r="M411" s="3">
        <f>Comparison!AP10</f>
        <v>6503.932647473689</v>
      </c>
      <c r="N411" s="3">
        <f>Comparison!AQ10</f>
        <v>6130.7451181848783</v>
      </c>
      <c r="O411" s="3">
        <f>Comparison!AR10</f>
        <v>3871.0057883923755</v>
      </c>
      <c r="P411" s="3">
        <f>Comparison!AS10</f>
        <v>2939.5473684961994</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6.723295479304082E-27</v>
      </c>
      <c r="C412" s="3">
        <f t="shared" si="433"/>
        <v>1.3664016647890137E-25</v>
      </c>
      <c r="D412" s="3">
        <f t="shared" si="433"/>
        <v>9.9481729111568727E-24</v>
      </c>
      <c r="E412" s="3">
        <f t="shared" si="433"/>
        <v>6.6161082147299047E-21</v>
      </c>
      <c r="F412" s="3">
        <f t="shared" si="433"/>
        <v>3.6670999292974016E-16</v>
      </c>
      <c r="G412" s="3">
        <f t="shared" si="433"/>
        <v>9.9999999999999995E-8</v>
      </c>
      <c r="H412" s="3">
        <f t="shared" si="433"/>
        <v>5.5287130604876416E-6</v>
      </c>
      <c r="I412" s="109">
        <f>Comparison!AL11</f>
        <v>9.9999999999999995E-8</v>
      </c>
      <c r="J412" s="3">
        <f>Comparison!AM11</f>
        <v>6574.149203381603</v>
      </c>
      <c r="K412" s="3">
        <f>Comparison!AN11</f>
        <v>6543.7315146595847</v>
      </c>
      <c r="L412" s="3">
        <f>Comparison!AO11</f>
        <v>6524.0963715507314</v>
      </c>
      <c r="M412" s="3">
        <f>Comparison!AP11</f>
        <v>6503.7133657579243</v>
      </c>
      <c r="N412" s="3">
        <f>Comparison!AQ11</f>
        <v>5959.459898848826</v>
      </c>
      <c r="O412" s="3">
        <f>Comparison!AR11</f>
        <v>3401.7561264704505</v>
      </c>
      <c r="P412" s="3">
        <f>Comparison!AS11</f>
        <v>2290.3210430692648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6.7232954793040815E-26</v>
      </c>
      <c r="C413" s="3">
        <f t="shared" si="433"/>
        <v>1.3664016647890139E-24</v>
      </c>
      <c r="D413" s="3">
        <f t="shared" si="433"/>
        <v>9.9481729111568718E-23</v>
      </c>
      <c r="E413" s="3">
        <f t="shared" si="433"/>
        <v>6.6161082147299045E-20</v>
      </c>
      <c r="F413" s="3">
        <f t="shared" si="433"/>
        <v>3.6670999292974018E-15</v>
      </c>
      <c r="G413" s="3">
        <f t="shared" si="433"/>
        <v>9.9999999999999995E-7</v>
      </c>
      <c r="H413" s="3">
        <f t="shared" si="433"/>
        <v>5.5287130604876423E-5</v>
      </c>
      <c r="I413" s="109">
        <f>Comparison!AL12</f>
        <v>9.9999999999999995E-7</v>
      </c>
      <c r="J413" s="3">
        <f>Comparison!AM12</f>
        <v>6574.149203381603</v>
      </c>
      <c r="K413" s="3">
        <f>Comparison!AN12</f>
        <v>6543.731490190773</v>
      </c>
      <c r="L413" s="3">
        <f>Comparison!AO12</f>
        <v>6524.0939393325853</v>
      </c>
      <c r="M413" s="3">
        <f>Comparison!AP12</f>
        <v>6501.5374241274303</v>
      </c>
      <c r="N413" s="3">
        <f>Comparison!AQ12</f>
        <v>5758.6320512376351</v>
      </c>
      <c r="O413" s="3">
        <f>Comparison!AR12</f>
        <v>2827.0529060658037</v>
      </c>
      <c r="P413" s="3">
        <f>Comparison!AS12</f>
        <v>1556.8723374202477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6.7232954793040819E-25</v>
      </c>
      <c r="C414" s="3">
        <f t="shared" si="433"/>
        <v>1.3664016647890139E-23</v>
      </c>
      <c r="D414" s="3">
        <f t="shared" si="433"/>
        <v>9.9481729111568732E-22</v>
      </c>
      <c r="E414" s="3">
        <f t="shared" si="433"/>
        <v>6.6161082147299055E-19</v>
      </c>
      <c r="F414" s="3">
        <f t="shared" si="433"/>
        <v>3.6670999292974023E-14</v>
      </c>
      <c r="G414" s="3">
        <f t="shared" si="433"/>
        <v>1.0000000000000001E-5</v>
      </c>
      <c r="H414" s="3">
        <f t="shared" si="433"/>
        <v>5.5287130604876427E-4</v>
      </c>
      <c r="I414" s="109">
        <f>Comparison!AL13</f>
        <v>1.0000000000000001E-5</v>
      </c>
      <c r="J414" s="3">
        <f>Comparison!AM13</f>
        <v>6574.1491786847801</v>
      </c>
      <c r="K414" s="3">
        <f>Comparison!AN13</f>
        <v>6543.7313923155243</v>
      </c>
      <c r="L414" s="3">
        <f>Comparison!AO13</f>
        <v>6524.06939835293</v>
      </c>
      <c r="M414" s="3">
        <f>Comparison!AP13</f>
        <v>6481.233154233405</v>
      </c>
      <c r="N414" s="3">
        <f>Comparison!AQ13</f>
        <v>5553.7107715147085</v>
      </c>
      <c r="O414" s="3">
        <f>Comparison!AR13</f>
        <v>2150.7951483518323</v>
      </c>
      <c r="P414" s="3">
        <f>Comparison!AS13</f>
        <v>939.61789874376836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6.7232954793040821E-24</v>
      </c>
      <c r="C415" s="3">
        <f t="shared" si="433"/>
        <v>1.3664016647890139E-22</v>
      </c>
      <c r="D415" s="3">
        <f t="shared" si="433"/>
        <v>9.9481729111568728E-21</v>
      </c>
      <c r="E415" s="3">
        <f t="shared" si="433"/>
        <v>6.6161082147299057E-18</v>
      </c>
      <c r="F415" s="3">
        <f t="shared" si="433"/>
        <v>3.6670999292974022E-13</v>
      </c>
      <c r="G415" s="3">
        <f t="shared" si="433"/>
        <v>1E-4</v>
      </c>
      <c r="H415" s="3">
        <f t="shared" si="433"/>
        <v>5.5287130604876429E-3</v>
      </c>
      <c r="I415" s="109">
        <f>Comparison!AL14</f>
        <v>1E-4</v>
      </c>
      <c r="J415" s="3">
        <f>Comparison!AM14</f>
        <v>6574.1489070197567</v>
      </c>
      <c r="K415" s="3">
        <f>Comparison!AN14</f>
        <v>6543.7286518097571</v>
      </c>
      <c r="L415" s="3">
        <f>Comparison!AO14</f>
        <v>6523.8242419120506</v>
      </c>
      <c r="M415" s="3">
        <f>Comparison!AP14</f>
        <v>6364.7007036045688</v>
      </c>
      <c r="N415" s="3">
        <f>Comparison!AQ14</f>
        <v>5296.2160470219478</v>
      </c>
      <c r="O415" s="3">
        <f>Comparison!AR14</f>
        <v>1410.5199057082755</v>
      </c>
      <c r="P415" s="3">
        <f>Comparison!AS14</f>
        <v>532.22470015904992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6.7232954793040818E-23</v>
      </c>
      <c r="C416" s="3">
        <f t="shared" si="433"/>
        <v>1.3664016647890138E-21</v>
      </c>
      <c r="D416" s="3">
        <f t="shared" si="433"/>
        <v>9.9481729111568725E-20</v>
      </c>
      <c r="E416" s="3">
        <f t="shared" si="433"/>
        <v>6.6161082147299058E-17</v>
      </c>
      <c r="F416" s="3">
        <f t="shared" si="433"/>
        <v>3.667099929297402E-12</v>
      </c>
      <c r="G416" s="3">
        <f t="shared" si="433"/>
        <v>1E-3</v>
      </c>
      <c r="H416" s="3">
        <f t="shared" si="433"/>
        <v>5.5287130604876424E-2</v>
      </c>
      <c r="I416" s="109">
        <f>Comparison!AL15</f>
        <v>1E-3</v>
      </c>
      <c r="J416" s="3">
        <f>Comparison!AM15</f>
        <v>6574.1483883865922</v>
      </c>
      <c r="K416" s="3">
        <f>Comparison!AN15</f>
        <v>6543.7023234963144</v>
      </c>
      <c r="L416" s="3">
        <f>Comparison!AO15</f>
        <v>6521.3925487999713</v>
      </c>
      <c r="M416" s="3">
        <f>Comparison!AP15</f>
        <v>6219.55344224686</v>
      </c>
      <c r="N416" s="3">
        <f>Comparison!AQ15</f>
        <v>5014.3504980568096</v>
      </c>
      <c r="O416" s="3">
        <f>Comparison!AR15</f>
        <v>826.67973456797017</v>
      </c>
      <c r="P416" s="3">
        <f>Comparison!AS15</f>
        <v>294.61415856723238</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6.7232954793040818E-22</v>
      </c>
      <c r="C417" s="3">
        <f t="shared" si="433"/>
        <v>1.3664016647890137E-20</v>
      </c>
      <c r="D417" s="3">
        <f t="shared" si="433"/>
        <v>9.9481729111568725E-19</v>
      </c>
      <c r="E417" s="3">
        <f t="shared" si="433"/>
        <v>6.6161082147299053E-16</v>
      </c>
      <c r="F417" s="3">
        <f t="shared" si="433"/>
        <v>3.6670999292974018E-11</v>
      </c>
      <c r="G417" s="3">
        <f t="shared" si="433"/>
        <v>0.01</v>
      </c>
      <c r="H417" s="3">
        <f t="shared" si="433"/>
        <v>0.55287130604876422</v>
      </c>
      <c r="I417" s="109">
        <f>Comparison!AL16</f>
        <v>0.01</v>
      </c>
      <c r="J417" s="3">
        <f>Comparison!AM16</f>
        <v>6574.141102834109</v>
      </c>
      <c r="K417" s="3">
        <f>Comparison!AN16</f>
        <v>6543.4393456132884</v>
      </c>
      <c r="L417" s="3">
        <f>Comparison!AO16</f>
        <v>6498.8766153292054</v>
      </c>
      <c r="M417" s="3">
        <f>Comparison!AP16</f>
        <v>6059.9785511387736</v>
      </c>
      <c r="N417" s="3">
        <f>Comparison!AQ16</f>
        <v>4737.7084148388376</v>
      </c>
      <c r="O417" s="3">
        <f>Comparison!AR16</f>
        <v>463.10914863390207</v>
      </c>
      <c r="P417" s="3">
        <f>Comparison!AS16</f>
        <v>191.85627557437303</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6.7232954793040818E-21</v>
      </c>
      <c r="C418" s="3">
        <f t="shared" si="433"/>
        <v>1.3664016647890138E-19</v>
      </c>
      <c r="D418" s="3">
        <f t="shared" si="433"/>
        <v>9.9481729111568733E-18</v>
      </c>
      <c r="E418" s="3">
        <f t="shared" si="433"/>
        <v>6.6161082147299055E-15</v>
      </c>
      <c r="F418" s="3">
        <f t="shared" si="433"/>
        <v>3.6670999292974022E-10</v>
      </c>
      <c r="G418" s="3">
        <f t="shared" si="433"/>
        <v>0.1</v>
      </c>
      <c r="H418" s="3">
        <f t="shared" si="433"/>
        <v>5.5287130604876422</v>
      </c>
      <c r="I418" s="109">
        <f>Comparison!AL17</f>
        <v>0.1</v>
      </c>
      <c r="J418" s="3">
        <f>Comparison!AM17</f>
        <v>6574.0681741087647</v>
      </c>
      <c r="K418" s="3">
        <f>Comparison!AN17</f>
        <v>6540.8297975507394</v>
      </c>
      <c r="L418" s="3">
        <f>Comparison!AO17</f>
        <v>6376.7108933957061</v>
      </c>
      <c r="M418" s="3">
        <f>Comparison!AP17</f>
        <v>5870.6317266704709</v>
      </c>
      <c r="N418" s="3">
        <f>Comparison!AQ17</f>
        <v>4438.626264954587</v>
      </c>
      <c r="O418" s="3">
        <f>Comparison!AR17</f>
        <v>257.27368574751409</v>
      </c>
      <c r="P418" s="3">
        <f>Comparison!AS17</f>
        <v>162.27843823453597</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6.7232954793040821E-20</v>
      </c>
      <c r="C419" s="3">
        <f t="shared" si="433"/>
        <v>1.3664016647890138E-18</v>
      </c>
      <c r="D419" s="3">
        <f t="shared" si="433"/>
        <v>9.9481729111568727E-17</v>
      </c>
      <c r="E419" s="3">
        <f t="shared" si="433"/>
        <v>6.6161082147299049E-14</v>
      </c>
      <c r="F419" s="3">
        <f t="shared" si="433"/>
        <v>3.6670999292974017E-9</v>
      </c>
      <c r="G419" s="3">
        <f t="shared" si="433"/>
        <v>1</v>
      </c>
      <c r="H419" s="3">
        <f t="shared" si="433"/>
        <v>55.287130604876424</v>
      </c>
      <c r="I419" s="109">
        <f>Comparison!AL18</f>
        <v>1</v>
      </c>
      <c r="J419" s="3">
        <f>Comparison!AM18</f>
        <v>6573.3425313051102</v>
      </c>
      <c r="K419" s="3">
        <f>Comparison!AN18</f>
        <v>6516.7915822655277</v>
      </c>
      <c r="L419" s="3">
        <f>Comparison!AO18</f>
        <v>6230.3639399807598</v>
      </c>
      <c r="M419" s="3">
        <f>Comparison!AP18</f>
        <v>5669.1325406322439</v>
      </c>
      <c r="N419" s="3">
        <f>Comparison!AQ18</f>
        <v>4115.3629839514006</v>
      </c>
      <c r="O419" s="3">
        <f>Comparison!AR18</f>
        <v>179.98076982609024</v>
      </c>
      <c r="P419" s="3">
        <f>Comparison!AS18</f>
        <v>147.30961753431595</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6.7232954793040814E-19</v>
      </c>
      <c r="C420" s="3">
        <f t="shared" si="434"/>
        <v>1.3664016647890138E-17</v>
      </c>
      <c r="D420" s="3">
        <f t="shared" si="434"/>
        <v>9.9481729111568732E-16</v>
      </c>
      <c r="E420" s="3">
        <f t="shared" si="434"/>
        <v>6.6161082147299054E-13</v>
      </c>
      <c r="F420" s="3">
        <f t="shared" si="434"/>
        <v>3.667099929297402E-8</v>
      </c>
      <c r="G420" s="3">
        <f t="shared" si="434"/>
        <v>10</v>
      </c>
      <c r="H420" s="3">
        <f t="shared" si="434"/>
        <v>552.87130604876427</v>
      </c>
      <c r="I420" s="109">
        <f>Comparison!AL19</f>
        <v>10</v>
      </c>
      <c r="J420" s="3">
        <f>Comparison!AM19</f>
        <v>6566.2492544539882</v>
      </c>
      <c r="K420" s="3">
        <f>Comparison!AN19</f>
        <v>6390.814079024768</v>
      </c>
      <c r="L420" s="3">
        <f>Comparison!AO19</f>
        <v>6066.3152248046426</v>
      </c>
      <c r="M420" s="3">
        <f>Comparison!AP19</f>
        <v>5423.4324257349326</v>
      </c>
      <c r="N420" s="3">
        <f>Comparison!AQ19</f>
        <v>3662.5886079597385</v>
      </c>
      <c r="O420" s="3">
        <f>Comparison!AR19</f>
        <v>157.55849658546879</v>
      </c>
      <c r="P420" s="3">
        <f>Comparison!AS19</f>
        <v>142.06591803394016</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6.7232954793040818E-18</v>
      </c>
      <c r="C421" s="3">
        <f t="shared" si="434"/>
        <v>1.3664016647890138E-16</v>
      </c>
      <c r="D421" s="3">
        <f t="shared" si="434"/>
        <v>9.9481729111568728E-15</v>
      </c>
      <c r="E421" s="3">
        <f t="shared" si="434"/>
        <v>6.6161082147299052E-12</v>
      </c>
      <c r="F421" s="3">
        <f t="shared" si="434"/>
        <v>3.6670999292974016E-7</v>
      </c>
      <c r="G421" s="3">
        <f t="shared" si="434"/>
        <v>100</v>
      </c>
      <c r="H421" s="3">
        <f t="shared" si="434"/>
        <v>5528.713060487642</v>
      </c>
      <c r="I421" s="109">
        <f>Comparison!AL20</f>
        <v>100</v>
      </c>
      <c r="J421" s="3">
        <f>Comparison!AM20</f>
        <v>6509.2168204054406</v>
      </c>
      <c r="K421" s="3">
        <f>Comparison!AN20</f>
        <v>6240.1474757230608</v>
      </c>
      <c r="L421" s="3">
        <f>Comparison!AO20</f>
        <v>5850.8000974148181</v>
      </c>
      <c r="M421" s="3">
        <f>Comparison!AP20</f>
        <v>5064.9009314494624</v>
      </c>
      <c r="N421" s="3">
        <f>Comparison!AQ20</f>
        <v>3039.7716426269371</v>
      </c>
      <c r="O421" s="3">
        <f>Comparison!AR20</f>
        <v>143.13037816485394</v>
      </c>
      <c r="P421" s="3">
        <f>Comparison!AS20</f>
        <v>140.2404472955443</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6.7232954793040821E-17</v>
      </c>
      <c r="C422" s="3">
        <f t="shared" si="434"/>
        <v>1.3664016647890138E-15</v>
      </c>
      <c r="D422" s="3">
        <f t="shared" si="434"/>
        <v>9.9481729111568718E-14</v>
      </c>
      <c r="E422" s="3">
        <f t="shared" si="434"/>
        <v>6.6161082147299049E-11</v>
      </c>
      <c r="F422" s="3">
        <f t="shared" si="434"/>
        <v>3.6670999292974018E-6</v>
      </c>
      <c r="G422" s="3">
        <f t="shared" si="434"/>
        <v>1000</v>
      </c>
      <c r="H422" s="3">
        <f t="shared" si="434"/>
        <v>55287.130604876424</v>
      </c>
      <c r="I422" s="109">
        <f>Comparison!AL21</f>
        <v>1000</v>
      </c>
      <c r="J422" s="3">
        <f>Comparison!AM21</f>
        <v>6358.877795711509</v>
      </c>
      <c r="K422" s="3">
        <f>Comparison!AN21</f>
        <v>6044.4265071962272</v>
      </c>
      <c r="L422" s="3">
        <f>Comparison!AO21</f>
        <v>5524.1383776461034</v>
      </c>
      <c r="M422" s="3">
        <f>Comparison!AP21</f>
        <v>4580.1850776889687</v>
      </c>
      <c r="N422" s="3">
        <f>Comparison!AQ21</f>
        <v>2356.5178874385392</v>
      </c>
      <c r="O422" s="3">
        <f>Comparison!AR21</f>
        <v>139.03929298884987</v>
      </c>
      <c r="P422" s="3">
        <f>Comparison!AS21</f>
        <v>137.13168564571805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6.7232954793040813E-16</v>
      </c>
      <c r="C423" s="3">
        <f t="shared" si="434"/>
        <v>1.3664016647890139E-14</v>
      </c>
      <c r="D423" s="3">
        <f t="shared" si="434"/>
        <v>9.9481729111568728E-13</v>
      </c>
      <c r="E423" s="3">
        <f t="shared" si="434"/>
        <v>6.6161082147299049E-10</v>
      </c>
      <c r="F423" s="3">
        <f t="shared" si="434"/>
        <v>3.6670999292974018E-5</v>
      </c>
      <c r="G423" s="3">
        <f t="shared" si="434"/>
        <v>10000</v>
      </c>
      <c r="H423" s="3">
        <f t="shared" si="434"/>
        <v>552871.30604876427</v>
      </c>
      <c r="I423" s="109">
        <f>Comparison!AL22</f>
        <v>10000</v>
      </c>
      <c r="J423" s="3">
        <f>Comparison!AM22</f>
        <v>6198.1657141301985</v>
      </c>
      <c r="K423" s="3">
        <f>Comparison!AN22</f>
        <v>5697.9764219559002</v>
      </c>
      <c r="L423" s="3">
        <f>Comparison!AO22</f>
        <v>5037.8540321693981</v>
      </c>
      <c r="M423" s="3">
        <f>Comparison!AP22</f>
        <v>4085.8663253030418</v>
      </c>
      <c r="N423" s="3">
        <f>Comparison!AQ22</f>
        <v>1664.6092730189016</v>
      </c>
      <c r="O423" s="3">
        <f>Comparison!AR22</f>
        <v>135.60631839895524</v>
      </c>
      <c r="P423" s="3">
        <f>Comparison!AS22</f>
        <v>133.5914564553571</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6.7232954793040813E-15</v>
      </c>
      <c r="C424" s="3">
        <f t="shared" si="434"/>
        <v>1.3664016647890139E-13</v>
      </c>
      <c r="D424" s="3">
        <f t="shared" si="434"/>
        <v>9.948172911156872E-12</v>
      </c>
      <c r="E424" s="3">
        <f t="shared" si="434"/>
        <v>6.6161082147299055E-9</v>
      </c>
      <c r="F424" s="3">
        <f t="shared" si="434"/>
        <v>3.6670999292974017E-4</v>
      </c>
      <c r="G424" s="3">
        <f t="shared" si="434"/>
        <v>100000</v>
      </c>
      <c r="H424" s="3">
        <f t="shared" si="434"/>
        <v>5528713.060487642</v>
      </c>
      <c r="I424" s="109">
        <f>Comparison!AL23</f>
        <v>100000</v>
      </c>
      <c r="J424" s="3">
        <f>Comparison!AM23</f>
        <v>5965.2165970487267</v>
      </c>
      <c r="K424" s="3">
        <f>Comparison!AN23</f>
        <v>5222.1642197271249</v>
      </c>
      <c r="L424" s="3">
        <f>Comparison!AO23</f>
        <v>4531.1485912762591</v>
      </c>
      <c r="M424" s="3">
        <f>Comparison!AP23</f>
        <v>3641.7022773125063</v>
      </c>
      <c r="N424" s="3">
        <f>Comparison!AQ23</f>
        <v>1039.9214556238178</v>
      </c>
      <c r="O424" s="3">
        <f>Comparison!AR23</f>
        <v>132.22937471479068</v>
      </c>
      <c r="P424" s="3">
        <f>Comparison!AS23</f>
        <v>130.60597118111332</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6.7232954793040813E-14</v>
      </c>
      <c r="C425" s="3">
        <f t="shared" si="434"/>
        <v>1.3664016647890138E-12</v>
      </c>
      <c r="D425" s="3">
        <f t="shared" si="434"/>
        <v>9.9481729111568723E-11</v>
      </c>
      <c r="E425" s="3">
        <f t="shared" si="434"/>
        <v>6.6161082147299055E-8</v>
      </c>
      <c r="F425" s="3">
        <f t="shared" si="434"/>
        <v>3.6670999292974017E-3</v>
      </c>
      <c r="G425" s="3">
        <f t="shared" si="434"/>
        <v>1000000</v>
      </c>
      <c r="H425" s="3">
        <f t="shared" si="434"/>
        <v>55287130.604876421</v>
      </c>
      <c r="I425" s="109">
        <f>Comparison!AL24</f>
        <v>1000000</v>
      </c>
      <c r="J425" s="3">
        <f>Comparison!AM24</f>
        <v>5562.9083959530062</v>
      </c>
      <c r="K425" s="3">
        <f>Comparison!AN24</f>
        <v>4741.2273341563377</v>
      </c>
      <c r="L425" s="3">
        <f>Comparison!AO24</f>
        <v>4100.3073895013431</v>
      </c>
      <c r="M425" s="3">
        <f>Comparison!AP24</f>
        <v>3231.6591203117327</v>
      </c>
      <c r="N425" s="3">
        <f>Comparison!AQ24</f>
        <v>595.89522173414423</v>
      </c>
      <c r="O425" s="3">
        <f>Comparison!AR24</f>
        <v>129.58780540541244</v>
      </c>
      <c r="P425" s="3">
        <f>Comparison!AS24</f>
        <v>128.42317853149575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6.7232954793040821E-13</v>
      </c>
      <c r="C426" s="3">
        <f t="shared" si="434"/>
        <v>1.3664016647890138E-11</v>
      </c>
      <c r="D426" s="3">
        <f t="shared" si="434"/>
        <v>9.9481729111568716E-10</v>
      </c>
      <c r="E426" s="3">
        <f t="shared" si="434"/>
        <v>6.6161082147299052E-7</v>
      </c>
      <c r="F426" s="3">
        <f t="shared" si="434"/>
        <v>3.6670999292974016E-2</v>
      </c>
      <c r="G426" s="3">
        <f t="shared" si="434"/>
        <v>10000000</v>
      </c>
      <c r="H426" s="3">
        <f t="shared" si="434"/>
        <v>552871306.04876423</v>
      </c>
      <c r="I426" s="109">
        <f>Comparison!AL25</f>
        <v>10000000</v>
      </c>
      <c r="J426" s="3">
        <f>Comparison!AM25</f>
        <v>5068.6144859756578</v>
      </c>
      <c r="K426" s="3">
        <f>Comparison!AN25</f>
        <v>4311.1706397553053</v>
      </c>
      <c r="L426" s="3">
        <f>Comparison!AO25</f>
        <v>3736.9018653482362</v>
      </c>
      <c r="M426" s="3">
        <f>Comparison!AP25</f>
        <v>2785.7203085552951</v>
      </c>
      <c r="N426" s="3">
        <f>Comparison!AQ25</f>
        <v>331.71701217899948</v>
      </c>
      <c r="O426" s="3">
        <f>Comparison!AR25</f>
        <v>127.7135675720335</v>
      </c>
      <c r="P426" s="3">
        <f>Comparison!AS25</f>
        <v>126.92571513683149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6.7232954793040821E-12</v>
      </c>
      <c r="C427" s="3">
        <f t="shared" si="434"/>
        <v>1.366401664789014E-10</v>
      </c>
      <c r="D427" s="3">
        <f t="shared" si="434"/>
        <v>9.9481729111568728E-9</v>
      </c>
      <c r="E427" s="3">
        <f t="shared" si="434"/>
        <v>6.6161082147299048E-6</v>
      </c>
      <c r="F427" s="3">
        <f t="shared" si="434"/>
        <v>0.36670999292974016</v>
      </c>
      <c r="G427" s="3">
        <f t="shared" si="434"/>
        <v>100000000</v>
      </c>
      <c r="H427" s="3">
        <f t="shared" si="434"/>
        <v>5528713060.4876423</v>
      </c>
      <c r="I427" s="109">
        <f>Comparison!AL26</f>
        <v>100000000</v>
      </c>
      <c r="J427" s="3">
        <f>Comparison!AM26</f>
        <v>4583.1082918040429</v>
      </c>
      <c r="K427" s="3">
        <f>Comparison!AN26</f>
        <v>3952.2593271118144</v>
      </c>
      <c r="L427" s="3">
        <f>Comparison!AO26</f>
        <v>3408.8002756648089</v>
      </c>
      <c r="M427" s="3">
        <f>Comparison!AP26</f>
        <v>2295.1533050928924</v>
      </c>
      <c r="N427" s="3">
        <f>Comparison!AQ26</f>
        <v>192.72704730170403</v>
      </c>
      <c r="O427" s="3">
        <f>Comparison!AR26</f>
        <v>126.4367312836393</v>
      </c>
      <c r="P427" s="3">
        <f>Comparison!AS26</f>
        <v>125.87891264299097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6.7232954793040823E-11</v>
      </c>
      <c r="C428" s="3">
        <f t="shared" si="434"/>
        <v>1.3664016647890138E-9</v>
      </c>
      <c r="D428" s="3">
        <f t="shared" si="434"/>
        <v>9.9481729111568718E-8</v>
      </c>
      <c r="E428" s="3">
        <f t="shared" si="434"/>
        <v>6.6161082147299046E-5</v>
      </c>
      <c r="F428" s="3">
        <f t="shared" si="434"/>
        <v>3.6670999292974016</v>
      </c>
      <c r="G428" s="3">
        <f t="shared" si="434"/>
        <v>1000000000</v>
      </c>
      <c r="H428" s="3">
        <f t="shared" si="434"/>
        <v>55287130604.876419</v>
      </c>
      <c r="I428" s="109">
        <f>Comparison!AL27</f>
        <v>1000000000</v>
      </c>
      <c r="J428" s="3">
        <f>Comparison!AM27</f>
        <v>4165.9762057055259</v>
      </c>
      <c r="K428" s="3">
        <f>Comparison!AN27</f>
        <v>3639.2172363975619</v>
      </c>
      <c r="L428" s="3">
        <f>Comparison!AO27</f>
        <v>3078.2308446927527</v>
      </c>
      <c r="M428" s="3">
        <f>Comparison!AP27</f>
        <v>1754.5150163075152</v>
      </c>
      <c r="N428" s="3">
        <f>Comparison!AQ27</f>
        <v>148.89299884614732</v>
      </c>
      <c r="O428" s="3">
        <f>Comparison!AR27</f>
        <v>125.52960401951817</v>
      </c>
      <c r="P428" s="3">
        <f>Comparison!AS27</f>
        <v>125.11103067782525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6.7232954793040812E-10</v>
      </c>
      <c r="C429" s="3">
        <f t="shared" si="434"/>
        <v>1.3664016647890139E-8</v>
      </c>
      <c r="D429" s="3">
        <f t="shared" si="434"/>
        <v>9.9481729111568726E-7</v>
      </c>
      <c r="E429" s="3">
        <f t="shared" si="434"/>
        <v>6.6161082147299052E-4</v>
      </c>
      <c r="F429" s="3">
        <f t="shared" si="434"/>
        <v>36.670999292974017</v>
      </c>
      <c r="G429" s="3">
        <f t="shared" si="434"/>
        <v>10000000000</v>
      </c>
      <c r="H429" s="3">
        <f t="shared" si="434"/>
        <v>552871306048.76416</v>
      </c>
      <c r="I429" s="109">
        <f>Comparison!AL28</f>
        <v>10000000000</v>
      </c>
      <c r="J429" s="3">
        <f>Comparison!AM28</f>
        <v>3823.5689905233821</v>
      </c>
      <c r="K429" s="3">
        <f>Comparison!AN28</f>
        <v>3344.7021990881808</v>
      </c>
      <c r="L429" s="3">
        <f>Comparison!AO28</f>
        <v>2685.2498641877337</v>
      </c>
      <c r="M429" s="3">
        <f>Comparison!AP28</f>
        <v>1171.8757952014325</v>
      </c>
      <c r="N429" s="3">
        <f>Comparison!AQ28</f>
        <v>134.12130031566326</v>
      </c>
      <c r="O429" s="3">
        <f>Comparison!AR28</f>
        <v>124.83927834622055</v>
      </c>
      <c r="P429" s="3">
        <f>Comparison!AS28</f>
        <v>124.96985459314666</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6.7232954793040816E-9</v>
      </c>
      <c r="C430" s="3">
        <f t="shared" si="434"/>
        <v>1.366401664789014E-7</v>
      </c>
      <c r="D430" s="3">
        <f t="shared" si="434"/>
        <v>9.9481729111568726E-6</v>
      </c>
      <c r="E430" s="3">
        <f t="shared" si="434"/>
        <v>6.6161082147299047E-3</v>
      </c>
      <c r="F430" s="3">
        <f t="shared" si="434"/>
        <v>366.70999292974017</v>
      </c>
      <c r="G430" s="3">
        <f t="shared" si="434"/>
        <v>100000000000</v>
      </c>
      <c r="H430" s="3">
        <f t="shared" si="434"/>
        <v>5528713060487.6426</v>
      </c>
      <c r="I430" s="109">
        <f>Comparison!AL29</f>
        <v>100000000000</v>
      </c>
      <c r="J430" s="3">
        <f>Comparison!AM29</f>
        <v>3510.558848270296</v>
      </c>
      <c r="K430" s="3">
        <f>Comparison!AN29</f>
        <v>3034.0126163953428</v>
      </c>
      <c r="L430" s="3">
        <f>Comparison!AO29</f>
        <v>2228.0957655931211</v>
      </c>
      <c r="M430" s="3">
        <f>Comparison!AP29</f>
        <v>704.46209389908893</v>
      </c>
      <c r="N430" s="3">
        <f>Comparison!AQ29</f>
        <v>124.90206072555479</v>
      </c>
      <c r="O430" s="3">
        <f>Comparison!AR29</f>
        <v>124.70417941781746</v>
      </c>
      <c r="P430" s="3">
        <f>Comparison!AS29</f>
        <v>124.77108605330615</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6.7232954793040813E-8</v>
      </c>
      <c r="C431" s="3">
        <f t="shared" si="434"/>
        <v>1.3664016647890138E-6</v>
      </c>
      <c r="D431" s="3">
        <f t="shared" si="434"/>
        <v>9.9481729111568719E-5</v>
      </c>
      <c r="E431" s="3">
        <f t="shared" si="434"/>
        <v>6.6161082147299058E-2</v>
      </c>
      <c r="F431" s="3">
        <f t="shared" si="434"/>
        <v>3667.099929297402</v>
      </c>
      <c r="G431" s="3">
        <f t="shared" si="434"/>
        <v>1000000000000</v>
      </c>
      <c r="H431" s="3">
        <f t="shared" si="434"/>
        <v>55287130604876.422</v>
      </c>
      <c r="I431" s="109">
        <f>Comparison!AL30</f>
        <v>1000000000000</v>
      </c>
      <c r="J431" s="3">
        <f>Comparison!AM30</f>
        <v>3215.4703591878829</v>
      </c>
      <c r="K431" s="3">
        <f>Comparison!AN30</f>
        <v>2653.5608861364908</v>
      </c>
      <c r="L431" s="3">
        <f>Comparison!AO30</f>
        <v>1704.9584752004923</v>
      </c>
      <c r="M431" s="3">
        <f>Comparison!AP30</f>
        <v>403.25761176970258</v>
      </c>
      <c r="N431" s="3">
        <f>Comparison!AQ30</f>
        <v>124.64007063602084</v>
      </c>
      <c r="O431" s="3">
        <f>Comparison!AR30</f>
        <v>123.9260383626436</v>
      </c>
      <c r="P431" s="3">
        <f>Comparison!AS30</f>
        <v>123.93614365125383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6.7232954793040813E-7</v>
      </c>
      <c r="C432" s="3">
        <f t="shared" si="434"/>
        <v>1.3664016647890138E-5</v>
      </c>
      <c r="D432" s="3">
        <f t="shared" si="434"/>
        <v>9.9481729111568717E-4</v>
      </c>
      <c r="E432" s="3">
        <f t="shared" si="434"/>
        <v>0.66161082147299055</v>
      </c>
      <c r="F432" s="3">
        <f t="shared" si="434"/>
        <v>36670.999292974018</v>
      </c>
      <c r="G432" s="3">
        <f t="shared" si="434"/>
        <v>10000000000000</v>
      </c>
      <c r="H432" s="3">
        <f t="shared" si="434"/>
        <v>552871306048764.25</v>
      </c>
      <c r="I432" s="109">
        <f>Comparison!AL31</f>
        <v>10000000000000</v>
      </c>
      <c r="J432" s="3">
        <f>Comparison!AM31</f>
        <v>2870.194204228324</v>
      </c>
      <c r="K432" s="3">
        <f>Comparison!AN31</f>
        <v>2203.3378680125074</v>
      </c>
      <c r="L432" s="3">
        <f>Comparison!AO31</f>
        <v>1135.4901421385146</v>
      </c>
      <c r="M432" s="3">
        <f>Comparison!AP31</f>
        <v>227.19076746573165</v>
      </c>
      <c r="N432" s="3">
        <f>Comparison!AQ31</f>
        <v>123.89500698166064</v>
      </c>
      <c r="O432" s="3">
        <f>Comparison!AR31</f>
        <v>123.91358498832378</v>
      </c>
      <c r="P432" s="3">
        <f>Comparison!AS31</f>
        <v>123.92285545904397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6.7232954793040822E-6</v>
      </c>
      <c r="C433" s="3">
        <f t="shared" si="434"/>
        <v>1.3664016647890138E-4</v>
      </c>
      <c r="D433" s="3">
        <f t="shared" si="434"/>
        <v>9.9481729111568721E-3</v>
      </c>
      <c r="E433" s="3">
        <f t="shared" si="434"/>
        <v>6.6161082147299055</v>
      </c>
      <c r="F433" s="3">
        <f t="shared" si="434"/>
        <v>366709.99292974017</v>
      </c>
      <c r="G433" s="3">
        <f t="shared" si="434"/>
        <v>100000000000000</v>
      </c>
      <c r="H433" s="3">
        <f t="shared" si="434"/>
        <v>5528713060487642</v>
      </c>
      <c r="I433" s="109">
        <f>Comparison!AL32</f>
        <v>100000000000000</v>
      </c>
      <c r="J433" s="3">
        <f>Comparison!AM32</f>
        <v>2458.5183678646754</v>
      </c>
      <c r="K433" s="3">
        <f>Comparison!AN32</f>
        <v>1683.4592204898881</v>
      </c>
      <c r="L433" s="3">
        <f>Comparison!AO32</f>
        <v>680.51042901870051</v>
      </c>
      <c r="M433" s="3">
        <f>Comparison!AP32</f>
        <v>157.01371189082064</v>
      </c>
      <c r="N433" s="3">
        <f>Comparison!AQ32</f>
        <v>123.88320178471095</v>
      </c>
      <c r="O433" s="3">
        <f>Comparison!AR32</f>
        <v>123.65466987195585</v>
      </c>
      <c r="P433" s="3">
        <f>Comparison!AS32</f>
        <v>123.48008539289999</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6.7232954793040823E-5</v>
      </c>
      <c r="C434" s="3">
        <f t="shared" si="434"/>
        <v>1.3664016647890139E-3</v>
      </c>
      <c r="D434" s="3">
        <f t="shared" si="434"/>
        <v>9.9481729111568717E-2</v>
      </c>
      <c r="E434" s="3">
        <f t="shared" si="434"/>
        <v>66.161082147299055</v>
      </c>
      <c r="F434" s="3">
        <f t="shared" si="434"/>
        <v>3667099.9292974016</v>
      </c>
      <c r="G434" s="3">
        <f t="shared" si="434"/>
        <v>1000000000000000</v>
      </c>
      <c r="H434" s="3">
        <f t="shared" si="434"/>
        <v>5.5287130604876424E+16</v>
      </c>
      <c r="I434" s="109">
        <f>Comparison!AL33</f>
        <v>1000000000000000</v>
      </c>
      <c r="J434" s="3">
        <f>Comparison!AM33</f>
        <v>1982.6966326072995</v>
      </c>
      <c r="K434" s="3">
        <f>Comparison!AN33</f>
        <v>1118.1414735463829</v>
      </c>
      <c r="L434" s="3">
        <f>Comparison!AO33</f>
        <v>389.33964903055204</v>
      </c>
      <c r="M434" s="3">
        <f>Comparison!AP33</f>
        <v>136.97082983111966</v>
      </c>
      <c r="N434" s="3">
        <f>Comparison!AQ33</f>
        <v>123.47472292148701</v>
      </c>
      <c r="O434" s="3">
        <f>Comparison!AR33</f>
        <v>123.64094316844046</v>
      </c>
      <c r="P434" s="3">
        <f>Comparison!AS33</f>
        <v>123.46865182434244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5"/>
      <c r="B532" s="115"/>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15"/>
      <c r="B581" s="115"/>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15"/>
      <c r="B596" s="115"/>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5"/>
      <c r="B650" s="115"/>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-44.146123426846039</v>
      </c>
      <c r="M1" s="54">
        <v>1</v>
      </c>
      <c r="N1" s="56">
        <f>INDEX($H$217:$P$217,1,Q1)</f>
        <v>0.28653108874670191</v>
      </c>
      <c r="O1" s="11"/>
      <c r="P1" s="55">
        <v>1</v>
      </c>
      <c r="Q1" s="11">
        <v>2</v>
      </c>
    </row>
    <row r="2" spans="1:17" x14ac:dyDescent="0.25">
      <c r="A2" s="11">
        <f>'Mastercurve bestimmen'!M119</f>
        <v>0</v>
      </c>
      <c r="B2" s="11">
        <f>'Mastercurve bestimmen'!N119</f>
        <v>-41.134350911465361</v>
      </c>
      <c r="M2" s="54">
        <v>2</v>
      </c>
      <c r="N2" s="56">
        <f t="shared" ref="N2:N9" si="0">INDEX($H$217:$P$217,1,Q2)</f>
        <v>-6.1073802349987209E-3</v>
      </c>
      <c r="O2" s="11"/>
      <c r="P2" s="55">
        <v>2</v>
      </c>
      <c r="Q2" s="11">
        <f>Q1+1</f>
        <v>3</v>
      </c>
    </row>
    <row r="3" spans="1:17" x14ac:dyDescent="0.25">
      <c r="A3" s="11">
        <f>'Mastercurve bestimmen'!M120</f>
        <v>25</v>
      </c>
      <c r="B3" s="11">
        <f>'Mastercurve bestimmen'!N120</f>
        <v>-36.84655767360919</v>
      </c>
      <c r="M3" s="54">
        <v>3</v>
      </c>
      <c r="N3" s="56">
        <f t="shared" si="0"/>
        <v>-4.1830998957542152E-5</v>
      </c>
      <c r="O3" s="11"/>
      <c r="P3" s="55">
        <v>3</v>
      </c>
      <c r="Q3" s="11">
        <f t="shared" ref="Q3:Q8" si="1">Q2+1</f>
        <v>4</v>
      </c>
    </row>
    <row r="4" spans="1:17" x14ac:dyDescent="0.25">
      <c r="A4" s="11">
        <f>'Mastercurve bestimmen'!M121</f>
        <v>50</v>
      </c>
      <c r="B4" s="11">
        <f>'Mastercurve bestimmen'!N121</f>
        <v>-30.346683987809985</v>
      </c>
      <c r="M4" s="54">
        <v>4</v>
      </c>
      <c r="N4" s="56">
        <f t="shared" si="0"/>
        <v>1.3023212703738277E-6</v>
      </c>
      <c r="O4" s="11"/>
      <c r="P4" s="55">
        <v>4</v>
      </c>
      <c r="Q4" s="11">
        <f t="shared" si="1"/>
        <v>5</v>
      </c>
    </row>
    <row r="5" spans="1:17" x14ac:dyDescent="0.25">
      <c r="A5" s="11">
        <f>'Mastercurve bestimmen'!M122</f>
        <v>80</v>
      </c>
      <c r="B5" s="11">
        <f>'Mastercurve bestimmen'!N122</f>
        <v>-19.423864697261138</v>
      </c>
      <c r="M5" s="54">
        <v>5</v>
      </c>
      <c r="N5" s="56">
        <f t="shared" si="0"/>
        <v>2.3585104662500178E-8</v>
      </c>
      <c r="O5" s="11"/>
      <c r="P5" s="55">
        <v>5</v>
      </c>
      <c r="Q5" s="11">
        <f t="shared" si="1"/>
        <v>6</v>
      </c>
    </row>
    <row r="6" spans="1:17" x14ac:dyDescent="0.25">
      <c r="A6" s="11">
        <f>'Mastercurve bestimmen'!M123</f>
        <v>125</v>
      </c>
      <c r="B6" s="11">
        <f>'Mastercurve bestimmen'!N123</f>
        <v>0</v>
      </c>
      <c r="M6" s="54">
        <v>6</v>
      </c>
      <c r="N6" s="56">
        <f t="shared" si="0"/>
        <v>1.5983071775219865E-10</v>
      </c>
      <c r="O6" s="11"/>
      <c r="P6" s="55">
        <v>6</v>
      </c>
      <c r="Q6" s="11">
        <f t="shared" si="1"/>
        <v>7</v>
      </c>
    </row>
    <row r="7" spans="1:17" x14ac:dyDescent="0.25">
      <c r="A7" s="11">
        <f>'Mastercurve bestimmen'!M124</f>
        <v>160</v>
      </c>
      <c r="B7" s="11">
        <f>'Mastercurve bestimmen'!N124</f>
        <v>4.0125401618223879</v>
      </c>
      <c r="M7" s="54">
        <v>7</v>
      </c>
      <c r="N7" s="56">
        <f t="shared" si="0"/>
        <v>4.8222116154925979E-13</v>
      </c>
      <c r="O7" s="11"/>
      <c r="P7" s="55">
        <v>7</v>
      </c>
      <c r="Q7" s="11">
        <f t="shared" si="1"/>
        <v>8</v>
      </c>
    </row>
    <row r="8" spans="1:17" x14ac:dyDescent="0.25">
      <c r="A8" s="11"/>
      <c r="B8" s="11"/>
      <c r="M8" s="54">
        <v>8</v>
      </c>
      <c r="N8" s="56">
        <f t="shared" si="0"/>
        <v>5.1117984702427456E-16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-44.146123426846046</v>
      </c>
      <c r="E15" s="11">
        <f>A15-'Mastercurve bestimmen'!$B$2</f>
        <v>-165</v>
      </c>
      <c r="F15" s="11">
        <f>B15</f>
        <v>-44.146123426846046</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-44.091281700755133</v>
      </c>
      <c r="E16" s="11">
        <f>A16-'Mastercurve bestimmen'!$B$2</f>
        <v>-164</v>
      </c>
      <c r="F16" s="11">
        <f t="shared" ref="F16:F79" si="4">B16</f>
        <v>-44.091281700755133</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-44.036363229498029</v>
      </c>
      <c r="E17" s="11">
        <f>A17-'Mastercurve bestimmen'!$B$2</f>
        <v>-163</v>
      </c>
      <c r="F17" s="11">
        <f t="shared" si="4"/>
        <v>-44.036363229498029</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-43.981291267908503</v>
      </c>
      <c r="E18" s="11">
        <f>A18-'Mastercurve bestimmen'!$B$2</f>
        <v>-162</v>
      </c>
      <c r="F18" s="11">
        <f t="shared" si="4"/>
        <v>-43.981291267908503</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-43.925989070820378</v>
      </c>
      <c r="E19" s="11">
        <f>A19-'Mastercurve bestimmen'!$B$2</f>
        <v>-161</v>
      </c>
      <c r="F19" s="11">
        <f t="shared" si="4"/>
        <v>-43.925989070820378</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-43.870379893067415</v>
      </c>
      <c r="E20" s="11">
        <f>A20-'Mastercurve bestimmen'!$B$2</f>
        <v>-160</v>
      </c>
      <c r="F20" s="11">
        <f t="shared" si="4"/>
        <v>-43.870379893067415</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-43.814386989483445</v>
      </c>
      <c r="E21" s="11">
        <f>A21-'Mastercurve bestimmen'!$B$2</f>
        <v>-159</v>
      </c>
      <c r="F21" s="11">
        <f t="shared" si="4"/>
        <v>-43.814386989483445</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-43.757933614902228</v>
      </c>
      <c r="E22" s="11">
        <f>A22-'Mastercurve bestimmen'!$B$2</f>
        <v>-158</v>
      </c>
      <c r="F22" s="11">
        <f t="shared" si="4"/>
        <v>-43.757933614902228</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-43.700943024157581</v>
      </c>
      <c r="E23" s="11">
        <f>A23-'Mastercurve bestimmen'!$B$2</f>
        <v>-157</v>
      </c>
      <c r="F23" s="11">
        <f t="shared" si="4"/>
        <v>-43.700943024157581</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-43.643338472083308</v>
      </c>
      <c r="E24" s="11">
        <f>A24-'Mastercurve bestimmen'!$B$2</f>
        <v>-156</v>
      </c>
      <c r="F24" s="11">
        <f t="shared" si="4"/>
        <v>-43.643338472083308</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-43.585043213513174</v>
      </c>
      <c r="E25" s="11">
        <f>A25-'Mastercurve bestimmen'!$B$2</f>
        <v>-155</v>
      </c>
      <c r="F25" s="11">
        <f t="shared" si="4"/>
        <v>-43.585043213513174</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-43.525980503281005</v>
      </c>
      <c r="E26" s="11">
        <f>A26-'Mastercurve bestimmen'!$B$2</f>
        <v>-154</v>
      </c>
      <c r="F26" s="11">
        <f t="shared" si="4"/>
        <v>-43.525980503281005</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-43.466073596220568</v>
      </c>
      <c r="E27" s="11">
        <f>A27-'Mastercurve bestimmen'!$B$2</f>
        <v>-153</v>
      </c>
      <c r="F27" s="11">
        <f t="shared" si="4"/>
        <v>-43.466073596220568</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-43.405245747165687</v>
      </c>
      <c r="E28" s="11">
        <f>A28-'Mastercurve bestimmen'!$B$2</f>
        <v>-152</v>
      </c>
      <c r="F28" s="11">
        <f t="shared" si="4"/>
        <v>-43.405245747165687</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-43.343420210950129</v>
      </c>
      <c r="E29" s="11">
        <f>A29-'Mastercurve bestimmen'!$B$2</f>
        <v>-151</v>
      </c>
      <c r="F29" s="11">
        <f t="shared" si="4"/>
        <v>-43.343420210950129</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-43.280520242407704</v>
      </c>
      <c r="E30" s="11">
        <f>A30-'Mastercurve bestimmen'!$B$2</f>
        <v>-150</v>
      </c>
      <c r="F30" s="11">
        <f t="shared" si="4"/>
        <v>-43.280520242407704</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-43.216469096372208</v>
      </c>
      <c r="E31" s="11">
        <f>A31-'Mastercurve bestimmen'!$B$2</f>
        <v>-149</v>
      </c>
      <c r="F31" s="11">
        <f t="shared" si="4"/>
        <v>-43.216469096372208</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-43.151190027677437</v>
      </c>
      <c r="E32" s="11">
        <f>A32-'Mastercurve bestimmen'!$B$2</f>
        <v>-148</v>
      </c>
      <c r="F32" s="11">
        <f t="shared" si="4"/>
        <v>-43.151190027677437</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-43.084606291157179</v>
      </c>
      <c r="E33" s="11">
        <f>A33-'Mastercurve bestimmen'!$B$2</f>
        <v>-147</v>
      </c>
      <c r="F33" s="11">
        <f t="shared" si="4"/>
        <v>-43.084606291157179</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-43.016641141645238</v>
      </c>
      <c r="E34" s="11">
        <f>A34-'Mastercurve bestimmen'!$B$2</f>
        <v>-146</v>
      </c>
      <c r="F34" s="11">
        <f t="shared" si="4"/>
        <v>-43.016641141645238</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-42.947217833975401</v>
      </c>
      <c r="E35" s="11">
        <f>A35-'Mastercurve bestimmen'!$B$2</f>
        <v>-145</v>
      </c>
      <c r="F35" s="11">
        <f t="shared" si="4"/>
        <v>-42.947217833975401</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-42.876259622981451</v>
      </c>
      <c r="E36" s="11">
        <f>A36-'Mastercurve bestimmen'!$B$2</f>
        <v>-144</v>
      </c>
      <c r="F36" s="11">
        <f t="shared" si="4"/>
        <v>-42.876259622981451</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-42.803689763497211</v>
      </c>
      <c r="E37" s="11">
        <f>A37-'Mastercurve bestimmen'!$B$2</f>
        <v>-143</v>
      </c>
      <c r="F37" s="11">
        <f t="shared" si="4"/>
        <v>-42.803689763497211</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-42.729431510356463</v>
      </c>
      <c r="E38" s="11">
        <f>A38-'Mastercurve bestimmen'!$B$2</f>
        <v>-142</v>
      </c>
      <c r="F38" s="11">
        <f t="shared" si="4"/>
        <v>-42.729431510356463</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-42.653408118392996</v>
      </c>
      <c r="E39" s="11">
        <f>A39-'Mastercurve bestimmen'!$B$2</f>
        <v>-141</v>
      </c>
      <c r="F39" s="11">
        <f t="shared" si="4"/>
        <v>-42.653408118392996</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-42.575542842440612</v>
      </c>
      <c r="E40" s="11">
        <f>A40-'Mastercurve bestimmen'!$B$2</f>
        <v>-140</v>
      </c>
      <c r="F40" s="11">
        <f t="shared" si="4"/>
        <v>-42.575542842440612</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-42.495758937333107</v>
      </c>
      <c r="E41" s="11">
        <f>A41-'Mastercurve bestimmen'!$B$2</f>
        <v>-139</v>
      </c>
      <c r="F41" s="11">
        <f t="shared" si="4"/>
        <v>-42.495758937333107</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-42.413979657904278</v>
      </c>
      <c r="E42" s="11">
        <f>A42-'Mastercurve bestimmen'!$B$2</f>
        <v>-138</v>
      </c>
      <c r="F42" s="11">
        <f t="shared" si="4"/>
        <v>-42.413979657904278</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-42.330128258987912</v>
      </c>
      <c r="E43" s="11">
        <f>A43-'Mastercurve bestimmen'!$B$2</f>
        <v>-137</v>
      </c>
      <c r="F43" s="11">
        <f t="shared" si="4"/>
        <v>-42.330128258987912</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-42.244127995417806</v>
      </c>
      <c r="E44" s="11">
        <f>A44-'Mastercurve bestimmen'!$B$2</f>
        <v>-136</v>
      </c>
      <c r="F44" s="11">
        <f t="shared" si="4"/>
        <v>-42.244127995417806</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-42.155902122027761</v>
      </c>
      <c r="E45" s="11">
        <f>A45-'Mastercurve bestimmen'!$B$2</f>
        <v>-135</v>
      </c>
      <c r="F45" s="11">
        <f t="shared" si="4"/>
        <v>-42.155902122027761</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-42.065373893651568</v>
      </c>
      <c r="E46" s="11">
        <f>A46-'Mastercurve bestimmen'!$B$2</f>
        <v>-134</v>
      </c>
      <c r="F46" s="11">
        <f t="shared" si="4"/>
        <v>-42.065373893651568</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-41.972466565123021</v>
      </c>
      <c r="E47" s="11">
        <f>A47-'Mastercurve bestimmen'!$B$2</f>
        <v>-133</v>
      </c>
      <c r="F47" s="11">
        <f t="shared" si="4"/>
        <v>-41.972466565123021</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-41.877103391275909</v>
      </c>
      <c r="E48" s="11">
        <f>A48-'Mastercurve bestimmen'!$B$2</f>
        <v>-132</v>
      </c>
      <c r="F48" s="11">
        <f t="shared" si="4"/>
        <v>-41.877103391275909</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-41.77920762694405</v>
      </c>
      <c r="E49" s="11">
        <f>A49-'Mastercurve bestimmen'!$B$2</f>
        <v>-131</v>
      </c>
      <c r="F49" s="11">
        <f t="shared" si="4"/>
        <v>-41.77920762694405</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-41.678702526961217</v>
      </c>
      <c r="E50" s="11">
        <f>A50-'Mastercurve bestimmen'!$B$2</f>
        <v>-130</v>
      </c>
      <c r="F50" s="11">
        <f t="shared" si="4"/>
        <v>-41.678702526961217</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-41.575511346161214</v>
      </c>
      <c r="E51" s="11">
        <f>A51-'Mastercurve bestimmen'!$B$2</f>
        <v>-129</v>
      </c>
      <c r="F51" s="11">
        <f t="shared" si="4"/>
        <v>-41.575511346161214</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-41.469557339377822</v>
      </c>
      <c r="E52" s="11">
        <f>A52-'Mastercurve bestimmen'!$B$2</f>
        <v>-128</v>
      </c>
      <c r="F52" s="11">
        <f t="shared" si="4"/>
        <v>-41.469557339377822</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-41.360763761444865</v>
      </c>
      <c r="E53" s="11">
        <f>A53-'Mastercurve bestimmen'!$B$2</f>
        <v>-127</v>
      </c>
      <c r="F53" s="11">
        <f t="shared" si="4"/>
        <v>-41.360763761444865</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-41.249053867196103</v>
      </c>
      <c r="E54" s="11">
        <f>A54-'Mastercurve bestimmen'!$B$2</f>
        <v>-126</v>
      </c>
      <c r="F54" s="11">
        <f t="shared" si="4"/>
        <v>-41.249053867196103</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-41.134350911465368</v>
      </c>
      <c r="E55" s="11">
        <f>A55-'Mastercurve bestimmen'!$B$2</f>
        <v>-125</v>
      </c>
      <c r="F55" s="11">
        <f t="shared" si="4"/>
        <v>-41.134350911465368</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-41.002528489843399</v>
      </c>
      <c r="E56" s="11">
        <f>A56-'Mastercurve bestimmen'!$B$2</f>
        <v>-124</v>
      </c>
      <c r="F56" s="11">
        <f t="shared" si="4"/>
        <v>-41.002528489843399</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-40.867608842072151</v>
      </c>
      <c r="E57" s="11">
        <f>A57-'Mastercurve bestimmen'!$B$2</f>
        <v>-123</v>
      </c>
      <c r="F57" s="11">
        <f t="shared" si="4"/>
        <v>-40.867608842072151</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-40.729564548650501</v>
      </c>
      <c r="E58" s="11">
        <f>A58-'Mastercurve bestimmen'!$B$2</f>
        <v>-122</v>
      </c>
      <c r="F58" s="11">
        <f t="shared" si="4"/>
        <v>-40.729564548650501</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-40.588368190077382</v>
      </c>
      <c r="E59" s="11">
        <f>A59-'Mastercurve bestimmen'!$B$2</f>
        <v>-121</v>
      </c>
      <c r="F59" s="11">
        <f t="shared" si="4"/>
        <v>-40.588368190077382</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-40.443992346851672</v>
      </c>
      <c r="E60" s="11">
        <f>A60-'Mastercurve bestimmen'!$B$2</f>
        <v>-120</v>
      </c>
      <c r="F60" s="11">
        <f t="shared" si="4"/>
        <v>-40.443992346851672</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-40.296409599472298</v>
      </c>
      <c r="E61" s="11">
        <f>A61-'Mastercurve bestimmen'!$B$2</f>
        <v>-119</v>
      </c>
      <c r="F61" s="11">
        <f t="shared" si="4"/>
        <v>-40.296409599472298</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-40.145592528438151</v>
      </c>
      <c r="E62" s="11">
        <f>A62-'Mastercurve bestimmen'!$B$2</f>
        <v>-118</v>
      </c>
      <c r="F62" s="11">
        <f t="shared" si="4"/>
        <v>-40.145592528438151</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-39.991513714248143</v>
      </c>
      <c r="E63" s="11">
        <f>A63-'Mastercurve bestimmen'!$B$2</f>
        <v>-117</v>
      </c>
      <c r="F63" s="11">
        <f t="shared" si="4"/>
        <v>-39.991513714248143</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-39.834145737401165</v>
      </c>
      <c r="E64" s="11">
        <f>A64-'Mastercurve bestimmen'!$B$2</f>
        <v>-116</v>
      </c>
      <c r="F64" s="11">
        <f t="shared" si="4"/>
        <v>-39.834145737401165</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-39.673461178396138</v>
      </c>
      <c r="E65" s="11">
        <f>A65-'Mastercurve bestimmen'!$B$2</f>
        <v>-115</v>
      </c>
      <c r="F65" s="11">
        <f t="shared" si="4"/>
        <v>-39.673461178396138</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-39.50943261773196</v>
      </c>
      <c r="E66" s="11">
        <f>A66-'Mastercurve bestimmen'!$B$2</f>
        <v>-114</v>
      </c>
      <c r="F66" s="11">
        <f t="shared" si="4"/>
        <v>-39.50943261773196</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-39.342032635907543</v>
      </c>
      <c r="E67" s="11">
        <f>A67-'Mastercurve bestimmen'!$B$2</f>
        <v>-113</v>
      </c>
      <c r="F67" s="11">
        <f t="shared" si="4"/>
        <v>-39.342032635907543</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-39.171233813421772</v>
      </c>
      <c r="E68" s="11">
        <f>A68-'Mastercurve bestimmen'!$B$2</f>
        <v>-112</v>
      </c>
      <c r="F68" s="11">
        <f t="shared" si="4"/>
        <v>-39.171233813421772</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-38.997008730773572</v>
      </c>
      <c r="E69" s="11">
        <f>A69-'Mastercurve bestimmen'!$B$2</f>
        <v>-111</v>
      </c>
      <c r="F69" s="11">
        <f t="shared" si="4"/>
        <v>-38.997008730773572</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-38.81932996846183</v>
      </c>
      <c r="E70" s="11">
        <f>A70-'Mastercurve bestimmen'!$B$2</f>
        <v>-110</v>
      </c>
      <c r="F70" s="11">
        <f t="shared" si="4"/>
        <v>-38.81932996846183</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-38.63817010698547</v>
      </c>
      <c r="E71" s="11">
        <f>A71-'Mastercurve bestimmen'!$B$2</f>
        <v>-109</v>
      </c>
      <c r="F71" s="11">
        <f t="shared" si="4"/>
        <v>-38.63817010698547</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-38.453501726843385</v>
      </c>
      <c r="E72" s="11">
        <f>A72-'Mastercurve bestimmen'!$B$2</f>
        <v>-108</v>
      </c>
      <c r="F72" s="11">
        <f t="shared" si="4"/>
        <v>-38.453501726843385</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-38.265297408534472</v>
      </c>
      <c r="E73" s="11">
        <f>A73-'Mastercurve bestimmen'!$B$2</f>
        <v>-107</v>
      </c>
      <c r="F73" s="11">
        <f t="shared" si="4"/>
        <v>-38.265297408534472</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-38.073529732557652</v>
      </c>
      <c r="E74" s="11">
        <f>A74-'Mastercurve bestimmen'!$B$2</f>
        <v>-106</v>
      </c>
      <c r="F74" s="11">
        <f t="shared" si="4"/>
        <v>-38.073529732557652</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-37.878171279411823</v>
      </c>
      <c r="E75" s="11">
        <f>A75-'Mastercurve bestimmen'!$B$2</f>
        <v>-105</v>
      </c>
      <c r="F75" s="11">
        <f t="shared" si="4"/>
        <v>-37.878171279411823</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-37.679194629595891</v>
      </c>
      <c r="E76" s="11">
        <f>A76-'Mastercurve bestimmen'!$B$2</f>
        <v>-104</v>
      </c>
      <c r="F76" s="11">
        <f t="shared" si="4"/>
        <v>-37.679194629595891</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-37.476572363608753</v>
      </c>
      <c r="E77" s="11">
        <f>A77-'Mastercurve bestimmen'!$B$2</f>
        <v>-103</v>
      </c>
      <c r="F77" s="11">
        <f t="shared" si="4"/>
        <v>-37.476572363608753</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-37.270277061949329</v>
      </c>
      <c r="E78" s="11">
        <f>A78-'Mastercurve bestimmen'!$B$2</f>
        <v>-102</v>
      </c>
      <c r="F78" s="11">
        <f t="shared" si="4"/>
        <v>-37.270277061949329</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-37.060281305116504</v>
      </c>
      <c r="E79" s="11">
        <f>A79-'Mastercurve bestimmen'!$B$2</f>
        <v>-101</v>
      </c>
      <c r="F79" s="11">
        <f t="shared" si="4"/>
        <v>-37.060281305116504</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-36.84655767360919</v>
      </c>
      <c r="E80" s="11">
        <f>A80-'Mastercurve bestimmen'!$B$2</f>
        <v>-100</v>
      </c>
      <c r="F80" s="11">
        <f t="shared" ref="F80:F143" si="10">B80</f>
        <v>-36.84655767360919</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-36.629087386544654</v>
      </c>
      <c r="E81" s="11">
        <f>A81-'Mastercurve bestimmen'!$B$2</f>
        <v>-99</v>
      </c>
      <c r="F81" s="11">
        <f t="shared" si="10"/>
        <v>-36.629087386544654</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-36.407886217513578</v>
      </c>
      <c r="E82" s="11">
        <f>A82-'Mastercurve bestimmen'!$B$2</f>
        <v>-98</v>
      </c>
      <c r="F82" s="11">
        <f t="shared" si="10"/>
        <v>-36.407886217513578</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-36.18297857872497</v>
      </c>
      <c r="E83" s="11">
        <f>A83-'Mastercurve bestimmen'!$B$2</f>
        <v>-97</v>
      </c>
      <c r="F83" s="11">
        <f t="shared" si="10"/>
        <v>-36.18297857872497</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-35.954388882387903</v>
      </c>
      <c r="E84" s="11">
        <f>A84-'Mastercurve bestimmen'!$B$2</f>
        <v>-96</v>
      </c>
      <c r="F84" s="11">
        <f t="shared" si="10"/>
        <v>-35.954388882387903</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-35.722141540711377</v>
      </c>
      <c r="E85" s="11">
        <f>A85-'Mastercurve bestimmen'!$B$2</f>
        <v>-95</v>
      </c>
      <c r="F85" s="11">
        <f t="shared" si="10"/>
        <v>-35.722141540711377</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-35.486260965904449</v>
      </c>
      <c r="E86" s="11">
        <f>A86-'Mastercurve bestimmen'!$B$2</f>
        <v>-94</v>
      </c>
      <c r="F86" s="11">
        <f t="shared" si="10"/>
        <v>-35.486260965904449</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-35.246771570176136</v>
      </c>
      <c r="E87" s="11">
        <f>A87-'Mastercurve bestimmen'!$B$2</f>
        <v>-93</v>
      </c>
      <c r="F87" s="11">
        <f t="shared" si="10"/>
        <v>-35.246771570176136</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-35.003697765735481</v>
      </c>
      <c r="E88" s="11">
        <f>A88-'Mastercurve bestimmen'!$B$2</f>
        <v>-92</v>
      </c>
      <c r="F88" s="11">
        <f t="shared" si="10"/>
        <v>-35.003697765735481</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-34.757063964791513</v>
      </c>
      <c r="E89" s="11">
        <f>A89-'Mastercurve bestimmen'!$B$2</f>
        <v>-91</v>
      </c>
      <c r="F89" s="11">
        <f t="shared" si="10"/>
        <v>-34.757063964791513</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-34.506894579553276</v>
      </c>
      <c r="E90" s="11">
        <f>A90-'Mastercurve bestimmen'!$B$2</f>
        <v>-90</v>
      </c>
      <c r="F90" s="11">
        <f t="shared" si="10"/>
        <v>-34.506894579553276</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-34.253214022229805</v>
      </c>
      <c r="E91" s="11">
        <f>A91-'Mastercurve bestimmen'!$B$2</f>
        <v>-89</v>
      </c>
      <c r="F91" s="11">
        <f t="shared" si="10"/>
        <v>-34.253214022229805</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-33.996046705030118</v>
      </c>
      <c r="E92" s="11">
        <f>A92-'Mastercurve bestimmen'!$B$2</f>
        <v>-88</v>
      </c>
      <c r="F92" s="11">
        <f t="shared" si="10"/>
        <v>-33.996046705030118</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-33.73541704016327</v>
      </c>
      <c r="E93" s="11">
        <f>A93-'Mastercurve bestimmen'!$B$2</f>
        <v>-87</v>
      </c>
      <c r="F93" s="11">
        <f t="shared" si="10"/>
        <v>-33.73541704016327</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-33.471349439838271</v>
      </c>
      <c r="E94" s="11">
        <f>A94-'Mastercurve bestimmen'!$B$2</f>
        <v>-86</v>
      </c>
      <c r="F94" s="11">
        <f t="shared" si="10"/>
        <v>-33.471349439838271</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-33.20386831626417</v>
      </c>
      <c r="E95" s="11">
        <f>A95-'Mastercurve bestimmen'!$B$2</f>
        <v>-85</v>
      </c>
      <c r="F95" s="11">
        <f t="shared" si="10"/>
        <v>-33.20386831626417</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-32.932998081649998</v>
      </c>
      <c r="E96" s="11">
        <f>A96-'Mastercurve bestimmen'!$B$2</f>
        <v>-84</v>
      </c>
      <c r="F96" s="11">
        <f t="shared" si="10"/>
        <v>-32.932998081649998</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-32.658763148204798</v>
      </c>
      <c r="E97" s="11">
        <f>A97-'Mastercurve bestimmen'!$B$2</f>
        <v>-83</v>
      </c>
      <c r="F97" s="11">
        <f t="shared" si="10"/>
        <v>-32.658763148204798</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-32.381187928137592</v>
      </c>
      <c r="E98" s="11">
        <f>A98-'Mastercurve bestimmen'!$B$2</f>
        <v>-82</v>
      </c>
      <c r="F98" s="11">
        <f t="shared" si="10"/>
        <v>-32.381187928137592</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-32.100296833657424</v>
      </c>
      <c r="E99" s="11">
        <f>A99-'Mastercurve bestimmen'!$B$2</f>
        <v>-81</v>
      </c>
      <c r="F99" s="11">
        <f t="shared" si="10"/>
        <v>-32.100296833657424</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-31.816114276973316</v>
      </c>
      <c r="E100" s="11">
        <f>A100-'Mastercurve bestimmen'!$B$2</f>
        <v>-80</v>
      </c>
      <c r="F100" s="11">
        <f t="shared" si="10"/>
        <v>-31.816114276973316</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-31.528664670294312</v>
      </c>
      <c r="E101" s="11">
        <f>A101-'Mastercurve bestimmen'!$B$2</f>
        <v>-79</v>
      </c>
      <c r="F101" s="11">
        <f t="shared" si="10"/>
        <v>-31.528664670294312</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-31.23797242582944</v>
      </c>
      <c r="E102" s="11">
        <f>A102-'Mastercurve bestimmen'!$B$2</f>
        <v>-78</v>
      </c>
      <c r="F102" s="11">
        <f t="shared" si="10"/>
        <v>-31.23797242582944</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-30.944061955787742</v>
      </c>
      <c r="E103" s="11">
        <f>A103-'Mastercurve bestimmen'!$B$2</f>
        <v>-77</v>
      </c>
      <c r="F103" s="11">
        <f t="shared" si="10"/>
        <v>-30.944061955787742</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-30.646957672378246</v>
      </c>
      <c r="E104" s="11">
        <f>A104-'Mastercurve bestimmen'!$B$2</f>
        <v>-76</v>
      </c>
      <c r="F104" s="11">
        <f t="shared" si="10"/>
        <v>-30.646957672378246</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-30.346683987809985</v>
      </c>
      <c r="E105" s="11">
        <f>A105-'Mastercurve bestimmen'!$B$2</f>
        <v>-75</v>
      </c>
      <c r="F105" s="11">
        <f t="shared" si="10"/>
        <v>-30.346683987809985</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-30.043244502374538</v>
      </c>
      <c r="E106" s="11">
        <f>A106-'Mastercurve bestimmen'!$B$2</f>
        <v>-74</v>
      </c>
      <c r="F106" s="11">
        <f t="shared" si="10"/>
        <v>-30.043244502374538</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-29.736559568693615</v>
      </c>
      <c r="E107" s="11">
        <f>A107-'Mastercurve bestimmen'!$B$2</f>
        <v>-73</v>
      </c>
      <c r="F107" s="11">
        <f t="shared" si="10"/>
        <v>-29.736559568693615</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-29.426528727471489</v>
      </c>
      <c r="E108" s="11">
        <f>A108-'Mastercurve bestimmen'!$B$2</f>
        <v>-72</v>
      </c>
      <c r="F108" s="11">
        <f t="shared" si="10"/>
        <v>-29.426528727471489</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-29.113051519412412</v>
      </c>
      <c r="E109" s="11">
        <f>A109-'Mastercurve bestimmen'!$B$2</f>
        <v>-71</v>
      </c>
      <c r="F109" s="11">
        <f t="shared" si="10"/>
        <v>-29.113051519412412</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-28.796027485220641</v>
      </c>
      <c r="E110" s="11">
        <f>A110-'Mastercurve bestimmen'!$B$2</f>
        <v>-70</v>
      </c>
      <c r="F110" s="11">
        <f t="shared" si="10"/>
        <v>-28.796027485220641</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-28.475356165600441</v>
      </c>
      <c r="E111" s="11">
        <f>A111-'Mastercurve bestimmen'!$B$2</f>
        <v>-69</v>
      </c>
      <c r="F111" s="11">
        <f t="shared" si="10"/>
        <v>-28.475356165600441</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-28.150937101256073</v>
      </c>
      <c r="E112" s="11">
        <f>A112-'Mastercurve bestimmen'!$B$2</f>
        <v>-68</v>
      </c>
      <c r="F112" s="11">
        <f t="shared" si="10"/>
        <v>-28.150937101256073</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-27.822669832891791</v>
      </c>
      <c r="E113" s="11">
        <f>A113-'Mastercurve bestimmen'!$B$2</f>
        <v>-67</v>
      </c>
      <c r="F113" s="11">
        <f t="shared" si="10"/>
        <v>-27.822669832891791</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-27.490453901211854</v>
      </c>
      <c r="E114" s="11">
        <f>A114-'Mastercurve bestimmen'!$B$2</f>
        <v>-66</v>
      </c>
      <c r="F114" s="11">
        <f t="shared" si="10"/>
        <v>-27.490453901211854</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-27.15418884692053</v>
      </c>
      <c r="E115" s="11">
        <f>A115-'Mastercurve bestimmen'!$B$2</f>
        <v>-65</v>
      </c>
      <c r="F115" s="11">
        <f t="shared" si="10"/>
        <v>-27.15418884692053</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-26.813774210722066</v>
      </c>
      <c r="E116" s="11">
        <f>A116-'Mastercurve bestimmen'!$B$2</f>
        <v>-64</v>
      </c>
      <c r="F116" s="11">
        <f t="shared" si="10"/>
        <v>-26.813774210722066</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-26.469109533320733</v>
      </c>
      <c r="E117" s="11">
        <f>A117-'Mastercurve bestimmen'!$B$2</f>
        <v>-63</v>
      </c>
      <c r="F117" s="11">
        <f t="shared" si="10"/>
        <v>-26.469109533320733</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-26.120094355420786</v>
      </c>
      <c r="E118" s="11">
        <f>A118-'Mastercurve bestimmen'!$B$2</f>
        <v>-62</v>
      </c>
      <c r="F118" s="11">
        <f t="shared" si="10"/>
        <v>-26.120094355420786</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-25.766628217726485</v>
      </c>
      <c r="E119" s="11">
        <f>A119-'Mastercurve bestimmen'!$B$2</f>
        <v>-61</v>
      </c>
      <c r="F119" s="11">
        <f t="shared" si="10"/>
        <v>-25.766628217726485</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-25.408610660942085</v>
      </c>
      <c r="E120" s="11">
        <f>A120-'Mastercurve bestimmen'!$B$2</f>
        <v>-60</v>
      </c>
      <c r="F120" s="11">
        <f t="shared" si="10"/>
        <v>-25.408610660942085</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-25.045941225771848</v>
      </c>
      <c r="E121" s="11">
        <f>A121-'Mastercurve bestimmen'!$B$2</f>
        <v>-59</v>
      </c>
      <c r="F121" s="11">
        <f t="shared" si="10"/>
        <v>-25.045941225771848</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-24.678519452920035</v>
      </c>
      <c r="E122" s="11">
        <f>A122-'Mastercurve bestimmen'!$B$2</f>
        <v>-58</v>
      </c>
      <c r="F122" s="11">
        <f t="shared" si="10"/>
        <v>-24.678519452920035</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-24.306244883090912</v>
      </c>
      <c r="E123" s="11">
        <f>A123-'Mastercurve bestimmen'!$B$2</f>
        <v>-57</v>
      </c>
      <c r="F123" s="11">
        <f t="shared" si="10"/>
        <v>-24.306244883090912</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-23.929017056988727</v>
      </c>
      <c r="E124" s="11">
        <f>A124-'Mastercurve bestimmen'!$B$2</f>
        <v>-56</v>
      </c>
      <c r="F124" s="11">
        <f t="shared" si="10"/>
        <v>-23.929017056988727</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-23.546735515317746</v>
      </c>
      <c r="E125" s="11">
        <f>A125-'Mastercurve bestimmen'!$B$2</f>
        <v>-55</v>
      </c>
      <c r="F125" s="11">
        <f t="shared" si="10"/>
        <v>-23.546735515317746</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-23.159299798782222</v>
      </c>
      <c r="E126" s="11">
        <f>A126-'Mastercurve bestimmen'!$B$2</f>
        <v>-54</v>
      </c>
      <c r="F126" s="11">
        <f t="shared" si="10"/>
        <v>-23.159299798782222</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-22.766609448086424</v>
      </c>
      <c r="E127" s="11">
        <f>A127-'Mastercurve bestimmen'!$B$2</f>
        <v>-53</v>
      </c>
      <c r="F127" s="11">
        <f t="shared" si="10"/>
        <v>-22.766609448086424</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-22.368564003934608</v>
      </c>
      <c r="E128" s="11">
        <f>A128-'Mastercurve bestimmen'!$B$2</f>
        <v>-52</v>
      </c>
      <c r="F128" s="11">
        <f t="shared" si="10"/>
        <v>-22.368564003934608</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-21.965063007031027</v>
      </c>
      <c r="E129" s="11">
        <f>A129-'Mastercurve bestimmen'!$B$2</f>
        <v>-51</v>
      </c>
      <c r="F129" s="11">
        <f t="shared" si="10"/>
        <v>-21.965063007031027</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-21.55600599807995</v>
      </c>
      <c r="E130" s="11">
        <f>A130-'Mastercurve bestimmen'!$B$2</f>
        <v>-50</v>
      </c>
      <c r="F130" s="11">
        <f t="shared" si="10"/>
        <v>-21.55600599807995</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-21.141292517785629</v>
      </c>
      <c r="E131" s="11">
        <f>A131-'Mastercurve bestimmen'!$B$2</f>
        <v>-49</v>
      </c>
      <c r="F131" s="11">
        <f t="shared" si="10"/>
        <v>-21.141292517785629</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-20.720822106852332</v>
      </c>
      <c r="E132" s="11">
        <f>A132-'Mastercurve bestimmen'!$B$2</f>
        <v>-48</v>
      </c>
      <c r="F132" s="11">
        <f t="shared" si="10"/>
        <v>-20.720822106852332</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-20.294494305984308</v>
      </c>
      <c r="E133" s="11">
        <f>A133-'Mastercurve bestimmen'!$B$2</f>
        <v>-47</v>
      </c>
      <c r="F133" s="11">
        <f t="shared" si="10"/>
        <v>-20.294494305984308</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-19.862208655885823</v>
      </c>
      <c r="E134" s="11">
        <f>A134-'Mastercurve bestimmen'!$B$2</f>
        <v>-46</v>
      </c>
      <c r="F134" s="11">
        <f t="shared" si="10"/>
        <v>-19.862208655885823</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-19.423864697261138</v>
      </c>
      <c r="E135" s="11">
        <f>A135-'Mastercurve bestimmen'!$B$2</f>
        <v>-45</v>
      </c>
      <c r="F135" s="11">
        <f t="shared" si="10"/>
        <v>-19.423864697261138</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-18.979451967086067</v>
      </c>
      <c r="E136" s="11">
        <f>A136-'Mastercurve bestimmen'!$B$2</f>
        <v>-44</v>
      </c>
      <c r="F136" s="11">
        <f t="shared" si="10"/>
        <v>-18.979451967086067</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-18.529319987422671</v>
      </c>
      <c r="E137" s="11">
        <f>A137-'Mastercurve bestimmen'!$B$2</f>
        <v>-43</v>
      </c>
      <c r="F137" s="11">
        <f t="shared" si="10"/>
        <v>-18.529319987422671</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-18.073908276604573</v>
      </c>
      <c r="E138" s="11">
        <f>A138-'Mastercurve bestimmen'!$B$2</f>
        <v>-42</v>
      </c>
      <c r="F138" s="11">
        <f t="shared" si="10"/>
        <v>-18.073908276604573</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-17.613656352965389</v>
      </c>
      <c r="E139" s="11">
        <f>A139-'Mastercurve bestimmen'!$B$2</f>
        <v>-41</v>
      </c>
      <c r="F139" s="11">
        <f t="shared" si="10"/>
        <v>-17.613656352965389</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-17.14900373483874</v>
      </c>
      <c r="E140" s="11">
        <f>A140-'Mastercurve bestimmen'!$B$2</f>
        <v>-40</v>
      </c>
      <c r="F140" s="11">
        <f t="shared" si="10"/>
        <v>-17.14900373483874</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-16.680389940558239</v>
      </c>
      <c r="E141" s="11">
        <f>A141-'Mastercurve bestimmen'!$B$2</f>
        <v>-39</v>
      </c>
      <c r="F141" s="11">
        <f t="shared" si="10"/>
        <v>-16.680389940558239</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-16.208254488457516</v>
      </c>
      <c r="E142" s="11">
        <f>A142-'Mastercurve bestimmen'!$B$2</f>
        <v>-38</v>
      </c>
      <c r="F142" s="11">
        <f t="shared" si="10"/>
        <v>-16.208254488457516</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-15.733036896870189</v>
      </c>
      <c r="E143" s="11">
        <f>A143-'Mastercurve bestimmen'!$B$2</f>
        <v>-37</v>
      </c>
      <c r="F143" s="11">
        <f t="shared" si="10"/>
        <v>-15.733036896870189</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-15.255176684129866</v>
      </c>
      <c r="E144" s="11">
        <f>A144-'Mastercurve bestimmen'!$B$2</f>
        <v>-36</v>
      </c>
      <c r="F144" s="11">
        <f t="shared" ref="F144:F207" si="15">B144</f>
        <v>-15.255176684129866</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-14.775113368570176</v>
      </c>
      <c r="E145" s="11">
        <f>A145-'Mastercurve bestimmen'!$B$2</f>
        <v>-35</v>
      </c>
      <c r="F145" s="11">
        <f t="shared" si="15"/>
        <v>-14.775113368570176</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-14.293286468524734</v>
      </c>
      <c r="E146" s="11">
        <f>A146-'Mastercurve bestimmen'!$B$2</f>
        <v>-34</v>
      </c>
      <c r="F146" s="11">
        <f t="shared" si="15"/>
        <v>-14.293286468524734</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-13.810135502327164</v>
      </c>
      <c r="E147" s="11">
        <f>A147-'Mastercurve bestimmen'!$B$2</f>
        <v>-33</v>
      </c>
      <c r="F147" s="11">
        <f t="shared" si="15"/>
        <v>-13.810135502327164</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-13.326099988311078</v>
      </c>
      <c r="E148" s="11">
        <f>A148-'Mastercurve bestimmen'!$B$2</f>
        <v>-32</v>
      </c>
      <c r="F148" s="11">
        <f t="shared" si="15"/>
        <v>-13.326099988311078</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-12.841619444810103</v>
      </c>
      <c r="E149" s="11">
        <f>A149-'Mastercurve bestimmen'!$B$2</f>
        <v>-31</v>
      </c>
      <c r="F149" s="11">
        <f t="shared" si="15"/>
        <v>-12.841619444810103</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-12.357133390157852</v>
      </c>
      <c r="E150" s="11">
        <f>A150-'Mastercurve bestimmen'!$B$2</f>
        <v>-30</v>
      </c>
      <c r="F150" s="11">
        <f t="shared" si="15"/>
        <v>-12.357133390157852</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-11.873081342687952</v>
      </c>
      <c r="E151" s="11">
        <f>A151-'Mastercurve bestimmen'!$B$2</f>
        <v>-29</v>
      </c>
      <c r="F151" s="11">
        <f t="shared" si="15"/>
        <v>-11.873081342687952</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-11.389902820734012</v>
      </c>
      <c r="E152" s="11">
        <f>A152-'Mastercurve bestimmen'!$B$2</f>
        <v>-28</v>
      </c>
      <c r="F152" s="11">
        <f t="shared" si="15"/>
        <v>-11.389902820734012</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-10.90803734262966</v>
      </c>
      <c r="E153" s="11">
        <f>A153-'Mastercurve bestimmen'!$B$2</f>
        <v>-27</v>
      </c>
      <c r="F153" s="11">
        <f t="shared" si="15"/>
        <v>-10.90803734262966</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-10.427924426708509</v>
      </c>
      <c r="E154" s="11">
        <f>A154-'Mastercurve bestimmen'!$B$2</f>
        <v>-26</v>
      </c>
      <c r="F154" s="11">
        <f t="shared" si="15"/>
        <v>-10.427924426708509</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-9.9500035913041831</v>
      </c>
      <c r="E155" s="11">
        <f>A155-'Mastercurve bestimmen'!$B$2</f>
        <v>-25</v>
      </c>
      <c r="F155" s="11">
        <f t="shared" si="15"/>
        <v>-9.9500035913041831</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-9.4747143547503008</v>
      </c>
      <c r="E156" s="11">
        <f>A156-'Mastercurve bestimmen'!$B$2</f>
        <v>-24</v>
      </c>
      <c r="F156" s="11">
        <f t="shared" si="15"/>
        <v>-9.4747143547503008</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-9.0024962353804803</v>
      </c>
      <c r="E157" s="11">
        <f>A157-'Mastercurve bestimmen'!$B$2</f>
        <v>-23</v>
      </c>
      <c r="F157" s="11">
        <f t="shared" si="15"/>
        <v>-9.0024962353804803</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-8.5337887515283377</v>
      </c>
      <c r="E158" s="11">
        <f>A158-'Mastercurve bestimmen'!$B$2</f>
        <v>-22</v>
      </c>
      <c r="F158" s="11">
        <f t="shared" si="15"/>
        <v>-8.5337887515283377</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-8.0690314215274981</v>
      </c>
      <c r="E159" s="11">
        <f>A159-'Mastercurve bestimmen'!$B$2</f>
        <v>-21</v>
      </c>
      <c r="F159" s="11">
        <f t="shared" si="15"/>
        <v>-8.0690314215274981</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-7.6086637637115775</v>
      </c>
      <c r="E160" s="11">
        <f>A160-'Mastercurve bestimmen'!$B$2</f>
        <v>-20</v>
      </c>
      <c r="F160" s="11">
        <f t="shared" si="15"/>
        <v>-7.6086637637115775</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-7.1531252964141956</v>
      </c>
      <c r="E161" s="11">
        <f>A161-'Mastercurve bestimmen'!$B$2</f>
        <v>-19</v>
      </c>
      <c r="F161" s="11">
        <f t="shared" si="15"/>
        <v>-7.1531252964141956</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-6.7028555379689738</v>
      </c>
      <c r="E162" s="11">
        <f>A162-'Mastercurve bestimmen'!$B$2</f>
        <v>-18</v>
      </c>
      <c r="F162" s="11">
        <f t="shared" si="15"/>
        <v>-6.7028555379689738</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-6.2582940067095283</v>
      </c>
      <c r="E163" s="11">
        <f>A163-'Mastercurve bestimmen'!$B$2</f>
        <v>-17</v>
      </c>
      <c r="F163" s="11">
        <f t="shared" si="15"/>
        <v>-6.2582940067095283</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-5.8198802209694787</v>
      </c>
      <c r="E164" s="11">
        <f>A164-'Mastercurve bestimmen'!$B$2</f>
        <v>-16</v>
      </c>
      <c r="F164" s="11">
        <f t="shared" si="15"/>
        <v>-5.8198802209694787</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-5.3880536990824464</v>
      </c>
      <c r="E165" s="11">
        <f>A165-'Mastercurve bestimmen'!$B$2</f>
        <v>-15</v>
      </c>
      <c r="F165" s="11">
        <f t="shared" si="15"/>
        <v>-5.3880536990824464</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-4.9632539593820475</v>
      </c>
      <c r="E166" s="11">
        <f>A166-'Mastercurve bestimmen'!$B$2</f>
        <v>-14</v>
      </c>
      <c r="F166" s="11">
        <f t="shared" si="15"/>
        <v>-4.9632539593820475</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-4.5459205202019053</v>
      </c>
      <c r="E167" s="11">
        <f>A167-'Mastercurve bestimmen'!$B$2</f>
        <v>-13</v>
      </c>
      <c r="F167" s="11">
        <f t="shared" si="15"/>
        <v>-4.5459205202019053</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-4.1364928998756376</v>
      </c>
      <c r="E168" s="11">
        <f>A168-'Mastercurve bestimmen'!$B$2</f>
        <v>-12</v>
      </c>
      <c r="F168" s="11">
        <f t="shared" si="15"/>
        <v>-4.1364928998756376</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-3.7354106167368619</v>
      </c>
      <c r="E169" s="11">
        <f>A169-'Mastercurve bestimmen'!$B$2</f>
        <v>-11</v>
      </c>
      <c r="F169" s="11">
        <f t="shared" si="15"/>
        <v>-3.7354106167368619</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-3.3431131891191979</v>
      </c>
      <c r="E170" s="11">
        <f>A170-'Mastercurve bestimmen'!$B$2</f>
        <v>-10</v>
      </c>
      <c r="F170" s="11">
        <f t="shared" si="15"/>
        <v>-3.3431131891191979</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-2.9600401353562673</v>
      </c>
      <c r="E171" s="11">
        <f>A171-'Mastercurve bestimmen'!$B$2</f>
        <v>-9</v>
      </c>
      <c r="F171" s="11">
        <f t="shared" si="15"/>
        <v>-2.9600401353562673</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-2.5866309737816873</v>
      </c>
      <c r="E172" s="11">
        <f>A172-'Mastercurve bestimmen'!$B$2</f>
        <v>-8</v>
      </c>
      <c r="F172" s="11">
        <f t="shared" si="15"/>
        <v>-2.5866309737816873</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-2.2233252227290774</v>
      </c>
      <c r="E173" s="11">
        <f>A173-'Mastercurve bestimmen'!$B$2</f>
        <v>-7</v>
      </c>
      <c r="F173" s="11">
        <f t="shared" si="15"/>
        <v>-2.2233252227290774</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-1.8705624005320574</v>
      </c>
      <c r="E174" s="11">
        <f>A174-'Mastercurve bestimmen'!$B$2</f>
        <v>-6</v>
      </c>
      <c r="F174" s="11">
        <f t="shared" si="15"/>
        <v>-1.8705624005320574</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-1.5287820255242464</v>
      </c>
      <c r="E175" s="11">
        <f>A175-'Mastercurve bestimmen'!$B$2</f>
        <v>-5</v>
      </c>
      <c r="F175" s="11">
        <f t="shared" si="15"/>
        <v>-1.5287820255242464</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-1.1984236160392623</v>
      </c>
      <c r="E176" s="11">
        <f>A176-'Mastercurve bestimmen'!$B$2</f>
        <v>-4</v>
      </c>
      <c r="F176" s="11">
        <f t="shared" si="15"/>
        <v>-1.1984236160392623</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-0.87992669041072791</v>
      </c>
      <c r="E177" s="11">
        <f>A177-'Mastercurve bestimmen'!$B$2</f>
        <v>-3</v>
      </c>
      <c r="F177" s="11">
        <f t="shared" si="15"/>
        <v>-0.87992669041072791</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-0.57373076697225933</v>
      </c>
      <c r="E178" s="11">
        <f>A178-'Mastercurve bestimmen'!$B$2</f>
        <v>-2</v>
      </c>
      <c r="F178" s="11">
        <f t="shared" si="15"/>
        <v>-0.57373076697225933</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-0.28027536405747711</v>
      </c>
      <c r="E179" s="11">
        <f>A179-'Mastercurve bestimmen'!$B$2</f>
        <v>-1</v>
      </c>
      <c r="F179" s="11">
        <f t="shared" si="15"/>
        <v>-0.28027536405747711</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0.26679391495639793</v>
      </c>
      <c r="E181" s="11">
        <f>A181-'Mastercurve bestimmen'!$B$2</f>
        <v>1</v>
      </c>
      <c r="F181" s="11">
        <f t="shared" si="15"/>
        <v>0.26679391495639793</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0.52035740292732657</v>
      </c>
      <c r="E182" s="11">
        <f>A182-'Mastercurve bestimmen'!$B$2</f>
        <v>2</v>
      </c>
      <c r="F182" s="11">
        <f t="shared" si="15"/>
        <v>0.52035740292732657</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0.76107959411824022</v>
      </c>
      <c r="E183" s="11">
        <f>A183-'Mastercurve bestimmen'!$B$2</f>
        <v>3</v>
      </c>
      <c r="F183" s="11">
        <f t="shared" si="15"/>
        <v>0.76107959411824022</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0.98934961873459437</v>
      </c>
      <c r="E184" s="11">
        <f>A184-'Mastercurve bestimmen'!$B$2</f>
        <v>4</v>
      </c>
      <c r="F184" s="11">
        <f t="shared" si="15"/>
        <v>0.98934961873459437</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1.2055566069818435</v>
      </c>
      <c r="E185" s="11">
        <f>A185-'Mastercurve bestimmen'!$B$2</f>
        <v>5</v>
      </c>
      <c r="F185" s="11">
        <f t="shared" si="15"/>
        <v>1.2055566069818435</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1.4100896890654433</v>
      </c>
      <c r="E186" s="11">
        <f>A186-'Mastercurve bestimmen'!$B$2</f>
        <v>6</v>
      </c>
      <c r="F186" s="11">
        <f t="shared" si="15"/>
        <v>1.4100896890654433</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1.6033379951908477</v>
      </c>
      <c r="E187" s="11">
        <f>A187-'Mastercurve bestimmen'!$B$2</f>
        <v>7</v>
      </c>
      <c r="F187" s="11">
        <f t="shared" si="15"/>
        <v>1.6033379951908477</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1.785690655563513</v>
      </c>
      <c r="E188" s="11">
        <f>A188-'Mastercurve bestimmen'!$B$2</f>
        <v>8</v>
      </c>
      <c r="F188" s="11">
        <f t="shared" si="15"/>
        <v>1.785690655563513</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1.9575368003888935</v>
      </c>
      <c r="E189" s="11">
        <f>A189-'Mastercurve bestimmen'!$B$2</f>
        <v>9</v>
      </c>
      <c r="F189" s="11">
        <f t="shared" si="15"/>
        <v>1.9575368003888935</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2.1192655598724439</v>
      </c>
      <c r="E190" s="11">
        <f>A190-'Mastercurve bestimmen'!$B$2</f>
        <v>10</v>
      </c>
      <c r="F190" s="11">
        <f t="shared" si="15"/>
        <v>2.1192655598724439</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2.2712660642196201</v>
      </c>
      <c r="E191" s="11">
        <f>A191-'Mastercurve bestimmen'!$B$2</f>
        <v>11</v>
      </c>
      <c r="F191" s="11">
        <f t="shared" si="15"/>
        <v>2.2712660642196201</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2.4139274436358762</v>
      </c>
      <c r="E192" s="11">
        <f>A192-'Mastercurve bestimmen'!$B$2</f>
        <v>12</v>
      </c>
      <c r="F192" s="11">
        <f t="shared" si="15"/>
        <v>2.4139274436358762</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2.5476388283266678</v>
      </c>
      <c r="E193" s="11">
        <f>A193-'Mastercurve bestimmen'!$B$2</f>
        <v>13</v>
      </c>
      <c r="F193" s="11">
        <f t="shared" si="15"/>
        <v>2.5476388283266678</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2.6727893484974494</v>
      </c>
      <c r="E194" s="11">
        <f>A194-'Mastercurve bestimmen'!$B$2</f>
        <v>14</v>
      </c>
      <c r="F194" s="11">
        <f t="shared" si="15"/>
        <v>2.6727893484974494</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2.7897681343536758</v>
      </c>
      <c r="E195" s="11">
        <f>A195-'Mastercurve bestimmen'!$B$2</f>
        <v>15</v>
      </c>
      <c r="F195" s="11">
        <f t="shared" si="15"/>
        <v>2.7897681343536758</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2.8989643161008027</v>
      </c>
      <c r="E196" s="11">
        <f>A196-'Mastercurve bestimmen'!$B$2</f>
        <v>16</v>
      </c>
      <c r="F196" s="11">
        <f t="shared" si="15"/>
        <v>2.8989643161008027</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3.000767023944285</v>
      </c>
      <c r="E197" s="11">
        <f>A197-'Mastercurve bestimmen'!$B$2</f>
        <v>17</v>
      </c>
      <c r="F197" s="11">
        <f t="shared" si="15"/>
        <v>3.000767023944285</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3.095565388089577</v>
      </c>
      <c r="E198" s="11">
        <f>A198-'Mastercurve bestimmen'!$B$2</f>
        <v>18</v>
      </c>
      <c r="F198" s="11">
        <f t="shared" si="15"/>
        <v>3.095565388089577</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3.1837485387421345</v>
      </c>
      <c r="E199" s="11">
        <f>A199-'Mastercurve bestimmen'!$B$2</f>
        <v>19</v>
      </c>
      <c r="F199" s="11">
        <f t="shared" si="15"/>
        <v>3.1837485387421345</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3.2657056061074119</v>
      </c>
      <c r="E200" s="11">
        <f>A200-'Mastercurve bestimmen'!$B$2</f>
        <v>20</v>
      </c>
      <c r="F200" s="11">
        <f t="shared" si="15"/>
        <v>3.2657056061074119</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3.3418257203908648</v>
      </c>
      <c r="E201" s="11">
        <f>A201-'Mastercurve bestimmen'!$B$2</f>
        <v>21</v>
      </c>
      <c r="F201" s="11">
        <f t="shared" si="15"/>
        <v>3.3418257203908648</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3.4124980117979478</v>
      </c>
      <c r="E202" s="11">
        <f>A202-'Mastercurve bestimmen'!$B$2</f>
        <v>22</v>
      </c>
      <c r="F202" s="11">
        <f t="shared" si="15"/>
        <v>3.4124980117979478</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3.4781116105341159</v>
      </c>
      <c r="E203" s="11">
        <f>A203-'Mastercurve bestimmen'!$B$2</f>
        <v>23</v>
      </c>
      <c r="F203" s="11">
        <f t="shared" si="15"/>
        <v>3.4781116105341159</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3.5390556468048242</v>
      </c>
      <c r="E204" s="11">
        <f>A204-'Mastercurve bestimmen'!$B$2</f>
        <v>24</v>
      </c>
      <c r="F204" s="11">
        <f t="shared" si="15"/>
        <v>3.5390556468048242</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3.5957192508155269</v>
      </c>
      <c r="E205" s="11">
        <f>A205-'Mastercurve bestimmen'!$B$2</f>
        <v>25</v>
      </c>
      <c r="F205" s="11">
        <f t="shared" si="15"/>
        <v>3.5957192508155269</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3.6484915527716804</v>
      </c>
      <c r="E206" s="11">
        <f>A206-'Mastercurve bestimmen'!$B$2</f>
        <v>26</v>
      </c>
      <c r="F206" s="11">
        <f t="shared" si="15"/>
        <v>3.6484915527716804</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3.6977616828787392</v>
      </c>
      <c r="E207" s="11">
        <f>A207-'Mastercurve bestimmen'!$B$2</f>
        <v>27</v>
      </c>
      <c r="F207" s="11">
        <f t="shared" si="15"/>
        <v>3.6977616828787392</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3.7439187713421576</v>
      </c>
      <c r="E208" s="11">
        <f>A208-'Mastercurve bestimmen'!$B$2</f>
        <v>28</v>
      </c>
      <c r="F208" s="11">
        <f t="shared" ref="F208:F215" si="21">B208</f>
        <v>3.7439187713421576</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3.787351948367391</v>
      </c>
      <c r="E209" s="11">
        <f>A209-'Mastercurve bestimmen'!$B$2</f>
        <v>29</v>
      </c>
      <c r="F209" s="11">
        <f t="shared" si="21"/>
        <v>3.787351948367391</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3.8284503441598945</v>
      </c>
      <c r="E210" s="11">
        <f>A210-'Mastercurve bestimmen'!$B$2</f>
        <v>30</v>
      </c>
      <c r="F210" s="11">
        <f t="shared" si="21"/>
        <v>3.8284503441598945</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3.8676030889251232</v>
      </c>
      <c r="E211" s="11">
        <f>A211-'Mastercurve bestimmen'!$B$2</f>
        <v>31</v>
      </c>
      <c r="F211" s="11">
        <f t="shared" si="21"/>
        <v>3.8676030889251232</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3.9051993128685321</v>
      </c>
      <c r="E212" s="11">
        <f>A212-'Mastercurve bestimmen'!$B$2</f>
        <v>32</v>
      </c>
      <c r="F212" s="11">
        <f t="shared" si="21"/>
        <v>3.9051993128685321</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3.9416281461955758</v>
      </c>
      <c r="E213" s="11">
        <f>A213-'Mastercurve bestimmen'!$B$2</f>
        <v>33</v>
      </c>
      <c r="F213" s="11">
        <f t="shared" si="21"/>
        <v>3.9416281461955758</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3.9772787191117094</v>
      </c>
      <c r="E214" s="11">
        <f>A214-'Mastercurve bestimmen'!$B$2</f>
        <v>34</v>
      </c>
      <c r="F214" s="11">
        <f t="shared" si="21"/>
        <v>3.9772787191117094</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4.0125401618223879</v>
      </c>
      <c r="E215" s="11">
        <f>A215-'Mastercurve bestimmen'!$B$2</f>
        <v>35</v>
      </c>
      <c r="F215" s="11">
        <f t="shared" si="21"/>
        <v>4.0125401618223879</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0.28653108874670191</v>
      </c>
      <c r="J217" s="98">
        <v>-6.1073802349987209E-3</v>
      </c>
      <c r="K217" s="98">
        <v>-4.1830998957542152E-5</v>
      </c>
      <c r="L217" s="98">
        <v>1.3023212703738277E-6</v>
      </c>
      <c r="M217" s="98">
        <v>2.3585104662500178E-8</v>
      </c>
      <c r="N217" s="98">
        <v>1.5983071775219865E-10</v>
      </c>
      <c r="O217" s="98">
        <v>4.8222116154925979E-13</v>
      </c>
      <c r="P217" s="98">
        <v>5.1117984702427456E-16</v>
      </c>
    </row>
    <row r="218" spans="1:16" x14ac:dyDescent="0.25">
      <c r="G218" s="11"/>
      <c r="H218" s="11">
        <v>0</v>
      </c>
      <c r="I218" s="11">
        <v>8.1589554050072455E-4</v>
      </c>
      <c r="J218" s="11">
        <v>3.3141373930521279E-5</v>
      </c>
      <c r="K218" s="3">
        <v>1.0214782446041542E-6</v>
      </c>
      <c r="L218" s="3">
        <v>2.6249389082018922E-8</v>
      </c>
      <c r="M218" s="3">
        <v>7.3108099022166392E-10</v>
      </c>
      <c r="N218" s="3">
        <v>8.6710304084207288E-12</v>
      </c>
      <c r="O218" s="11">
        <v>4.5559973972715922E-14</v>
      </c>
      <c r="P218" s="11">
        <v>8.894298376503235E-17</v>
      </c>
    </row>
    <row r="219" spans="1:16" x14ac:dyDescent="0.25">
      <c r="G219" s="11"/>
      <c r="H219" s="11">
        <v>0.99999432204029193</v>
      </c>
      <c r="I219" s="11">
        <v>7.0142752735199376E-2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-44.275224612161139</v>
      </c>
      <c r="G222">
        <f>F15</f>
        <v>-44.146123426846046</v>
      </c>
    </row>
    <row r="223" spans="1:16" x14ac:dyDescent="0.25">
      <c r="E223" s="11">
        <f t="shared" ref="E223:E286" si="25">E16</f>
        <v>-164</v>
      </c>
      <c r="F223" s="11">
        <f t="shared" ref="F223:F286" si="26">$H$217*0+E223*$I$217+E223^2*$J$217+E223^3*$K$217+E223^4*$L$217+E223^5*$M$217+E223^6*$N$217+E223^7*$O$217+E223^8*$P$217</f>
        <v>-44.170910371469063</v>
      </c>
      <c r="G223" s="11">
        <f t="shared" ref="G223:G286" si="27">F16</f>
        <v>-44.091281700755133</v>
      </c>
    </row>
    <row r="224" spans="1:16" x14ac:dyDescent="0.25">
      <c r="E224" s="11">
        <f t="shared" si="25"/>
        <v>-163</v>
      </c>
      <c r="F224" s="11">
        <f t="shared" si="26"/>
        <v>-44.075180052629776</v>
      </c>
      <c r="G224" s="11">
        <f t="shared" si="27"/>
        <v>-44.036363229498029</v>
      </c>
    </row>
    <row r="225" spans="5:7" x14ac:dyDescent="0.25">
      <c r="E225" s="11">
        <f t="shared" si="25"/>
        <v>-162</v>
      </c>
      <c r="F225" s="11">
        <f t="shared" si="26"/>
        <v>-43.987096439519235</v>
      </c>
      <c r="G225" s="11">
        <f t="shared" si="27"/>
        <v>-43.981291267908503</v>
      </c>
    </row>
    <row r="226" spans="5:7" x14ac:dyDescent="0.25">
      <c r="E226" s="11">
        <f t="shared" si="25"/>
        <v>-161</v>
      </c>
      <c r="F226" s="11">
        <f t="shared" si="26"/>
        <v>-43.905771643895264</v>
      </c>
      <c r="G226" s="11">
        <f t="shared" si="27"/>
        <v>-43.925989070820378</v>
      </c>
    </row>
    <row r="227" spans="5:7" x14ac:dyDescent="0.25">
      <c r="E227" s="11">
        <f t="shared" si="25"/>
        <v>-160</v>
      </c>
      <c r="F227" s="11">
        <f t="shared" si="26"/>
        <v>-43.830365626960287</v>
      </c>
      <c r="G227" s="11">
        <f t="shared" si="27"/>
        <v>-43.870379893067415</v>
      </c>
    </row>
    <row r="228" spans="5:7" x14ac:dyDescent="0.25">
      <c r="E228" s="11">
        <f t="shared" si="25"/>
        <v>-159</v>
      </c>
      <c r="F228" s="11">
        <f t="shared" si="26"/>
        <v>-43.760084729105557</v>
      </c>
      <c r="G228" s="11">
        <f t="shared" si="27"/>
        <v>-43.814386989483445</v>
      </c>
    </row>
    <row r="229" spans="5:7" x14ac:dyDescent="0.25">
      <c r="E229" s="11">
        <f t="shared" si="25"/>
        <v>-158</v>
      </c>
      <c r="F229" s="11">
        <f t="shared" si="26"/>
        <v>-43.694180208736469</v>
      </c>
      <c r="G229" s="11">
        <f t="shared" si="27"/>
        <v>-43.757933614902228</v>
      </c>
    </row>
    <row r="230" spans="5:7" x14ac:dyDescent="0.25">
      <c r="E230" s="11">
        <f t="shared" si="25"/>
        <v>-157</v>
      </c>
      <c r="F230" s="11">
        <f t="shared" si="26"/>
        <v>-43.631946791069652</v>
      </c>
      <c r="G230" s="11">
        <f t="shared" si="27"/>
        <v>-43.700943024157581</v>
      </c>
    </row>
    <row r="231" spans="5:7" x14ac:dyDescent="0.25">
      <c r="E231" s="11">
        <f t="shared" si="25"/>
        <v>-156</v>
      </c>
      <c r="F231" s="11">
        <f t="shared" si="26"/>
        <v>-43.572721227739265</v>
      </c>
      <c r="G231" s="11">
        <f t="shared" si="27"/>
        <v>-43.643338472083308</v>
      </c>
    </row>
    <row r="232" spans="5:7" x14ac:dyDescent="0.25">
      <c r="E232" s="11">
        <f t="shared" si="25"/>
        <v>-155</v>
      </c>
      <c r="F232" s="11">
        <f t="shared" si="26"/>
        <v>-43.515880868064471</v>
      </c>
      <c r="G232" s="11">
        <f t="shared" si="27"/>
        <v>-43.585043213513174</v>
      </c>
    </row>
    <row r="233" spans="5:7" x14ac:dyDescent="0.25">
      <c r="E233" s="11">
        <f t="shared" si="25"/>
        <v>-154</v>
      </c>
      <c r="F233" s="11">
        <f t="shared" si="26"/>
        <v>-43.460842242786214</v>
      </c>
      <c r="G233" s="11">
        <f t="shared" si="27"/>
        <v>-43.525980503281005</v>
      </c>
    </row>
    <row r="234" spans="5:7" x14ac:dyDescent="0.25">
      <c r="E234" s="11">
        <f t="shared" si="25"/>
        <v>-153</v>
      </c>
      <c r="F234" s="11">
        <f t="shared" si="26"/>
        <v>-43.407059661069042</v>
      </c>
      <c r="G234" s="11">
        <f t="shared" si="27"/>
        <v>-43.466073596220568</v>
      </c>
    </row>
    <row r="235" spans="5:7" x14ac:dyDescent="0.25">
      <c r="E235" s="11">
        <f t="shared" si="25"/>
        <v>-152</v>
      </c>
      <c r="F235" s="11">
        <f t="shared" si="26"/>
        <v>-43.354023821549248</v>
      </c>
      <c r="G235" s="11">
        <f t="shared" si="27"/>
        <v>-43.405245747165687</v>
      </c>
    </row>
    <row r="236" spans="5:7" x14ac:dyDescent="0.25">
      <c r="E236" s="11">
        <f t="shared" si="25"/>
        <v>-151</v>
      </c>
      <c r="F236" s="11">
        <f t="shared" si="26"/>
        <v>-43.301260438169948</v>
      </c>
      <c r="G236" s="11">
        <f t="shared" si="27"/>
        <v>-43.343420210950129</v>
      </c>
    </row>
    <row r="237" spans="5:7" x14ac:dyDescent="0.25">
      <c r="E237" s="11">
        <f t="shared" si="25"/>
        <v>-150</v>
      </c>
      <c r="F237" s="11">
        <f t="shared" si="26"/>
        <v>-43.248328881551913</v>
      </c>
      <c r="G237" s="11">
        <f t="shared" si="27"/>
        <v>-43.280520242407704</v>
      </c>
    </row>
    <row r="238" spans="5:7" x14ac:dyDescent="0.25">
      <c r="E238" s="11">
        <f t="shared" si="25"/>
        <v>-149</v>
      </c>
      <c r="F238" s="11">
        <f t="shared" si="26"/>
        <v>-43.194820836600087</v>
      </c>
      <c r="G238" s="11">
        <f t="shared" si="27"/>
        <v>-43.216469096372208</v>
      </c>
    </row>
    <row r="239" spans="5:7" x14ac:dyDescent="0.25">
      <c r="E239" s="11">
        <f t="shared" si="25"/>
        <v>-148</v>
      </c>
      <c r="F239" s="11">
        <f t="shared" si="26"/>
        <v>-43.140358977048507</v>
      </c>
      <c r="G239" s="11">
        <f t="shared" si="27"/>
        <v>-43.151190027677437</v>
      </c>
    </row>
    <row r="240" spans="5:7" x14ac:dyDescent="0.25">
      <c r="E240" s="11">
        <f t="shared" si="25"/>
        <v>-147</v>
      </c>
      <c r="F240" s="11">
        <f t="shared" si="26"/>
        <v>-43.084595657604524</v>
      </c>
      <c r="G240" s="11">
        <f t="shared" si="27"/>
        <v>-43.084606291157179</v>
      </c>
    </row>
    <row r="241" spans="5:7" x14ac:dyDescent="0.25">
      <c r="E241" s="11">
        <f t="shared" si="25"/>
        <v>-146</v>
      </c>
      <c r="F241" s="11">
        <f t="shared" si="26"/>
        <v>-43.027211624351978</v>
      </c>
      <c r="G241" s="11">
        <f t="shared" si="27"/>
        <v>-43.016641141645238</v>
      </c>
    </row>
    <row r="242" spans="5:7" x14ac:dyDescent="0.25">
      <c r="E242" s="11">
        <f t="shared" si="25"/>
        <v>-145</v>
      </c>
      <c r="F242" s="11">
        <f t="shared" si="26"/>
        <v>-42.967914744040911</v>
      </c>
      <c r="G242" s="11">
        <f t="shared" si="27"/>
        <v>-42.947217833975401</v>
      </c>
    </row>
    <row r="243" spans="5:7" x14ac:dyDescent="0.25">
      <c r="E243" s="11">
        <f t="shared" si="25"/>
        <v>-144</v>
      </c>
      <c r="F243" s="11">
        <f t="shared" si="26"/>
        <v>-42.906438752869704</v>
      </c>
      <c r="G243" s="11">
        <f t="shared" si="27"/>
        <v>-42.876259622981451</v>
      </c>
    </row>
    <row r="244" spans="5:7" x14ac:dyDescent="0.25">
      <c r="E244" s="11">
        <f t="shared" si="25"/>
        <v>-143</v>
      </c>
      <c r="F244" s="11">
        <f t="shared" si="26"/>
        <v>-42.842542025355684</v>
      </c>
      <c r="G244" s="11">
        <f t="shared" si="27"/>
        <v>-42.803689763497211</v>
      </c>
    </row>
    <row r="245" spans="5:7" x14ac:dyDescent="0.25">
      <c r="E245" s="11">
        <f t="shared" si="25"/>
        <v>-142</v>
      </c>
      <c r="F245" s="11">
        <f t="shared" si="26"/>
        <v>-42.776006363855871</v>
      </c>
      <c r="G245" s="11">
        <f t="shared" si="27"/>
        <v>-42.729431510356463</v>
      </c>
    </row>
    <row r="246" spans="5:7" x14ac:dyDescent="0.25">
      <c r="E246" s="11">
        <f t="shared" si="25"/>
        <v>-141</v>
      </c>
      <c r="F246" s="11">
        <f t="shared" si="26"/>
        <v>-42.706635809290773</v>
      </c>
      <c r="G246" s="11">
        <f t="shared" si="27"/>
        <v>-42.653408118392996</v>
      </c>
    </row>
    <row r="247" spans="5:7" x14ac:dyDescent="0.25">
      <c r="E247" s="11">
        <f t="shared" si="25"/>
        <v>-140</v>
      </c>
      <c r="F247" s="11">
        <f t="shared" si="26"/>
        <v>-42.634255473596212</v>
      </c>
      <c r="G247" s="11">
        <f t="shared" si="27"/>
        <v>-42.575542842440612</v>
      </c>
    </row>
    <row r="248" spans="5:7" x14ac:dyDescent="0.25">
      <c r="E248" s="11">
        <f t="shared" si="25"/>
        <v>-139</v>
      </c>
      <c r="F248" s="11">
        <f t="shared" si="26"/>
        <v>-42.558710394408891</v>
      </c>
      <c r="G248" s="11">
        <f t="shared" si="27"/>
        <v>-42.495758937333107</v>
      </c>
    </row>
    <row r="249" spans="5:7" x14ac:dyDescent="0.25">
      <c r="E249" s="11">
        <f t="shared" si="25"/>
        <v>-138</v>
      </c>
      <c r="F249" s="11">
        <f t="shared" si="26"/>
        <v>-42.479864412474782</v>
      </c>
      <c r="G249" s="11">
        <f t="shared" si="27"/>
        <v>-42.413979657904278</v>
      </c>
    </row>
    <row r="250" spans="5:7" x14ac:dyDescent="0.25">
      <c r="E250" s="11">
        <f t="shared" si="25"/>
        <v>-137</v>
      </c>
      <c r="F250" s="11">
        <f t="shared" si="26"/>
        <v>-42.397599072242393</v>
      </c>
      <c r="G250" s="11">
        <f t="shared" si="27"/>
        <v>-42.330128258987912</v>
      </c>
    </row>
    <row r="251" spans="5:7" x14ac:dyDescent="0.25">
      <c r="E251" s="11">
        <f t="shared" si="25"/>
        <v>-136</v>
      </c>
      <c r="F251" s="11">
        <f t="shared" si="26"/>
        <v>-42.311812546087836</v>
      </c>
      <c r="G251" s="11">
        <f t="shared" si="27"/>
        <v>-42.244127995417806</v>
      </c>
    </row>
    <row r="252" spans="5:7" x14ac:dyDescent="0.25">
      <c r="E252" s="11">
        <f t="shared" si="25"/>
        <v>-135</v>
      </c>
      <c r="F252" s="11">
        <f t="shared" si="26"/>
        <v>-42.222418582596141</v>
      </c>
      <c r="G252" s="11">
        <f t="shared" si="27"/>
        <v>-42.155902122027761</v>
      </c>
    </row>
    <row r="253" spans="5:7" x14ac:dyDescent="0.25">
      <c r="E253" s="11">
        <f t="shared" si="25"/>
        <v>-134</v>
      </c>
      <c r="F253" s="11">
        <f t="shared" si="26"/>
        <v>-42.129345479300127</v>
      </c>
      <c r="G253" s="11">
        <f t="shared" si="27"/>
        <v>-42.065373893651568</v>
      </c>
    </row>
    <row r="254" spans="5:7" x14ac:dyDescent="0.25">
      <c r="E254" s="11">
        <f t="shared" si="25"/>
        <v>-133</v>
      </c>
      <c r="F254" s="11">
        <f t="shared" si="26"/>
        <v>-42.032535080262285</v>
      </c>
      <c r="G254" s="11">
        <f t="shared" si="27"/>
        <v>-41.972466565123021</v>
      </c>
    </row>
    <row r="255" spans="5:7" x14ac:dyDescent="0.25">
      <c r="E255" s="11">
        <f t="shared" si="25"/>
        <v>-132</v>
      </c>
      <c r="F255" s="11">
        <f t="shared" si="26"/>
        <v>-41.931941798860535</v>
      </c>
      <c r="G255" s="11">
        <f t="shared" si="27"/>
        <v>-41.877103391275909</v>
      </c>
    </row>
    <row r="256" spans="5:7" x14ac:dyDescent="0.25">
      <c r="E256" s="11">
        <f t="shared" si="25"/>
        <v>-131</v>
      </c>
      <c r="F256" s="11">
        <f t="shared" si="26"/>
        <v>-41.827531666120095</v>
      </c>
      <c r="G256" s="11">
        <f t="shared" si="27"/>
        <v>-41.77920762694405</v>
      </c>
    </row>
    <row r="257" spans="5:7" x14ac:dyDescent="0.25">
      <c r="E257" s="11">
        <f t="shared" si="25"/>
        <v>-130</v>
      </c>
      <c r="F257" s="11">
        <f t="shared" si="26"/>
        <v>-41.719281404912856</v>
      </c>
      <c r="G257" s="11">
        <f t="shared" si="27"/>
        <v>-41.678702526961217</v>
      </c>
    </row>
    <row r="258" spans="5:7" x14ac:dyDescent="0.25">
      <c r="E258" s="11">
        <f t="shared" si="25"/>
        <v>-129</v>
      </c>
      <c r="F258" s="11">
        <f t="shared" si="26"/>
        <v>-41.607177530324904</v>
      </c>
      <c r="G258" s="11">
        <f t="shared" si="27"/>
        <v>-41.575511346161214</v>
      </c>
    </row>
    <row r="259" spans="5:7" x14ac:dyDescent="0.25">
      <c r="E259" s="11">
        <f t="shared" si="25"/>
        <v>-128</v>
      </c>
      <c r="F259" s="11">
        <f t="shared" si="26"/>
        <v>-41.491215476470806</v>
      </c>
      <c r="G259" s="11">
        <f t="shared" si="27"/>
        <v>-41.469557339377822</v>
      </c>
    </row>
    <row r="260" spans="5:7" x14ac:dyDescent="0.25">
      <c r="E260" s="11">
        <f t="shared" si="25"/>
        <v>-127</v>
      </c>
      <c r="F260" s="11">
        <f t="shared" si="26"/>
        <v>-41.371398750015167</v>
      </c>
      <c r="G260" s="11">
        <f t="shared" si="27"/>
        <v>-41.360763761444865</v>
      </c>
    </row>
    <row r="261" spans="5:7" x14ac:dyDescent="0.25">
      <c r="E261" s="11">
        <f t="shared" si="25"/>
        <v>-126</v>
      </c>
      <c r="F261" s="11">
        <f t="shared" si="26"/>
        <v>-41.247738110640697</v>
      </c>
      <c r="G261" s="11">
        <f t="shared" si="27"/>
        <v>-41.249053867196103</v>
      </c>
    </row>
    <row r="262" spans="5:7" x14ac:dyDescent="0.25">
      <c r="E262" s="11">
        <f t="shared" si="25"/>
        <v>-125</v>
      </c>
      <c r="F262" s="11">
        <f t="shared" si="26"/>
        <v>-41.120250778679136</v>
      </c>
      <c r="G262" s="11">
        <f t="shared" si="27"/>
        <v>-41.134350911465368</v>
      </c>
    </row>
    <row r="263" spans="5:7" x14ac:dyDescent="0.25">
      <c r="E263" s="11">
        <f t="shared" si="25"/>
        <v>-124</v>
      </c>
      <c r="F263" s="11">
        <f t="shared" si="26"/>
        <v>-40.988959670104236</v>
      </c>
      <c r="G263" s="11">
        <f t="shared" si="27"/>
        <v>-41.002528489843399</v>
      </c>
    </row>
    <row r="264" spans="5:7" x14ac:dyDescent="0.25">
      <c r="E264" s="11">
        <f t="shared" si="25"/>
        <v>-123</v>
      </c>
      <c r="F264" s="11">
        <f t="shared" si="26"/>
        <v>-40.853892659061543</v>
      </c>
      <c r="G264" s="11">
        <f t="shared" si="27"/>
        <v>-40.867608842072151</v>
      </c>
    </row>
    <row r="265" spans="5:7" x14ac:dyDescent="0.25">
      <c r="E265" s="11">
        <f t="shared" si="25"/>
        <v>-122</v>
      </c>
      <c r="F265" s="11">
        <f t="shared" si="26"/>
        <v>-40.715081868094792</v>
      </c>
      <c r="G265" s="11">
        <f t="shared" si="27"/>
        <v>-40.729564548650501</v>
      </c>
    </row>
    <row r="266" spans="5:7" x14ac:dyDescent="0.25">
      <c r="E266" s="11">
        <f t="shared" si="25"/>
        <v>-121</v>
      </c>
      <c r="F266" s="11">
        <f t="shared" si="26"/>
        <v>-40.572562986200523</v>
      </c>
      <c r="G266" s="11">
        <f t="shared" si="27"/>
        <v>-40.588368190077382</v>
      </c>
    </row>
    <row r="267" spans="5:7" x14ac:dyDescent="0.25">
      <c r="E267" s="11">
        <f t="shared" si="25"/>
        <v>-120</v>
      </c>
      <c r="F267" s="11">
        <f t="shared" si="26"/>
        <v>-40.426374614828177</v>
      </c>
      <c r="G267" s="11">
        <f t="shared" si="27"/>
        <v>-40.443992346851672</v>
      </c>
    </row>
    <row r="268" spans="5:7" x14ac:dyDescent="0.25">
      <c r="E268" s="11">
        <f t="shared" si="25"/>
        <v>-119</v>
      </c>
      <c r="F268" s="11">
        <f t="shared" si="26"/>
        <v>-40.276557641920107</v>
      </c>
      <c r="G268" s="11">
        <f t="shared" si="27"/>
        <v>-40.296409599472298</v>
      </c>
    </row>
    <row r="269" spans="5:7" x14ac:dyDescent="0.25">
      <c r="E269" s="11">
        <f t="shared" si="25"/>
        <v>-118</v>
      </c>
      <c r="F269" s="11">
        <f t="shared" si="26"/>
        <v>-40.123154644064982</v>
      </c>
      <c r="G269" s="11">
        <f t="shared" si="27"/>
        <v>-40.145592528438151</v>
      </c>
    </row>
    <row r="270" spans="5:7" x14ac:dyDescent="0.25">
      <c r="E270" s="11">
        <f t="shared" si="25"/>
        <v>-117</v>
      </c>
      <c r="F270" s="11">
        <f t="shared" si="26"/>
        <v>-39.9662093168171</v>
      </c>
      <c r="G270" s="11">
        <f t="shared" si="27"/>
        <v>-39.991513714248143</v>
      </c>
    </row>
    <row r="271" spans="5:7" x14ac:dyDescent="0.25">
      <c r="E271" s="11">
        <f t="shared" si="25"/>
        <v>-116</v>
      </c>
      <c r="F271" s="11">
        <f t="shared" si="26"/>
        <v>-39.805765933215355</v>
      </c>
      <c r="G271" s="11">
        <f t="shared" si="27"/>
        <v>-39.834145737401165</v>
      </c>
    </row>
    <row r="272" spans="5:7" x14ac:dyDescent="0.25">
      <c r="E272" s="11">
        <f t="shared" si="25"/>
        <v>-115</v>
      </c>
      <c r="F272" s="11">
        <f t="shared" si="26"/>
        <v>-39.641868830513161</v>
      </c>
      <c r="G272" s="11">
        <f t="shared" si="27"/>
        <v>-39.673461178396138</v>
      </c>
    </row>
    <row r="273" spans="5:7" x14ac:dyDescent="0.25">
      <c r="E273" s="11">
        <f t="shared" si="25"/>
        <v>-114</v>
      </c>
      <c r="F273" s="11">
        <f t="shared" si="26"/>
        <v>-39.474561925110685</v>
      </c>
      <c r="G273" s="11">
        <f t="shared" si="27"/>
        <v>-39.50943261773196</v>
      </c>
    </row>
    <row r="274" spans="5:7" x14ac:dyDescent="0.25">
      <c r="E274" s="11">
        <f t="shared" si="25"/>
        <v>-113</v>
      </c>
      <c r="F274" s="11">
        <f t="shared" si="26"/>
        <v>-39.303888255660901</v>
      </c>
      <c r="G274" s="11">
        <f t="shared" si="27"/>
        <v>-39.342032635907543</v>
      </c>
    </row>
    <row r="275" spans="5:7" x14ac:dyDescent="0.25">
      <c r="E275" s="11">
        <f t="shared" si="25"/>
        <v>-112</v>
      </c>
      <c r="F275" s="11">
        <f t="shared" si="26"/>
        <v>-39.12988955429816</v>
      </c>
      <c r="G275" s="11">
        <f t="shared" si="27"/>
        <v>-39.171233813421772</v>
      </c>
    </row>
    <row r="276" spans="5:7" x14ac:dyDescent="0.25">
      <c r="E276" s="11">
        <f t="shared" si="25"/>
        <v>-111</v>
      </c>
      <c r="F276" s="11">
        <f t="shared" si="26"/>
        <v>-38.952605845920374</v>
      </c>
      <c r="G276" s="11">
        <f t="shared" si="27"/>
        <v>-38.997008730773572</v>
      </c>
    </row>
    <row r="277" spans="5:7" x14ac:dyDescent="0.25">
      <c r="E277" s="11">
        <f t="shared" si="25"/>
        <v>-110</v>
      </c>
      <c r="F277" s="11">
        <f t="shared" si="26"/>
        <v>-38.772075075432888</v>
      </c>
      <c r="G277" s="11">
        <f t="shared" si="27"/>
        <v>-38.81932996846183</v>
      </c>
    </row>
    <row r="278" spans="5:7" x14ac:dyDescent="0.25">
      <c r="E278" s="11">
        <f t="shared" si="25"/>
        <v>-109</v>
      </c>
      <c r="F278" s="11">
        <f t="shared" si="26"/>
        <v>-38.588332762842157</v>
      </c>
      <c r="G278" s="11">
        <f t="shared" si="27"/>
        <v>-38.63817010698547</v>
      </c>
    </row>
    <row r="279" spans="5:7" x14ac:dyDescent="0.25">
      <c r="E279" s="11">
        <f t="shared" si="25"/>
        <v>-108</v>
      </c>
      <c r="F279" s="11">
        <f t="shared" si="26"/>
        <v>-38.401411686068052</v>
      </c>
      <c r="G279" s="11">
        <f t="shared" si="27"/>
        <v>-38.453501726843385</v>
      </c>
    </row>
    <row r="280" spans="5:7" x14ac:dyDescent="0.25">
      <c r="E280" s="11">
        <f t="shared" si="25"/>
        <v>-107</v>
      </c>
      <c r="F280" s="11">
        <f t="shared" si="26"/>
        <v>-38.21134159132037</v>
      </c>
      <c r="G280" s="11">
        <f t="shared" si="27"/>
        <v>-38.265297408534472</v>
      </c>
    </row>
    <row r="281" spans="5:7" x14ac:dyDescent="0.25">
      <c r="E281" s="11">
        <f t="shared" si="25"/>
        <v>-106</v>
      </c>
      <c r="F281" s="11">
        <f t="shared" si="26"/>
        <v>-38.018148930867305</v>
      </c>
      <c r="G281" s="11">
        <f t="shared" si="27"/>
        <v>-38.073529732557652</v>
      </c>
    </row>
    <row r="282" spans="5:7" x14ac:dyDescent="0.25">
      <c r="E282" s="11">
        <f t="shared" si="25"/>
        <v>-105</v>
      </c>
      <c r="F282" s="11">
        <f t="shared" si="26"/>
        <v>-37.821856628000909</v>
      </c>
      <c r="G282" s="11">
        <f t="shared" si="27"/>
        <v>-37.878171279411823</v>
      </c>
    </row>
    <row r="283" spans="5:7" x14ac:dyDescent="0.25">
      <c r="E283" s="11">
        <f t="shared" si="25"/>
        <v>-104</v>
      </c>
      <c r="F283" s="11">
        <f t="shared" si="26"/>
        <v>-37.622483868985569</v>
      </c>
      <c r="G283" s="11">
        <f t="shared" si="27"/>
        <v>-37.679194629595891</v>
      </c>
    </row>
    <row r="284" spans="5:7" x14ac:dyDescent="0.25">
      <c r="E284" s="11">
        <f t="shared" si="25"/>
        <v>-103</v>
      </c>
      <c r="F284" s="11">
        <f t="shared" si="26"/>
        <v>-37.420045921753307</v>
      </c>
      <c r="G284" s="11">
        <f t="shared" si="27"/>
        <v>-37.476572363608753</v>
      </c>
    </row>
    <row r="285" spans="5:7" x14ac:dyDescent="0.25">
      <c r="E285" s="11">
        <f t="shared" si="25"/>
        <v>-102</v>
      </c>
      <c r="F285" s="11">
        <f t="shared" si="26"/>
        <v>-37.214553981090646</v>
      </c>
      <c r="G285" s="11">
        <f t="shared" si="27"/>
        <v>-37.270277061949329</v>
      </c>
    </row>
    <row r="286" spans="5:7" x14ac:dyDescent="0.25">
      <c r="E286" s="11">
        <f t="shared" si="25"/>
        <v>-101</v>
      </c>
      <c r="F286" s="11">
        <f t="shared" si="26"/>
        <v>-37.006015040039955</v>
      </c>
      <c r="G286" s="11">
        <f t="shared" si="27"/>
        <v>-37.060281305116504</v>
      </c>
    </row>
    <row r="287" spans="5:7" x14ac:dyDescent="0.25">
      <c r="E287" s="11">
        <f t="shared" ref="E287:E350" si="28">E80</f>
        <v>-100</v>
      </c>
      <c r="F287" s="11">
        <f t="shared" ref="F287:F350" si="29">$H$217*0+E287*$I$217+E287^2*$J$217+E287^3*$K$217+E287^4*$L$217+E287^5*$M$217+E287^6*$N$217+E287^7*$O$217+E287^8*$P$217</f>
        <v>-36.794431787218805</v>
      </c>
      <c r="G287" s="11">
        <f t="shared" ref="G287:G350" si="30">F80</f>
        <v>-36.84655767360919</v>
      </c>
    </row>
    <row r="288" spans="5:7" x14ac:dyDescent="0.25">
      <c r="E288" s="11">
        <f t="shared" si="28"/>
        <v>-99</v>
      </c>
      <c r="F288" s="11">
        <f t="shared" si="29"/>
        <v>-36.579802529738508</v>
      </c>
      <c r="G288" s="11">
        <f t="shared" si="30"/>
        <v>-36.629087386544654</v>
      </c>
    </row>
    <row r="289" spans="5:7" x14ac:dyDescent="0.25">
      <c r="E289" s="11">
        <f t="shared" si="28"/>
        <v>-98</v>
      </c>
      <c r="F289" s="11">
        <f t="shared" si="29"/>
        <v>-36.362121141384151</v>
      </c>
      <c r="G289" s="11">
        <f t="shared" si="30"/>
        <v>-36.407886217513578</v>
      </c>
    </row>
    <row r="290" spans="5:7" x14ac:dyDescent="0.25">
      <c r="E290" s="11">
        <f t="shared" si="28"/>
        <v>-97</v>
      </c>
      <c r="F290" s="11">
        <f t="shared" si="29"/>
        <v>-36.141377035697424</v>
      </c>
      <c r="G290" s="11">
        <f t="shared" si="30"/>
        <v>-36.18297857872497</v>
      </c>
    </row>
    <row r="291" spans="5:7" x14ac:dyDescent="0.25">
      <c r="E291" s="11">
        <f t="shared" si="28"/>
        <v>-96</v>
      </c>
      <c r="F291" s="11">
        <f t="shared" si="29"/>
        <v>-35.917555163581667</v>
      </c>
      <c r="G291" s="11">
        <f t="shared" si="30"/>
        <v>-35.954388882387903</v>
      </c>
    </row>
    <row r="292" spans="5:7" x14ac:dyDescent="0.25">
      <c r="E292" s="11">
        <f t="shared" si="28"/>
        <v>-95</v>
      </c>
      <c r="F292" s="11">
        <f t="shared" si="29"/>
        <v>-35.690636035029343</v>
      </c>
      <c r="G292" s="11">
        <f t="shared" si="30"/>
        <v>-35.722141540711377</v>
      </c>
    </row>
    <row r="293" spans="5:7" x14ac:dyDescent="0.25">
      <c r="E293" s="11">
        <f t="shared" si="28"/>
        <v>-94</v>
      </c>
      <c r="F293" s="11">
        <f t="shared" si="29"/>
        <v>-35.460595764551798</v>
      </c>
      <c r="G293" s="11">
        <f t="shared" si="30"/>
        <v>-35.486260965904449</v>
      </c>
    </row>
    <row r="294" spans="5:7" x14ac:dyDescent="0.25">
      <c r="E294" s="11">
        <f t="shared" si="28"/>
        <v>-93</v>
      </c>
      <c r="F294" s="11">
        <f t="shared" si="29"/>
        <v>-35.227406139868265</v>
      </c>
      <c r="G294" s="11">
        <f t="shared" si="30"/>
        <v>-35.246771570176136</v>
      </c>
    </row>
    <row r="295" spans="5:7" x14ac:dyDescent="0.25">
      <c r="E295" s="11">
        <f t="shared" si="28"/>
        <v>-92</v>
      </c>
      <c r="F295" s="11">
        <f t="shared" si="29"/>
        <v>-34.991034713393915</v>
      </c>
      <c r="G295" s="11">
        <f t="shared" si="30"/>
        <v>-35.003697765735481</v>
      </c>
    </row>
    <row r="296" spans="5:7" x14ac:dyDescent="0.25">
      <c r="E296" s="11">
        <f t="shared" si="28"/>
        <v>-91</v>
      </c>
      <c r="F296" s="11">
        <f t="shared" si="29"/>
        <v>-34.751444916042573</v>
      </c>
      <c r="G296" s="11">
        <f t="shared" si="30"/>
        <v>-34.757063964791513</v>
      </c>
    </row>
    <row r="297" spans="5:7" x14ac:dyDescent="0.25">
      <c r="E297" s="11">
        <f t="shared" si="28"/>
        <v>-90</v>
      </c>
      <c r="F297" s="11">
        <f t="shared" si="29"/>
        <v>-34.508596192842184</v>
      </c>
      <c r="G297" s="11">
        <f t="shared" si="30"/>
        <v>-34.506894579553276</v>
      </c>
    </row>
    <row r="298" spans="5:7" x14ac:dyDescent="0.25">
      <c r="E298" s="11">
        <f t="shared" si="28"/>
        <v>-89</v>
      </c>
      <c r="F298" s="11">
        <f t="shared" si="29"/>
        <v>-34.262444159838147</v>
      </c>
      <c r="G298" s="11">
        <f t="shared" si="30"/>
        <v>-34.253214022229805</v>
      </c>
    </row>
    <row r="299" spans="5:7" x14ac:dyDescent="0.25">
      <c r="E299" s="11">
        <f t="shared" si="28"/>
        <v>-88</v>
      </c>
      <c r="F299" s="11">
        <f t="shared" si="29"/>
        <v>-34.012940781740518</v>
      </c>
      <c r="G299" s="11">
        <f t="shared" si="30"/>
        <v>-33.996046705030118</v>
      </c>
    </row>
    <row r="300" spans="5:7" x14ac:dyDescent="0.25">
      <c r="E300" s="11">
        <f t="shared" si="28"/>
        <v>-87</v>
      </c>
      <c r="F300" s="11">
        <f t="shared" si="29"/>
        <v>-33.760034569749941</v>
      </c>
      <c r="G300" s="11">
        <f t="shared" si="30"/>
        <v>-33.73541704016327</v>
      </c>
    </row>
    <row r="301" spans="5:7" x14ac:dyDescent="0.25">
      <c r="E301" s="11">
        <f t="shared" si="28"/>
        <v>-86</v>
      </c>
      <c r="F301" s="11">
        <f t="shared" si="29"/>
        <v>-33.503670798976223</v>
      </c>
      <c r="G301" s="11">
        <f t="shared" si="30"/>
        <v>-33.471349439838271</v>
      </c>
    </row>
    <row r="302" spans="5:7" x14ac:dyDescent="0.25">
      <c r="E302" s="11">
        <f t="shared" si="28"/>
        <v>-85</v>
      </c>
      <c r="F302" s="11">
        <f t="shared" si="29"/>
        <v>-33.243791744843804</v>
      </c>
      <c r="G302" s="11">
        <f t="shared" si="30"/>
        <v>-33.20386831626417</v>
      </c>
    </row>
    <row r="303" spans="5:7" x14ac:dyDescent="0.25">
      <c r="E303" s="11">
        <f t="shared" si="28"/>
        <v>-84</v>
      </c>
      <c r="F303" s="11">
        <f t="shared" si="29"/>
        <v>-32.980336937856471</v>
      </c>
      <c r="G303" s="11">
        <f t="shared" si="30"/>
        <v>-32.932998081649998</v>
      </c>
    </row>
    <row r="304" spans="5:7" x14ac:dyDescent="0.25">
      <c r="E304" s="11">
        <f t="shared" si="28"/>
        <v>-83</v>
      </c>
      <c r="F304" s="11">
        <f t="shared" si="29"/>
        <v>-32.713243436074386</v>
      </c>
      <c r="G304" s="11">
        <f t="shared" si="30"/>
        <v>-32.658763148204798</v>
      </c>
    </row>
    <row r="305" spans="5:7" x14ac:dyDescent="0.25">
      <c r="E305" s="11">
        <f t="shared" si="28"/>
        <v>-82</v>
      </c>
      <c r="F305" s="11">
        <f t="shared" si="29"/>
        <v>-32.442446114634812</v>
      </c>
      <c r="G305" s="11">
        <f t="shared" si="30"/>
        <v>-32.381187928137592</v>
      </c>
    </row>
    <row r="306" spans="5:7" x14ac:dyDescent="0.25">
      <c r="E306" s="11">
        <f t="shared" si="28"/>
        <v>-81</v>
      </c>
      <c r="F306" s="11">
        <f t="shared" si="29"/>
        <v>-32.16787797162803</v>
      </c>
      <c r="G306" s="11">
        <f t="shared" si="30"/>
        <v>-32.100296833657424</v>
      </c>
    </row>
    <row r="307" spans="5:7" x14ac:dyDescent="0.25">
      <c r="E307" s="11">
        <f t="shared" si="28"/>
        <v>-80</v>
      </c>
      <c r="F307" s="11">
        <f t="shared" si="29"/>
        <v>-31.889470449618816</v>
      </c>
      <c r="G307" s="11">
        <f t="shared" si="30"/>
        <v>-31.816114276973316</v>
      </c>
    </row>
    <row r="308" spans="5:7" x14ac:dyDescent="0.25">
      <c r="E308" s="11">
        <f t="shared" si="28"/>
        <v>-79</v>
      </c>
      <c r="F308" s="11">
        <f t="shared" si="29"/>
        <v>-31.607153772083809</v>
      </c>
      <c r="G308" s="11">
        <f t="shared" si="30"/>
        <v>-31.528664670294312</v>
      </c>
    </row>
    <row r="309" spans="5:7" x14ac:dyDescent="0.25">
      <c r="E309" s="11">
        <f t="shared" si="28"/>
        <v>-78</v>
      </c>
      <c r="F309" s="11">
        <f t="shared" si="29"/>
        <v>-31.320857294013603</v>
      </c>
      <c r="G309" s="11">
        <f t="shared" si="30"/>
        <v>-31.23797242582944</v>
      </c>
    </row>
    <row r="310" spans="5:7" x14ac:dyDescent="0.25">
      <c r="E310" s="11">
        <f t="shared" si="28"/>
        <v>-77</v>
      </c>
      <c r="F310" s="11">
        <f t="shared" si="29"/>
        <v>-31.030509865909004</v>
      </c>
      <c r="G310" s="11">
        <f t="shared" si="30"/>
        <v>-30.944061955787742</v>
      </c>
    </row>
    <row r="311" spans="5:7" x14ac:dyDescent="0.25">
      <c r="E311" s="11">
        <f t="shared" si="28"/>
        <v>-76</v>
      </c>
      <c r="F311" s="11">
        <f t="shared" si="29"/>
        <v>-30.736040210379137</v>
      </c>
      <c r="G311" s="11">
        <f t="shared" si="30"/>
        <v>-30.646957672378246</v>
      </c>
    </row>
    <row r="312" spans="5:7" x14ac:dyDescent="0.25">
      <c r="E312" s="11">
        <f t="shared" si="28"/>
        <v>-75</v>
      </c>
      <c r="F312" s="11">
        <f t="shared" si="29"/>
        <v>-30.437377310529101</v>
      </c>
      <c r="G312" s="11">
        <f t="shared" si="30"/>
        <v>-30.346683987809985</v>
      </c>
    </row>
    <row r="313" spans="5:7" x14ac:dyDescent="0.25">
      <c r="E313" s="11">
        <f t="shared" si="28"/>
        <v>-74</v>
      </c>
      <c r="F313" s="11">
        <f t="shared" si="29"/>
        <v>-30.134450809304127</v>
      </c>
      <c r="G313" s="11">
        <f t="shared" si="30"/>
        <v>-30.043244502374538</v>
      </c>
    </row>
    <row r="314" spans="5:7" x14ac:dyDescent="0.25">
      <c r="E314" s="11">
        <f t="shared" si="28"/>
        <v>-73</v>
      </c>
      <c r="F314" s="11">
        <f t="shared" si="29"/>
        <v>-29.827191418936508</v>
      </c>
      <c r="G314" s="11">
        <f t="shared" si="30"/>
        <v>-29.736559568693615</v>
      </c>
    </row>
    <row r="315" spans="5:7" x14ac:dyDescent="0.25">
      <c r="E315" s="11">
        <f t="shared" si="28"/>
        <v>-72</v>
      </c>
      <c r="F315" s="11">
        <f t="shared" si="29"/>
        <v>-29.515531339621173</v>
      </c>
      <c r="G315" s="11">
        <f t="shared" si="30"/>
        <v>-29.426528727471489</v>
      </c>
    </row>
    <row r="316" spans="5:7" x14ac:dyDescent="0.25">
      <c r="E316" s="11">
        <f t="shared" si="28"/>
        <v>-71</v>
      </c>
      <c r="F316" s="11">
        <f t="shared" si="29"/>
        <v>-29.199404686524765</v>
      </c>
      <c r="G316" s="11">
        <f t="shared" si="30"/>
        <v>-29.113051519412412</v>
      </c>
    </row>
    <row r="317" spans="5:7" x14ac:dyDescent="0.25">
      <c r="E317" s="11">
        <f t="shared" si="28"/>
        <v>-70</v>
      </c>
      <c r="F317" s="11">
        <f t="shared" si="29"/>
        <v>-28.878747924213009</v>
      </c>
      <c r="G317" s="11">
        <f t="shared" si="30"/>
        <v>-28.796027485220641</v>
      </c>
    </row>
    <row r="318" spans="5:7" x14ac:dyDescent="0.25">
      <c r="E318" s="11">
        <f t="shared" si="28"/>
        <v>-69</v>
      </c>
      <c r="F318" s="11">
        <f t="shared" si="29"/>
        <v>-28.553500307559975</v>
      </c>
      <c r="G318" s="11">
        <f t="shared" si="30"/>
        <v>-28.475356165600441</v>
      </c>
    </row>
    <row r="319" spans="5:7" x14ac:dyDescent="0.25">
      <c r="E319" s="11">
        <f t="shared" si="28"/>
        <v>-68</v>
      </c>
      <c r="F319" s="11">
        <f t="shared" si="29"/>
        <v>-28.22360432818266</v>
      </c>
      <c r="G319" s="11">
        <f t="shared" si="30"/>
        <v>-28.150937101256073</v>
      </c>
    </row>
    <row r="320" spans="5:7" x14ac:dyDescent="0.25">
      <c r="E320" s="11">
        <f t="shared" si="28"/>
        <v>-67</v>
      </c>
      <c r="F320" s="11">
        <f t="shared" si="29"/>
        <v>-27.889006165423641</v>
      </c>
      <c r="G320" s="11">
        <f t="shared" si="30"/>
        <v>-27.822669832891791</v>
      </c>
    </row>
    <row r="321" spans="5:7" x14ac:dyDescent="0.25">
      <c r="E321" s="11">
        <f t="shared" si="28"/>
        <v>-66</v>
      </c>
      <c r="F321" s="11">
        <f t="shared" si="29"/>
        <v>-27.549656140883673</v>
      </c>
      <c r="G321" s="11">
        <f t="shared" si="30"/>
        <v>-27.490453901211854</v>
      </c>
    </row>
    <row r="322" spans="5:7" x14ac:dyDescent="0.25">
      <c r="E322" s="11">
        <f t="shared" si="28"/>
        <v>-65</v>
      </c>
      <c r="F322" s="11">
        <f t="shared" si="29"/>
        <v>-27.205509175485677</v>
      </c>
      <c r="G322" s="11">
        <f t="shared" si="30"/>
        <v>-27.15418884692053</v>
      </c>
    </row>
    <row r="323" spans="5:7" x14ac:dyDescent="0.25">
      <c r="E323" s="11">
        <f t="shared" si="28"/>
        <v>-64</v>
      </c>
      <c r="F323" s="11">
        <f t="shared" si="29"/>
        <v>-26.856525248031218</v>
      </c>
      <c r="G323" s="11">
        <f t="shared" si="30"/>
        <v>-26.813774210722066</v>
      </c>
    </row>
    <row r="324" spans="5:7" x14ac:dyDescent="0.25">
      <c r="E324" s="11">
        <f t="shared" si="28"/>
        <v>-63</v>
      </c>
      <c r="F324" s="11">
        <f t="shared" si="29"/>
        <v>-26.502669854189268</v>
      </c>
      <c r="G324" s="11">
        <f t="shared" si="30"/>
        <v>-26.469109533320733</v>
      </c>
    </row>
    <row r="325" spans="5:7" x14ac:dyDescent="0.25">
      <c r="E325" s="11">
        <f t="shared" si="28"/>
        <v>-62</v>
      </c>
      <c r="F325" s="11">
        <f t="shared" si="29"/>
        <v>-26.14391446483728</v>
      </c>
      <c r="G325" s="11">
        <f t="shared" si="30"/>
        <v>-26.120094355420786</v>
      </c>
    </row>
    <row r="326" spans="5:7" x14ac:dyDescent="0.25">
      <c r="E326" s="11">
        <f t="shared" si="28"/>
        <v>-61</v>
      </c>
      <c r="F326" s="11">
        <f t="shared" si="29"/>
        <v>-25.780236982653328</v>
      </c>
      <c r="G326" s="11">
        <f t="shared" si="30"/>
        <v>-25.766628217726485</v>
      </c>
    </row>
    <row r="327" spans="5:7" x14ac:dyDescent="0.25">
      <c r="E327" s="11">
        <f t="shared" si="28"/>
        <v>-60</v>
      </c>
      <c r="F327" s="11">
        <f t="shared" si="29"/>
        <v>-25.411622195837744</v>
      </c>
      <c r="G327" s="11">
        <f t="shared" si="30"/>
        <v>-25.408610660942085</v>
      </c>
    </row>
    <row r="328" spans="5:7" x14ac:dyDescent="0.25">
      <c r="E328" s="11">
        <f t="shared" si="28"/>
        <v>-59</v>
      </c>
      <c r="F328" s="11">
        <f t="shared" si="29"/>
        <v>-25.038062227822032</v>
      </c>
      <c r="G328" s="11">
        <f t="shared" si="30"/>
        <v>-25.045941225771848</v>
      </c>
    </row>
    <row r="329" spans="5:7" x14ac:dyDescent="0.25">
      <c r="E329" s="11">
        <f t="shared" si="28"/>
        <v>-58</v>
      </c>
      <c r="F329" s="11">
        <f t="shared" si="29"/>
        <v>-24.659556981802385</v>
      </c>
      <c r="G329" s="11">
        <f t="shared" si="30"/>
        <v>-24.678519452920035</v>
      </c>
    </row>
    <row r="330" spans="5:7" x14ac:dyDescent="0.25">
      <c r="E330" s="11">
        <f t="shared" si="28"/>
        <v>-57</v>
      </c>
      <c r="F330" s="11">
        <f t="shared" si="29"/>
        <v>-24.276114578913987</v>
      </c>
      <c r="G330" s="11">
        <f t="shared" si="30"/>
        <v>-24.306244883090912</v>
      </c>
    </row>
    <row r="331" spans="5:7" x14ac:dyDescent="0.25">
      <c r="E331" s="11">
        <f t="shared" si="28"/>
        <v>-56</v>
      </c>
      <c r="F331" s="11">
        <f t="shared" si="29"/>
        <v>-23.887751788842543</v>
      </c>
      <c r="G331" s="11">
        <f t="shared" si="30"/>
        <v>-23.929017056988727</v>
      </c>
    </row>
    <row r="332" spans="5:7" x14ac:dyDescent="0.25">
      <c r="E332" s="11">
        <f t="shared" si="28"/>
        <v>-55</v>
      </c>
      <c r="F332" s="11">
        <f t="shared" si="29"/>
        <v>-23.494494451647885</v>
      </c>
      <c r="G332" s="11">
        <f t="shared" si="30"/>
        <v>-23.546735515317746</v>
      </c>
    </row>
    <row r="333" spans="5:7" x14ac:dyDescent="0.25">
      <c r="E333" s="11">
        <f t="shared" si="28"/>
        <v>-54</v>
      </c>
      <c r="F333" s="11">
        <f t="shared" si="29"/>
        <v>-23.096377889554759</v>
      </c>
      <c r="G333" s="11">
        <f t="shared" si="30"/>
        <v>-23.159299798782222</v>
      </c>
    </row>
    <row r="334" spans="5:7" x14ac:dyDescent="0.25">
      <c r="E334" s="11">
        <f t="shared" si="28"/>
        <v>-53</v>
      </c>
      <c r="F334" s="11">
        <f t="shared" si="29"/>
        <v>-22.693447307444711</v>
      </c>
      <c r="G334" s="11">
        <f t="shared" si="30"/>
        <v>-22.766609448086424</v>
      </c>
    </row>
    <row r="335" spans="5:7" x14ac:dyDescent="0.25">
      <c r="E335" s="11">
        <f t="shared" si="28"/>
        <v>-52</v>
      </c>
      <c r="F335" s="11">
        <f t="shared" si="29"/>
        <v>-22.285758180762546</v>
      </c>
      <c r="G335" s="11">
        <f t="shared" si="30"/>
        <v>-22.368564003934608</v>
      </c>
    </row>
    <row r="336" spans="5:7" x14ac:dyDescent="0.25">
      <c r="E336" s="11">
        <f t="shared" si="28"/>
        <v>-51</v>
      </c>
      <c r="F336" s="11">
        <f t="shared" si="29"/>
        <v>-21.873376629530465</v>
      </c>
      <c r="G336" s="11">
        <f t="shared" si="30"/>
        <v>-21.965063007031027</v>
      </c>
    </row>
    <row r="337" spans="5:7" x14ac:dyDescent="0.25">
      <c r="E337" s="11">
        <f t="shared" si="28"/>
        <v>-50</v>
      </c>
      <c r="F337" s="11">
        <f t="shared" si="29"/>
        <v>-21.456379777141887</v>
      </c>
      <c r="G337" s="11">
        <f t="shared" si="30"/>
        <v>-21.55600599807995</v>
      </c>
    </row>
    <row r="338" spans="5:7" x14ac:dyDescent="0.25">
      <c r="E338" s="11">
        <f t="shared" si="28"/>
        <v>-49</v>
      </c>
      <c r="F338" s="11">
        <f t="shared" si="29"/>
        <v>-21.0348560925868</v>
      </c>
      <c r="G338" s="11">
        <f t="shared" si="30"/>
        <v>-21.141292517785629</v>
      </c>
    </row>
    <row r="339" spans="5:7" x14ac:dyDescent="0.25">
      <c r="E339" s="11">
        <f t="shared" si="28"/>
        <v>-48</v>
      </c>
      <c r="F339" s="11">
        <f t="shared" si="29"/>
        <v>-20.608905714739748</v>
      </c>
      <c r="G339" s="11">
        <f t="shared" si="30"/>
        <v>-20.720822106852332</v>
      </c>
    </row>
    <row r="340" spans="5:7" x14ac:dyDescent="0.25">
      <c r="E340" s="11">
        <f t="shared" si="28"/>
        <v>-47</v>
      </c>
      <c r="F340" s="11">
        <f t="shared" si="29"/>
        <v>-20.178640757320668</v>
      </c>
      <c r="G340" s="11">
        <f t="shared" si="30"/>
        <v>-20.294494305984308</v>
      </c>
    </row>
    <row r="341" spans="5:7" x14ac:dyDescent="0.25">
      <c r="E341" s="11">
        <f t="shared" si="28"/>
        <v>-46</v>
      </c>
      <c r="F341" s="11">
        <f t="shared" si="29"/>
        <v>-19.744185593118701</v>
      </c>
      <c r="G341" s="11">
        <f t="shared" si="30"/>
        <v>-19.862208655885823</v>
      </c>
    </row>
    <row r="342" spans="5:7" x14ac:dyDescent="0.25">
      <c r="E342" s="11">
        <f t="shared" si="28"/>
        <v>-45</v>
      </c>
      <c r="F342" s="11">
        <f t="shared" si="29"/>
        <v>-19.30567711604796</v>
      </c>
      <c r="G342" s="11">
        <f t="shared" si="30"/>
        <v>-19.423864697261138</v>
      </c>
    </row>
    <row r="343" spans="5:7" x14ac:dyDescent="0.25">
      <c r="E343" s="11">
        <f t="shared" si="28"/>
        <v>-44</v>
      </c>
      <c r="F343" s="11">
        <f t="shared" si="29"/>
        <v>-18.863264979584077</v>
      </c>
      <c r="G343" s="11">
        <f t="shared" si="30"/>
        <v>-18.979451967086067</v>
      </c>
    </row>
    <row r="344" spans="5:7" x14ac:dyDescent="0.25">
      <c r="E344" s="11">
        <f t="shared" si="28"/>
        <v>-43</v>
      </c>
      <c r="F344" s="11">
        <f t="shared" si="29"/>
        <v>-18.417111810109322</v>
      </c>
      <c r="G344" s="11">
        <f t="shared" si="30"/>
        <v>-18.529319987422671</v>
      </c>
    </row>
    <row r="345" spans="5:7" x14ac:dyDescent="0.25">
      <c r="E345" s="11">
        <f t="shared" si="28"/>
        <v>-42</v>
      </c>
      <c r="F345" s="11">
        <f t="shared" si="29"/>
        <v>-17.967393393673976</v>
      </c>
      <c r="G345" s="11">
        <f t="shared" si="30"/>
        <v>-18.073908276604573</v>
      </c>
    </row>
    <row r="346" spans="5:7" x14ac:dyDescent="0.25">
      <c r="E346" s="11">
        <f t="shared" si="28"/>
        <v>-41</v>
      </c>
      <c r="F346" s="11">
        <f t="shared" si="29"/>
        <v>-17.514298834660366</v>
      </c>
      <c r="G346" s="11">
        <f t="shared" si="30"/>
        <v>-17.613656352965389</v>
      </c>
    </row>
    <row r="347" spans="5:7" x14ac:dyDescent="0.25">
      <c r="E347" s="11">
        <f t="shared" si="28"/>
        <v>-40</v>
      </c>
      <c r="F347" s="11">
        <f t="shared" si="29"/>
        <v>-17.058030684816117</v>
      </c>
      <c r="G347" s="11">
        <f t="shared" si="30"/>
        <v>-17.14900373483874</v>
      </c>
    </row>
    <row r="348" spans="5:7" x14ac:dyDescent="0.25">
      <c r="E348" s="11">
        <f t="shared" si="28"/>
        <v>-39</v>
      </c>
      <c r="F348" s="11">
        <f t="shared" si="29"/>
        <v>-16.598805041101905</v>
      </c>
      <c r="G348" s="11">
        <f t="shared" si="30"/>
        <v>-16.680389940558239</v>
      </c>
    </row>
    <row r="349" spans="5:7" x14ac:dyDescent="0.25">
      <c r="E349" s="11">
        <f t="shared" si="28"/>
        <v>-38</v>
      </c>
      <c r="F349" s="11">
        <f t="shared" si="29"/>
        <v>-16.136851610778823</v>
      </c>
      <c r="G349" s="11">
        <f t="shared" si="30"/>
        <v>-16.208254488457516</v>
      </c>
    </row>
    <row r="350" spans="5:7" x14ac:dyDescent="0.25">
      <c r="E350" s="11">
        <f t="shared" si="28"/>
        <v>-37</v>
      </c>
      <c r="F350" s="11">
        <f t="shared" si="29"/>
        <v>-15.672413742139621</v>
      </c>
      <c r="G350" s="11">
        <f t="shared" si="30"/>
        <v>-15.733036896870189</v>
      </c>
    </row>
    <row r="351" spans="5:7" x14ac:dyDescent="0.25">
      <c r="E351" s="11">
        <f t="shared" ref="E351:E414" si="31">E144</f>
        <v>-36</v>
      </c>
      <c r="F351" s="11">
        <f t="shared" ref="F351:F414" si="32">$H$217*0+E351*$I$217+E351^2*$J$217+E351^3*$K$217+E351^4*$L$217+E351^5*$M$217+E351^6*$N$217+E351^7*$O$217+E351^8*$P$217</f>
        <v>-15.205748419267564</v>
      </c>
      <c r="G351" s="11">
        <f t="shared" ref="G351:G414" si="33">F144</f>
        <v>-15.255176684129866</v>
      </c>
    </row>
    <row r="352" spans="5:7" x14ac:dyDescent="0.25">
      <c r="E352" s="11">
        <f t="shared" si="31"/>
        <v>-35</v>
      </c>
      <c r="F352" s="11">
        <f t="shared" si="32"/>
        <v>-14.737126219186088</v>
      </c>
      <c r="G352" s="11">
        <f t="shared" si="33"/>
        <v>-14.775113368570176</v>
      </c>
    </row>
    <row r="353" spans="5:7" x14ac:dyDescent="0.25">
      <c r="E353" s="11">
        <f t="shared" si="31"/>
        <v>-34</v>
      </c>
      <c r="F353" s="11">
        <f t="shared" si="32"/>
        <v>-14.266831229741673</v>
      </c>
      <c r="G353" s="11">
        <f t="shared" si="33"/>
        <v>-14.293286468524734</v>
      </c>
    </row>
    <row r="354" spans="5:7" x14ac:dyDescent="0.25">
      <c r="E354" s="11">
        <f t="shared" si="31"/>
        <v>-33</v>
      </c>
      <c r="F354" s="11">
        <f t="shared" si="32"/>
        <v>-13.795160926541872</v>
      </c>
      <c r="G354" s="11">
        <f t="shared" si="33"/>
        <v>-13.810135502327164</v>
      </c>
    </row>
    <row r="355" spans="5:7" x14ac:dyDescent="0.25">
      <c r="E355" s="11">
        <f t="shared" si="31"/>
        <v>-32</v>
      </c>
      <c r="F355" s="11">
        <f t="shared" si="32"/>
        <v>-13.322426007249829</v>
      </c>
      <c r="G355" s="11">
        <f t="shared" si="33"/>
        <v>-13.326099988311078</v>
      </c>
    </row>
    <row r="356" spans="5:7" x14ac:dyDescent="0.25">
      <c r="E356" s="11">
        <f t="shared" si="31"/>
        <v>-31</v>
      </c>
      <c r="F356" s="11">
        <f t="shared" si="32"/>
        <v>-12.848950181515869</v>
      </c>
      <c r="G356" s="11">
        <f t="shared" si="33"/>
        <v>-12.841619444810103</v>
      </c>
    </row>
    <row r="357" spans="5:7" x14ac:dyDescent="0.25">
      <c r="E357" s="11">
        <f t="shared" si="31"/>
        <v>-30</v>
      </c>
      <c r="F357" s="11">
        <f t="shared" si="32"/>
        <v>-12.375069914806319</v>
      </c>
      <c r="G357" s="11">
        <f t="shared" si="33"/>
        <v>-12.357133390157852</v>
      </c>
    </row>
    <row r="358" spans="5:7" x14ac:dyDescent="0.25">
      <c r="E358" s="11">
        <f t="shared" si="31"/>
        <v>-29</v>
      </c>
      <c r="F358" s="11">
        <f t="shared" si="32"/>
        <v>-11.901134124368928</v>
      </c>
      <c r="G358" s="11">
        <f t="shared" si="33"/>
        <v>-11.873081342687952</v>
      </c>
    </row>
    <row r="359" spans="5:7" x14ac:dyDescent="0.25">
      <c r="E359" s="11">
        <f t="shared" si="31"/>
        <v>-28</v>
      </c>
      <c r="F359" s="11">
        <f t="shared" si="32"/>
        <v>-11.427503825553833</v>
      </c>
      <c r="G359" s="11">
        <f t="shared" si="33"/>
        <v>-11.389902820734012</v>
      </c>
    </row>
    <row r="360" spans="5:7" x14ac:dyDescent="0.25">
      <c r="E360" s="11">
        <f t="shared" si="31"/>
        <v>-27</v>
      </c>
      <c r="F360" s="11">
        <f t="shared" si="32"/>
        <v>-10.954551726688196</v>
      </c>
      <c r="G360" s="11">
        <f t="shared" si="33"/>
        <v>-10.90803734262966</v>
      </c>
    </row>
    <row r="361" spans="5:7" x14ac:dyDescent="0.25">
      <c r="E361" s="11">
        <f t="shared" si="31"/>
        <v>-26</v>
      </c>
      <c r="F361" s="11">
        <f t="shared" si="32"/>
        <v>-10.482661770682224</v>
      </c>
      <c r="G361" s="11">
        <f t="shared" si="33"/>
        <v>-10.427924426708509</v>
      </c>
    </row>
    <row r="362" spans="5:7" x14ac:dyDescent="0.25">
      <c r="E362" s="11">
        <f t="shared" si="31"/>
        <v>-25</v>
      </c>
      <c r="F362" s="11">
        <f t="shared" si="32"/>
        <v>-10.012228621523517</v>
      </c>
      <c r="G362" s="11">
        <f t="shared" si="33"/>
        <v>-9.9500035913041831</v>
      </c>
    </row>
    <row r="363" spans="5:7" x14ac:dyDescent="0.25">
      <c r="E363" s="11">
        <f t="shared" si="31"/>
        <v>-24</v>
      </c>
      <c r="F363" s="11">
        <f t="shared" si="32"/>
        <v>-9.543657093796206</v>
      </c>
      <c r="G363" s="11">
        <f t="shared" si="33"/>
        <v>-9.4747143547503008</v>
      </c>
    </row>
    <row r="364" spans="5:7" x14ac:dyDescent="0.25">
      <c r="E364" s="11">
        <f t="shared" si="31"/>
        <v>-23</v>
      </c>
      <c r="F364" s="11">
        <f t="shared" si="32"/>
        <v>-9.0773615233406151</v>
      </c>
      <c r="G364" s="11">
        <f t="shared" si="33"/>
        <v>-9.0024962353804803</v>
      </c>
    </row>
    <row r="365" spans="5:7" x14ac:dyDescent="0.25">
      <c r="E365" s="11">
        <f t="shared" si="31"/>
        <v>-22</v>
      </c>
      <c r="F365" s="11">
        <f t="shared" si="32"/>
        <v>-8.6137650771486687</v>
      </c>
      <c r="G365" s="11">
        <f t="shared" si="33"/>
        <v>-8.5337887515283377</v>
      </c>
    </row>
    <row r="366" spans="5:7" x14ac:dyDescent="0.25">
      <c r="E366" s="11">
        <f t="shared" si="31"/>
        <v>-21</v>
      </c>
      <c r="F366" s="11">
        <f t="shared" si="32"/>
        <v>-8.1532990005696089</v>
      </c>
      <c r="G366" s="11">
        <f t="shared" si="33"/>
        <v>-8.0690314215274981</v>
      </c>
    </row>
    <row r="367" spans="5:7" x14ac:dyDescent="0.25">
      <c r="E367" s="11">
        <f t="shared" si="31"/>
        <v>-20</v>
      </c>
      <c r="F367" s="11">
        <f t="shared" si="32"/>
        <v>-7.6964017998799354</v>
      </c>
      <c r="G367" s="11">
        <f t="shared" si="33"/>
        <v>-7.6086637637115775</v>
      </c>
    </row>
    <row r="368" spans="5:7" x14ac:dyDescent="0.25">
      <c r="E368" s="11">
        <f t="shared" si="31"/>
        <v>-19</v>
      </c>
      <c r="F368" s="11">
        <f t="shared" si="32"/>
        <v>-7.2435183582510012</v>
      </c>
      <c r="G368" s="11">
        <f t="shared" si="33"/>
        <v>-7.1531252964141956</v>
      </c>
    </row>
    <row r="369" spans="5:7" x14ac:dyDescent="0.25">
      <c r="E369" s="11">
        <f t="shared" si="31"/>
        <v>-18</v>
      </c>
      <c r="F369" s="11">
        <f t="shared" si="32"/>
        <v>-6.7950989831269082</v>
      </c>
      <c r="G369" s="11">
        <f t="shared" si="33"/>
        <v>-6.7028555379689738</v>
      </c>
    </row>
    <row r="370" spans="5:7" x14ac:dyDescent="0.25">
      <c r="E370" s="11">
        <f t="shared" si="31"/>
        <v>-17</v>
      </c>
      <c r="F370" s="11">
        <f t="shared" si="32"/>
        <v>-6.3515983830048874</v>
      </c>
      <c r="G370" s="11">
        <f t="shared" si="33"/>
        <v>-6.2582940067095283</v>
      </c>
    </row>
    <row r="371" spans="5:7" x14ac:dyDescent="0.25">
      <c r="E371" s="11">
        <f t="shared" si="31"/>
        <v>-16</v>
      </c>
      <c r="F371" s="11">
        <f t="shared" si="32"/>
        <v>-5.9134745715896813</v>
      </c>
      <c r="G371" s="11">
        <f t="shared" si="33"/>
        <v>-5.8198802209694787</v>
      </c>
    </row>
    <row r="372" spans="5:7" x14ac:dyDescent="0.25">
      <c r="E372" s="11">
        <f t="shared" si="31"/>
        <v>-15</v>
      </c>
      <c r="F372" s="11">
        <f t="shared" si="32"/>
        <v>-5.4811876972727882</v>
      </c>
      <c r="G372" s="11">
        <f t="shared" si="33"/>
        <v>-5.3880536990824464</v>
      </c>
    </row>
    <row r="373" spans="5:7" x14ac:dyDescent="0.25">
      <c r="E373" s="11">
        <f t="shared" si="31"/>
        <v>-14</v>
      </c>
      <c r="F373" s="11">
        <f t="shared" si="32"/>
        <v>-5.0551987958669002</v>
      </c>
      <c r="G373" s="11">
        <f t="shared" si="33"/>
        <v>-4.9632539593820475</v>
      </c>
    </row>
    <row r="374" spans="5:7" x14ac:dyDescent="0.25">
      <c r="E374" s="11">
        <f t="shared" si="31"/>
        <v>-13</v>
      </c>
      <c r="F374" s="11">
        <f t="shared" si="32"/>
        <v>-4.635968464505221</v>
      </c>
      <c r="G374" s="11">
        <f t="shared" si="33"/>
        <v>-4.5459205202019053</v>
      </c>
    </row>
    <row r="375" spans="5:7" x14ac:dyDescent="0.25">
      <c r="E375" s="11">
        <f t="shared" si="31"/>
        <v>-12</v>
      </c>
      <c r="F375" s="11">
        <f t="shared" si="32"/>
        <v>-4.2239554545946936</v>
      </c>
      <c r="G375" s="11">
        <f t="shared" si="33"/>
        <v>-4.1364928998756376</v>
      </c>
    </row>
    <row r="376" spans="5:7" x14ac:dyDescent="0.25">
      <c r="E376" s="11">
        <f t="shared" si="31"/>
        <v>-11</v>
      </c>
      <c r="F376" s="11">
        <f t="shared" si="32"/>
        <v>-3.8196151816916579</v>
      </c>
      <c r="G376" s="11">
        <f t="shared" si="33"/>
        <v>-3.7354106167368619</v>
      </c>
    </row>
    <row r="377" spans="5:7" x14ac:dyDescent="0.25">
      <c r="E377" s="11">
        <f t="shared" si="31"/>
        <v>-10</v>
      </c>
      <c r="F377" s="11">
        <f t="shared" si="32"/>
        <v>-3.4233981501477388</v>
      </c>
      <c r="G377" s="11">
        <f t="shared" si="33"/>
        <v>-3.3431131891191979</v>
      </c>
    </row>
    <row r="378" spans="5:7" x14ac:dyDescent="0.25">
      <c r="E378" s="11">
        <f t="shared" si="31"/>
        <v>-9</v>
      </c>
      <c r="F378" s="11">
        <f t="shared" si="32"/>
        <v>-3.0357482903532365</v>
      </c>
      <c r="G378" s="11">
        <f t="shared" si="33"/>
        <v>-2.9600401353562673</v>
      </c>
    </row>
    <row r="379" spans="5:7" x14ac:dyDescent="0.25">
      <c r="E379" s="11">
        <f t="shared" si="31"/>
        <v>-8</v>
      </c>
      <c r="F379" s="11">
        <f t="shared" si="32"/>
        <v>-2.6571012063846253</v>
      </c>
      <c r="G379" s="11">
        <f t="shared" si="33"/>
        <v>-2.5866309737816873</v>
      </c>
    </row>
    <row r="380" spans="5:7" x14ac:dyDescent="0.25">
      <c r="E380" s="11">
        <f t="shared" si="31"/>
        <v>-7</v>
      </c>
      <c r="F380" s="11">
        <f t="shared" si="32"/>
        <v>-2.2878823318422077</v>
      </c>
      <c r="G380" s="11">
        <f t="shared" si="33"/>
        <v>-2.2233252227290774</v>
      </c>
    </row>
    <row r="381" spans="5:7" x14ac:dyDescent="0.25">
      <c r="E381" s="11">
        <f t="shared" si="31"/>
        <v>-6</v>
      </c>
      <c r="F381" s="11">
        <f t="shared" si="32"/>
        <v>-1.9285049916432973</v>
      </c>
      <c r="G381" s="11">
        <f t="shared" si="33"/>
        <v>-1.8705624005320574</v>
      </c>
    </row>
    <row r="382" spans="5:7" x14ac:dyDescent="0.25">
      <c r="E382" s="11">
        <f t="shared" si="31"/>
        <v>-5</v>
      </c>
      <c r="F382" s="11">
        <f t="shared" si="32"/>
        <v>-1.5793683675157553</v>
      </c>
      <c r="G382" s="11">
        <f t="shared" si="33"/>
        <v>-1.5287820255242464</v>
      </c>
    </row>
    <row r="383" spans="5:7" x14ac:dyDescent="0.25">
      <c r="E383" s="11">
        <f t="shared" si="31"/>
        <v>-4</v>
      </c>
      <c r="F383" s="11">
        <f t="shared" si="32"/>
        <v>-1.2408553649160541</v>
      </c>
      <c r="G383" s="11">
        <f t="shared" si="33"/>
        <v>-1.1984236160392623</v>
      </c>
    </row>
    <row r="384" spans="5:7" x14ac:dyDescent="0.25">
      <c r="E384" s="11">
        <f t="shared" si="31"/>
        <v>-3</v>
      </c>
      <c r="F384" s="11">
        <f t="shared" si="32"/>
        <v>-0.9133303790754439</v>
      </c>
      <c r="G384" s="11">
        <f t="shared" si="33"/>
        <v>-0.87992669041072791</v>
      </c>
    </row>
    <row r="385" spans="5:7" x14ac:dyDescent="0.25">
      <c r="E385" s="11">
        <f t="shared" si="31"/>
        <v>-2</v>
      </c>
      <c r="F385" s="11">
        <f t="shared" si="32"/>
        <v>-0.5971369578571889</v>
      </c>
      <c r="G385" s="11">
        <f t="shared" si="33"/>
        <v>-0.57373076697225933</v>
      </c>
    </row>
    <row r="386" spans="5:7" x14ac:dyDescent="0.25">
      <c r="E386" s="11">
        <f t="shared" si="31"/>
        <v>-1</v>
      </c>
      <c r="F386" s="11">
        <f t="shared" si="32"/>
        <v>-0.29259535908722839</v>
      </c>
      <c r="G386" s="11">
        <f t="shared" si="33"/>
        <v>-0.28027536405747711</v>
      </c>
    </row>
    <row r="387" spans="5:7" x14ac:dyDescent="0.25">
      <c r="E387" s="11">
        <f t="shared" si="31"/>
        <v>0</v>
      </c>
      <c r="F387" s="11">
        <f t="shared" si="32"/>
        <v>0</v>
      </c>
      <c r="G387" s="11">
        <f t="shared" si="33"/>
        <v>0</v>
      </c>
    </row>
    <row r="388" spans="5:7" x14ac:dyDescent="0.25">
      <c r="E388" s="11">
        <f t="shared" si="31"/>
        <v>1</v>
      </c>
      <c r="F388" s="11">
        <f t="shared" si="32"/>
        <v>0.28038320357943408</v>
      </c>
      <c r="G388" s="11">
        <f t="shared" si="33"/>
        <v>0.26679391495639793</v>
      </c>
    </row>
    <row r="389" spans="5:7" x14ac:dyDescent="0.25">
      <c r="E389" s="11">
        <f t="shared" si="31"/>
        <v>2</v>
      </c>
      <c r="F389" s="11">
        <f t="shared" si="32"/>
        <v>0.54831961071644486</v>
      </c>
      <c r="G389" s="11">
        <f t="shared" si="33"/>
        <v>0.52035740292732657</v>
      </c>
    </row>
    <row r="390" spans="5:7" x14ac:dyDescent="0.25">
      <c r="E390" s="11">
        <f t="shared" si="31"/>
        <v>3</v>
      </c>
      <c r="F390" s="11">
        <f t="shared" si="32"/>
        <v>0.80360874393116188</v>
      </c>
      <c r="G390" s="11">
        <f t="shared" si="33"/>
        <v>0.76107959411824022</v>
      </c>
    </row>
    <row r="391" spans="5:7" x14ac:dyDescent="0.25">
      <c r="E391" s="11">
        <f t="shared" si="31"/>
        <v>4</v>
      </c>
      <c r="F391" s="11">
        <f t="shared" si="32"/>
        <v>1.0460872952867675</v>
      </c>
      <c r="G391" s="11">
        <f t="shared" si="33"/>
        <v>0.98934961873459437</v>
      </c>
    </row>
    <row r="392" spans="5:7" x14ac:dyDescent="0.25">
      <c r="E392" s="11">
        <f t="shared" si="31"/>
        <v>5</v>
      </c>
      <c r="F392" s="11">
        <f t="shared" si="32"/>
        <v>1.2756322524630757</v>
      </c>
      <c r="G392" s="11">
        <f t="shared" si="33"/>
        <v>1.2055566069818435</v>
      </c>
    </row>
    <row r="393" spans="5:7" x14ac:dyDescent="0.25">
      <c r="E393" s="11">
        <f t="shared" si="31"/>
        <v>6</v>
      </c>
      <c r="F393" s="11">
        <f t="shared" si="32"/>
        <v>1.4921641472973051</v>
      </c>
      <c r="G393" s="11">
        <f t="shared" si="33"/>
        <v>1.4100896890654433</v>
      </c>
    </row>
    <row r="394" spans="5:7" x14ac:dyDescent="0.25">
      <c r="E394" s="11">
        <f t="shared" si="31"/>
        <v>7</v>
      </c>
      <c r="F394" s="11">
        <f t="shared" si="32"/>
        <v>1.6956504292945942</v>
      </c>
      <c r="G394" s="11">
        <f t="shared" si="33"/>
        <v>1.6033379951908477</v>
      </c>
    </row>
    <row r="395" spans="5:7" x14ac:dyDescent="0.25">
      <c r="E395" s="11">
        <f t="shared" si="31"/>
        <v>8</v>
      </c>
      <c r="F395" s="11">
        <f t="shared" si="32"/>
        <v>1.8861089666313897</v>
      </c>
      <c r="G395" s="11">
        <f t="shared" si="33"/>
        <v>1.785690655563513</v>
      </c>
    </row>
    <row r="396" spans="5:7" x14ac:dyDescent="0.25">
      <c r="E396" s="11">
        <f t="shared" si="31"/>
        <v>9</v>
      </c>
      <c r="F396" s="11">
        <f t="shared" si="32"/>
        <v>2.0636116771954676</v>
      </c>
      <c r="G396" s="11">
        <f t="shared" si="33"/>
        <v>1.9575368003888935</v>
      </c>
    </row>
    <row r="397" spans="5:7" x14ac:dyDescent="0.25">
      <c r="E397" s="11">
        <f t="shared" si="31"/>
        <v>10</v>
      </c>
      <c r="F397" s="11">
        <f t="shared" si="32"/>
        <v>2.2282882922269454</v>
      </c>
      <c r="G397" s="11">
        <f t="shared" si="33"/>
        <v>2.1192655598724439</v>
      </c>
    </row>
    <row r="398" spans="5:7" x14ac:dyDescent="0.25">
      <c r="E398" s="11">
        <f t="shared" si="31"/>
        <v>11</v>
      </c>
      <c r="F398" s="11">
        <f t="shared" si="32"/>
        <v>2.3803302551452781</v>
      </c>
      <c r="G398" s="11">
        <f t="shared" si="33"/>
        <v>2.2712660642196201</v>
      </c>
    </row>
    <row r="399" spans="5:7" x14ac:dyDescent="0.25">
      <c r="E399" s="11">
        <f t="shared" si="31"/>
        <v>12</v>
      </c>
      <c r="F399" s="11">
        <f t="shared" si="32"/>
        <v>2.5199947581677944</v>
      </c>
      <c r="G399" s="11">
        <f t="shared" si="33"/>
        <v>2.4139274436358762</v>
      </c>
    </row>
    <row r="400" spans="5:7" x14ac:dyDescent="0.25">
      <c r="E400" s="11">
        <f t="shared" si="31"/>
        <v>13</v>
      </c>
      <c r="F400" s="11">
        <f t="shared" si="32"/>
        <v>2.6476089193460024</v>
      </c>
      <c r="G400" s="11">
        <f t="shared" si="33"/>
        <v>2.5476388283266678</v>
      </c>
    </row>
    <row r="401" spans="5:7" x14ac:dyDescent="0.25">
      <c r="E401" s="11">
        <f t="shared" si="31"/>
        <v>14</v>
      </c>
      <c r="F401" s="11">
        <f t="shared" si="32"/>
        <v>2.7635741026664538</v>
      </c>
      <c r="G401" s="11">
        <f t="shared" si="33"/>
        <v>2.6727893484974494</v>
      </c>
    </row>
    <row r="402" spans="5:7" x14ac:dyDescent="0.25">
      <c r="E402" s="11">
        <f t="shared" si="31"/>
        <v>15</v>
      </c>
      <c r="F402" s="11">
        <f t="shared" si="32"/>
        <v>2.8683703838835806</v>
      </c>
      <c r="G402" s="11">
        <f t="shared" si="33"/>
        <v>2.7897681343536758</v>
      </c>
    </row>
    <row r="403" spans="5:7" x14ac:dyDescent="0.25">
      <c r="E403" s="11">
        <f t="shared" si="31"/>
        <v>16</v>
      </c>
      <c r="F403" s="11">
        <f t="shared" si="32"/>
        <v>2.9625611647725525</v>
      </c>
      <c r="G403" s="11">
        <f t="shared" si="33"/>
        <v>2.8989643161008027</v>
      </c>
    </row>
    <row r="404" spans="5:7" x14ac:dyDescent="0.25">
      <c r="E404" s="11">
        <f t="shared" si="31"/>
        <v>17</v>
      </c>
      <c r="F404" s="11">
        <f t="shared" si="32"/>
        <v>3.0467979385107808</v>
      </c>
      <c r="G404" s="11">
        <f t="shared" si="33"/>
        <v>3.000767023944285</v>
      </c>
    </row>
    <row r="405" spans="5:7" x14ac:dyDescent="0.25">
      <c r="E405" s="11">
        <f t="shared" si="31"/>
        <v>18</v>
      </c>
      <c r="F405" s="11">
        <f t="shared" si="32"/>
        <v>3.121825208917322</v>
      </c>
      <c r="G405" s="11">
        <f t="shared" si="33"/>
        <v>3.095565388089577</v>
      </c>
    </row>
    <row r="406" spans="5:7" x14ac:dyDescent="0.25">
      <c r="E406" s="11">
        <f t="shared" si="31"/>
        <v>19</v>
      </c>
      <c r="F406" s="11">
        <f t="shared" si="32"/>
        <v>3.1884855663000442</v>
      </c>
      <c r="G406" s="11">
        <f t="shared" si="33"/>
        <v>3.1837485387421345</v>
      </c>
    </row>
    <row r="407" spans="5:7" x14ac:dyDescent="0.25">
      <c r="E407" s="11">
        <f t="shared" si="31"/>
        <v>20</v>
      </c>
      <c r="F407" s="11">
        <f t="shared" si="32"/>
        <v>3.2477249226810332</v>
      </c>
      <c r="G407" s="11">
        <f t="shared" si="33"/>
        <v>3.2657056061074119</v>
      </c>
    </row>
    <row r="408" spans="5:7" x14ac:dyDescent="0.25">
      <c r="E408" s="11">
        <f t="shared" si="31"/>
        <v>21</v>
      </c>
      <c r="F408" s="11">
        <f t="shared" si="32"/>
        <v>3.3005979091913091</v>
      </c>
      <c r="G408" s="11">
        <f t="shared" si="33"/>
        <v>3.3418257203908648</v>
      </c>
    </row>
    <row r="409" spans="5:7" x14ac:dyDescent="0.25">
      <c r="E409" s="11">
        <f t="shared" si="31"/>
        <v>22</v>
      </c>
      <c r="F409" s="11">
        <f t="shared" si="32"/>
        <v>3.3482734384465602</v>
      </c>
      <c r="G409" s="11">
        <f t="shared" si="33"/>
        <v>3.4124980117979478</v>
      </c>
    </row>
    <row r="410" spans="5:7" x14ac:dyDescent="0.25">
      <c r="E410" s="11">
        <f t="shared" si="31"/>
        <v>23</v>
      </c>
      <c r="F410" s="11">
        <f t="shared" si="32"/>
        <v>3.3920404347361943</v>
      </c>
      <c r="G410" s="11">
        <f t="shared" si="33"/>
        <v>3.4781116105341159</v>
      </c>
    </row>
    <row r="411" spans="5:7" x14ac:dyDescent="0.25">
      <c r="E411" s="11">
        <f t="shared" si="31"/>
        <v>24</v>
      </c>
      <c r="F411" s="11">
        <f t="shared" si="32"/>
        <v>3.4333137348786189</v>
      </c>
      <c r="G411" s="11">
        <f t="shared" si="33"/>
        <v>3.5390556468048242</v>
      </c>
    </row>
    <row r="412" spans="5:7" x14ac:dyDescent="0.25">
      <c r="E412" s="11">
        <f t="shared" si="31"/>
        <v>25</v>
      </c>
      <c r="F412" s="11">
        <f t="shared" si="32"/>
        <v>3.4736401626162845</v>
      </c>
      <c r="G412" s="11">
        <f t="shared" si="33"/>
        <v>3.5957192508155269</v>
      </c>
    </row>
    <row r="413" spans="5:7" x14ac:dyDescent="0.25">
      <c r="E413" s="11">
        <f t="shared" si="31"/>
        <v>26</v>
      </c>
      <c r="F413" s="11">
        <f t="shared" si="32"/>
        <v>3.5147047794446169</v>
      </c>
      <c r="G413" s="11">
        <f t="shared" si="33"/>
        <v>3.6484915527716804</v>
      </c>
    </row>
    <row r="414" spans="5:7" x14ac:dyDescent="0.25">
      <c r="E414" s="11">
        <f t="shared" si="31"/>
        <v>27</v>
      </c>
      <c r="F414" s="11">
        <f t="shared" si="32"/>
        <v>3.5583373147895978</v>
      </c>
      <c r="G414" s="11">
        <f t="shared" si="33"/>
        <v>3.6977616828787392</v>
      </c>
    </row>
    <row r="415" spans="5:7" x14ac:dyDescent="0.25">
      <c r="E415" s="11">
        <f t="shared" ref="E415:E422" si="34">E208</f>
        <v>28</v>
      </c>
      <c r="F415" s="11">
        <f t="shared" ref="F415:F422" si="35">$H$217*0+E415*$I$217+E415^2*$J$217+E415^3*$K$217+E415^4*$L$217+E415^5*$M$217+E415^6*$N$217+E415^7*$O$217+E415^8*$P$217</f>
        <v>3.6065187784693471</v>
      </c>
      <c r="G415" s="11">
        <f t="shared" ref="G415:G422" si="36">F208</f>
        <v>3.7439187713421576</v>
      </c>
    </row>
    <row r="416" spans="5:7" x14ac:dyDescent="0.25">
      <c r="E416" s="11">
        <f t="shared" si="34"/>
        <v>29</v>
      </c>
      <c r="F416" s="11">
        <f t="shared" si="35"/>
        <v>3.6613882583956783</v>
      </c>
      <c r="G416" s="11">
        <f t="shared" si="36"/>
        <v>3.787351948367391</v>
      </c>
    </row>
    <row r="417" spans="5:7" x14ac:dyDescent="0.25">
      <c r="E417" s="11">
        <f t="shared" si="34"/>
        <v>30</v>
      </c>
      <c r="F417" s="11">
        <f t="shared" si="35"/>
        <v>3.7252499064921931</v>
      </c>
      <c r="G417" s="11">
        <f t="shared" si="36"/>
        <v>3.8284503441598945</v>
      </c>
    </row>
    <row r="418" spans="5:7" x14ac:dyDescent="0.25">
      <c r="E418" s="11">
        <f t="shared" si="34"/>
        <v>31</v>
      </c>
      <c r="F418" s="11">
        <f t="shared" si="35"/>
        <v>3.8005801158261376</v>
      </c>
      <c r="G418" s="11">
        <f t="shared" si="36"/>
        <v>3.8676030889251232</v>
      </c>
    </row>
    <row r="419" spans="5:7" x14ac:dyDescent="0.25">
      <c r="E419" s="11">
        <f t="shared" si="34"/>
        <v>32</v>
      </c>
      <c r="F419" s="11">
        <f t="shared" si="35"/>
        <v>3.8900348919717898</v>
      </c>
      <c r="G419" s="11">
        <f t="shared" si="36"/>
        <v>3.9051993128685321</v>
      </c>
    </row>
    <row r="420" spans="5:7" x14ac:dyDescent="0.25">
      <c r="E420" s="11">
        <f t="shared" si="34"/>
        <v>33</v>
      </c>
      <c r="F420" s="11">
        <f t="shared" si="35"/>
        <v>3.9964574216438011</v>
      </c>
      <c r="G420" s="11">
        <f t="shared" si="36"/>
        <v>3.9416281461955758</v>
      </c>
    </row>
    <row r="421" spans="5:7" x14ac:dyDescent="0.25">
      <c r="E421" s="11">
        <f t="shared" si="34"/>
        <v>34</v>
      </c>
      <c r="F421" s="11">
        <f t="shared" si="35"/>
        <v>4.1228858416595244</v>
      </c>
      <c r="G421" s="11">
        <f t="shared" si="36"/>
        <v>3.9772787191117094</v>
      </c>
    </row>
    <row r="422" spans="5:7" x14ac:dyDescent="0.25">
      <c r="E422" s="11">
        <f t="shared" si="34"/>
        <v>35</v>
      </c>
      <c r="F422" s="11">
        <f t="shared" si="35"/>
        <v>4.2725612113099585</v>
      </c>
      <c r="G422" s="11">
        <f t="shared" si="36"/>
        <v>4.0125401618223879</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3.8009999999999997E-5</v>
      </c>
      <c r="C3" s="2">
        <v>1.4990000000000001E-4</v>
      </c>
      <c r="D3" s="2">
        <v>-4.6210000000000001E-4</v>
      </c>
      <c r="E3" s="2">
        <v>0</v>
      </c>
      <c r="F3" s="2">
        <v>0</v>
      </c>
      <c r="G3" s="2">
        <v>0</v>
      </c>
      <c r="H3" s="2">
        <v>7.0572289999999994E-5</v>
      </c>
      <c r="I3" s="2">
        <v>1.5235524000000001E-5</v>
      </c>
      <c r="J3" s="2">
        <v>-1.9562213E-4</v>
      </c>
      <c r="K3" s="3"/>
      <c r="L3" s="3">
        <f>-B3/D3</f>
        <v>8.2254923176801553E-2</v>
      </c>
      <c r="M3" s="3"/>
      <c r="N3" s="2">
        <f>IF('Modell einstellen'!$B$1="Voll",H3/0.35,H3/0.35*2)</f>
        <v>2.0163511428571428E-4</v>
      </c>
      <c r="O3" s="2">
        <f>IF('Modell einstellen'!$B$1="Voll",J3/0.35,J3/0.35*2)</f>
        <v>-5.5892037142857146E-4</v>
      </c>
      <c r="P3" s="3">
        <f>-N3/O3</f>
        <v>0.36075821278502584</v>
      </c>
      <c r="Q3" s="3"/>
      <c r="R3" s="3"/>
      <c r="S3" s="3"/>
      <c r="T3" s="3"/>
      <c r="U3" s="3"/>
      <c r="V3" s="3"/>
      <c r="W3" s="3"/>
    </row>
    <row r="4" spans="1:23" x14ac:dyDescent="0.25">
      <c r="A4" s="2">
        <v>1E-14</v>
      </c>
      <c r="B4" s="2">
        <v>3.8000000000000002E-5</v>
      </c>
      <c r="C4" s="2">
        <v>1.4990000000000001E-4</v>
      </c>
      <c r="D4" s="2">
        <v>-4.6210000000000001E-4</v>
      </c>
      <c r="E4" s="2">
        <v>0</v>
      </c>
      <c r="F4" s="2">
        <v>0</v>
      </c>
      <c r="G4" s="2">
        <v>0</v>
      </c>
      <c r="H4" s="2">
        <v>7.0573720999999996E-5</v>
      </c>
      <c r="I4" s="2">
        <v>1.5236729E-5</v>
      </c>
      <c r="J4" s="2">
        <v>-1.9561843000000001E-4</v>
      </c>
      <c r="K4" s="3"/>
      <c r="L4" s="3">
        <f t="shared" ref="L4:L33" si="0">-B4/D4</f>
        <v>8.2233282839212288E-2</v>
      </c>
      <c r="M4" s="3"/>
      <c r="N4" s="2">
        <f>IF('Modell einstellen'!$B$1="Voll",H4/0.35,H4/0.35*2)</f>
        <v>2.0163920285714285E-4</v>
      </c>
      <c r="O4" s="2">
        <f>IF('Modell einstellen'!$B$1="Voll",J4/0.35,J4/0.35*2)</f>
        <v>-5.5890980000000007E-4</v>
      </c>
      <c r="P4" s="3">
        <f t="shared" ref="P4:P33" si="1">-N4/O4</f>
        <v>0.36077235156217125</v>
      </c>
      <c r="Q4" s="3"/>
      <c r="R4" s="3"/>
      <c r="S4" s="3"/>
      <c r="T4" s="3"/>
      <c r="U4" s="3"/>
      <c r="V4" s="3"/>
      <c r="W4" s="3"/>
    </row>
    <row r="5" spans="1:23" x14ac:dyDescent="0.25">
      <c r="A5" s="2">
        <v>1E-13</v>
      </c>
      <c r="B5" s="2">
        <v>3.8000000000000002E-5</v>
      </c>
      <c r="C5" s="2">
        <v>1.4990000000000001E-4</v>
      </c>
      <c r="D5" s="2">
        <v>-4.6210000000000001E-4</v>
      </c>
      <c r="E5" s="2">
        <v>0</v>
      </c>
      <c r="F5" s="2">
        <v>0</v>
      </c>
      <c r="G5" s="2">
        <v>0</v>
      </c>
      <c r="H5" s="2">
        <v>7.0574096999999998E-5</v>
      </c>
      <c r="I5" s="2">
        <v>1.5236904000000001E-5</v>
      </c>
      <c r="J5" s="2">
        <v>-1.9561943999999999E-4</v>
      </c>
      <c r="K5" s="3"/>
      <c r="L5" s="3">
        <f t="shared" si="0"/>
        <v>8.2233282839212288E-2</v>
      </c>
      <c r="M5" s="3"/>
      <c r="N5" s="2">
        <f>IF('Modell einstellen'!$B$1="Voll",H5/0.35,H5/0.35*2)</f>
        <v>2.0164027714285714E-4</v>
      </c>
      <c r="O5" s="2">
        <f>IF('Modell einstellen'!$B$1="Voll",J5/0.35,J5/0.35*2)</f>
        <v>-5.5891268571428576E-4</v>
      </c>
      <c r="P5" s="3">
        <f t="shared" si="1"/>
        <v>0.3607724109628368</v>
      </c>
      <c r="Q5" s="3"/>
      <c r="R5" s="3"/>
      <c r="S5" s="3"/>
      <c r="T5" s="3"/>
      <c r="U5" s="3"/>
      <c r="V5" s="3"/>
      <c r="W5" s="3"/>
    </row>
    <row r="6" spans="1:23" x14ac:dyDescent="0.25">
      <c r="A6" s="2">
        <v>9.9999999999999998E-13</v>
      </c>
      <c r="B6" s="2">
        <v>3.8000000000000002E-5</v>
      </c>
      <c r="C6" s="2">
        <v>1.4990000000000001E-4</v>
      </c>
      <c r="D6" s="2">
        <v>-4.6210000000000001E-4</v>
      </c>
      <c r="E6" s="2">
        <v>0</v>
      </c>
      <c r="F6" s="2">
        <v>0</v>
      </c>
      <c r="G6" s="2">
        <v>0</v>
      </c>
      <c r="H6" s="2">
        <v>7.0574212999999995E-5</v>
      </c>
      <c r="I6" s="2">
        <v>1.5236953E-5</v>
      </c>
      <c r="J6" s="2">
        <v>-1.9561974000000001E-4</v>
      </c>
      <c r="K6" s="3"/>
      <c r="L6" s="3">
        <f t="shared" si="0"/>
        <v>8.2233282839212288E-2</v>
      </c>
      <c r="M6" s="3"/>
      <c r="N6" s="2">
        <f>IF('Modell einstellen'!$B$1="Voll",H6/0.35,H6/0.35*2)</f>
        <v>2.0164060857142858E-4</v>
      </c>
      <c r="O6" s="2">
        <f>IF('Modell einstellen'!$B$1="Voll",J6/0.35,J6/0.35*2)</f>
        <v>-5.5891354285714288E-4</v>
      </c>
      <c r="P6" s="3">
        <f t="shared" si="1"/>
        <v>0.36077245067394526</v>
      </c>
      <c r="Q6" s="3"/>
      <c r="R6" s="3"/>
      <c r="S6" s="3"/>
      <c r="T6" s="3"/>
      <c r="U6" s="3"/>
      <c r="V6" s="3"/>
      <c r="W6" s="3"/>
    </row>
    <row r="7" spans="1:23" x14ac:dyDescent="0.25">
      <c r="A7" s="2">
        <v>9.9999999999999994E-12</v>
      </c>
      <c r="B7" s="2">
        <v>3.8000000000000002E-5</v>
      </c>
      <c r="C7" s="2">
        <v>1.4990000000000001E-4</v>
      </c>
      <c r="D7" s="2">
        <v>-4.6210000000000001E-4</v>
      </c>
      <c r="E7" s="2">
        <v>0</v>
      </c>
      <c r="F7" s="2">
        <v>0</v>
      </c>
      <c r="G7" s="2">
        <v>0</v>
      </c>
      <c r="H7" s="2">
        <v>7.0574252000000002E-5</v>
      </c>
      <c r="I7" s="2">
        <v>1.5236967E-5</v>
      </c>
      <c r="J7" s="2">
        <v>-1.9561983E-4</v>
      </c>
      <c r="K7" s="3"/>
      <c r="L7" s="3">
        <f t="shared" si="0"/>
        <v>8.2233282839212288E-2</v>
      </c>
      <c r="M7" s="3"/>
      <c r="N7" s="2">
        <f>IF('Modell einstellen'!$B$1="Voll",H7/0.35,H7/0.35*2)</f>
        <v>2.0164072000000002E-4</v>
      </c>
      <c r="O7" s="2">
        <f>IF('Modell einstellen'!$B$1="Voll",J7/0.35,J7/0.35*2)</f>
        <v>-5.5891380000000002E-4</v>
      </c>
      <c r="P7" s="3">
        <f t="shared" si="1"/>
        <v>0.36077248405747009</v>
      </c>
      <c r="Q7" s="3"/>
      <c r="R7" s="3"/>
      <c r="S7" s="3"/>
      <c r="T7" s="3"/>
      <c r="U7" s="3"/>
      <c r="V7" s="3"/>
      <c r="W7" s="3"/>
    </row>
    <row r="8" spans="1:23" x14ac:dyDescent="0.25">
      <c r="A8" s="2">
        <v>1E-10</v>
      </c>
      <c r="B8" s="2">
        <v>3.8000000000000002E-5</v>
      </c>
      <c r="C8" s="2">
        <v>1.4990000000000001E-4</v>
      </c>
      <c r="D8" s="2">
        <v>-4.6210000000000001E-4</v>
      </c>
      <c r="E8" s="2">
        <v>0</v>
      </c>
      <c r="F8" s="2">
        <v>0</v>
      </c>
      <c r="G8" s="2">
        <v>0</v>
      </c>
      <c r="H8" s="2">
        <v>7.0574265000000004E-5</v>
      </c>
      <c r="I8" s="2">
        <v>1.5236972E-5</v>
      </c>
      <c r="J8" s="2">
        <v>-1.9561985999999999E-4</v>
      </c>
      <c r="K8" s="3"/>
      <c r="L8" s="3">
        <f t="shared" si="0"/>
        <v>8.2233282839212288E-2</v>
      </c>
      <c r="M8" s="3"/>
      <c r="N8" s="2">
        <f>IF('Modell einstellen'!$B$1="Voll",H8/0.35,H8/0.35*2)</f>
        <v>2.0164075714285717E-4</v>
      </c>
      <c r="O8" s="2">
        <f>IF('Modell einstellen'!$B$1="Voll",J8/0.35,J8/0.35*2)</f>
        <v>-5.5891388571428573E-4</v>
      </c>
      <c r="P8" s="3">
        <f t="shared" si="1"/>
        <v>0.36077249518530485</v>
      </c>
      <c r="Q8" s="3"/>
      <c r="R8" s="3"/>
      <c r="S8" s="3"/>
      <c r="T8" s="3"/>
      <c r="U8" s="3"/>
      <c r="V8" s="3"/>
      <c r="W8" s="3"/>
    </row>
    <row r="9" spans="1:23" x14ac:dyDescent="0.25">
      <c r="A9" s="2">
        <v>1.0000000000000001E-9</v>
      </c>
      <c r="B9" s="2">
        <v>3.8000000000000002E-5</v>
      </c>
      <c r="C9" s="2">
        <v>1.4990000000000001E-4</v>
      </c>
      <c r="D9" s="2">
        <v>-4.6210000000000001E-4</v>
      </c>
      <c r="E9" s="2">
        <v>0</v>
      </c>
      <c r="F9" s="2">
        <v>0</v>
      </c>
      <c r="G9" s="2">
        <v>0</v>
      </c>
      <c r="H9" s="2">
        <v>7.0574269000000001E-5</v>
      </c>
      <c r="I9" s="2">
        <v>1.5236972999999999E-5</v>
      </c>
      <c r="J9" s="2">
        <v>-1.9561987000000001E-4</v>
      </c>
      <c r="K9" s="3"/>
      <c r="L9" s="3">
        <f t="shared" si="0"/>
        <v>8.2233282839212288E-2</v>
      </c>
      <c r="M9" s="3"/>
      <c r="N9" s="2">
        <f>IF('Modell einstellen'!$B$1="Voll",H9/0.35,H9/0.35*2)</f>
        <v>2.0164076857142859E-4</v>
      </c>
      <c r="O9" s="2">
        <f>IF('Modell einstellen'!$B$1="Voll",J9/0.35,J9/0.35*2)</f>
        <v>-5.5891391428571438E-4</v>
      </c>
      <c r="P9" s="3">
        <f t="shared" si="1"/>
        <v>0.36077249719059723</v>
      </c>
      <c r="Q9" s="3"/>
      <c r="R9" s="3"/>
      <c r="S9" s="3"/>
      <c r="T9" s="3"/>
      <c r="U9" s="3"/>
      <c r="V9" s="3"/>
      <c r="W9" s="3"/>
    </row>
    <row r="10" spans="1:23" x14ac:dyDescent="0.25">
      <c r="A10" s="2">
        <v>1E-8</v>
      </c>
      <c r="B10" s="2">
        <v>3.8000000000000002E-5</v>
      </c>
      <c r="C10" s="2">
        <v>1.4990000000000001E-4</v>
      </c>
      <c r="D10" s="2">
        <v>-4.6210000000000001E-4</v>
      </c>
      <c r="E10" s="2">
        <v>0</v>
      </c>
      <c r="F10" s="2">
        <v>0</v>
      </c>
      <c r="G10" s="2">
        <v>0</v>
      </c>
      <c r="H10" s="2">
        <v>7.0574270999999993E-5</v>
      </c>
      <c r="I10" s="2">
        <v>1.5236974000000001E-5</v>
      </c>
      <c r="J10" s="2">
        <v>-1.9561987000000001E-4</v>
      </c>
      <c r="K10" s="3"/>
      <c r="L10" s="3">
        <f t="shared" si="0"/>
        <v>8.2233282839212288E-2</v>
      </c>
      <c r="M10" s="3"/>
      <c r="N10" s="2">
        <f>IF('Modell einstellen'!$B$1="Voll",H10/0.35,H10/0.35*2)</f>
        <v>2.0164077428571427E-4</v>
      </c>
      <c r="O10" s="2">
        <f>IF('Modell einstellen'!$B$1="Voll",J10/0.35,J10/0.35*2)</f>
        <v>-5.5891391428571438E-4</v>
      </c>
      <c r="P10" s="3">
        <f t="shared" si="1"/>
        <v>0.36077250741450745</v>
      </c>
      <c r="Q10" s="3"/>
      <c r="R10" s="3"/>
      <c r="S10" s="3"/>
      <c r="T10" s="3"/>
      <c r="U10" s="3"/>
      <c r="V10" s="3"/>
      <c r="W10" s="3"/>
    </row>
    <row r="11" spans="1:23" x14ac:dyDescent="0.25">
      <c r="A11" s="2">
        <v>9.9999999999999995E-8</v>
      </c>
      <c r="B11" s="2">
        <v>3.8000000000000002E-5</v>
      </c>
      <c r="C11" s="2">
        <v>1.4990000000000001E-4</v>
      </c>
      <c r="D11" s="2">
        <v>-4.6210000000000001E-4</v>
      </c>
      <c r="E11" s="2">
        <v>0</v>
      </c>
      <c r="F11" s="2">
        <v>0</v>
      </c>
      <c r="G11" s="2">
        <v>0</v>
      </c>
      <c r="H11" s="2">
        <v>7.0574270999999993E-5</v>
      </c>
      <c r="I11" s="2">
        <v>1.5236974000000001E-5</v>
      </c>
      <c r="J11" s="2">
        <v>-1.9561987000000001E-4</v>
      </c>
      <c r="K11" s="3"/>
      <c r="L11" s="3">
        <f t="shared" si="0"/>
        <v>8.2233282839212288E-2</v>
      </c>
      <c r="M11" s="3"/>
      <c r="N11" s="2">
        <f>IF('Modell einstellen'!$B$1="Voll",H11/0.35,H11/0.35*2)</f>
        <v>2.0164077428571427E-4</v>
      </c>
      <c r="O11" s="2">
        <f>IF('Modell einstellen'!$B$1="Voll",J11/0.35,J11/0.35*2)</f>
        <v>-5.5891391428571438E-4</v>
      </c>
      <c r="P11" s="3">
        <f t="shared" si="1"/>
        <v>0.36077250741450745</v>
      </c>
      <c r="Q11" s="3"/>
      <c r="R11" s="3"/>
      <c r="S11" s="3"/>
      <c r="T11" s="3"/>
      <c r="U11" s="3"/>
      <c r="V11" s="3"/>
      <c r="W11" s="3"/>
    </row>
    <row r="12" spans="1:23" x14ac:dyDescent="0.25">
      <c r="A12" s="2">
        <v>9.9999999999999995E-7</v>
      </c>
      <c r="B12" s="2">
        <v>3.8000000000000002E-5</v>
      </c>
      <c r="C12" s="2">
        <v>1.4990000000000001E-4</v>
      </c>
      <c r="D12" s="2">
        <v>-4.6210000000000001E-4</v>
      </c>
      <c r="E12" s="2">
        <v>0</v>
      </c>
      <c r="F12" s="2">
        <v>0</v>
      </c>
      <c r="G12" s="2">
        <v>0</v>
      </c>
      <c r="H12" s="2">
        <v>7.0574270999999993E-5</v>
      </c>
      <c r="I12" s="2">
        <v>1.5236974000000001E-5</v>
      </c>
      <c r="J12" s="2">
        <v>-1.9561987000000001E-4</v>
      </c>
      <c r="K12" s="3"/>
      <c r="L12" s="3">
        <f t="shared" si="0"/>
        <v>8.2233282839212288E-2</v>
      </c>
      <c r="M12" s="3"/>
      <c r="N12" s="2">
        <f>IF('Modell einstellen'!$B$1="Voll",H12/0.35,H12/0.35*2)</f>
        <v>2.0164077428571427E-4</v>
      </c>
      <c r="O12" s="2">
        <f>IF('Modell einstellen'!$B$1="Voll",J12/0.35,J12/0.35*2)</f>
        <v>-5.5891391428571438E-4</v>
      </c>
      <c r="P12" s="3">
        <f t="shared" si="1"/>
        <v>0.36077250741450745</v>
      </c>
      <c r="Q12" s="3"/>
      <c r="R12" s="3"/>
      <c r="S12" s="3"/>
      <c r="T12" s="3"/>
      <c r="U12" s="3"/>
      <c r="V12" s="3"/>
      <c r="W12" s="3"/>
    </row>
    <row r="13" spans="1:23" x14ac:dyDescent="0.25">
      <c r="A13" s="2">
        <v>1.0000000000000001E-5</v>
      </c>
      <c r="B13" s="2">
        <v>3.8000000000000002E-5</v>
      </c>
      <c r="C13" s="2">
        <v>1.4990000000000001E-4</v>
      </c>
      <c r="D13" s="2">
        <v>-4.6210000000000001E-4</v>
      </c>
      <c r="E13" s="2">
        <v>0</v>
      </c>
      <c r="F13" s="2">
        <v>0</v>
      </c>
      <c r="G13" s="2">
        <v>0</v>
      </c>
      <c r="H13" s="2">
        <v>7.0574272000000003E-5</v>
      </c>
      <c r="I13" s="2">
        <v>1.5236974000000001E-5</v>
      </c>
      <c r="J13" s="2">
        <v>-1.9561987000000001E-4</v>
      </c>
      <c r="K13" s="3"/>
      <c r="L13" s="3">
        <f t="shared" si="0"/>
        <v>8.2233282839212288E-2</v>
      </c>
      <c r="M13" s="3"/>
      <c r="N13" s="2">
        <f>IF('Modell einstellen'!$B$1="Voll",H13/0.35,H13/0.35*2)</f>
        <v>2.0164077714285717E-4</v>
      </c>
      <c r="O13" s="2">
        <f>IF('Modell einstellen'!$B$1="Voll",J13/0.35,J13/0.35*2)</f>
        <v>-5.5891391428571438E-4</v>
      </c>
      <c r="P13" s="3">
        <f t="shared" si="1"/>
        <v>0.3607725125264627</v>
      </c>
      <c r="Q13" s="3"/>
      <c r="R13" s="3"/>
      <c r="S13" s="3"/>
      <c r="T13" s="3"/>
      <c r="U13" s="3"/>
      <c r="V13" s="3"/>
      <c r="W13" s="3"/>
    </row>
    <row r="14" spans="1:23" x14ac:dyDescent="0.25">
      <c r="A14" s="2">
        <v>1E-4</v>
      </c>
      <c r="B14" s="2">
        <v>3.8000000000000002E-5</v>
      </c>
      <c r="C14" s="2">
        <v>1.4990000000000001E-4</v>
      </c>
      <c r="D14" s="2">
        <v>-4.6210000000000001E-4</v>
      </c>
      <c r="E14" s="2">
        <v>0</v>
      </c>
      <c r="F14" s="2">
        <v>0</v>
      </c>
      <c r="G14" s="2">
        <v>0</v>
      </c>
      <c r="H14" s="2">
        <v>7.0574272999999999E-5</v>
      </c>
      <c r="I14" s="2">
        <v>1.5236974000000001E-5</v>
      </c>
      <c r="J14" s="2">
        <v>-1.9561987999999999E-4</v>
      </c>
      <c r="K14" s="3"/>
      <c r="L14" s="3">
        <f t="shared" si="0"/>
        <v>8.2233282839212288E-2</v>
      </c>
      <c r="M14" s="3"/>
      <c r="N14" s="2">
        <f>IF('Modell einstellen'!$B$1="Voll",H14/0.35,H14/0.35*2)</f>
        <v>2.0164078E-4</v>
      </c>
      <c r="O14" s="2">
        <f>IF('Modell einstellen'!$B$1="Voll",J14/0.35,J14/0.35*2)</f>
        <v>-5.5891394285714291E-4</v>
      </c>
      <c r="P14" s="3">
        <f t="shared" si="1"/>
        <v>0.36077249919588944</v>
      </c>
      <c r="Q14" s="3"/>
      <c r="R14" s="3"/>
      <c r="S14" s="3"/>
      <c r="T14" s="3"/>
      <c r="U14" s="3"/>
      <c r="V14" s="3"/>
      <c r="W14" s="3"/>
    </row>
    <row r="15" spans="1:23" x14ac:dyDescent="0.25">
      <c r="A15" s="2">
        <v>1E-3</v>
      </c>
      <c r="B15" s="2">
        <v>3.8000000000000002E-5</v>
      </c>
      <c r="C15" s="2">
        <v>1.4990000000000001E-4</v>
      </c>
      <c r="D15" s="2">
        <v>-4.6210000000000001E-4</v>
      </c>
      <c r="E15" s="2">
        <v>0</v>
      </c>
      <c r="F15" s="2">
        <v>0</v>
      </c>
      <c r="G15" s="2">
        <v>0</v>
      </c>
      <c r="H15" s="2">
        <v>7.0574283999999996E-5</v>
      </c>
      <c r="I15" s="2">
        <v>1.5236975999999999E-5</v>
      </c>
      <c r="J15" s="2">
        <v>-1.9561989000000001E-4</v>
      </c>
      <c r="K15" s="3"/>
      <c r="L15" s="3">
        <f t="shared" si="0"/>
        <v>8.2233282839212288E-2</v>
      </c>
      <c r="M15" s="3"/>
      <c r="N15" s="2">
        <f>IF('Modell einstellen'!$B$1="Voll",H15/0.35,H15/0.35*2)</f>
        <v>2.0164081142857142E-4</v>
      </c>
      <c r="O15" s="2">
        <f>IF('Modell einstellen'!$B$1="Voll",J15/0.35,J15/0.35*2)</f>
        <v>-5.5891397142857145E-4</v>
      </c>
      <c r="P15" s="3">
        <f t="shared" si="1"/>
        <v>0.36077253698486383</v>
      </c>
      <c r="Q15" s="3"/>
      <c r="R15" s="3"/>
      <c r="S15" s="3"/>
      <c r="T15" s="3"/>
      <c r="U15" s="3"/>
      <c r="V15" s="3"/>
      <c r="W15" s="3"/>
    </row>
    <row r="16" spans="1:23" x14ac:dyDescent="0.25">
      <c r="A16" s="2">
        <v>0.01</v>
      </c>
      <c r="B16" s="2">
        <v>3.8000000000000002E-5</v>
      </c>
      <c r="C16" s="2">
        <v>1.4990000000000001E-4</v>
      </c>
      <c r="D16" s="2">
        <v>-4.6210000000000001E-4</v>
      </c>
      <c r="E16" s="2">
        <v>0</v>
      </c>
      <c r="F16" s="2">
        <v>0</v>
      </c>
      <c r="G16" s="2">
        <v>0</v>
      </c>
      <c r="H16" s="2">
        <v>7.0574398999999997E-5</v>
      </c>
      <c r="I16" s="2">
        <v>1.5236988E-5</v>
      </c>
      <c r="J16" s="2">
        <v>-1.9562006999999999E-4</v>
      </c>
      <c r="K16" s="3"/>
      <c r="L16" s="3">
        <f t="shared" si="0"/>
        <v>8.2233282839212288E-2</v>
      </c>
      <c r="M16" s="3"/>
      <c r="N16" s="2">
        <f>IF('Modell einstellen'!$B$1="Voll",H16/0.35,H16/0.35*2)</f>
        <v>2.0164114E-4</v>
      </c>
      <c r="O16" s="2">
        <f>IF('Modell einstellen'!$B$1="Voll",J16/0.35,J16/0.35*2)</f>
        <v>-5.5891448571428572E-4</v>
      </c>
      <c r="P16" s="3">
        <f t="shared" si="1"/>
        <v>0.36077279289389885</v>
      </c>
      <c r="Q16" s="3"/>
      <c r="R16" s="3"/>
      <c r="S16" s="3"/>
      <c r="T16" s="3"/>
      <c r="U16" s="3"/>
      <c r="V16" s="3"/>
      <c r="W16" s="3"/>
    </row>
    <row r="17" spans="1:23" x14ac:dyDescent="0.25">
      <c r="A17" s="2">
        <v>0.1</v>
      </c>
      <c r="B17" s="2">
        <v>3.8000000000000002E-5</v>
      </c>
      <c r="C17" s="2">
        <v>1.4990000000000001E-4</v>
      </c>
      <c r="D17" s="2">
        <v>-4.6210000000000001E-4</v>
      </c>
      <c r="E17" s="2">
        <v>0</v>
      </c>
      <c r="F17" s="2">
        <v>0</v>
      </c>
      <c r="G17" s="2">
        <v>0</v>
      </c>
      <c r="H17" s="2">
        <v>7.0575541999999997E-5</v>
      </c>
      <c r="I17" s="2">
        <v>1.5237115E-5</v>
      </c>
      <c r="J17" s="2">
        <v>-1.9562188E-4</v>
      </c>
      <c r="K17" s="3"/>
      <c r="L17" s="3">
        <f t="shared" si="0"/>
        <v>8.2233282839212288E-2</v>
      </c>
      <c r="M17" s="3"/>
      <c r="N17" s="2">
        <f>IF('Modell einstellen'!$B$1="Voll",H17/0.35,H17/0.35*2)</f>
        <v>2.0164440571428572E-4</v>
      </c>
      <c r="O17" s="2">
        <f>IF('Modell einstellen'!$B$1="Voll",J17/0.35,J17/0.35*2)</f>
        <v>-5.5891965714285712E-4</v>
      </c>
      <c r="P17" s="3">
        <f t="shared" si="1"/>
        <v>0.36077529773254408</v>
      </c>
      <c r="Q17" s="3"/>
      <c r="R17" s="3"/>
      <c r="S17" s="3"/>
      <c r="T17" s="3"/>
      <c r="U17" s="3"/>
      <c r="V17" s="3"/>
      <c r="W17" s="3"/>
    </row>
    <row r="18" spans="1:23" x14ac:dyDescent="0.25">
      <c r="A18" s="2">
        <v>1</v>
      </c>
      <c r="B18" s="2">
        <v>3.799E-5</v>
      </c>
      <c r="C18" s="2">
        <v>1.4990000000000001E-4</v>
      </c>
      <c r="D18" s="2">
        <v>-4.6220000000000001E-4</v>
      </c>
      <c r="E18" s="2">
        <v>0</v>
      </c>
      <c r="F18" s="2">
        <v>0</v>
      </c>
      <c r="G18" s="2">
        <v>0</v>
      </c>
      <c r="H18" s="2">
        <v>7.0586947999999998E-5</v>
      </c>
      <c r="I18" s="2">
        <v>1.523838E-5</v>
      </c>
      <c r="J18" s="2">
        <v>-1.9563986000000001E-4</v>
      </c>
      <c r="K18" s="3"/>
      <c r="L18" s="3">
        <f t="shared" si="0"/>
        <v>8.2193855473820854E-2</v>
      </c>
      <c r="M18" s="3"/>
      <c r="N18" s="2">
        <f>IF('Modell einstellen'!$B$1="Voll",H18/0.35,H18/0.35*2)</f>
        <v>2.0167699428571428E-4</v>
      </c>
      <c r="O18" s="2">
        <f>IF('Modell einstellen'!$B$1="Voll",J18/0.35,J18/0.35*2)</f>
        <v>-5.5897102857142866E-4</v>
      </c>
      <c r="P18" s="3">
        <f t="shared" si="1"/>
        <v>0.36080044220027546</v>
      </c>
      <c r="Q18" s="3"/>
      <c r="R18" s="3"/>
      <c r="S18" s="3"/>
      <c r="T18" s="3"/>
      <c r="U18" s="3"/>
      <c r="V18" s="3"/>
      <c r="W18" s="3"/>
    </row>
    <row r="19" spans="1:23" x14ac:dyDescent="0.25">
      <c r="A19" s="2">
        <v>10</v>
      </c>
      <c r="B19" s="2">
        <v>3.786E-5</v>
      </c>
      <c r="C19" s="2">
        <v>1.4999999999999999E-4</v>
      </c>
      <c r="D19" s="2">
        <v>-4.6220000000000001E-4</v>
      </c>
      <c r="E19" s="2">
        <v>0</v>
      </c>
      <c r="F19" s="2">
        <v>0</v>
      </c>
      <c r="G19" s="2">
        <v>0</v>
      </c>
      <c r="H19" s="2">
        <v>7.0698582999999994E-5</v>
      </c>
      <c r="I19" s="2">
        <v>1.5250763E-5</v>
      </c>
      <c r="J19" s="2">
        <v>-1.9581582000000001E-4</v>
      </c>
      <c r="K19" s="3"/>
      <c r="L19" s="3">
        <f t="shared" si="0"/>
        <v>8.1912591951536134E-2</v>
      </c>
      <c r="M19" s="3"/>
      <c r="N19" s="2">
        <f>IF('Modell einstellen'!$B$1="Voll",H19/0.35,H19/0.35*2)</f>
        <v>2.0199595142857143E-4</v>
      </c>
      <c r="O19" s="2">
        <f>IF('Modell einstellen'!$B$1="Voll",J19/0.35,J19/0.35*2)</f>
        <v>-5.5947377142857152E-4</v>
      </c>
      <c r="P19" s="3">
        <f t="shared" si="1"/>
        <v>0.36104632914746104</v>
      </c>
      <c r="Q19" s="3"/>
      <c r="R19" s="3"/>
      <c r="S19" s="3"/>
      <c r="T19" s="3"/>
      <c r="U19" s="3"/>
      <c r="V19" s="3"/>
      <c r="W19" s="3"/>
    </row>
    <row r="20" spans="1:23" x14ac:dyDescent="0.25">
      <c r="A20" s="2">
        <v>100</v>
      </c>
      <c r="B20" s="2">
        <v>3.6820000000000003E-5</v>
      </c>
      <c r="C20" s="2">
        <v>1.5090000000000001E-4</v>
      </c>
      <c r="D20" s="2">
        <v>-4.6289999999999998E-4</v>
      </c>
      <c r="E20" s="2">
        <v>0</v>
      </c>
      <c r="F20" s="2">
        <v>0</v>
      </c>
      <c r="G20" s="2">
        <v>0</v>
      </c>
      <c r="H20" s="2">
        <v>7.1605658000000003E-5</v>
      </c>
      <c r="I20" s="2">
        <v>1.5351167999999999E-5</v>
      </c>
      <c r="J20" s="2">
        <v>-1.9724388999999999E-4</v>
      </c>
      <c r="K20" s="3"/>
      <c r="L20" s="3">
        <f t="shared" si="0"/>
        <v>7.9542017714409177E-2</v>
      </c>
      <c r="M20" s="3"/>
      <c r="N20" s="2">
        <f>IF('Modell einstellen'!$B$1="Voll",H20/0.35,H20/0.35*2)</f>
        <v>2.0458759428571431E-4</v>
      </c>
      <c r="O20" s="2">
        <f>IF('Modell einstellen'!$B$1="Voll",J20/0.35,J20/0.35*2)</f>
        <v>-5.6355397142857143E-4</v>
      </c>
      <c r="P20" s="3">
        <f t="shared" si="1"/>
        <v>0.36303105764137994</v>
      </c>
      <c r="Q20" s="3"/>
      <c r="R20" s="3"/>
      <c r="S20" s="3"/>
      <c r="T20" s="3"/>
      <c r="U20" s="3"/>
      <c r="V20" s="3"/>
      <c r="W20" s="3"/>
    </row>
    <row r="21" spans="1:23" x14ac:dyDescent="0.25">
      <c r="A21" s="2">
        <v>1000</v>
      </c>
      <c r="B21" s="2">
        <v>3.4539999999999998E-5</v>
      </c>
      <c r="C21" s="2">
        <v>1.5359999999999999E-4</v>
      </c>
      <c r="D21" s="2">
        <v>-4.6529999999999998E-4</v>
      </c>
      <c r="E21" s="2">
        <v>0</v>
      </c>
      <c r="F21" s="2">
        <v>0</v>
      </c>
      <c r="G21" s="2">
        <v>0</v>
      </c>
      <c r="H21" s="2">
        <v>7.4043992000000003E-5</v>
      </c>
      <c r="I21" s="2">
        <v>1.5652086E-5</v>
      </c>
      <c r="J21" s="2">
        <v>-2.011618E-4</v>
      </c>
      <c r="K21" s="3"/>
      <c r="L21" s="3">
        <f t="shared" si="0"/>
        <v>7.4231678486997632E-2</v>
      </c>
      <c r="M21" s="3"/>
      <c r="N21" s="2">
        <f>IF('Modell einstellen'!$B$1="Voll",H21/0.35,H21/0.35*2)</f>
        <v>2.1155426285714287E-4</v>
      </c>
      <c r="O21" s="2">
        <f>IF('Modell einstellen'!$B$1="Voll",J21/0.35,J21/0.35*2)</f>
        <v>-5.7474800000000003E-4</v>
      </c>
      <c r="P21" s="3">
        <f t="shared" si="1"/>
        <v>0.36808177298075478</v>
      </c>
      <c r="Q21" s="3"/>
      <c r="R21" s="3"/>
      <c r="S21" s="3"/>
      <c r="T21" s="3"/>
      <c r="U21" s="3"/>
      <c r="V21" s="3"/>
      <c r="W21" s="3"/>
    </row>
    <row r="22" spans="1:23" x14ac:dyDescent="0.25">
      <c r="A22" s="2">
        <v>10000</v>
      </c>
      <c r="B22" s="2">
        <v>3.222E-5</v>
      </c>
      <c r="C22" s="2">
        <v>1.5689999999999999E-4</v>
      </c>
      <c r="D22" s="2">
        <v>-4.682E-4</v>
      </c>
      <c r="E22" s="2">
        <v>0</v>
      </c>
      <c r="F22" s="2">
        <v>0</v>
      </c>
      <c r="G22" s="2">
        <v>0</v>
      </c>
      <c r="H22" s="2">
        <v>7.6758646000000007E-5</v>
      </c>
      <c r="I22" s="2">
        <v>1.6019991000000001E-5</v>
      </c>
      <c r="J22" s="2">
        <v>-2.0558295E-4</v>
      </c>
      <c r="K22" s="3"/>
      <c r="L22" s="3">
        <f t="shared" si="0"/>
        <v>6.8816744980777445E-2</v>
      </c>
      <c r="M22" s="3"/>
      <c r="N22" s="2">
        <f>IF('Modell einstellen'!$B$1="Voll",H22/0.35,H22/0.35*2)</f>
        <v>2.1931041714285719E-4</v>
      </c>
      <c r="O22" s="2">
        <f>IF('Modell einstellen'!$B$1="Voll",J22/0.35,J22/0.35*2)</f>
        <v>-5.8737985714285719E-4</v>
      </c>
      <c r="P22" s="3">
        <f t="shared" si="1"/>
        <v>0.37337068078846036</v>
      </c>
      <c r="Q22" s="3"/>
      <c r="R22" s="3"/>
      <c r="S22" s="3"/>
      <c r="T22" s="3"/>
      <c r="U22" s="3"/>
      <c r="V22" s="3"/>
      <c r="W22" s="3"/>
    </row>
    <row r="23" spans="1:23" x14ac:dyDescent="0.25">
      <c r="A23" s="2">
        <v>100000</v>
      </c>
      <c r="B23" s="2">
        <v>3.3930000000000002E-5</v>
      </c>
      <c r="C23" s="2">
        <v>1.652E-4</v>
      </c>
      <c r="D23" s="2">
        <v>-4.7919999999999999E-4</v>
      </c>
      <c r="E23" s="2">
        <v>0</v>
      </c>
      <c r="F23" s="2">
        <v>0</v>
      </c>
      <c r="G23" s="2">
        <v>0</v>
      </c>
      <c r="H23" s="2">
        <v>8.0551175999999996E-5</v>
      </c>
      <c r="I23" s="2">
        <v>1.6932984000000002E-5</v>
      </c>
      <c r="J23" s="2">
        <v>-2.1281621E-4</v>
      </c>
      <c r="K23" s="3"/>
      <c r="L23" s="3">
        <f t="shared" si="0"/>
        <v>7.0805509181969956E-2</v>
      </c>
      <c r="M23" s="3"/>
      <c r="N23" s="2">
        <f>IF('Modell einstellen'!$B$1="Voll",H23/0.35,H23/0.35*2)</f>
        <v>2.3014621714285714E-4</v>
      </c>
      <c r="O23" s="2">
        <f>IF('Modell einstellen'!$B$1="Voll",J23/0.35,J23/0.35*2)</f>
        <v>-6.0804631428571431E-4</v>
      </c>
      <c r="P23" s="3">
        <f t="shared" si="1"/>
        <v>0.3785011301535724</v>
      </c>
      <c r="Q23" s="3"/>
      <c r="R23" s="3"/>
      <c r="S23" s="3"/>
      <c r="T23" s="3"/>
      <c r="U23" s="3"/>
      <c r="V23" s="3"/>
      <c r="W23" s="3"/>
    </row>
    <row r="24" spans="1:23" x14ac:dyDescent="0.25">
      <c r="A24" s="2">
        <v>1000000</v>
      </c>
      <c r="B24" s="2">
        <v>5.1549999999999999E-5</v>
      </c>
      <c r="C24" s="2">
        <v>1.886E-4</v>
      </c>
      <c r="D24" s="2">
        <v>-5.1730000000000005E-4</v>
      </c>
      <c r="E24" s="2">
        <v>0</v>
      </c>
      <c r="F24" s="2">
        <v>0</v>
      </c>
      <c r="G24" s="2">
        <v>0</v>
      </c>
      <c r="H24" s="2">
        <v>8.6782694999999998E-5</v>
      </c>
      <c r="I24" s="2">
        <v>1.9571083E-5</v>
      </c>
      <c r="J24" s="2">
        <v>-2.2780095000000001E-4</v>
      </c>
      <c r="K24" s="3"/>
      <c r="L24" s="3">
        <f t="shared" si="0"/>
        <v>9.9652039435530623E-2</v>
      </c>
      <c r="M24" s="3"/>
      <c r="N24" s="2">
        <f>IF('Modell einstellen'!$B$1="Voll",H24/0.35,H24/0.35*2)</f>
        <v>2.4795055714285717E-4</v>
      </c>
      <c r="O24" s="2">
        <f>IF('Modell einstellen'!$B$1="Voll",J24/0.35,J24/0.35*2)</f>
        <v>-6.5085985714285718E-4</v>
      </c>
      <c r="P24" s="3">
        <f t="shared" si="1"/>
        <v>0.3809584420082533</v>
      </c>
      <c r="Q24" s="3"/>
      <c r="R24" s="3"/>
      <c r="S24" s="3"/>
      <c r="T24" s="3"/>
      <c r="U24" s="3"/>
      <c r="V24" s="3"/>
      <c r="W24" s="3"/>
    </row>
    <row r="25" spans="1:23" x14ac:dyDescent="0.25">
      <c r="A25" s="2">
        <v>10000000</v>
      </c>
      <c r="B25" s="2">
        <v>8.6429999999999997E-5</v>
      </c>
      <c r="C25" s="2">
        <v>2.2599999999999999E-4</v>
      </c>
      <c r="D25" s="2">
        <v>-5.8290000000000002E-4</v>
      </c>
      <c r="E25" s="2">
        <v>0</v>
      </c>
      <c r="F25" s="2">
        <v>0</v>
      </c>
      <c r="G25" s="2">
        <v>0</v>
      </c>
      <c r="H25" s="2">
        <v>9.5096234999999995E-5</v>
      </c>
      <c r="I25" s="2">
        <v>2.3913036000000001E-5</v>
      </c>
      <c r="J25" s="2">
        <v>-2.5016577000000001E-4</v>
      </c>
      <c r="K25" s="3"/>
      <c r="L25" s="3">
        <f t="shared" si="0"/>
        <v>0.14827586206896551</v>
      </c>
      <c r="M25" s="3"/>
      <c r="N25" s="2">
        <f>IF('Modell einstellen'!$B$1="Voll",H25/0.35,H25/0.35*2)</f>
        <v>2.7170352857142858E-4</v>
      </c>
      <c r="O25" s="2">
        <f>IF('Modell einstellen'!$B$1="Voll",J25/0.35,J25/0.35*2)</f>
        <v>-7.1475934285714299E-4</v>
      </c>
      <c r="P25" s="3">
        <f t="shared" si="1"/>
        <v>0.38013288148894225</v>
      </c>
      <c r="Q25" s="3"/>
      <c r="R25" s="3"/>
      <c r="S25" s="3"/>
      <c r="T25" s="3"/>
      <c r="U25" s="3"/>
      <c r="V25" s="3"/>
      <c r="W25" s="3"/>
    </row>
    <row r="26" spans="1:23" x14ac:dyDescent="0.25">
      <c r="A26" s="2">
        <v>100000000</v>
      </c>
      <c r="B26" s="2">
        <v>1.2239999999999999E-4</v>
      </c>
      <c r="C26" s="2">
        <v>2.6810000000000001E-4</v>
      </c>
      <c r="D26" s="2">
        <v>-6.5490000000000004E-4</v>
      </c>
      <c r="E26" s="2">
        <v>0</v>
      </c>
      <c r="F26" s="2">
        <v>0</v>
      </c>
      <c r="G26" s="2">
        <v>0</v>
      </c>
      <c r="H26" s="2">
        <v>1.0505922E-4</v>
      </c>
      <c r="I26" s="2">
        <v>2.8941176000000001E-5</v>
      </c>
      <c r="J26" s="2">
        <v>-2.7677771000000001E-4</v>
      </c>
      <c r="K26" s="3"/>
      <c r="L26" s="3">
        <f t="shared" si="0"/>
        <v>0.18689876316994958</v>
      </c>
      <c r="M26" s="3"/>
      <c r="N26" s="2">
        <f>IF('Modell einstellen'!$B$1="Voll",H26/0.35,H26/0.35*2)</f>
        <v>3.0016919999999999E-4</v>
      </c>
      <c r="O26" s="2">
        <f>IF('Modell einstellen'!$B$1="Voll",J26/0.35,J26/0.35*2)</f>
        <v>-7.9079345714285724E-4</v>
      </c>
      <c r="P26" s="3">
        <f t="shared" si="1"/>
        <v>0.37957977179592961</v>
      </c>
      <c r="Q26" s="3"/>
      <c r="R26" s="3"/>
      <c r="S26" s="3"/>
      <c r="T26" s="3"/>
      <c r="U26" s="3"/>
      <c r="V26" s="3"/>
      <c r="W26" s="3"/>
    </row>
    <row r="27" spans="1:23" x14ac:dyDescent="0.25">
      <c r="A27" s="2">
        <v>1000000000</v>
      </c>
      <c r="B27" s="2">
        <v>1.5320000000000001E-4</v>
      </c>
      <c r="C27" s="2">
        <v>3.0880000000000002E-4</v>
      </c>
      <c r="D27" s="2">
        <v>-7.224E-4</v>
      </c>
      <c r="E27" s="2">
        <v>0</v>
      </c>
      <c r="F27" s="2">
        <v>0</v>
      </c>
      <c r="G27" s="2">
        <v>0</v>
      </c>
      <c r="H27" s="2">
        <v>1.1559988E-4</v>
      </c>
      <c r="I27" s="2">
        <v>3.3982442000000003E-5</v>
      </c>
      <c r="J27" s="2">
        <v>-3.0446972999999998E-4</v>
      </c>
      <c r="K27" s="3"/>
      <c r="L27" s="3">
        <f t="shared" si="0"/>
        <v>0.21207087486157256</v>
      </c>
      <c r="M27" s="3"/>
      <c r="N27" s="2">
        <f>IF('Modell einstellen'!$B$1="Voll",H27/0.35,H27/0.35*2)</f>
        <v>3.3028537142857143E-4</v>
      </c>
      <c r="O27" s="2">
        <f>IF('Modell einstellen'!$B$1="Voll",J27/0.35,J27/0.35*2)</f>
        <v>-8.6991351428571432E-4</v>
      </c>
      <c r="P27" s="3">
        <f t="shared" si="1"/>
        <v>0.37967610113491412</v>
      </c>
      <c r="Q27" s="3"/>
      <c r="R27" s="3"/>
      <c r="S27" s="3"/>
      <c r="T27" s="3"/>
      <c r="U27" s="3"/>
      <c r="V27" s="3"/>
      <c r="W27" s="3"/>
    </row>
    <row r="28" spans="1:23" x14ac:dyDescent="0.25">
      <c r="A28" s="2">
        <v>10000000000</v>
      </c>
      <c r="B28" s="2">
        <v>1.771E-4</v>
      </c>
      <c r="C28" s="2">
        <v>3.4620000000000001E-4</v>
      </c>
      <c r="D28" s="2">
        <v>-7.8149999999999997E-4</v>
      </c>
      <c r="E28" s="2">
        <v>0</v>
      </c>
      <c r="F28" s="2">
        <v>0</v>
      </c>
      <c r="G28" s="2">
        <v>0</v>
      </c>
      <c r="H28" s="2">
        <v>1.2604727000000001E-4</v>
      </c>
      <c r="I28" s="2">
        <v>3.8786586000000001E-5</v>
      </c>
      <c r="J28" s="2">
        <v>-3.3164030000000001E-4</v>
      </c>
      <c r="K28" s="3"/>
      <c r="L28" s="3">
        <f t="shared" si="0"/>
        <v>0.22661548304542548</v>
      </c>
      <c r="M28" s="3"/>
      <c r="N28" s="2">
        <f>IF('Modell einstellen'!$B$1="Voll",H28/0.35,H28/0.35*2)</f>
        <v>3.6013505714285721E-4</v>
      </c>
      <c r="O28" s="2">
        <f>IF('Modell einstellen'!$B$1="Voll",J28/0.35,J28/0.35*2)</f>
        <v>-9.4754371428571436E-4</v>
      </c>
      <c r="P28" s="3">
        <f t="shared" si="1"/>
        <v>0.38007223488822078</v>
      </c>
      <c r="Q28" s="3"/>
      <c r="R28" s="3"/>
      <c r="S28" s="3"/>
      <c r="T28" s="3"/>
      <c r="U28" s="3"/>
      <c r="V28" s="3"/>
      <c r="W28" s="3"/>
    </row>
    <row r="29" spans="1:23" x14ac:dyDescent="0.25">
      <c r="A29" s="2">
        <v>100000000000</v>
      </c>
      <c r="B29" s="2">
        <v>1.9340000000000001E-4</v>
      </c>
      <c r="C29" s="2">
        <v>3.834E-4</v>
      </c>
      <c r="D29" s="2">
        <v>-8.3469999999999996E-4</v>
      </c>
      <c r="E29" s="2">
        <v>0</v>
      </c>
      <c r="F29" s="2">
        <v>0</v>
      </c>
      <c r="G29" s="2">
        <v>0</v>
      </c>
      <c r="H29" s="2">
        <v>1.3764195E-4</v>
      </c>
      <c r="I29" s="2">
        <v>4.3714880000000003E-5</v>
      </c>
      <c r="J29" s="2">
        <v>-3.6085418000000001E-4</v>
      </c>
      <c r="K29" s="3"/>
      <c r="L29" s="3">
        <f t="shared" si="0"/>
        <v>0.23170001198035226</v>
      </c>
      <c r="M29" s="3"/>
      <c r="N29" s="2">
        <f>IF('Modell einstellen'!$B$1="Voll",H29/0.35,H29/0.35*2)</f>
        <v>3.9326271428571431E-4</v>
      </c>
      <c r="O29" s="2">
        <f>IF('Modell einstellen'!$B$1="Voll",J29/0.35,J29/0.35*2)</f>
        <v>-1.0310119428571429E-3</v>
      </c>
      <c r="P29" s="3">
        <f t="shared" si="1"/>
        <v>0.38143371375107804</v>
      </c>
      <c r="Q29" s="3"/>
      <c r="R29" s="3"/>
      <c r="S29" s="3"/>
      <c r="T29" s="3"/>
      <c r="U29" s="3"/>
      <c r="V29" s="3"/>
      <c r="W29" s="3"/>
    </row>
    <row r="30" spans="1:23" x14ac:dyDescent="0.25">
      <c r="A30" s="2">
        <v>1000000000000</v>
      </c>
      <c r="B30" s="2">
        <v>2.018E-4</v>
      </c>
      <c r="C30" s="2">
        <v>4.2240000000000002E-4</v>
      </c>
      <c r="D30" s="2">
        <v>-8.8340000000000001E-4</v>
      </c>
      <c r="E30" s="2">
        <v>0</v>
      </c>
      <c r="F30" s="2">
        <v>0</v>
      </c>
      <c r="G30" s="2">
        <v>0</v>
      </c>
      <c r="H30" s="2">
        <v>1.5079275E-4</v>
      </c>
      <c r="I30" s="2">
        <v>4.9058842E-5</v>
      </c>
      <c r="J30" s="2">
        <v>-3.9345111000000001E-4</v>
      </c>
      <c r="K30" s="3"/>
      <c r="L30" s="3">
        <f t="shared" si="0"/>
        <v>0.22843558976681005</v>
      </c>
      <c r="M30" s="3"/>
      <c r="N30" s="2">
        <f>IF('Modell einstellen'!$B$1="Voll",H30/0.35,H30/0.35*2)</f>
        <v>4.308364285714286E-4</v>
      </c>
      <c r="O30" s="2">
        <f>IF('Modell einstellen'!$B$1="Voll",J30/0.35,J30/0.35*2)</f>
        <v>-1.1241460285714286E-3</v>
      </c>
      <c r="P30" s="3">
        <f t="shared" si="1"/>
        <v>0.3832566389252276</v>
      </c>
      <c r="Q30" s="3"/>
      <c r="R30" s="3"/>
      <c r="S30" s="3"/>
      <c r="T30" s="3"/>
      <c r="U30" s="3"/>
      <c r="V30" s="3"/>
      <c r="W30" s="3"/>
    </row>
    <row r="31" spans="1:23" x14ac:dyDescent="0.25">
      <c r="A31" s="2">
        <v>10000000000000</v>
      </c>
      <c r="B31" s="2">
        <v>1.9689999999999999E-4</v>
      </c>
      <c r="C31" s="2">
        <v>4.7429999999999998E-4</v>
      </c>
      <c r="D31" s="2">
        <v>-9.3380000000000004E-4</v>
      </c>
      <c r="E31" s="2">
        <v>0</v>
      </c>
      <c r="F31" s="2">
        <v>0</v>
      </c>
      <c r="G31" s="2">
        <v>0</v>
      </c>
      <c r="H31" s="2">
        <v>1.7001620000000001E-4</v>
      </c>
      <c r="I31" s="2">
        <v>5.6363604000000001E-5</v>
      </c>
      <c r="J31" s="2">
        <v>-4.3969864000000002E-4</v>
      </c>
      <c r="K31" s="3"/>
      <c r="L31" s="3">
        <f t="shared" si="0"/>
        <v>0.21085885628614262</v>
      </c>
      <c r="M31" s="3"/>
      <c r="N31" s="2">
        <f>IF('Modell einstellen'!$B$1="Voll",H31/0.35,H31/0.35*2)</f>
        <v>4.8576057142857146E-4</v>
      </c>
      <c r="O31" s="2">
        <f>IF('Modell einstellen'!$B$1="Voll",J31/0.35,J31/0.35*2)</f>
        <v>-1.2562818285714286E-3</v>
      </c>
      <c r="P31" s="3">
        <f t="shared" si="1"/>
        <v>0.38666528511436832</v>
      </c>
      <c r="Q31" s="3"/>
      <c r="R31" s="3"/>
      <c r="S31" s="3"/>
      <c r="T31" s="3"/>
      <c r="U31" s="3"/>
      <c r="V31" s="3"/>
      <c r="W31" s="3"/>
    </row>
    <row r="32" spans="1:23" x14ac:dyDescent="0.25">
      <c r="A32" s="2">
        <v>100000000000000</v>
      </c>
      <c r="B32" s="2">
        <v>1.6589999999999999E-4</v>
      </c>
      <c r="C32" s="2">
        <v>5.5060000000000005E-4</v>
      </c>
      <c r="D32" s="2">
        <v>-9.8489999999999992E-4</v>
      </c>
      <c r="E32" s="2">
        <v>0</v>
      </c>
      <c r="F32" s="2">
        <v>0</v>
      </c>
      <c r="G32" s="2">
        <v>0</v>
      </c>
      <c r="H32" s="2">
        <v>2.0030227E-4</v>
      </c>
      <c r="I32" s="2">
        <v>6.7535314999999998E-5</v>
      </c>
      <c r="J32" s="2">
        <v>-5.1150855999999997E-4</v>
      </c>
      <c r="K32" s="3"/>
      <c r="L32" s="3">
        <f t="shared" si="0"/>
        <v>0.16844349680170576</v>
      </c>
      <c r="M32" s="3"/>
      <c r="N32" s="2">
        <f>IF('Modell einstellen'!$B$1="Voll",H32/0.35,H32/0.35*2)</f>
        <v>5.7229220000000003E-4</v>
      </c>
      <c r="O32" s="2">
        <f>IF('Modell einstellen'!$B$1="Voll",J32/0.35,J32/0.35*2)</f>
        <v>-1.4614530285714286E-3</v>
      </c>
      <c r="P32" s="3">
        <f t="shared" si="1"/>
        <v>0.39159123749561497</v>
      </c>
      <c r="Q32" s="3"/>
      <c r="R32" s="3"/>
      <c r="S32" s="3"/>
      <c r="T32" s="3"/>
      <c r="U32" s="3"/>
      <c r="V32" s="3"/>
      <c r="W32" s="3"/>
    </row>
    <row r="33" spans="1:23" x14ac:dyDescent="0.25">
      <c r="A33" s="2">
        <v>1000000000000000</v>
      </c>
      <c r="B33" s="2">
        <v>7.6569999999999994E-5</v>
      </c>
      <c r="C33" s="2">
        <v>6.7009999999999997E-4</v>
      </c>
      <c r="D33" s="2">
        <v>-1.023E-3</v>
      </c>
      <c r="E33" s="2">
        <v>0</v>
      </c>
      <c r="F33" s="2">
        <v>0</v>
      </c>
      <c r="G33" s="2">
        <v>0</v>
      </c>
      <c r="H33" s="2">
        <v>2.5166108999999999E-4</v>
      </c>
      <c r="I33" s="2">
        <v>8.5884998000000003E-5</v>
      </c>
      <c r="J33" s="2">
        <v>-6.3097520000000005E-4</v>
      </c>
      <c r="K33" s="3"/>
      <c r="L33" s="3">
        <f t="shared" si="0"/>
        <v>7.4848484848484845E-2</v>
      </c>
      <c r="M33" s="3"/>
      <c r="N33" s="2">
        <f>IF('Modell einstellen'!$B$1="Voll",H33/0.35,H33/0.35*2)</f>
        <v>7.1903168571428578E-4</v>
      </c>
      <c r="O33" s="2">
        <f>IF('Modell einstellen'!$B$1="Voll",J33/0.35,J33/0.35*2)</f>
        <v>-1.802786285714286E-3</v>
      </c>
      <c r="P33" s="3">
        <f t="shared" si="1"/>
        <v>0.39884466140666064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4.0639999999999997E-5</v>
      </c>
      <c r="C3" s="3">
        <v>1.518E-4</v>
      </c>
      <c r="D3" s="3">
        <v>-4.661E-4</v>
      </c>
      <c r="E3" s="3">
        <v>0</v>
      </c>
      <c r="F3" s="3">
        <v>0</v>
      </c>
      <c r="G3" s="3">
        <v>0</v>
      </c>
      <c r="H3" s="3">
        <v>7.0840387000000005E-5</v>
      </c>
      <c r="I3" s="3">
        <v>1.5443532E-5</v>
      </c>
      <c r="J3" s="3">
        <v>-1.9659138E-4</v>
      </c>
      <c r="L3" s="3">
        <f>-B3/D3</f>
        <v>8.7191589787599222E-2</v>
      </c>
      <c r="M3" s="3"/>
      <c r="N3" s="2">
        <f>IF('Modell einstellen'!$B$1="Voll",H3/0.35,H3/0.35*2)</f>
        <v>2.0240110571428574E-4</v>
      </c>
      <c r="O3" s="2">
        <f>IF('Modell einstellen'!$B$1="Voll",J3/0.35,J3/0.35*2)</f>
        <v>-5.6168965714285715E-4</v>
      </c>
      <c r="P3" s="3">
        <f>-N3/O3</f>
        <v>0.36034330192910802</v>
      </c>
    </row>
    <row r="4" spans="1:16" x14ac:dyDescent="0.25">
      <c r="A4" s="3">
        <v>1E-14</v>
      </c>
      <c r="B4" s="3">
        <v>4.0639999999999997E-5</v>
      </c>
      <c r="C4" s="3">
        <v>1.518E-4</v>
      </c>
      <c r="D4" s="3">
        <v>-4.661E-4</v>
      </c>
      <c r="E4" s="3">
        <v>0</v>
      </c>
      <c r="F4" s="3">
        <v>0</v>
      </c>
      <c r="G4" s="3">
        <v>0</v>
      </c>
      <c r="H4" s="3">
        <v>7.0841911E-5</v>
      </c>
      <c r="I4" s="3">
        <v>1.5444687999999999E-5</v>
      </c>
      <c r="J4" s="3">
        <v>-1.9658762000000001E-4</v>
      </c>
      <c r="L4" s="3">
        <f t="shared" ref="L4:L33" si="0">-B4/D4</f>
        <v>8.7191589787599222E-2</v>
      </c>
      <c r="M4" s="3"/>
      <c r="N4" s="2">
        <f>IF('Modell einstellen'!$B$1="Voll",H4/0.35,H4/0.35*2)</f>
        <v>2.0240546000000002E-4</v>
      </c>
      <c r="O4" s="2">
        <f>IF('Modell einstellen'!$B$1="Voll",J4/0.35,J4/0.35*2)</f>
        <v>-5.6167891428571433E-4</v>
      </c>
      <c r="P4" s="3">
        <f t="shared" ref="P4:P33" si="1">-N4/O4</f>
        <v>0.36035794624300349</v>
      </c>
    </row>
    <row r="5" spans="1:16" x14ac:dyDescent="0.25">
      <c r="A5" s="3">
        <v>1E-13</v>
      </c>
      <c r="B5" s="3">
        <v>4.0639999999999997E-5</v>
      </c>
      <c r="C5" s="3">
        <v>1.518E-4</v>
      </c>
      <c r="D5" s="3">
        <v>-4.661E-4</v>
      </c>
      <c r="E5" s="3">
        <v>0</v>
      </c>
      <c r="F5" s="3">
        <v>0</v>
      </c>
      <c r="G5" s="3">
        <v>0</v>
      </c>
      <c r="H5" s="3">
        <v>7.0842286000000006E-5</v>
      </c>
      <c r="I5" s="3">
        <v>1.5444859999999999E-5</v>
      </c>
      <c r="J5" s="3">
        <v>-1.9658862E-4</v>
      </c>
      <c r="L5" s="3">
        <f t="shared" si="0"/>
        <v>8.7191589787599222E-2</v>
      </c>
      <c r="M5" s="3"/>
      <c r="N5" s="2">
        <f>IF('Modell einstellen'!$B$1="Voll",H5/0.35,H5/0.35*2)</f>
        <v>2.0240653142857145E-4</v>
      </c>
      <c r="O5" s="2">
        <f>IF('Modell einstellen'!$B$1="Voll",J5/0.35,J5/0.35*2)</f>
        <v>-5.6168177142857149E-4</v>
      </c>
      <c r="P5" s="3">
        <f t="shared" si="1"/>
        <v>0.36035802072368178</v>
      </c>
    </row>
    <row r="6" spans="1:16" x14ac:dyDescent="0.25">
      <c r="A6" s="3">
        <v>9.9999999999999998E-13</v>
      </c>
      <c r="B6" s="3">
        <v>4.0639999999999997E-5</v>
      </c>
      <c r="C6" s="3">
        <v>1.518E-4</v>
      </c>
      <c r="D6" s="3">
        <v>-4.661E-4</v>
      </c>
      <c r="E6" s="3">
        <v>0</v>
      </c>
      <c r="F6" s="3">
        <v>0</v>
      </c>
      <c r="G6" s="3">
        <v>0</v>
      </c>
      <c r="H6" s="3">
        <v>7.0842402999999999E-5</v>
      </c>
      <c r="I6" s="3">
        <v>1.5444908E-5</v>
      </c>
      <c r="J6" s="3">
        <v>-1.9658891E-4</v>
      </c>
      <c r="L6" s="3">
        <f t="shared" si="0"/>
        <v>8.7191589787599222E-2</v>
      </c>
      <c r="M6" s="3"/>
      <c r="N6" s="2">
        <f>IF('Modell einstellen'!$B$1="Voll",H6/0.35,H6/0.35*2)</f>
        <v>2.0240686571428571E-4</v>
      </c>
      <c r="O6" s="2">
        <f>IF('Modell einstellen'!$B$1="Voll",J6/0.35,J6/0.35*2)</f>
        <v>-5.6168260000000008E-4</v>
      </c>
      <c r="P6" s="3">
        <f t="shared" si="1"/>
        <v>0.36035808428868132</v>
      </c>
    </row>
    <row r="7" spans="1:16" x14ac:dyDescent="0.25">
      <c r="A7" s="3">
        <v>9.9999999999999994E-12</v>
      </c>
      <c r="B7" s="3">
        <v>4.0639999999999997E-5</v>
      </c>
      <c r="C7" s="3">
        <v>1.518E-4</v>
      </c>
      <c r="D7" s="3">
        <v>-4.661E-4</v>
      </c>
      <c r="E7" s="3">
        <v>0</v>
      </c>
      <c r="F7" s="3">
        <v>0</v>
      </c>
      <c r="G7" s="3">
        <v>0</v>
      </c>
      <c r="H7" s="3">
        <v>7.0842440999999997E-5</v>
      </c>
      <c r="I7" s="3">
        <v>1.5444921999999999E-5</v>
      </c>
      <c r="J7" s="3">
        <v>-1.96589E-4</v>
      </c>
      <c r="L7" s="3">
        <f t="shared" si="0"/>
        <v>8.7191589787599222E-2</v>
      </c>
      <c r="M7" s="3"/>
      <c r="N7" s="2">
        <f>IF('Modell einstellen'!$B$1="Voll",H7/0.35,H7/0.35*2)</f>
        <v>2.0240697428571428E-4</v>
      </c>
      <c r="O7" s="2">
        <f>IF('Modell einstellen'!$B$1="Voll",J7/0.35,J7/0.35*2)</f>
        <v>-5.6168285714285721E-4</v>
      </c>
      <c r="P7" s="3">
        <f t="shared" si="1"/>
        <v>0.36035811261057327</v>
      </c>
    </row>
    <row r="8" spans="1:16" x14ac:dyDescent="0.25">
      <c r="A8" s="3">
        <v>1E-10</v>
      </c>
      <c r="B8" s="3">
        <v>4.0639999999999997E-5</v>
      </c>
      <c r="C8" s="3">
        <v>1.518E-4</v>
      </c>
      <c r="D8" s="3">
        <v>-4.661E-4</v>
      </c>
      <c r="E8" s="3">
        <v>0</v>
      </c>
      <c r="F8" s="3">
        <v>0</v>
      </c>
      <c r="G8" s="3">
        <v>0</v>
      </c>
      <c r="H8" s="3">
        <v>7.0842453999999999E-5</v>
      </c>
      <c r="I8" s="3">
        <v>1.5444926E-5</v>
      </c>
      <c r="J8" s="3">
        <v>-1.9658903000000001E-4</v>
      </c>
      <c r="L8" s="3">
        <f t="shared" si="0"/>
        <v>8.7191589787599222E-2</v>
      </c>
      <c r="M8" s="3"/>
      <c r="N8" s="2">
        <f>IF('Modell einstellen'!$B$1="Voll",H8/0.35,H8/0.35*2)</f>
        <v>2.0240701142857143E-4</v>
      </c>
      <c r="O8" s="2">
        <f>IF('Modell einstellen'!$B$1="Voll",J8/0.35,J8/0.35*2)</f>
        <v>-5.6168294285714293E-4</v>
      </c>
      <c r="P8" s="3">
        <f t="shared" si="1"/>
        <v>0.36035812374678278</v>
      </c>
    </row>
    <row r="9" spans="1:16" x14ac:dyDescent="0.25">
      <c r="A9" s="3">
        <v>1.0000000000000001E-9</v>
      </c>
      <c r="B9" s="3">
        <v>4.0639999999999997E-5</v>
      </c>
      <c r="C9" s="3">
        <v>1.518E-4</v>
      </c>
      <c r="D9" s="3">
        <v>-4.661E-4</v>
      </c>
      <c r="E9" s="3">
        <v>0</v>
      </c>
      <c r="F9" s="3">
        <v>0</v>
      </c>
      <c r="G9" s="3">
        <v>0</v>
      </c>
      <c r="H9" s="3">
        <v>7.0842457999999997E-5</v>
      </c>
      <c r="I9" s="3">
        <v>1.5444927999999998E-5</v>
      </c>
      <c r="J9" s="3">
        <v>-1.9658904E-4</v>
      </c>
      <c r="L9" s="3">
        <f t="shared" si="0"/>
        <v>8.7191589787599222E-2</v>
      </c>
      <c r="M9" s="3"/>
      <c r="N9" s="2">
        <f>IF('Modell einstellen'!$B$1="Voll",H9/0.35,H9/0.35*2)</f>
        <v>2.0240702285714287E-4</v>
      </c>
      <c r="O9" s="2">
        <f>IF('Modell einstellen'!$B$1="Voll",J9/0.35,J9/0.35*2)</f>
        <v>-5.6168297142857146E-4</v>
      </c>
      <c r="P9" s="3">
        <f t="shared" si="1"/>
        <v>0.36035812576326737</v>
      </c>
    </row>
    <row r="10" spans="1:16" x14ac:dyDescent="0.25">
      <c r="A10" s="3">
        <v>1E-8</v>
      </c>
      <c r="B10" s="3">
        <v>4.0639999999999997E-5</v>
      </c>
      <c r="C10" s="3">
        <v>1.518E-4</v>
      </c>
      <c r="D10" s="3">
        <v>-4.661E-4</v>
      </c>
      <c r="E10" s="3">
        <v>0</v>
      </c>
      <c r="F10" s="3">
        <v>0</v>
      </c>
      <c r="G10" s="3">
        <v>0</v>
      </c>
      <c r="H10" s="3">
        <v>7.0842460000000002E-5</v>
      </c>
      <c r="I10" s="3">
        <v>1.5444927999999998E-5</v>
      </c>
      <c r="J10" s="3">
        <v>-1.9658904E-4</v>
      </c>
      <c r="L10" s="3">
        <f t="shared" si="0"/>
        <v>8.7191589787599222E-2</v>
      </c>
      <c r="M10" s="3"/>
      <c r="N10" s="2">
        <f>IF('Modell einstellen'!$B$1="Voll",H10/0.35,H10/0.35*2)</f>
        <v>2.0240702857142858E-4</v>
      </c>
      <c r="O10" s="2">
        <f>IF('Modell einstellen'!$B$1="Voll",J10/0.35,J10/0.35*2)</f>
        <v>-5.6168297142857146E-4</v>
      </c>
      <c r="P10" s="3">
        <f t="shared" si="1"/>
        <v>0.36035813593677452</v>
      </c>
    </row>
    <row r="11" spans="1:16" x14ac:dyDescent="0.25">
      <c r="A11" s="3">
        <v>9.9999999999999995E-8</v>
      </c>
      <c r="B11" s="3">
        <v>4.0639999999999997E-5</v>
      </c>
      <c r="C11" s="3">
        <v>1.518E-4</v>
      </c>
      <c r="D11" s="3">
        <v>-4.661E-4</v>
      </c>
      <c r="E11" s="3">
        <v>0</v>
      </c>
      <c r="F11" s="3">
        <v>0</v>
      </c>
      <c r="G11" s="3">
        <v>0</v>
      </c>
      <c r="H11" s="3">
        <v>7.0842460000000002E-5</v>
      </c>
      <c r="I11" s="3">
        <v>1.5444927999999998E-5</v>
      </c>
      <c r="J11" s="3">
        <v>-1.9658904999999999E-4</v>
      </c>
      <c r="L11" s="3">
        <f t="shared" si="0"/>
        <v>8.7191589787599222E-2</v>
      </c>
      <c r="M11" s="3"/>
      <c r="N11" s="2">
        <f>IF('Modell einstellen'!$B$1="Voll",H11/0.35,H11/0.35*2)</f>
        <v>2.0240702857142858E-4</v>
      </c>
      <c r="O11" s="2">
        <f>IF('Modell einstellen'!$B$1="Voll",J11/0.35,J11/0.35*2)</f>
        <v>-5.61683E-4</v>
      </c>
      <c r="P11" s="3">
        <f t="shared" si="1"/>
        <v>0.36035811760624514</v>
      </c>
    </row>
    <row r="12" spans="1:16" x14ac:dyDescent="0.25">
      <c r="A12" s="3">
        <v>9.9999999999999995E-7</v>
      </c>
      <c r="B12" s="3">
        <v>4.0639999999999997E-5</v>
      </c>
      <c r="C12" s="3">
        <v>1.518E-4</v>
      </c>
      <c r="D12" s="3">
        <v>-4.661E-4</v>
      </c>
      <c r="E12" s="3">
        <v>0</v>
      </c>
      <c r="F12" s="3">
        <v>0</v>
      </c>
      <c r="G12" s="3">
        <v>0</v>
      </c>
      <c r="H12" s="3">
        <v>7.0842460999999998E-5</v>
      </c>
      <c r="I12" s="3">
        <v>1.5444927999999998E-5</v>
      </c>
      <c r="J12" s="3">
        <v>-1.9658904999999999E-4</v>
      </c>
      <c r="L12" s="3">
        <f t="shared" si="0"/>
        <v>8.7191589787599222E-2</v>
      </c>
      <c r="M12" s="3"/>
      <c r="N12" s="2">
        <f>IF('Modell einstellen'!$B$1="Voll",H12/0.35,H12/0.35*2)</f>
        <v>2.0240703142857143E-4</v>
      </c>
      <c r="O12" s="2">
        <f>IF('Modell einstellen'!$B$1="Voll",J12/0.35,J12/0.35*2)</f>
        <v>-5.61683E-4</v>
      </c>
      <c r="P12" s="3">
        <f t="shared" si="1"/>
        <v>0.36035812269299844</v>
      </c>
    </row>
    <row r="13" spans="1:16" x14ac:dyDescent="0.25">
      <c r="A13" s="3">
        <v>1.0000000000000001E-5</v>
      </c>
      <c r="B13" s="3">
        <v>4.0639999999999997E-5</v>
      </c>
      <c r="C13" s="3">
        <v>1.518E-4</v>
      </c>
      <c r="D13" s="3">
        <v>-4.661E-4</v>
      </c>
      <c r="E13" s="3">
        <v>0</v>
      </c>
      <c r="F13" s="3">
        <v>0</v>
      </c>
      <c r="G13" s="3">
        <v>0</v>
      </c>
      <c r="H13" s="3">
        <v>7.0842464999999996E-5</v>
      </c>
      <c r="I13" s="3">
        <v>1.5444929000000001E-5</v>
      </c>
      <c r="J13" s="3">
        <v>-1.9658904999999999E-4</v>
      </c>
      <c r="L13" s="3">
        <f t="shared" si="0"/>
        <v>8.7191589787599222E-2</v>
      </c>
      <c r="M13" s="3"/>
      <c r="N13" s="2">
        <f>IF('Modell einstellen'!$B$1="Voll",H13/0.35,H13/0.35*2)</f>
        <v>2.0240704285714284E-4</v>
      </c>
      <c r="O13" s="2">
        <f>IF('Modell einstellen'!$B$1="Voll",J13/0.35,J13/0.35*2)</f>
        <v>-5.61683E-4</v>
      </c>
      <c r="P13" s="3">
        <f t="shared" si="1"/>
        <v>0.36035814304001162</v>
      </c>
    </row>
    <row r="14" spans="1:16" x14ac:dyDescent="0.25">
      <c r="A14" s="3">
        <v>1E-4</v>
      </c>
      <c r="B14" s="3">
        <v>4.0639999999999997E-5</v>
      </c>
      <c r="C14" s="3">
        <v>1.518E-4</v>
      </c>
      <c r="D14" s="3">
        <v>-4.661E-4</v>
      </c>
      <c r="E14" s="3">
        <v>0</v>
      </c>
      <c r="F14" s="3">
        <v>0</v>
      </c>
      <c r="G14" s="3">
        <v>0</v>
      </c>
      <c r="H14" s="3">
        <v>7.0842507000000004E-5</v>
      </c>
      <c r="I14" s="3">
        <v>1.5444934000000001E-5</v>
      </c>
      <c r="J14" s="3">
        <v>-1.9658912000000001E-4</v>
      </c>
      <c r="L14" s="3">
        <f t="shared" si="0"/>
        <v>8.7191589787599222E-2</v>
      </c>
      <c r="M14" s="3"/>
      <c r="N14" s="2">
        <f>IF('Modell einstellen'!$B$1="Voll",H14/0.35,H14/0.35*2)</f>
        <v>2.0240716285714288E-4</v>
      </c>
      <c r="O14" s="2">
        <f>IF('Modell einstellen'!$B$1="Voll",J14/0.35,J14/0.35*2)</f>
        <v>-5.6168320000000006E-4</v>
      </c>
      <c r="P14" s="3">
        <f t="shared" si="1"/>
        <v>0.36035822836991183</v>
      </c>
    </row>
    <row r="15" spans="1:16" x14ac:dyDescent="0.25">
      <c r="A15" s="3">
        <v>1E-3</v>
      </c>
      <c r="B15" s="3">
        <v>4.0639999999999997E-5</v>
      </c>
      <c r="C15" s="3">
        <v>1.518E-4</v>
      </c>
      <c r="D15" s="3">
        <v>-4.661E-4</v>
      </c>
      <c r="E15" s="3">
        <v>0</v>
      </c>
      <c r="F15" s="3">
        <v>0</v>
      </c>
      <c r="G15" s="3">
        <v>0</v>
      </c>
      <c r="H15" s="3">
        <v>7.0842922999999995E-5</v>
      </c>
      <c r="I15" s="3">
        <v>1.5444981E-5</v>
      </c>
      <c r="J15" s="3">
        <v>-1.9658978E-4</v>
      </c>
      <c r="L15" s="3">
        <f t="shared" si="0"/>
        <v>8.7191589787599222E-2</v>
      </c>
      <c r="M15" s="3"/>
      <c r="N15" s="2">
        <f>IF('Modell einstellen'!$B$1="Voll",H15/0.35,H15/0.35*2)</f>
        <v>2.0240835142857141E-4</v>
      </c>
      <c r="O15" s="2">
        <f>IF('Modell einstellen'!$B$1="Voll",J15/0.35,J15/0.35*2)</f>
        <v>-5.6168508571428574E-4</v>
      </c>
      <c r="P15" s="3">
        <f t="shared" si="1"/>
        <v>0.36035913464067154</v>
      </c>
    </row>
    <row r="16" spans="1:16" x14ac:dyDescent="0.25">
      <c r="A16" s="3">
        <v>0.01</v>
      </c>
      <c r="B16" s="3">
        <v>4.0639999999999997E-5</v>
      </c>
      <c r="C16" s="3">
        <v>1.518E-4</v>
      </c>
      <c r="D16" s="3">
        <v>-4.661E-4</v>
      </c>
      <c r="E16" s="3">
        <v>0</v>
      </c>
      <c r="F16" s="3">
        <v>0</v>
      </c>
      <c r="G16" s="3">
        <v>0</v>
      </c>
      <c r="H16" s="3">
        <v>7.0847080999999996E-5</v>
      </c>
      <c r="I16" s="3">
        <v>1.5445455999999999E-5</v>
      </c>
      <c r="J16" s="3">
        <v>-1.9659637000000001E-4</v>
      </c>
      <c r="L16" s="3">
        <f t="shared" si="0"/>
        <v>8.7191589787599222E-2</v>
      </c>
      <c r="M16" s="3"/>
      <c r="N16" s="2">
        <f>IF('Modell einstellen'!$B$1="Voll",H16/0.35,H16/0.35*2)</f>
        <v>2.0242023142857143E-4</v>
      </c>
      <c r="O16" s="2">
        <f>IF('Modell einstellen'!$B$1="Voll",J16/0.35,J16/0.35*2)</f>
        <v>-5.617039142857144E-4</v>
      </c>
      <c r="P16" s="3">
        <f t="shared" si="1"/>
        <v>0.36036820517082785</v>
      </c>
    </row>
    <row r="17" spans="1:16" x14ac:dyDescent="0.25">
      <c r="A17" s="3">
        <v>0.1</v>
      </c>
      <c r="B17" s="3">
        <v>4.0590000000000003E-5</v>
      </c>
      <c r="C17" s="3">
        <v>1.518E-4</v>
      </c>
      <c r="D17" s="3">
        <v>-4.661E-4</v>
      </c>
      <c r="E17" s="3">
        <v>0</v>
      </c>
      <c r="F17" s="3">
        <v>0</v>
      </c>
      <c r="G17" s="3">
        <v>0</v>
      </c>
      <c r="H17" s="3">
        <v>7.0888340999999996E-5</v>
      </c>
      <c r="I17" s="3">
        <v>1.5450167E-5</v>
      </c>
      <c r="J17" s="3">
        <v>-1.9666181000000001E-4</v>
      </c>
      <c r="L17" s="3">
        <f t="shared" si="0"/>
        <v>8.708431667024244E-2</v>
      </c>
      <c r="M17" s="3"/>
      <c r="N17" s="2">
        <f>IF('Modell einstellen'!$B$1="Voll",H17/0.35,H17/0.35*2)</f>
        <v>2.0253811714285715E-4</v>
      </c>
      <c r="O17" s="2">
        <f>IF('Modell einstellen'!$B$1="Voll",J17/0.35,J17/0.35*2)</f>
        <v>-5.6189088571428577E-4</v>
      </c>
      <c r="P17" s="3">
        <f t="shared" si="1"/>
        <v>0.36045809300748322</v>
      </c>
    </row>
    <row r="18" spans="1:16" x14ac:dyDescent="0.25">
      <c r="A18" s="3">
        <v>1</v>
      </c>
      <c r="B18" s="3">
        <v>4.0160000000000002E-5</v>
      </c>
      <c r="C18" s="3">
        <v>1.5220000000000001E-4</v>
      </c>
      <c r="D18" s="3">
        <v>-4.6640000000000001E-4</v>
      </c>
      <c r="E18" s="3">
        <v>0</v>
      </c>
      <c r="F18" s="3">
        <v>0</v>
      </c>
      <c r="G18" s="3">
        <v>0</v>
      </c>
      <c r="H18" s="3">
        <v>7.1270091999999999E-5</v>
      </c>
      <c r="I18" s="3">
        <v>1.5493726000000002E-5</v>
      </c>
      <c r="J18" s="3">
        <v>-1.9726695999999999E-4</v>
      </c>
      <c r="L18" s="3">
        <f t="shared" si="0"/>
        <v>8.6106346483704979E-2</v>
      </c>
      <c r="M18" s="3"/>
      <c r="N18" s="2">
        <f>IF('Modell einstellen'!$B$1="Voll",H18/0.35,H18/0.35*2)</f>
        <v>2.0362883428571429E-4</v>
      </c>
      <c r="O18" s="2">
        <f>IF('Modell einstellen'!$B$1="Voll",J18/0.35,J18/0.35*2)</f>
        <v>-5.6361988571428567E-4</v>
      </c>
      <c r="P18" s="3">
        <f t="shared" si="1"/>
        <v>0.36128752630445571</v>
      </c>
    </row>
    <row r="19" spans="1:16" x14ac:dyDescent="0.25">
      <c r="A19" s="3">
        <v>10</v>
      </c>
      <c r="B19" s="3">
        <v>3.8269999999999998E-5</v>
      </c>
      <c r="C19" s="3">
        <v>1.5449999999999999E-4</v>
      </c>
      <c r="D19" s="3">
        <v>-4.685E-4</v>
      </c>
      <c r="E19" s="3">
        <v>0</v>
      </c>
      <c r="F19" s="3">
        <v>0</v>
      </c>
      <c r="G19" s="3">
        <v>0</v>
      </c>
      <c r="H19" s="3">
        <v>7.3294918999999994E-5</v>
      </c>
      <c r="I19" s="3">
        <v>1.5746303E-5</v>
      </c>
      <c r="J19" s="3">
        <v>-2.0053561000000001E-4</v>
      </c>
      <c r="L19" s="3">
        <f t="shared" si="0"/>
        <v>8.1686232657417285E-2</v>
      </c>
      <c r="M19" s="3"/>
      <c r="N19" s="2">
        <f>IF('Modell einstellen'!$B$1="Voll",H19/0.35,H19/0.35*2)</f>
        <v>2.0941405428571427E-4</v>
      </c>
      <c r="O19" s="2">
        <f>IF('Modell einstellen'!$B$1="Voll",J19/0.35,J19/0.35*2)</f>
        <v>-5.7295888571428581E-4</v>
      </c>
      <c r="P19" s="3">
        <f t="shared" si="1"/>
        <v>0.36549577902897135</v>
      </c>
    </row>
    <row r="20" spans="1:16" x14ac:dyDescent="0.25">
      <c r="A20" s="3">
        <v>100</v>
      </c>
      <c r="B20" s="3">
        <v>3.5939999999999998E-5</v>
      </c>
      <c r="C20" s="3">
        <v>1.574E-4</v>
      </c>
      <c r="D20" s="3">
        <v>-4.7100000000000001E-4</v>
      </c>
      <c r="E20" s="3">
        <v>0</v>
      </c>
      <c r="F20" s="3">
        <v>0</v>
      </c>
      <c r="G20" s="3">
        <v>0</v>
      </c>
      <c r="H20" s="3">
        <v>7.5819420000000003E-5</v>
      </c>
      <c r="I20" s="3">
        <v>1.6075078000000001E-5</v>
      </c>
      <c r="J20" s="3">
        <v>-2.0462267000000001E-4</v>
      </c>
      <c r="L20" s="3">
        <f t="shared" si="0"/>
        <v>7.6305732484076433E-2</v>
      </c>
      <c r="M20" s="3"/>
      <c r="N20" s="2">
        <f>IF('Modell einstellen'!$B$1="Voll",H20/0.35,H20/0.35*2)</f>
        <v>2.1662691428571431E-4</v>
      </c>
      <c r="O20" s="2">
        <f>IF('Modell einstellen'!$B$1="Voll",J20/0.35,J20/0.35*2)</f>
        <v>-5.846362000000001E-4</v>
      </c>
      <c r="P20" s="3">
        <f t="shared" si="1"/>
        <v>0.37053284467454167</v>
      </c>
    </row>
    <row r="21" spans="1:16" x14ac:dyDescent="0.25">
      <c r="A21" s="3">
        <v>1000</v>
      </c>
      <c r="B21" s="3">
        <v>3.5809999999999998E-5</v>
      </c>
      <c r="C21" s="3">
        <v>1.6330000000000001E-4</v>
      </c>
      <c r="D21" s="3">
        <v>-4.7820000000000002E-4</v>
      </c>
      <c r="E21" s="3">
        <v>0</v>
      </c>
      <c r="F21" s="3">
        <v>0</v>
      </c>
      <c r="G21" s="3">
        <v>0</v>
      </c>
      <c r="H21" s="3">
        <v>7.9053747999999996E-5</v>
      </c>
      <c r="I21" s="3">
        <v>1.6731359000000002E-5</v>
      </c>
      <c r="J21" s="3">
        <v>-2.1046916999999999E-4</v>
      </c>
      <c r="L21" s="3">
        <f t="shared" si="0"/>
        <v>7.4884985361773307E-2</v>
      </c>
      <c r="M21" s="3"/>
      <c r="N21" s="2">
        <f>IF('Modell einstellen'!$B$1="Voll",H21/0.35,H21/0.35*2)</f>
        <v>2.2586785142857143E-4</v>
      </c>
      <c r="O21" s="2">
        <f>IF('Modell einstellen'!$B$1="Voll",J21/0.35,J21/0.35*2)</f>
        <v>-6.0134048571428575E-4</v>
      </c>
      <c r="P21" s="3">
        <f t="shared" si="1"/>
        <v>0.37560725877333956</v>
      </c>
    </row>
    <row r="22" spans="1:16" x14ac:dyDescent="0.25">
      <c r="A22" s="3">
        <v>10000</v>
      </c>
      <c r="B22" s="3">
        <v>4.8189999999999998E-5</v>
      </c>
      <c r="C22" s="3">
        <v>1.816E-4</v>
      </c>
      <c r="D22" s="3">
        <v>-5.0719999999999997E-4</v>
      </c>
      <c r="E22" s="3">
        <v>0</v>
      </c>
      <c r="F22" s="3">
        <v>0</v>
      </c>
      <c r="G22" s="3">
        <v>0</v>
      </c>
      <c r="H22" s="3">
        <v>8.4400398E-5</v>
      </c>
      <c r="I22" s="3">
        <v>1.8779892000000001E-5</v>
      </c>
      <c r="J22" s="3">
        <v>-2.2272618000000001E-4</v>
      </c>
      <c r="L22" s="3">
        <f t="shared" si="0"/>
        <v>9.5011829652996843E-2</v>
      </c>
      <c r="M22" s="3"/>
      <c r="N22" s="2">
        <f>IF('Modell einstellen'!$B$1="Voll",H22/0.35,H22/0.35*2)</f>
        <v>2.4114399428571431E-4</v>
      </c>
      <c r="O22" s="2">
        <f>IF('Modell einstellen'!$B$1="Voll",J22/0.35,J22/0.35*2)</f>
        <v>-6.3636051428571437E-4</v>
      </c>
      <c r="P22" s="3">
        <f t="shared" si="1"/>
        <v>0.378942421586901</v>
      </c>
    </row>
    <row r="23" spans="1:16" x14ac:dyDescent="0.25">
      <c r="A23" s="3">
        <v>100000</v>
      </c>
      <c r="B23" s="3">
        <v>7.9670000000000001E-5</v>
      </c>
      <c r="C23" s="3">
        <v>2.1560000000000001E-4</v>
      </c>
      <c r="D23" s="3">
        <v>-5.666E-4</v>
      </c>
      <c r="E23" s="3">
        <v>0</v>
      </c>
      <c r="F23" s="3">
        <v>0</v>
      </c>
      <c r="G23" s="3">
        <v>0</v>
      </c>
      <c r="H23" s="3">
        <v>9.2072274999999994E-5</v>
      </c>
      <c r="I23" s="3">
        <v>2.2693725000000001E-5</v>
      </c>
      <c r="J23" s="3">
        <v>-2.4303783E-4</v>
      </c>
      <c r="L23" s="3">
        <f t="shared" si="0"/>
        <v>0.14061066007765619</v>
      </c>
      <c r="M23" s="3"/>
      <c r="N23" s="2">
        <f>IF('Modell einstellen'!$B$1="Voll",H23/0.35,H23/0.35*2)</f>
        <v>2.6306364285714286E-4</v>
      </c>
      <c r="O23" s="2">
        <f>IF('Modell einstellen'!$B$1="Voll",J23/0.35,J23/0.35*2)</f>
        <v>-6.9439380000000002E-4</v>
      </c>
      <c r="P23" s="3">
        <f t="shared" si="1"/>
        <v>0.37883927370483844</v>
      </c>
    </row>
    <row r="24" spans="1:16" x14ac:dyDescent="0.25">
      <c r="A24" s="3">
        <v>1000000</v>
      </c>
      <c r="B24" s="3">
        <v>1.16E-4</v>
      </c>
      <c r="C24" s="3">
        <v>2.5599999999999999E-4</v>
      </c>
      <c r="D24" s="3">
        <v>-6.3670000000000003E-4</v>
      </c>
      <c r="E24" s="3">
        <v>0</v>
      </c>
      <c r="F24" s="3">
        <v>0</v>
      </c>
      <c r="G24" s="3">
        <v>0</v>
      </c>
      <c r="H24" s="3">
        <v>1.0125284E-4</v>
      </c>
      <c r="I24" s="3">
        <v>2.7471817999999999E-5</v>
      </c>
      <c r="J24" s="3">
        <v>-2.678499E-4</v>
      </c>
      <c r="L24" s="3">
        <f t="shared" si="0"/>
        <v>0.18218941416679754</v>
      </c>
      <c r="M24" s="3"/>
      <c r="N24" s="2">
        <f>IF('Modell einstellen'!$B$1="Voll",H24/0.35,H24/0.35*2)</f>
        <v>2.8929382857142857E-4</v>
      </c>
      <c r="O24" s="2">
        <f>IF('Modell einstellen'!$B$1="Voll",J24/0.35,J24/0.35*2)</f>
        <v>-7.6528542857142866E-4</v>
      </c>
      <c r="P24" s="3">
        <f t="shared" si="1"/>
        <v>0.37802082434975703</v>
      </c>
    </row>
    <row r="25" spans="1:16" x14ac:dyDescent="0.25">
      <c r="A25" s="3">
        <v>10000000</v>
      </c>
      <c r="B25" s="3">
        <v>1.482E-4</v>
      </c>
      <c r="C25" s="3">
        <v>2.9609999999999999E-4</v>
      </c>
      <c r="D25" s="3">
        <v>-7.0450000000000005E-4</v>
      </c>
      <c r="E25" s="3">
        <v>0</v>
      </c>
      <c r="F25" s="3">
        <v>0</v>
      </c>
      <c r="G25" s="3">
        <v>0</v>
      </c>
      <c r="H25" s="3">
        <v>1.1137828E-4</v>
      </c>
      <c r="I25" s="3">
        <v>3.2387022E-5</v>
      </c>
      <c r="J25" s="3">
        <v>-2.9454394999999997E-4</v>
      </c>
      <c r="L25" s="3">
        <f t="shared" si="0"/>
        <v>0.21036195883605391</v>
      </c>
      <c r="M25" s="3"/>
      <c r="N25" s="2">
        <f>IF('Modell einstellen'!$B$1="Voll",H25/0.35,H25/0.35*2)</f>
        <v>3.1822365714285713E-4</v>
      </c>
      <c r="O25" s="2">
        <f>IF('Modell einstellen'!$B$1="Voll",J25/0.35,J25/0.35*2)</f>
        <v>-8.4155414285714278E-4</v>
      </c>
      <c r="P25" s="3">
        <f t="shared" si="1"/>
        <v>0.37813806734105387</v>
      </c>
    </row>
    <row r="26" spans="1:16" x14ac:dyDescent="0.25">
      <c r="A26" s="3">
        <v>100000000</v>
      </c>
      <c r="B26" s="3">
        <v>1.739E-4</v>
      </c>
      <c r="C26" s="3">
        <v>3.3340000000000003E-4</v>
      </c>
      <c r="D26" s="3">
        <v>-7.649E-4</v>
      </c>
      <c r="E26" s="3">
        <v>0</v>
      </c>
      <c r="F26" s="3">
        <v>0</v>
      </c>
      <c r="G26" s="3">
        <v>0</v>
      </c>
      <c r="H26" s="3">
        <v>1.2162253000000001E-4</v>
      </c>
      <c r="I26" s="3">
        <v>3.7121218000000002E-5</v>
      </c>
      <c r="J26" s="3">
        <v>-3.2116217999999998E-4</v>
      </c>
      <c r="L26" s="3">
        <f t="shared" si="0"/>
        <v>0.22734998038959342</v>
      </c>
      <c r="M26" s="3"/>
      <c r="N26" s="2">
        <f>IF('Modell einstellen'!$B$1="Voll",H26/0.35,H26/0.35*2)</f>
        <v>3.4749294285714292E-4</v>
      </c>
      <c r="O26" s="2">
        <f>IF('Modell einstellen'!$B$1="Voll",J26/0.35,J26/0.35*2)</f>
        <v>-9.1760622857142856E-4</v>
      </c>
      <c r="P26" s="3">
        <f t="shared" si="1"/>
        <v>0.37869505680899296</v>
      </c>
    </row>
    <row r="27" spans="1:16" x14ac:dyDescent="0.25">
      <c r="A27" s="3">
        <v>1000000000</v>
      </c>
      <c r="B27" s="3">
        <v>1.9239999999999999E-4</v>
      </c>
      <c r="C27" s="3">
        <v>3.6900000000000002E-4</v>
      </c>
      <c r="D27" s="3">
        <v>-8.1820000000000005E-4</v>
      </c>
      <c r="E27" s="3">
        <v>0</v>
      </c>
      <c r="F27" s="3">
        <v>0</v>
      </c>
      <c r="G27" s="3">
        <v>0</v>
      </c>
      <c r="H27" s="3">
        <v>1.3237888999999999E-4</v>
      </c>
      <c r="I27" s="3">
        <v>4.1795149999999999E-5</v>
      </c>
      <c r="J27" s="3">
        <v>-3.4849375E-4</v>
      </c>
      <c r="L27" s="3">
        <f t="shared" si="0"/>
        <v>0.2351503299926668</v>
      </c>
      <c r="M27" s="3"/>
      <c r="N27" s="2">
        <f>IF('Modell einstellen'!$B$1="Voll",H27/0.35,H27/0.35*2)</f>
        <v>3.7822540000000002E-4</v>
      </c>
      <c r="O27" s="2">
        <f>IF('Modell einstellen'!$B$1="Voll",J27/0.35,J27/0.35*2)</f>
        <v>-9.9569642857142869E-4</v>
      </c>
      <c r="P27" s="3">
        <f t="shared" si="1"/>
        <v>0.37986015531125017</v>
      </c>
    </row>
    <row r="28" spans="1:16" x14ac:dyDescent="0.25">
      <c r="A28" s="3">
        <v>10000000000</v>
      </c>
      <c r="B28" s="3">
        <v>2.0340000000000001E-4</v>
      </c>
      <c r="C28" s="3">
        <v>4.059E-4</v>
      </c>
      <c r="D28" s="3">
        <v>-8.6700000000000004E-4</v>
      </c>
      <c r="E28" s="3">
        <v>0</v>
      </c>
      <c r="F28" s="3">
        <v>0</v>
      </c>
      <c r="G28" s="3">
        <v>0</v>
      </c>
      <c r="H28" s="3">
        <v>1.4451937999999999E-4</v>
      </c>
      <c r="I28" s="3">
        <v>4.6781912E-5</v>
      </c>
      <c r="J28" s="3">
        <v>-3.7869610999999997E-4</v>
      </c>
      <c r="L28" s="3">
        <f t="shared" si="0"/>
        <v>0.23460207612456749</v>
      </c>
      <c r="M28" s="3"/>
      <c r="N28" s="2">
        <f>IF('Modell einstellen'!$B$1="Voll",H28/0.35,H28/0.35*2)</f>
        <v>4.1291251428571425E-4</v>
      </c>
      <c r="O28" s="2">
        <f>IF('Modell einstellen'!$B$1="Voll",J28/0.35,J28/0.35*2)</f>
        <v>-1.0819888857142856E-3</v>
      </c>
      <c r="P28" s="3">
        <f t="shared" si="1"/>
        <v>0.38162361900152603</v>
      </c>
    </row>
    <row r="29" spans="1:16" x14ac:dyDescent="0.25">
      <c r="A29" s="3">
        <v>100000000000</v>
      </c>
      <c r="B29" s="3">
        <v>2.0489999999999999E-4</v>
      </c>
      <c r="C29" s="3">
        <v>4.4959999999999998E-4</v>
      </c>
      <c r="D29" s="3">
        <v>-9.1469999999999995E-4</v>
      </c>
      <c r="E29" s="3">
        <v>0</v>
      </c>
      <c r="F29" s="3">
        <v>0</v>
      </c>
      <c r="G29" s="3">
        <v>0</v>
      </c>
      <c r="H29" s="3">
        <v>1.6011431999999999E-4</v>
      </c>
      <c r="I29" s="3">
        <v>5.2865356999999999E-5</v>
      </c>
      <c r="J29" s="3">
        <v>-4.1667959000000001E-4</v>
      </c>
      <c r="L29" s="3">
        <f t="shared" si="0"/>
        <v>0.22400787143325682</v>
      </c>
      <c r="M29" s="3"/>
      <c r="N29" s="2">
        <f>IF('Modell einstellen'!$B$1="Voll",H29/0.35,H29/0.35*2)</f>
        <v>4.5746948571428569E-4</v>
      </c>
      <c r="O29" s="2">
        <f>IF('Modell einstellen'!$B$1="Voll",J29/0.35,J29/0.35*2)</f>
        <v>-1.1905131142857144E-3</v>
      </c>
      <c r="P29" s="3">
        <f t="shared" si="1"/>
        <v>0.38426244971585954</v>
      </c>
    </row>
    <row r="30" spans="1:16" x14ac:dyDescent="0.25">
      <c r="A30" s="3">
        <v>1000000000000</v>
      </c>
      <c r="B30" s="3">
        <v>1.874E-4</v>
      </c>
      <c r="C30" s="3">
        <v>5.1309999999999995E-4</v>
      </c>
      <c r="D30" s="3">
        <v>-9.655E-4</v>
      </c>
      <c r="E30" s="3">
        <v>0</v>
      </c>
      <c r="F30" s="3">
        <v>0</v>
      </c>
      <c r="G30" s="3">
        <v>0</v>
      </c>
      <c r="H30" s="3">
        <v>1.8452810999999999E-4</v>
      </c>
      <c r="I30" s="3">
        <v>6.1983619999999995E-5</v>
      </c>
      <c r="J30" s="3">
        <v>-4.7496307E-4</v>
      </c>
      <c r="L30" s="3">
        <f t="shared" si="0"/>
        <v>0.19409632314862765</v>
      </c>
      <c r="M30" s="3"/>
      <c r="N30" s="2">
        <f>IF('Modell einstellen'!$B$1="Voll",H30/0.35,H30/0.35*2)</f>
        <v>5.2722317142857137E-4</v>
      </c>
      <c r="O30" s="2">
        <f>IF('Modell einstellen'!$B$1="Voll",J30/0.35,J30/0.35*2)</f>
        <v>-1.357037342857143E-3</v>
      </c>
      <c r="P30" s="3">
        <f t="shared" si="1"/>
        <v>0.38851043724304701</v>
      </c>
    </row>
    <row r="31" spans="1:16" x14ac:dyDescent="0.25">
      <c r="A31" s="3">
        <v>10000000000000</v>
      </c>
      <c r="B31" s="3">
        <v>1.2980000000000001E-4</v>
      </c>
      <c r="C31" s="3">
        <v>6.1039999999999998E-4</v>
      </c>
      <c r="D31" s="3">
        <v>-1.0120000000000001E-3</v>
      </c>
      <c r="E31" s="3">
        <v>0</v>
      </c>
      <c r="F31" s="3">
        <v>0</v>
      </c>
      <c r="G31" s="3">
        <v>0</v>
      </c>
      <c r="H31" s="3">
        <v>2.2475705999999999E-4</v>
      </c>
      <c r="I31" s="3">
        <v>7.6597258999999994E-5</v>
      </c>
      <c r="J31" s="3">
        <v>-5.6949243999999998E-4</v>
      </c>
      <c r="L31" s="3">
        <f t="shared" si="0"/>
        <v>0.1282608695652174</v>
      </c>
      <c r="M31" s="3"/>
      <c r="N31" s="2">
        <f>IF('Modell einstellen'!$B$1="Voll",H31/0.35,H31/0.35*2)</f>
        <v>6.421630285714286E-4</v>
      </c>
      <c r="O31" s="2">
        <f>IF('Modell einstellen'!$B$1="Voll",J31/0.35,J31/0.35*2)</f>
        <v>-1.6271212571428572E-3</v>
      </c>
      <c r="P31" s="3">
        <f t="shared" si="1"/>
        <v>0.39466206083438088</v>
      </c>
    </row>
    <row r="32" spans="1:16" x14ac:dyDescent="0.25">
      <c r="A32" s="3">
        <v>100000000000000</v>
      </c>
      <c r="B32" s="3">
        <v>-3.1359999999999998E-5</v>
      </c>
      <c r="C32" s="3">
        <v>7.7430000000000001E-4</v>
      </c>
      <c r="D32" s="3">
        <v>-1.0250000000000001E-3</v>
      </c>
      <c r="E32" s="3">
        <v>0</v>
      </c>
      <c r="F32" s="3">
        <v>0</v>
      </c>
      <c r="G32" s="3">
        <v>0</v>
      </c>
      <c r="H32" s="3">
        <v>2.9923858999999998E-4</v>
      </c>
      <c r="I32" s="3">
        <v>1.0260775E-4</v>
      </c>
      <c r="J32" s="3">
        <v>-7.4028763000000004E-4</v>
      </c>
      <c r="L32" s="3">
        <f t="shared" si="0"/>
        <v>-3.0595121951219509E-2</v>
      </c>
      <c r="M32" s="3"/>
      <c r="N32" s="2">
        <f>IF('Modell einstellen'!$B$1="Voll",H32/0.35,H32/0.35*2)</f>
        <v>8.5496740000000002E-4</v>
      </c>
      <c r="O32" s="2">
        <f>IF('Modell einstellen'!$B$1="Voll",J32/0.35,J32/0.35*2)</f>
        <v>-2.1151075142857145E-3</v>
      </c>
      <c r="P32" s="3">
        <f t="shared" si="1"/>
        <v>0.4042193572787377</v>
      </c>
    </row>
    <row r="33" spans="1:16" x14ac:dyDescent="0.25">
      <c r="A33" s="3">
        <v>1000000000000000</v>
      </c>
      <c r="B33" s="3">
        <v>-5.0319999999999998E-4</v>
      </c>
      <c r="C33" s="3">
        <v>1.093E-3</v>
      </c>
      <c r="D33" s="3">
        <v>-8.8500000000000004E-4</v>
      </c>
      <c r="E33" s="3">
        <v>0</v>
      </c>
      <c r="F33" s="3">
        <v>0</v>
      </c>
      <c r="G33" s="3">
        <v>0</v>
      </c>
      <c r="H33" s="3">
        <v>4.6265922000000002E-4</v>
      </c>
      <c r="I33" s="3">
        <v>1.5662211999999999E-4</v>
      </c>
      <c r="J33" s="3">
        <v>-1.1024379E-3</v>
      </c>
      <c r="L33" s="3">
        <f t="shared" si="0"/>
        <v>-0.56858757062146892</v>
      </c>
      <c r="M33" s="3"/>
      <c r="N33" s="2">
        <f>IF('Modell einstellen'!$B$1="Voll",H33/0.35,H33/0.35*2)</f>
        <v>1.3218834857142859E-3</v>
      </c>
      <c r="O33" s="2">
        <f>IF('Modell einstellen'!$B$1="Voll",J33/0.35,J33/0.35*2)</f>
        <v>-3.1498225714285716E-3</v>
      </c>
      <c r="P33" s="3">
        <f t="shared" si="1"/>
        <v>0.41966918952985927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4.2360000000000001E-5</v>
      </c>
      <c r="C3" s="3">
        <v>1.5300000000000001E-4</v>
      </c>
      <c r="D3" s="3">
        <v>-4.6860000000000001E-4</v>
      </c>
      <c r="E3" s="3">
        <v>0</v>
      </c>
      <c r="F3" s="3">
        <v>0</v>
      </c>
      <c r="G3" s="3">
        <v>0</v>
      </c>
      <c r="H3" s="3">
        <v>7.1015355999999997E-5</v>
      </c>
      <c r="I3" s="3">
        <v>1.5578399E-5</v>
      </c>
      <c r="J3" s="3">
        <v>-1.9722127000000001E-4</v>
      </c>
      <c r="K3" s="3"/>
      <c r="L3" s="3">
        <f>-B3/D3</f>
        <v>9.0396927016645326E-2</v>
      </c>
      <c r="M3" s="3"/>
      <c r="N3" s="2">
        <f>IF('Modell einstellen'!$B$1="Voll",H3/0.35,H3/0.35*2)</f>
        <v>2.0290101714285714E-4</v>
      </c>
      <c r="O3" s="2">
        <f>IF('Modell einstellen'!$B$1="Voll",J3/0.35,J3/0.35*2)</f>
        <v>-5.6348934285714288E-4</v>
      </c>
      <c r="P3" s="3">
        <f>-N3/O3</f>
        <v>0.36007959993361766</v>
      </c>
      <c r="Q3" s="3"/>
      <c r="R3" s="3"/>
      <c r="S3" s="3"/>
      <c r="T3" s="3"/>
      <c r="U3" s="3"/>
    </row>
    <row r="4" spans="1:21" x14ac:dyDescent="0.25">
      <c r="A4" s="3">
        <v>1E-14</v>
      </c>
      <c r="B4" s="3">
        <v>4.2349999999999999E-5</v>
      </c>
      <c r="C4" s="3">
        <v>1.5300000000000001E-4</v>
      </c>
      <c r="D4" s="3">
        <v>-4.6860000000000001E-4</v>
      </c>
      <c r="E4" s="3">
        <v>0</v>
      </c>
      <c r="F4" s="3">
        <v>0</v>
      </c>
      <c r="G4" s="3">
        <v>0</v>
      </c>
      <c r="H4" s="3">
        <v>7.1016938000000005E-5</v>
      </c>
      <c r="I4" s="3">
        <v>1.5579525000000001E-5</v>
      </c>
      <c r="J4" s="3">
        <v>-1.9721747000000001E-4</v>
      </c>
      <c r="K4" s="3"/>
      <c r="L4" s="3">
        <f t="shared" ref="L4:L33" si="0">-B4/D4</f>
        <v>9.0375586854460094E-2</v>
      </c>
      <c r="M4" s="3"/>
      <c r="N4" s="2">
        <f>IF('Modell einstellen'!$B$1="Voll",H4/0.35,H4/0.35*2)</f>
        <v>2.0290553714285718E-4</v>
      </c>
      <c r="O4" s="2">
        <f>IF('Modell einstellen'!$B$1="Voll",J4/0.35,J4/0.35*2)</f>
        <v>-5.6347848571428581E-4</v>
      </c>
      <c r="P4" s="3">
        <f t="shared" ref="P4:P33" si="1">-N4/O4</f>
        <v>0.36009455957426084</v>
      </c>
      <c r="Q4" s="3"/>
      <c r="R4" s="3"/>
      <c r="S4" s="3"/>
      <c r="T4" s="3"/>
      <c r="U4" s="3"/>
    </row>
    <row r="5" spans="1:21" x14ac:dyDescent="0.25">
      <c r="A5" s="3">
        <v>1E-13</v>
      </c>
      <c r="B5" s="3">
        <v>4.2360000000000001E-5</v>
      </c>
      <c r="C5" s="3">
        <v>1.5300000000000001E-4</v>
      </c>
      <c r="D5" s="3">
        <v>-4.6860000000000001E-4</v>
      </c>
      <c r="E5" s="3">
        <v>0</v>
      </c>
      <c r="F5" s="3">
        <v>0</v>
      </c>
      <c r="G5" s="3">
        <v>0</v>
      </c>
      <c r="H5" s="3">
        <v>7.1017313999999993E-5</v>
      </c>
      <c r="I5" s="3">
        <v>1.5579694E-5</v>
      </c>
      <c r="J5" s="3">
        <v>-1.9721846000000001E-4</v>
      </c>
      <c r="K5" s="3"/>
      <c r="L5" s="3">
        <f t="shared" si="0"/>
        <v>9.0396927016645326E-2</v>
      </c>
      <c r="M5" s="3"/>
      <c r="N5" s="2">
        <f>IF('Modell einstellen'!$B$1="Voll",H5/0.35,H5/0.35*2)</f>
        <v>2.0290661142857141E-4</v>
      </c>
      <c r="O5" s="2">
        <f>IF('Modell einstellen'!$B$1="Voll",J5/0.35,J5/0.35*2)</f>
        <v>-5.6348131428571432E-4</v>
      </c>
      <c r="P5" s="3">
        <f t="shared" si="1"/>
        <v>0.36009465848176681</v>
      </c>
      <c r="Q5" s="3"/>
      <c r="R5" s="3"/>
      <c r="S5" s="3"/>
      <c r="T5" s="3"/>
      <c r="U5" s="3"/>
    </row>
    <row r="6" spans="1:21" x14ac:dyDescent="0.25">
      <c r="A6" s="3">
        <v>9.9999999999999998E-13</v>
      </c>
      <c r="B6" s="3">
        <v>4.2360000000000001E-5</v>
      </c>
      <c r="C6" s="3">
        <v>1.5300000000000001E-4</v>
      </c>
      <c r="D6" s="3">
        <v>-4.6860000000000001E-4</v>
      </c>
      <c r="E6" s="3">
        <v>0</v>
      </c>
      <c r="F6" s="3">
        <v>0</v>
      </c>
      <c r="G6" s="3">
        <v>0</v>
      </c>
      <c r="H6" s="3">
        <v>7.1017430000000004E-5</v>
      </c>
      <c r="I6" s="3">
        <v>1.5579741000000001E-5</v>
      </c>
      <c r="J6" s="3">
        <v>-1.9721874999999999E-4</v>
      </c>
      <c r="K6" s="3"/>
      <c r="L6" s="3">
        <f t="shared" si="0"/>
        <v>9.0396927016645326E-2</v>
      </c>
      <c r="M6" s="3"/>
      <c r="N6" s="2">
        <f>IF('Modell einstellen'!$B$1="Voll",H6/0.35,H6/0.35*2)</f>
        <v>2.0290694285714288E-4</v>
      </c>
      <c r="O6" s="2">
        <f>IF('Modell einstellen'!$B$1="Voll",J6/0.35,J6/0.35*2)</f>
        <v>-5.6348214285714291E-4</v>
      </c>
      <c r="P6" s="3">
        <f t="shared" si="1"/>
        <v>0.36009471716051339</v>
      </c>
      <c r="Q6" s="3"/>
      <c r="R6" s="3"/>
      <c r="S6" s="3"/>
      <c r="T6" s="3"/>
      <c r="U6" s="3"/>
    </row>
    <row r="7" spans="1:21" x14ac:dyDescent="0.25">
      <c r="A7" s="3">
        <v>9.9999999999999994E-12</v>
      </c>
      <c r="B7" s="3">
        <v>4.2360000000000001E-5</v>
      </c>
      <c r="C7" s="3">
        <v>1.5300000000000001E-4</v>
      </c>
      <c r="D7" s="3">
        <v>-4.6860000000000001E-4</v>
      </c>
      <c r="E7" s="3">
        <v>0</v>
      </c>
      <c r="F7" s="3">
        <v>0</v>
      </c>
      <c r="G7" s="3">
        <v>0</v>
      </c>
      <c r="H7" s="3">
        <v>7.1017468000000001E-5</v>
      </c>
      <c r="I7" s="3">
        <v>1.5579755E-5</v>
      </c>
      <c r="J7" s="3">
        <v>-1.9721884000000001E-4</v>
      </c>
      <c r="K7" s="3"/>
      <c r="L7" s="3">
        <f t="shared" si="0"/>
        <v>9.0396927016645326E-2</v>
      </c>
      <c r="M7" s="3"/>
      <c r="N7" s="2">
        <f>IF('Modell einstellen'!$B$1="Voll",H7/0.35,H7/0.35*2)</f>
        <v>2.0290705142857144E-4</v>
      </c>
      <c r="O7" s="2">
        <f>IF('Modell einstellen'!$B$1="Voll",J7/0.35,J7/0.35*2)</f>
        <v>-5.6348240000000005E-4</v>
      </c>
      <c r="P7" s="3">
        <f t="shared" si="1"/>
        <v>0.36009474551214277</v>
      </c>
      <c r="Q7" s="3"/>
      <c r="R7" s="3"/>
      <c r="S7" s="3"/>
      <c r="T7" s="3"/>
      <c r="U7" s="3"/>
    </row>
    <row r="8" spans="1:21" x14ac:dyDescent="0.25">
      <c r="A8" s="3">
        <v>1E-10</v>
      </c>
      <c r="B8" s="3">
        <v>4.2360000000000001E-5</v>
      </c>
      <c r="C8" s="3">
        <v>1.5300000000000001E-4</v>
      </c>
      <c r="D8" s="3">
        <v>-4.6860000000000001E-4</v>
      </c>
      <c r="E8" s="3">
        <v>0</v>
      </c>
      <c r="F8" s="3">
        <v>0</v>
      </c>
      <c r="G8" s="3">
        <v>0</v>
      </c>
      <c r="H8" s="3">
        <v>7.1017481000000004E-5</v>
      </c>
      <c r="I8" s="3">
        <v>1.5579759000000001E-5</v>
      </c>
      <c r="J8" s="3">
        <v>-1.9721887E-4</v>
      </c>
      <c r="K8" s="3"/>
      <c r="L8" s="3">
        <f t="shared" si="0"/>
        <v>9.0396927016645326E-2</v>
      </c>
      <c r="M8" s="3"/>
      <c r="N8" s="2">
        <f>IF('Modell einstellen'!$B$1="Voll",H8/0.35,H8/0.35*2)</f>
        <v>2.0290708857142859E-4</v>
      </c>
      <c r="O8" s="2">
        <f>IF('Modell einstellen'!$B$1="Voll",J8/0.35,J8/0.35*2)</f>
        <v>-5.6348248571428576E-4</v>
      </c>
      <c r="P8" s="3">
        <f t="shared" si="1"/>
        <v>0.36009475665284973</v>
      </c>
      <c r="Q8" s="3"/>
      <c r="R8" s="3"/>
      <c r="S8" s="3"/>
      <c r="T8" s="3"/>
      <c r="U8" s="3"/>
    </row>
    <row r="9" spans="1:21" x14ac:dyDescent="0.25">
      <c r="A9" s="3">
        <v>1.0000000000000001E-9</v>
      </c>
      <c r="B9" s="3">
        <v>4.2360000000000001E-5</v>
      </c>
      <c r="C9" s="3">
        <v>1.5300000000000001E-4</v>
      </c>
      <c r="D9" s="3">
        <v>-4.6860000000000001E-4</v>
      </c>
      <c r="E9" s="3">
        <v>0</v>
      </c>
      <c r="F9" s="3">
        <v>0</v>
      </c>
      <c r="G9" s="3">
        <v>0</v>
      </c>
      <c r="H9" s="3">
        <v>7.1017485000000001E-5</v>
      </c>
      <c r="I9" s="3">
        <v>1.5579760999999999E-5</v>
      </c>
      <c r="J9" s="3">
        <v>-1.9721887999999999E-4</v>
      </c>
      <c r="K9" s="3"/>
      <c r="L9" s="3">
        <f t="shared" si="0"/>
        <v>9.0396927016645326E-2</v>
      </c>
      <c r="M9" s="3"/>
      <c r="N9" s="2">
        <f>IF('Modell einstellen'!$B$1="Voll",H9/0.35,H9/0.35*2)</f>
        <v>2.0290710000000001E-4</v>
      </c>
      <c r="O9" s="2">
        <f>IF('Modell einstellen'!$B$1="Voll",J9/0.35,J9/0.35*2)</f>
        <v>-5.634825142857143E-4</v>
      </c>
      <c r="P9" s="3">
        <f t="shared" si="1"/>
        <v>0.36009475867624846</v>
      </c>
      <c r="Q9" s="3"/>
      <c r="R9" s="3"/>
      <c r="S9" s="3"/>
      <c r="T9" s="3"/>
      <c r="U9" s="3"/>
    </row>
    <row r="10" spans="1:21" x14ac:dyDescent="0.25">
      <c r="A10" s="3">
        <v>1E-8</v>
      </c>
      <c r="B10" s="3">
        <v>4.2360000000000001E-5</v>
      </c>
      <c r="C10" s="3">
        <v>1.5300000000000001E-4</v>
      </c>
      <c r="D10" s="3">
        <v>-4.6860000000000001E-4</v>
      </c>
      <c r="E10" s="3">
        <v>0</v>
      </c>
      <c r="F10" s="3">
        <v>0</v>
      </c>
      <c r="G10" s="3">
        <v>0</v>
      </c>
      <c r="H10" s="3">
        <v>7.1017486999999993E-5</v>
      </c>
      <c r="I10" s="3">
        <v>1.5579760999999999E-5</v>
      </c>
      <c r="J10" s="3">
        <v>-1.9721887999999999E-4</v>
      </c>
      <c r="K10" s="3"/>
      <c r="L10" s="3">
        <f t="shared" si="0"/>
        <v>9.0396927016645326E-2</v>
      </c>
      <c r="M10" s="3"/>
      <c r="N10" s="2">
        <f>IF('Modell einstellen'!$B$1="Voll",H10/0.35,H10/0.35*2)</f>
        <v>2.0290710571428571E-4</v>
      </c>
      <c r="O10" s="2">
        <f>IF('Modell einstellen'!$B$1="Voll",J10/0.35,J10/0.35*2)</f>
        <v>-5.634825142857143E-4</v>
      </c>
      <c r="P10" s="3">
        <f t="shared" si="1"/>
        <v>0.36009476881726538</v>
      </c>
      <c r="Q10" s="3"/>
      <c r="R10" s="3"/>
      <c r="S10" s="3"/>
      <c r="T10" s="3"/>
      <c r="U10" s="3"/>
    </row>
    <row r="11" spans="1:21" x14ac:dyDescent="0.25">
      <c r="A11" s="3">
        <v>9.9999999999999995E-8</v>
      </c>
      <c r="B11" s="3">
        <v>4.2360000000000001E-5</v>
      </c>
      <c r="C11" s="3">
        <v>1.5300000000000001E-4</v>
      </c>
      <c r="D11" s="3">
        <v>-4.6860000000000001E-4</v>
      </c>
      <c r="E11" s="3">
        <v>0</v>
      </c>
      <c r="F11" s="3">
        <v>0</v>
      </c>
      <c r="G11" s="3">
        <v>0</v>
      </c>
      <c r="H11" s="3">
        <v>7.1017491000000004E-5</v>
      </c>
      <c r="I11" s="3">
        <v>1.5579761999999999E-5</v>
      </c>
      <c r="J11" s="3">
        <v>-1.9721889E-4</v>
      </c>
      <c r="K11" s="3"/>
      <c r="L11" s="3">
        <f t="shared" si="0"/>
        <v>9.0396927016645326E-2</v>
      </c>
      <c r="M11" s="3"/>
      <c r="N11" s="2">
        <f>IF('Modell einstellen'!$B$1="Voll",H11/0.35,H11/0.35*2)</f>
        <v>2.0290711714285716E-4</v>
      </c>
      <c r="O11" s="2">
        <f>IF('Modell einstellen'!$B$1="Voll",J11/0.35,J11/0.35*2)</f>
        <v>-5.6348254285714294E-4</v>
      </c>
      <c r="P11" s="3">
        <f t="shared" si="1"/>
        <v>0.36009477084066338</v>
      </c>
      <c r="Q11" s="3"/>
      <c r="R11" s="3"/>
      <c r="S11" s="3"/>
      <c r="T11" s="3"/>
      <c r="U11" s="3"/>
    </row>
    <row r="12" spans="1:21" x14ac:dyDescent="0.25">
      <c r="A12" s="3">
        <v>9.9999999999999995E-7</v>
      </c>
      <c r="B12" s="3">
        <v>4.2360000000000001E-5</v>
      </c>
      <c r="C12" s="3">
        <v>1.5300000000000001E-4</v>
      </c>
      <c r="D12" s="3">
        <v>-4.6860000000000001E-4</v>
      </c>
      <c r="E12" s="3">
        <v>0</v>
      </c>
      <c r="F12" s="3">
        <v>0</v>
      </c>
      <c r="G12" s="3">
        <v>0</v>
      </c>
      <c r="H12" s="3">
        <v>7.1017530999999994E-5</v>
      </c>
      <c r="I12" s="3">
        <v>1.5579766E-5</v>
      </c>
      <c r="J12" s="3">
        <v>-1.9721895000000001E-4</v>
      </c>
      <c r="K12" s="3"/>
      <c r="L12" s="3">
        <f t="shared" si="0"/>
        <v>9.0396927016645326E-2</v>
      </c>
      <c r="M12" s="3"/>
      <c r="N12" s="2">
        <f>IF('Modell einstellen'!$B$1="Voll",H12/0.35,H12/0.35*2)</f>
        <v>2.0290723142857143E-4</v>
      </c>
      <c r="O12" s="2">
        <f>IF('Modell einstellen'!$B$1="Voll",J12/0.35,J12/0.35*2)</f>
        <v>-5.6348271428571437E-4</v>
      </c>
      <c r="P12" s="3">
        <f t="shared" si="1"/>
        <v>0.36009486410915376</v>
      </c>
      <c r="Q12" s="3"/>
      <c r="R12" s="3"/>
      <c r="S12" s="3"/>
      <c r="T12" s="3"/>
      <c r="U12" s="3"/>
    </row>
    <row r="13" spans="1:21" x14ac:dyDescent="0.25">
      <c r="A13" s="3">
        <v>1.0000000000000001E-5</v>
      </c>
      <c r="B13" s="3">
        <v>4.2360000000000001E-5</v>
      </c>
      <c r="C13" s="3">
        <v>1.5300000000000001E-4</v>
      </c>
      <c r="D13" s="3">
        <v>-4.6860000000000001E-4</v>
      </c>
      <c r="E13" s="3">
        <v>0</v>
      </c>
      <c r="F13" s="3">
        <v>0</v>
      </c>
      <c r="G13" s="3">
        <v>0</v>
      </c>
      <c r="H13" s="3">
        <v>7.1017919999999998E-5</v>
      </c>
      <c r="I13" s="3">
        <v>1.5579811E-5</v>
      </c>
      <c r="J13" s="3">
        <v>-1.9721957E-4</v>
      </c>
      <c r="K13" s="3"/>
      <c r="L13" s="3">
        <f t="shared" si="0"/>
        <v>9.0396927016645326E-2</v>
      </c>
      <c r="M13" s="3"/>
      <c r="N13" s="2">
        <f>IF('Modell einstellen'!$B$1="Voll",H13/0.35,H13/0.35*2)</f>
        <v>2.0290834285714287E-4</v>
      </c>
      <c r="O13" s="2">
        <f>IF('Modell einstellen'!$B$1="Voll",J13/0.35,J13/0.35*2)</f>
        <v>-5.6348448571428569E-4</v>
      </c>
      <c r="P13" s="3">
        <f t="shared" si="1"/>
        <v>0.36009570449829092</v>
      </c>
      <c r="Q13" s="3"/>
      <c r="R13" s="3"/>
      <c r="S13" s="3"/>
      <c r="T13" s="3"/>
      <c r="U13" s="3"/>
    </row>
    <row r="14" spans="1:21" x14ac:dyDescent="0.25">
      <c r="A14" s="3">
        <v>1E-4</v>
      </c>
      <c r="B14" s="3">
        <v>4.2349999999999999E-5</v>
      </c>
      <c r="C14" s="3">
        <v>1.5300000000000001E-4</v>
      </c>
      <c r="D14" s="3">
        <v>-4.6860000000000001E-4</v>
      </c>
      <c r="E14" s="3">
        <v>0</v>
      </c>
      <c r="F14" s="3">
        <v>0</v>
      </c>
      <c r="G14" s="3">
        <v>0</v>
      </c>
      <c r="H14" s="3">
        <v>7.1021809999999999E-5</v>
      </c>
      <c r="I14" s="3">
        <v>1.5580261000000001E-5</v>
      </c>
      <c r="J14" s="3">
        <v>-1.9722576000000001E-4</v>
      </c>
      <c r="K14" s="3"/>
      <c r="L14" s="3">
        <f t="shared" si="0"/>
        <v>9.0375586854460094E-2</v>
      </c>
      <c r="M14" s="3"/>
      <c r="N14" s="2">
        <f>IF('Modell einstellen'!$B$1="Voll",H14/0.35,H14/0.35*2)</f>
        <v>2.0291945714285715E-4</v>
      </c>
      <c r="O14" s="2">
        <f>IF('Modell einstellen'!$B$1="Voll",J14/0.35,J14/0.35*2)</f>
        <v>-5.6350217142857144E-4</v>
      </c>
      <c r="P14" s="3">
        <f t="shared" si="1"/>
        <v>0.36010412635753059</v>
      </c>
      <c r="Q14" s="3"/>
      <c r="R14" s="3"/>
      <c r="S14" s="3"/>
      <c r="T14" s="3"/>
      <c r="U14" s="3"/>
    </row>
    <row r="15" spans="1:21" x14ac:dyDescent="0.25">
      <c r="A15" s="3">
        <v>1E-3</v>
      </c>
      <c r="B15" s="3">
        <v>4.231E-5</v>
      </c>
      <c r="C15" s="3">
        <v>1.5300000000000001E-4</v>
      </c>
      <c r="D15" s="3">
        <v>-4.6860000000000001E-4</v>
      </c>
      <c r="E15" s="3">
        <v>0</v>
      </c>
      <c r="F15" s="3">
        <v>0</v>
      </c>
      <c r="G15" s="3">
        <v>0</v>
      </c>
      <c r="H15" s="3">
        <v>7.1060424000000001E-5</v>
      </c>
      <c r="I15" s="3">
        <v>1.5584727000000001E-5</v>
      </c>
      <c r="J15" s="3">
        <v>-1.9728717000000001E-4</v>
      </c>
      <c r="K15" s="3"/>
      <c r="L15" s="3">
        <f t="shared" si="0"/>
        <v>9.0290226205719165E-2</v>
      </c>
      <c r="M15" s="3"/>
      <c r="N15" s="2">
        <f>IF('Modell einstellen'!$B$1="Voll",H15/0.35,H15/0.35*2)</f>
        <v>2.0302978285714288E-4</v>
      </c>
      <c r="O15" s="2">
        <f>IF('Modell einstellen'!$B$1="Voll",J15/0.35,J15/0.35*2)</f>
        <v>-5.6367762857142858E-4</v>
      </c>
      <c r="P15" s="3">
        <f t="shared" si="1"/>
        <v>0.36018776081587062</v>
      </c>
      <c r="Q15" s="3"/>
      <c r="R15" s="3"/>
      <c r="S15" s="3"/>
      <c r="T15" s="3"/>
      <c r="U15" s="3"/>
    </row>
    <row r="16" spans="1:21" x14ac:dyDescent="0.25">
      <c r="A16" s="3">
        <v>0.01</v>
      </c>
      <c r="B16" s="3">
        <v>4.1900000000000002E-5</v>
      </c>
      <c r="C16" s="3">
        <v>1.5339999999999999E-4</v>
      </c>
      <c r="D16" s="3">
        <v>-4.6890000000000001E-4</v>
      </c>
      <c r="E16" s="3">
        <v>0</v>
      </c>
      <c r="F16" s="3">
        <v>0</v>
      </c>
      <c r="G16" s="3">
        <v>0</v>
      </c>
      <c r="H16" s="3">
        <v>7.1419427999999999E-5</v>
      </c>
      <c r="I16" s="3">
        <v>1.5626209000000001E-5</v>
      </c>
      <c r="J16" s="3">
        <v>-1.9785787999999999E-4</v>
      </c>
      <c r="K16" s="3"/>
      <c r="L16" s="3">
        <f t="shared" si="0"/>
        <v>8.9358072083599915E-2</v>
      </c>
      <c r="M16" s="3"/>
      <c r="N16" s="2">
        <f>IF('Modell einstellen'!$B$1="Voll",H16/0.35,H16/0.35*2)</f>
        <v>2.0405550857142859E-4</v>
      </c>
      <c r="O16" s="2">
        <f>IF('Modell einstellen'!$B$1="Voll",J16/0.35,J16/0.35*2)</f>
        <v>-5.6530822857142854E-4</v>
      </c>
      <c r="P16" s="3">
        <f t="shared" si="1"/>
        <v>0.36096327323430338</v>
      </c>
      <c r="Q16" s="3"/>
      <c r="R16" s="3"/>
      <c r="S16" s="3"/>
      <c r="T16" s="3"/>
      <c r="U16" s="3"/>
    </row>
    <row r="17" spans="1:25" x14ac:dyDescent="0.25">
      <c r="A17" s="3">
        <v>0.1</v>
      </c>
      <c r="B17" s="3">
        <v>4.0059999999999999E-5</v>
      </c>
      <c r="C17" s="3">
        <v>1.5559999999999999E-4</v>
      </c>
      <c r="D17" s="3">
        <v>-4.7090000000000001E-4</v>
      </c>
      <c r="E17" s="3">
        <v>0</v>
      </c>
      <c r="F17" s="3">
        <v>0</v>
      </c>
      <c r="G17" s="3">
        <v>0</v>
      </c>
      <c r="H17" s="3">
        <v>7.3390922000000003E-5</v>
      </c>
      <c r="I17" s="3">
        <v>1.5873325000000001E-5</v>
      </c>
      <c r="J17" s="3">
        <v>-2.0104523000000001E-4</v>
      </c>
      <c r="K17" s="3"/>
      <c r="L17" s="3">
        <f t="shared" si="0"/>
        <v>8.5071140369505194E-2</v>
      </c>
      <c r="M17" s="3"/>
      <c r="N17" s="2">
        <f>IF('Modell einstellen'!$B$1="Voll",H17/0.35,H17/0.35*2)</f>
        <v>2.0968834857142859E-4</v>
      </c>
      <c r="O17" s="2">
        <f>IF('Modell einstellen'!$B$1="Voll",J17/0.35,J17/0.35*2)</f>
        <v>-5.7441494285714293E-4</v>
      </c>
      <c r="P17" s="3">
        <f t="shared" si="1"/>
        <v>0.36504682055873694</v>
      </c>
      <c r="Q17" s="3"/>
      <c r="R17" s="3"/>
      <c r="S17" s="3"/>
      <c r="T17" s="3"/>
      <c r="U17" s="3"/>
      <c r="V17" s="3"/>
      <c r="W17" s="3"/>
      <c r="X17" s="3"/>
      <c r="Y17" s="3"/>
    </row>
    <row r="18" spans="1:25" x14ac:dyDescent="0.25">
      <c r="A18" s="3">
        <v>1</v>
      </c>
      <c r="B18" s="3">
        <v>3.7450000000000002E-5</v>
      </c>
      <c r="C18" s="3">
        <v>1.583E-4</v>
      </c>
      <c r="D18" s="3">
        <v>-4.73E-4</v>
      </c>
      <c r="E18" s="3">
        <v>0</v>
      </c>
      <c r="F18" s="3">
        <v>0</v>
      </c>
      <c r="G18" s="3">
        <v>0</v>
      </c>
      <c r="H18" s="3">
        <v>7.5874908000000003E-5</v>
      </c>
      <c r="I18" s="3">
        <v>1.6173991999999999E-5</v>
      </c>
      <c r="J18" s="3">
        <v>-2.0500756000000001E-4</v>
      </c>
      <c r="K18" s="3"/>
      <c r="L18" s="3">
        <f t="shared" si="0"/>
        <v>7.9175475687103591E-2</v>
      </c>
      <c r="M18" s="3"/>
      <c r="N18" s="2">
        <f>IF('Modell einstellen'!$B$1="Voll",H18/0.35,H18/0.35*2)</f>
        <v>2.1678545142857146E-4</v>
      </c>
      <c r="O18" s="2">
        <f>IF('Modell einstellen'!$B$1="Voll",J18/0.35,J18/0.35*2)</f>
        <v>-5.8573588571428576E-4</v>
      </c>
      <c r="P18" s="3">
        <f t="shared" si="1"/>
        <v>0.37010785358354592</v>
      </c>
      <c r="Q18" s="3"/>
      <c r="R18" s="3"/>
      <c r="S18" s="3"/>
      <c r="T18" s="3"/>
      <c r="U18" s="3"/>
      <c r="V18" s="3"/>
      <c r="W18" s="3"/>
      <c r="X18" s="3"/>
      <c r="Y18" s="3"/>
    </row>
    <row r="19" spans="1:25" x14ac:dyDescent="0.25">
      <c r="A19" s="3">
        <v>10</v>
      </c>
      <c r="B19" s="3">
        <v>3.4379999999999999E-5</v>
      </c>
      <c r="C19" s="3">
        <v>1.615E-4</v>
      </c>
      <c r="D19" s="3">
        <v>-4.7540000000000001E-4</v>
      </c>
      <c r="E19" s="3">
        <v>0</v>
      </c>
      <c r="F19" s="3">
        <v>0</v>
      </c>
      <c r="G19" s="3">
        <v>0</v>
      </c>
      <c r="H19" s="3">
        <v>7.8801469999999999E-5</v>
      </c>
      <c r="I19" s="3">
        <v>1.6538379E-5</v>
      </c>
      <c r="J19" s="3">
        <v>-2.0967678E-4</v>
      </c>
      <c r="K19" s="3"/>
      <c r="L19" s="3">
        <f t="shared" si="0"/>
        <v>7.2318047959612955E-2</v>
      </c>
      <c r="M19" s="3"/>
      <c r="N19" s="2">
        <f>IF('Modell einstellen'!$B$1="Voll",H19/0.35,H19/0.35*2)</f>
        <v>2.2514705714285716E-4</v>
      </c>
      <c r="O19" s="2">
        <f>IF('Modell einstellen'!$B$1="Voll",J19/0.35,J19/0.35*2)</f>
        <v>-5.9907651428571431E-4</v>
      </c>
      <c r="P19" s="3">
        <f t="shared" si="1"/>
        <v>0.37582354135732149</v>
      </c>
      <c r="Q19" s="3"/>
      <c r="R19" s="3"/>
      <c r="S19" s="3"/>
      <c r="T19" s="3"/>
      <c r="U19" s="3"/>
      <c r="V19" s="3"/>
      <c r="W19" s="3"/>
      <c r="X19" s="3"/>
      <c r="Y19" s="3"/>
    </row>
    <row r="20" spans="1:25" x14ac:dyDescent="0.25">
      <c r="A20" s="3">
        <v>100</v>
      </c>
      <c r="B20" s="3">
        <v>3.235E-5</v>
      </c>
      <c r="C20" s="3">
        <v>1.6750000000000001E-4</v>
      </c>
      <c r="D20" s="3">
        <v>-4.8139999999999999E-4</v>
      </c>
      <c r="E20" s="3">
        <v>0</v>
      </c>
      <c r="F20" s="3">
        <v>0</v>
      </c>
      <c r="G20" s="3">
        <v>0</v>
      </c>
      <c r="H20" s="3">
        <v>8.2716410999999996E-5</v>
      </c>
      <c r="I20" s="3">
        <v>1.7208137999999999E-5</v>
      </c>
      <c r="J20" s="3">
        <v>-2.1638798E-4</v>
      </c>
      <c r="K20" s="3"/>
      <c r="L20" s="3">
        <f t="shared" si="0"/>
        <v>6.7199833818030741E-2</v>
      </c>
      <c r="M20" s="3"/>
      <c r="N20" s="2">
        <f>IF('Modell einstellen'!$B$1="Voll",H20/0.35,H20/0.35*2)</f>
        <v>2.3633260285714285E-4</v>
      </c>
      <c r="O20" s="2">
        <f>IF('Modell einstellen'!$B$1="Voll",J20/0.35,J20/0.35*2)</f>
        <v>-6.1825137142857149E-4</v>
      </c>
      <c r="P20" s="3">
        <f t="shared" si="1"/>
        <v>0.3822597308778426</v>
      </c>
      <c r="Q20" s="3"/>
      <c r="R20" s="3"/>
      <c r="S20" s="3"/>
      <c r="T20" s="3"/>
      <c r="U20" s="3"/>
      <c r="V20" s="3"/>
      <c r="W20" s="3"/>
      <c r="X20" s="3"/>
      <c r="Y20" s="3"/>
    </row>
    <row r="21" spans="1:25" x14ac:dyDescent="0.25">
      <c r="A21" s="3">
        <v>1000</v>
      </c>
      <c r="B21" s="3">
        <v>4.1669999999999999E-5</v>
      </c>
      <c r="C21" s="3">
        <v>1.8450000000000001E-4</v>
      </c>
      <c r="D21" s="3">
        <v>-5.0690000000000002E-4</v>
      </c>
      <c r="E21" s="3">
        <v>0</v>
      </c>
      <c r="F21" s="3">
        <v>0</v>
      </c>
      <c r="G21" s="3">
        <v>0</v>
      </c>
      <c r="H21" s="3">
        <v>8.8251495000000007E-5</v>
      </c>
      <c r="I21" s="3">
        <v>1.9129532000000001E-5</v>
      </c>
      <c r="J21" s="3">
        <v>-2.2853998999999999E-4</v>
      </c>
      <c r="K21" s="3"/>
      <c r="L21" s="3">
        <f t="shared" si="0"/>
        <v>8.2205563227461032E-2</v>
      </c>
      <c r="M21" s="3"/>
      <c r="N21" s="2">
        <f>IF('Modell einstellen'!$B$1="Voll",H21/0.35,H21/0.35*2)</f>
        <v>2.5214712857142861E-4</v>
      </c>
      <c r="O21" s="2">
        <f>IF('Modell einstellen'!$B$1="Voll",J21/0.35,J21/0.35*2)</f>
        <v>-6.5297140000000005E-4</v>
      </c>
      <c r="P21" s="3">
        <f t="shared" si="1"/>
        <v>0.38615340361220812</v>
      </c>
      <c r="Q21" s="3"/>
      <c r="R21" s="3"/>
      <c r="S21" s="3"/>
      <c r="T21" s="3"/>
      <c r="U21" s="3"/>
      <c r="V21" s="3"/>
      <c r="W21" s="3"/>
      <c r="X21" s="3"/>
      <c r="Y21" s="3"/>
    </row>
    <row r="22" spans="1:25" x14ac:dyDescent="0.25">
      <c r="A22" s="3">
        <v>10000</v>
      </c>
      <c r="B22" s="3">
        <v>7.0560000000000002E-5</v>
      </c>
      <c r="C22" s="3">
        <v>2.197E-4</v>
      </c>
      <c r="D22" s="3">
        <v>-5.6579999999999998E-4</v>
      </c>
      <c r="E22" s="3">
        <v>0</v>
      </c>
      <c r="F22" s="3">
        <v>0</v>
      </c>
      <c r="G22" s="3">
        <v>0</v>
      </c>
      <c r="H22" s="3">
        <v>9.6856348000000001E-5</v>
      </c>
      <c r="I22" s="3">
        <v>2.3198132000000002E-5</v>
      </c>
      <c r="J22" s="3">
        <v>-2.5051377999999998E-4</v>
      </c>
      <c r="K22" s="3"/>
      <c r="L22" s="3">
        <f t="shared" si="0"/>
        <v>0.1247083775185578</v>
      </c>
      <c r="M22" s="3"/>
      <c r="N22" s="2">
        <f>IF('Modell einstellen'!$B$1="Voll",H22/0.35,H22/0.35*2)</f>
        <v>2.7673242285714288E-4</v>
      </c>
      <c r="O22" s="2">
        <f>IF('Modell einstellen'!$B$1="Voll",J22/0.35,J22/0.35*2)</f>
        <v>-7.1575365714285713E-4</v>
      </c>
      <c r="P22" s="3">
        <f t="shared" si="1"/>
        <v>0.38663081927070042</v>
      </c>
      <c r="Q22" s="3"/>
      <c r="R22" s="3"/>
      <c r="S22" s="3"/>
      <c r="T22" s="3"/>
      <c r="U22" s="3"/>
      <c r="V22" s="3"/>
      <c r="W22" s="3"/>
      <c r="X22" s="3"/>
      <c r="Y22" s="3"/>
    </row>
    <row r="23" spans="1:25" x14ac:dyDescent="0.25">
      <c r="A23" s="3">
        <v>100000</v>
      </c>
      <c r="B23" s="3">
        <v>1.063E-4</v>
      </c>
      <c r="C23" s="3">
        <v>2.6420000000000003E-4</v>
      </c>
      <c r="D23" s="3">
        <v>-6.399E-4</v>
      </c>
      <c r="E23" s="3">
        <v>0</v>
      </c>
      <c r="F23" s="3">
        <v>0</v>
      </c>
      <c r="G23" s="3">
        <v>0</v>
      </c>
      <c r="H23" s="3">
        <v>1.0747357000000001E-4</v>
      </c>
      <c r="I23" s="3">
        <v>2.8507005E-5</v>
      </c>
      <c r="J23" s="3">
        <v>-2.7874197000000002E-4</v>
      </c>
      <c r="K23" s="3"/>
      <c r="L23" s="3">
        <f t="shared" si="0"/>
        <v>0.16611970620409439</v>
      </c>
      <c r="M23" s="3"/>
      <c r="N23" s="2">
        <f>IF('Modell einstellen'!$B$1="Voll",H23/0.35,H23/0.35*2)</f>
        <v>3.0706734285714291E-4</v>
      </c>
      <c r="O23" s="2">
        <f>IF('Modell einstellen'!$B$1="Voll",J23/0.35,J23/0.35*2)</f>
        <v>-7.9640562857142866E-4</v>
      </c>
      <c r="P23" s="3">
        <f t="shared" si="1"/>
        <v>0.38556651515378187</v>
      </c>
      <c r="Q23" s="3"/>
      <c r="R23" s="3"/>
      <c r="S23" s="3"/>
      <c r="T23" s="3"/>
      <c r="U23" s="3"/>
      <c r="V23" s="3"/>
      <c r="W23" s="3"/>
      <c r="X23" s="3"/>
      <c r="Y23" s="3"/>
    </row>
    <row r="24" spans="1:25" x14ac:dyDescent="0.25">
      <c r="A24" s="3">
        <v>1000000</v>
      </c>
      <c r="B24" s="3">
        <v>1.3889999999999999E-4</v>
      </c>
      <c r="C24" s="3">
        <v>3.0850000000000002E-4</v>
      </c>
      <c r="D24" s="3">
        <v>-7.1199999999999996E-4</v>
      </c>
      <c r="E24" s="3">
        <v>0</v>
      </c>
      <c r="F24" s="3">
        <v>0</v>
      </c>
      <c r="G24" s="3">
        <v>0</v>
      </c>
      <c r="H24" s="3">
        <v>1.1850418E-4</v>
      </c>
      <c r="I24" s="3">
        <v>3.3981201000000002E-5</v>
      </c>
      <c r="J24" s="3">
        <v>-3.0829308999999998E-4</v>
      </c>
      <c r="K24" s="3"/>
      <c r="L24" s="3">
        <f t="shared" si="0"/>
        <v>0.19508426966292133</v>
      </c>
      <c r="M24" s="3"/>
      <c r="N24" s="2">
        <f>IF('Modell einstellen'!$B$1="Voll",H24/0.35,H24/0.35*2)</f>
        <v>3.3858337142857143E-4</v>
      </c>
      <c r="O24" s="2">
        <f>IF('Modell einstellen'!$B$1="Voll",J24/0.35,J24/0.35*2)</f>
        <v>-8.8083740000000001E-4</v>
      </c>
      <c r="P24" s="3">
        <f t="shared" si="1"/>
        <v>0.38438805099394219</v>
      </c>
      <c r="Q24" s="3"/>
      <c r="R24" s="3"/>
      <c r="S24" s="3"/>
      <c r="T24" s="3"/>
      <c r="U24" s="3"/>
      <c r="V24" s="3"/>
      <c r="W24" s="3"/>
      <c r="X24" s="3"/>
      <c r="Y24" s="3"/>
    </row>
    <row r="25" spans="1:25" x14ac:dyDescent="0.25">
      <c r="A25" s="3">
        <v>10000000</v>
      </c>
      <c r="B25" s="3">
        <v>1.6440000000000001E-4</v>
      </c>
      <c r="C25" s="3">
        <v>3.503E-4</v>
      </c>
      <c r="D25" s="3">
        <v>-7.7649999999999996E-4</v>
      </c>
      <c r="E25" s="3">
        <v>0</v>
      </c>
      <c r="F25" s="3">
        <v>0</v>
      </c>
      <c r="G25" s="3">
        <v>0</v>
      </c>
      <c r="H25" s="3">
        <v>1.2995853E-4</v>
      </c>
      <c r="I25" s="3">
        <v>3.9342389000000001E-5</v>
      </c>
      <c r="J25" s="3">
        <v>-3.3834384000000001E-4</v>
      </c>
      <c r="K25" s="3"/>
      <c r="L25" s="3">
        <f t="shared" si="0"/>
        <v>0.21171925305859629</v>
      </c>
      <c r="M25" s="3"/>
      <c r="N25" s="2">
        <f>IF('Modell einstellen'!$B$1="Voll",H25/0.35,H25/0.35*2)</f>
        <v>3.7131008571428573E-4</v>
      </c>
      <c r="O25" s="2">
        <f>IF('Modell einstellen'!$B$1="Voll",J25/0.35,J25/0.35*2)</f>
        <v>-9.6669668571428577E-4</v>
      </c>
      <c r="P25" s="3">
        <f t="shared" si="1"/>
        <v>0.38410195379942486</v>
      </c>
      <c r="Q25" s="3"/>
      <c r="R25" s="3"/>
      <c r="S25" s="3"/>
      <c r="T25" s="3"/>
      <c r="U25" s="3"/>
      <c r="V25" s="3"/>
      <c r="W25" s="3"/>
      <c r="X25" s="3"/>
      <c r="Y25" s="3"/>
    </row>
    <row r="26" spans="1:25" x14ac:dyDescent="0.25">
      <c r="A26" s="3">
        <v>100000000</v>
      </c>
      <c r="B26" s="3">
        <v>1.8129999999999999E-4</v>
      </c>
      <c r="C26" s="3">
        <v>3.9159999999999998E-4</v>
      </c>
      <c r="D26" s="3">
        <v>-8.3410000000000005E-4</v>
      </c>
      <c r="E26" s="3">
        <v>0</v>
      </c>
      <c r="F26" s="3">
        <v>0</v>
      </c>
      <c r="G26" s="3">
        <v>0</v>
      </c>
      <c r="H26" s="3">
        <v>1.4269632000000001E-4</v>
      </c>
      <c r="I26" s="3">
        <v>4.4847800000000001E-5</v>
      </c>
      <c r="J26" s="3">
        <v>-3.7068078E-4</v>
      </c>
      <c r="K26" s="3"/>
      <c r="L26" s="3">
        <f t="shared" si="0"/>
        <v>0.21736002877352834</v>
      </c>
      <c r="M26" s="3"/>
      <c r="N26" s="2">
        <f>IF('Modell einstellen'!$B$1="Voll",H26/0.35,H26/0.35*2)</f>
        <v>4.077037714285715E-4</v>
      </c>
      <c r="O26" s="2">
        <f>IF('Modell einstellen'!$B$1="Voll",J26/0.35,J26/0.35*2)</f>
        <v>-1.0590879428571428E-3</v>
      </c>
      <c r="P26" s="3">
        <f t="shared" si="1"/>
        <v>0.38495742886912027</v>
      </c>
      <c r="Q26" s="3"/>
      <c r="R26" s="3"/>
      <c r="S26" s="3"/>
      <c r="T26" s="3"/>
      <c r="U26" s="3"/>
      <c r="V26" s="3"/>
      <c r="W26" s="3"/>
      <c r="X26" s="3"/>
      <c r="Y26" s="3"/>
    </row>
    <row r="27" spans="1:25" x14ac:dyDescent="0.25">
      <c r="A27" s="3">
        <v>1000000000</v>
      </c>
      <c r="B27" s="3">
        <v>1.875E-4</v>
      </c>
      <c r="C27" s="3">
        <v>4.3770000000000001E-4</v>
      </c>
      <c r="D27" s="3">
        <v>-8.8800000000000001E-4</v>
      </c>
      <c r="E27" s="3">
        <v>0</v>
      </c>
      <c r="F27" s="3">
        <v>0</v>
      </c>
      <c r="G27" s="3">
        <v>0</v>
      </c>
      <c r="H27" s="3">
        <v>1.5867605E-4</v>
      </c>
      <c r="I27" s="3">
        <v>5.1213568E-5</v>
      </c>
      <c r="J27" s="3">
        <v>-4.0983232000000002E-4</v>
      </c>
      <c r="K27" s="3"/>
      <c r="L27" s="3">
        <f t="shared" si="0"/>
        <v>0.21114864864864866</v>
      </c>
      <c r="M27" s="3"/>
      <c r="N27" s="2">
        <f>IF('Modell einstellen'!$B$1="Voll",H27/0.35,H27/0.35*2)</f>
        <v>4.5336014285714287E-4</v>
      </c>
      <c r="O27" s="2">
        <f>IF('Modell einstellen'!$B$1="Voll",J27/0.35,J27/0.35*2)</f>
        <v>-1.1709494857142858E-3</v>
      </c>
      <c r="P27" s="3">
        <f t="shared" si="1"/>
        <v>0.38717310045239967</v>
      </c>
      <c r="Q27" s="3"/>
      <c r="R27" s="3"/>
      <c r="S27" s="3"/>
      <c r="T27" s="3"/>
      <c r="U27" s="3"/>
      <c r="V27" s="3"/>
      <c r="W27" s="3"/>
      <c r="X27" s="3"/>
      <c r="Y27" s="3"/>
    </row>
    <row r="28" spans="1:25" x14ac:dyDescent="0.25">
      <c r="A28" s="3">
        <v>10000000000</v>
      </c>
      <c r="B28" s="3">
        <v>1.738E-4</v>
      </c>
      <c r="C28" s="3">
        <v>5.0180000000000005E-4</v>
      </c>
      <c r="D28" s="3">
        <v>-9.4260000000000004E-4</v>
      </c>
      <c r="E28" s="3">
        <v>0</v>
      </c>
      <c r="F28" s="3">
        <v>0</v>
      </c>
      <c r="G28" s="3">
        <v>0</v>
      </c>
      <c r="H28" s="3">
        <v>1.8332404000000001E-4</v>
      </c>
      <c r="I28" s="3">
        <v>6.0387133E-5</v>
      </c>
      <c r="J28" s="3">
        <v>-4.6838439999999999E-4</v>
      </c>
      <c r="K28" s="3"/>
      <c r="L28" s="3">
        <f t="shared" si="0"/>
        <v>0.18438361977509016</v>
      </c>
      <c r="M28" s="3"/>
      <c r="N28" s="2">
        <f>IF('Modell einstellen'!$B$1="Voll",H28/0.35,H28/0.35*2)</f>
        <v>5.2378297142857146E-4</v>
      </c>
      <c r="O28" s="2">
        <f>IF('Modell einstellen'!$B$1="Voll",J28/0.35,J28/0.35*2)</f>
        <v>-1.338241142857143E-3</v>
      </c>
      <c r="P28" s="3">
        <f t="shared" si="1"/>
        <v>0.39139655377079169</v>
      </c>
      <c r="Q28" s="3"/>
      <c r="R28" s="3"/>
      <c r="S28" s="3"/>
      <c r="T28" s="3"/>
      <c r="U28" s="3"/>
      <c r="V28" s="3"/>
      <c r="W28" s="3"/>
      <c r="X28" s="3"/>
      <c r="Y28" s="3"/>
    </row>
    <row r="29" spans="1:25" x14ac:dyDescent="0.25">
      <c r="A29" s="3">
        <v>100000000000</v>
      </c>
      <c r="B29" s="3">
        <v>1.1900000000000001E-4</v>
      </c>
      <c r="C29" s="3">
        <v>5.9860000000000002E-4</v>
      </c>
      <c r="D29" s="3">
        <v>-9.9130000000000008E-4</v>
      </c>
      <c r="E29" s="3">
        <v>0</v>
      </c>
      <c r="F29" s="3">
        <v>0</v>
      </c>
      <c r="G29" s="3">
        <v>0</v>
      </c>
      <c r="H29" s="3">
        <v>2.2337402000000001E-4</v>
      </c>
      <c r="I29" s="3">
        <v>7.4849756999999999E-5</v>
      </c>
      <c r="J29" s="3">
        <v>-5.6205003000000002E-4</v>
      </c>
      <c r="K29" s="3"/>
      <c r="L29" s="3">
        <f t="shared" si="0"/>
        <v>0.12004438615958841</v>
      </c>
      <c r="M29" s="3"/>
      <c r="N29" s="2">
        <f>IF('Modell einstellen'!$B$1="Voll",H29/0.35,H29/0.35*2)</f>
        <v>6.3821148571428581E-4</v>
      </c>
      <c r="O29" s="2">
        <f>IF('Modell einstellen'!$B$1="Voll",J29/0.35,J29/0.35*2)</f>
        <v>-1.6058572285714287E-3</v>
      </c>
      <c r="P29" s="3">
        <f t="shared" si="1"/>
        <v>0.39742728952438633</v>
      </c>
      <c r="Q29" s="3"/>
      <c r="R29" s="3"/>
      <c r="S29" s="3"/>
      <c r="T29" s="3"/>
      <c r="U29" s="3"/>
      <c r="V29" s="3"/>
      <c r="W29" s="3"/>
      <c r="X29" s="3"/>
      <c r="Y29" s="3"/>
    </row>
    <row r="30" spans="1:25" x14ac:dyDescent="0.25">
      <c r="A30" s="3">
        <v>1000000000000</v>
      </c>
      <c r="B30" s="3">
        <v>-3.8389999999999997E-5</v>
      </c>
      <c r="C30" s="3">
        <v>7.5960000000000003E-4</v>
      </c>
      <c r="D30" s="3">
        <v>-1.005E-3</v>
      </c>
      <c r="E30" s="3">
        <v>0</v>
      </c>
      <c r="F30" s="3">
        <v>0</v>
      </c>
      <c r="G30" s="3">
        <v>0</v>
      </c>
      <c r="H30" s="3">
        <v>2.9678852000000001E-4</v>
      </c>
      <c r="I30" s="3">
        <v>1.0030274E-4</v>
      </c>
      <c r="J30" s="3">
        <v>-7.2962943999999995E-4</v>
      </c>
      <c r="K30" s="3"/>
      <c r="L30" s="3">
        <f t="shared" si="0"/>
        <v>-3.8199004975124372E-2</v>
      </c>
      <c r="M30" s="3"/>
      <c r="N30" s="2">
        <f>IF('Modell einstellen'!$B$1="Voll",H30/0.35,H30/0.35*2)</f>
        <v>8.479672000000001E-4</v>
      </c>
      <c r="O30" s="2">
        <f>IF('Modell einstellen'!$B$1="Voll",J30/0.35,J30/0.35*2)</f>
        <v>-2.0846555428571428E-3</v>
      </c>
      <c r="P30" s="3">
        <f t="shared" si="1"/>
        <v>0.40676609759606197</v>
      </c>
      <c r="Q30" s="3"/>
      <c r="R30" s="3"/>
      <c r="S30" s="3"/>
      <c r="T30" s="3"/>
      <c r="U30" s="3"/>
      <c r="V30" s="3"/>
      <c r="W30" s="3"/>
      <c r="X30" s="3"/>
      <c r="Y30" s="3"/>
    </row>
    <row r="31" spans="1:25" x14ac:dyDescent="0.25">
      <c r="A31" s="3">
        <v>10000000000000</v>
      </c>
      <c r="B31" s="3">
        <v>-4.9989999999999995E-4</v>
      </c>
      <c r="C31" s="3">
        <v>1.072E-3</v>
      </c>
      <c r="D31" s="3">
        <v>-8.6729999999999999E-4</v>
      </c>
      <c r="E31" s="3">
        <v>0</v>
      </c>
      <c r="F31" s="3">
        <v>0</v>
      </c>
      <c r="G31" s="3">
        <v>0</v>
      </c>
      <c r="H31" s="3">
        <v>4.5733916999999999E-4</v>
      </c>
      <c r="I31" s="3">
        <v>1.5295201E-4</v>
      </c>
      <c r="J31" s="3">
        <v>-1.0838454999999999E-3</v>
      </c>
      <c r="K31" s="3"/>
      <c r="L31" s="3">
        <f t="shared" si="0"/>
        <v>-0.576386486798109</v>
      </c>
      <c r="M31" s="3"/>
      <c r="N31" s="2">
        <f>IF('Modell einstellen'!$B$1="Voll",H31/0.35,H31/0.35*2)</f>
        <v>1.306683342857143E-3</v>
      </c>
      <c r="O31" s="2">
        <f>IF('Modell einstellen'!$B$1="Voll",J31/0.35,J31/0.35*2)</f>
        <v>-3.0967014285714287E-3</v>
      </c>
      <c r="P31" s="3">
        <f t="shared" si="1"/>
        <v>0.42195974426244331</v>
      </c>
      <c r="Q31" s="3"/>
      <c r="R31" s="3"/>
      <c r="S31" s="3"/>
      <c r="T31" s="3"/>
      <c r="U31" s="3"/>
      <c r="V31" s="3"/>
      <c r="W31" s="3"/>
      <c r="X31" s="3"/>
      <c r="Y31" s="3"/>
    </row>
    <row r="32" spans="1:25" x14ac:dyDescent="0.25">
      <c r="A32" s="3">
        <v>100000000000000</v>
      </c>
      <c r="B32" s="3">
        <v>-1.6310000000000001E-3</v>
      </c>
      <c r="C32" s="3">
        <v>1.6479999999999999E-3</v>
      </c>
      <c r="D32" s="3">
        <v>-3.233E-4</v>
      </c>
      <c r="E32" s="3">
        <v>0</v>
      </c>
      <c r="F32" s="3">
        <v>0</v>
      </c>
      <c r="G32" s="3">
        <v>0</v>
      </c>
      <c r="H32" s="3">
        <v>7.8587009E-4</v>
      </c>
      <c r="I32" s="3">
        <v>2.5526029000000003E-4</v>
      </c>
      <c r="J32" s="3">
        <v>-1.785729E-3</v>
      </c>
      <c r="K32" s="3"/>
      <c r="L32" s="3">
        <f t="shared" si="0"/>
        <v>-5.0448499845344887</v>
      </c>
      <c r="M32" s="3"/>
      <c r="N32" s="2">
        <f>IF('Modell einstellen'!$B$1="Voll",H32/0.35,H32/0.35*2)</f>
        <v>2.2453431142857145E-3</v>
      </c>
      <c r="O32" s="2">
        <f>IF('Modell einstellen'!$B$1="Voll",J32/0.35,J32/0.35*2)</f>
        <v>-5.1020828571428575E-3</v>
      </c>
      <c r="P32" s="3">
        <f t="shared" si="1"/>
        <v>0.44008362411093732</v>
      </c>
      <c r="Q32" s="3"/>
      <c r="R32" s="3"/>
      <c r="S32" s="3"/>
      <c r="T32" s="3"/>
      <c r="U32" s="3"/>
      <c r="V32" s="3"/>
      <c r="W32" s="3"/>
      <c r="X32" s="3"/>
      <c r="Y32" s="3"/>
    </row>
    <row r="33" spans="1:25" x14ac:dyDescent="0.25">
      <c r="A33" s="2">
        <v>1000000000000000</v>
      </c>
      <c r="B33" s="3">
        <v>-3.9459999999999999E-3</v>
      </c>
      <c r="C33" s="3">
        <v>2.6770000000000001E-3</v>
      </c>
      <c r="D33" s="3">
        <v>9.5529999999999996E-4</v>
      </c>
      <c r="E33" s="3">
        <v>0</v>
      </c>
      <c r="F33" s="3">
        <v>0</v>
      </c>
      <c r="G33" s="3">
        <v>0</v>
      </c>
      <c r="H33" s="3">
        <v>1.4097812E-3</v>
      </c>
      <c r="I33" s="3">
        <v>4.4221259000000001E-4</v>
      </c>
      <c r="J33" s="3">
        <v>-3.0850089000000001E-3</v>
      </c>
      <c r="K33" s="3"/>
      <c r="L33" s="3">
        <f t="shared" si="0"/>
        <v>4.1306395896576991</v>
      </c>
      <c r="M33" s="3"/>
      <c r="N33" s="2">
        <f>IF('Modell einstellen'!$B$1="Voll",H33/0.35,H33/0.35*2)</f>
        <v>4.0279462857142857E-3</v>
      </c>
      <c r="O33" s="2">
        <f>IF('Modell einstellen'!$B$1="Voll",J33/0.35,J33/0.35*2)</f>
        <v>-8.8143111428571428E-3</v>
      </c>
      <c r="P33" s="3">
        <f t="shared" si="1"/>
        <v>0.45697800093866831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4.4129999999999999E-5</v>
      </c>
      <c r="C3" s="3">
        <v>1.5420000000000001E-4</v>
      </c>
      <c r="D3" s="3">
        <v>-4.7120000000000002E-4</v>
      </c>
      <c r="E3" s="3">
        <v>0</v>
      </c>
      <c r="F3" s="3">
        <v>0</v>
      </c>
      <c r="G3" s="3">
        <v>0</v>
      </c>
      <c r="H3" s="3">
        <v>7.1196389000000005E-5</v>
      </c>
      <c r="I3" s="3">
        <v>1.5717216999999999E-5</v>
      </c>
      <c r="J3" s="3">
        <v>-1.9787082999999999E-4</v>
      </c>
      <c r="K3" s="3"/>
      <c r="L3" s="3">
        <f>-B3/D3</f>
        <v>9.3654499151103562E-2</v>
      </c>
      <c r="M3" s="3"/>
      <c r="N3" s="2">
        <f>IF('Modell einstellen'!$B$1="Voll",H3/0.35,H3/0.35*2)</f>
        <v>2.0341825428571431E-4</v>
      </c>
      <c r="O3" s="2">
        <f>IF('Modell einstellen'!$B$1="Voll",J3/0.35,J3/0.35*2)</f>
        <v>-5.6534522857142858E-4</v>
      </c>
      <c r="P3" s="3">
        <f>-N3/O3</f>
        <v>0.35981245441786447</v>
      </c>
      <c r="Q3" s="3"/>
      <c r="R3" s="3"/>
      <c r="S3" s="3"/>
      <c r="T3" s="3"/>
      <c r="U3" s="3"/>
    </row>
    <row r="4" spans="1:21" x14ac:dyDescent="0.25">
      <c r="A4" s="3">
        <v>1E-14</v>
      </c>
      <c r="B4" s="3">
        <v>4.4129999999999999E-5</v>
      </c>
      <c r="C4" s="3">
        <v>1.5420000000000001E-4</v>
      </c>
      <c r="D4" s="3">
        <v>-4.7120000000000002E-4</v>
      </c>
      <c r="E4" s="3">
        <v>0</v>
      </c>
      <c r="F4" s="3">
        <v>0</v>
      </c>
      <c r="G4" s="3">
        <v>0</v>
      </c>
      <c r="H4" s="3">
        <v>7.1198031999999999E-5</v>
      </c>
      <c r="I4" s="3">
        <v>1.5718310999999998E-5</v>
      </c>
      <c r="J4" s="3">
        <v>-1.9786698000000001E-4</v>
      </c>
      <c r="K4" s="3"/>
      <c r="L4" s="3">
        <f t="shared" ref="L4:L33" si="0">-B4/D4</f>
        <v>9.3654499151103562E-2</v>
      </c>
      <c r="M4" s="3"/>
      <c r="N4" s="2">
        <f>IF('Modell einstellen'!$B$1="Voll",H4/0.35,H4/0.35*2)</f>
        <v>2.0342294857142858E-4</v>
      </c>
      <c r="O4" s="2">
        <f>IF('Modell einstellen'!$B$1="Voll",J4/0.35,J4/0.35*2)</f>
        <v>-5.6533422857142862E-4</v>
      </c>
      <c r="P4" s="3">
        <f t="shared" ref="P4:P33" si="1">-N4/O4</f>
        <v>0.35982775903286135</v>
      </c>
      <c r="Q4" s="3"/>
      <c r="R4" s="3"/>
      <c r="S4" s="3"/>
      <c r="T4" s="3"/>
      <c r="U4" s="3"/>
    </row>
    <row r="5" spans="1:21" x14ac:dyDescent="0.25">
      <c r="A5" s="3">
        <v>1E-13</v>
      </c>
      <c r="B5" s="3">
        <v>4.4129999999999999E-5</v>
      </c>
      <c r="C5" s="3">
        <v>1.5420000000000001E-4</v>
      </c>
      <c r="D5" s="3">
        <v>-4.7120000000000002E-4</v>
      </c>
      <c r="E5" s="3">
        <v>0</v>
      </c>
      <c r="F5" s="3">
        <v>0</v>
      </c>
      <c r="G5" s="3">
        <v>0</v>
      </c>
      <c r="H5" s="3">
        <v>7.1198407000000005E-5</v>
      </c>
      <c r="I5" s="3">
        <v>1.5718477999999998E-5</v>
      </c>
      <c r="J5" s="3">
        <v>-1.9786797000000001E-4</v>
      </c>
      <c r="K5" s="3"/>
      <c r="L5" s="3">
        <f t="shared" si="0"/>
        <v>9.3654499151103562E-2</v>
      </c>
      <c r="M5" s="3"/>
      <c r="N5" s="2">
        <f>IF('Modell einstellen'!$B$1="Voll",H5/0.35,H5/0.35*2)</f>
        <v>2.0342402000000004E-4</v>
      </c>
      <c r="O5" s="2">
        <f>IF('Modell einstellen'!$B$1="Voll",J5/0.35,J5/0.35*2)</f>
        <v>-5.6533705714285724E-4</v>
      </c>
      <c r="P5" s="3">
        <f t="shared" si="1"/>
        <v>0.35982785389671706</v>
      </c>
      <c r="Q5" s="3"/>
      <c r="R5" s="3"/>
      <c r="S5" s="3"/>
      <c r="T5" s="3"/>
      <c r="U5" s="3"/>
    </row>
    <row r="6" spans="1:21" x14ac:dyDescent="0.25">
      <c r="A6" s="3">
        <v>9.9999999999999998E-13</v>
      </c>
      <c r="B6" s="3">
        <v>4.4129999999999999E-5</v>
      </c>
      <c r="C6" s="3">
        <v>1.5420000000000001E-4</v>
      </c>
      <c r="D6" s="3">
        <v>-4.7120000000000002E-4</v>
      </c>
      <c r="E6" s="3">
        <v>0</v>
      </c>
      <c r="F6" s="3">
        <v>0</v>
      </c>
      <c r="G6" s="3">
        <v>0</v>
      </c>
      <c r="H6" s="3">
        <v>7.1198523000000002E-5</v>
      </c>
      <c r="I6" s="3">
        <v>1.5718524000000001E-5</v>
      </c>
      <c r="J6" s="3">
        <v>-1.9786825999999999E-4</v>
      </c>
      <c r="K6" s="3"/>
      <c r="L6" s="3">
        <f t="shared" si="0"/>
        <v>9.3654499151103562E-2</v>
      </c>
      <c r="M6" s="3"/>
      <c r="N6" s="2">
        <f>IF('Modell einstellen'!$B$1="Voll",H6/0.35,H6/0.35*2)</f>
        <v>2.0342435142857145E-4</v>
      </c>
      <c r="O6" s="2">
        <f>IF('Modell einstellen'!$B$1="Voll",J6/0.35,J6/0.35*2)</f>
        <v>-5.6533788571428573E-4</v>
      </c>
      <c r="P6" s="3">
        <f t="shared" si="1"/>
        <v>0.35982791277388299</v>
      </c>
      <c r="Q6" s="3"/>
      <c r="R6" s="3"/>
      <c r="S6" s="3"/>
      <c r="T6" s="3"/>
      <c r="U6" s="3"/>
    </row>
    <row r="7" spans="1:21" x14ac:dyDescent="0.25">
      <c r="A7" s="3">
        <v>9.9999999999999994E-12</v>
      </c>
      <c r="B7" s="3">
        <v>4.4129999999999999E-5</v>
      </c>
      <c r="C7" s="3">
        <v>1.5420000000000001E-4</v>
      </c>
      <c r="D7" s="3">
        <v>-4.7120000000000002E-4</v>
      </c>
      <c r="E7" s="3">
        <v>0</v>
      </c>
      <c r="F7" s="3">
        <v>0</v>
      </c>
      <c r="G7" s="3">
        <v>0</v>
      </c>
      <c r="H7" s="3">
        <v>7.1198561E-5</v>
      </c>
      <c r="I7" s="3">
        <v>1.5718537E-5</v>
      </c>
      <c r="J7" s="3">
        <v>-1.9786835000000001E-4</v>
      </c>
      <c r="K7" s="3"/>
      <c r="L7" s="3">
        <f t="shared" si="0"/>
        <v>9.3654499151103562E-2</v>
      </c>
      <c r="M7" s="3"/>
      <c r="N7" s="2">
        <f>IF('Modell einstellen'!$B$1="Voll",H7/0.35,H7/0.35*2)</f>
        <v>2.0342446000000001E-4</v>
      </c>
      <c r="O7" s="2">
        <f>IF('Modell einstellen'!$B$1="Voll",J7/0.35,J7/0.35*2)</f>
        <v>-5.6533814285714286E-4</v>
      </c>
      <c r="P7" s="3">
        <f t="shared" si="1"/>
        <v>0.35982794115380251</v>
      </c>
      <c r="Q7" s="3"/>
      <c r="R7" s="3"/>
      <c r="S7" s="3"/>
      <c r="T7" s="3"/>
      <c r="U7" s="3"/>
    </row>
    <row r="8" spans="1:21" x14ac:dyDescent="0.25">
      <c r="A8" s="3">
        <v>1E-10</v>
      </c>
      <c r="B8" s="3">
        <v>4.4129999999999999E-5</v>
      </c>
      <c r="C8" s="3">
        <v>1.5420000000000001E-4</v>
      </c>
      <c r="D8" s="3">
        <v>-4.7120000000000002E-4</v>
      </c>
      <c r="E8" s="3">
        <v>0</v>
      </c>
      <c r="F8" s="3">
        <v>0</v>
      </c>
      <c r="G8" s="3">
        <v>0</v>
      </c>
      <c r="H8" s="3">
        <v>7.1198577000000003E-5</v>
      </c>
      <c r="I8" s="3">
        <v>1.5718542E-5</v>
      </c>
      <c r="J8" s="3">
        <v>-1.9786838E-4</v>
      </c>
      <c r="K8" s="3"/>
      <c r="L8" s="3">
        <f t="shared" si="0"/>
        <v>9.3654499151103562E-2</v>
      </c>
      <c r="M8" s="3"/>
      <c r="N8" s="2">
        <f>IF('Modell einstellen'!$B$1="Voll",H8/0.35,H8/0.35*2)</f>
        <v>2.0342450571428572E-4</v>
      </c>
      <c r="O8" s="2">
        <f>IF('Modell einstellen'!$B$1="Voll",J8/0.35,J8/0.35*2)</f>
        <v>-5.6533822857142858E-4</v>
      </c>
      <c r="P8" s="3">
        <f t="shared" si="1"/>
        <v>0.3598279674599853</v>
      </c>
      <c r="Q8" s="3"/>
      <c r="R8" s="3"/>
      <c r="S8" s="3"/>
      <c r="T8" s="3"/>
      <c r="U8" s="3"/>
    </row>
    <row r="9" spans="1:21" x14ac:dyDescent="0.25">
      <c r="A9" s="3">
        <v>1.0000000000000001E-9</v>
      </c>
      <c r="B9" s="3">
        <v>4.4129999999999999E-5</v>
      </c>
      <c r="C9" s="3">
        <v>1.5420000000000001E-4</v>
      </c>
      <c r="D9" s="3">
        <v>-4.7120000000000002E-4</v>
      </c>
      <c r="E9" s="3">
        <v>0</v>
      </c>
      <c r="F9" s="3">
        <v>0</v>
      </c>
      <c r="G9" s="3">
        <v>0</v>
      </c>
      <c r="H9" s="3">
        <v>7.1198617000000006E-5</v>
      </c>
      <c r="I9" s="3">
        <v>1.5718548E-5</v>
      </c>
      <c r="J9" s="3">
        <v>-1.9786844999999999E-4</v>
      </c>
      <c r="K9" s="3"/>
      <c r="L9" s="3">
        <f t="shared" si="0"/>
        <v>9.3654499151103562E-2</v>
      </c>
      <c r="M9" s="3"/>
      <c r="N9" s="2">
        <f>IF('Modell einstellen'!$B$1="Voll",H9/0.35,H9/0.35*2)</f>
        <v>2.0342462000000003E-4</v>
      </c>
      <c r="O9" s="2">
        <f>IF('Modell einstellen'!$B$1="Voll",J9/0.35,J9/0.35*2)</f>
        <v>-5.6533842857142854E-4</v>
      </c>
      <c r="P9" s="3">
        <f t="shared" si="1"/>
        <v>0.35982804231801491</v>
      </c>
      <c r="Q9" s="3"/>
      <c r="R9" s="3"/>
      <c r="S9" s="3"/>
      <c r="T9" s="3"/>
      <c r="U9" s="3"/>
    </row>
    <row r="10" spans="1:21" x14ac:dyDescent="0.25">
      <c r="A10" s="3">
        <v>1E-8</v>
      </c>
      <c r="B10" s="3">
        <v>4.4129999999999999E-5</v>
      </c>
      <c r="C10" s="3">
        <v>1.5420000000000001E-4</v>
      </c>
      <c r="D10" s="3">
        <v>-4.7120000000000002E-4</v>
      </c>
      <c r="E10" s="3">
        <v>0</v>
      </c>
      <c r="F10" s="3">
        <v>0</v>
      </c>
      <c r="G10" s="3">
        <v>0</v>
      </c>
      <c r="H10" s="3">
        <v>7.1198967000000004E-5</v>
      </c>
      <c r="I10" s="3">
        <v>1.5718588999999999E-5</v>
      </c>
      <c r="J10" s="3">
        <v>-1.9786901E-4</v>
      </c>
      <c r="K10" s="3"/>
      <c r="L10" s="3">
        <f t="shared" si="0"/>
        <v>9.3654499151103562E-2</v>
      </c>
      <c r="M10" s="3"/>
      <c r="N10" s="2">
        <f>IF('Modell einstellen'!$B$1="Voll",H10/0.35,H10/0.35*2)</f>
        <v>2.0342562000000001E-4</v>
      </c>
      <c r="O10" s="2">
        <f>IF('Modell einstellen'!$B$1="Voll",J10/0.35,J10/0.35*2)</f>
        <v>-5.6534002857142865E-4</v>
      </c>
      <c r="P10" s="3">
        <f t="shared" si="1"/>
        <v>0.3598287927957996</v>
      </c>
      <c r="Q10" s="3"/>
      <c r="R10" s="3"/>
      <c r="S10" s="3"/>
      <c r="T10" s="3"/>
      <c r="U10" s="3"/>
    </row>
    <row r="11" spans="1:21" x14ac:dyDescent="0.25">
      <c r="A11" s="3">
        <v>9.9999999999999995E-8</v>
      </c>
      <c r="B11" s="3">
        <v>4.4129999999999999E-5</v>
      </c>
      <c r="C11" s="3">
        <v>1.5420000000000001E-4</v>
      </c>
      <c r="D11" s="3">
        <v>-4.7120000000000002E-4</v>
      </c>
      <c r="E11" s="3">
        <v>0</v>
      </c>
      <c r="F11" s="3">
        <v>0</v>
      </c>
      <c r="G11" s="3">
        <v>0</v>
      </c>
      <c r="H11" s="3">
        <v>7.1202458999999996E-5</v>
      </c>
      <c r="I11" s="3">
        <v>1.5719E-5</v>
      </c>
      <c r="J11" s="3">
        <v>-1.9787459000000001E-4</v>
      </c>
      <c r="K11" s="3"/>
      <c r="L11" s="3">
        <f t="shared" si="0"/>
        <v>9.3654499151103562E-2</v>
      </c>
      <c r="M11" s="3"/>
      <c r="N11" s="2">
        <f>IF('Modell einstellen'!$B$1="Voll",H11/0.35,H11/0.35*2)</f>
        <v>2.0343559714285715E-4</v>
      </c>
      <c r="O11" s="2">
        <f>IF('Modell einstellen'!$B$1="Voll",J11/0.35,J11/0.35*2)</f>
        <v>-5.6535597142857151E-4</v>
      </c>
      <c r="P11" s="3">
        <f t="shared" si="1"/>
        <v>0.35983629328050659</v>
      </c>
      <c r="Q11" s="3"/>
      <c r="R11" s="3"/>
      <c r="S11" s="3"/>
      <c r="T11" s="3"/>
      <c r="U11" s="3"/>
    </row>
    <row r="12" spans="1:21" x14ac:dyDescent="0.25">
      <c r="A12" s="3">
        <v>9.9999999999999995E-7</v>
      </c>
      <c r="B12" s="3">
        <v>4.409E-5</v>
      </c>
      <c r="C12" s="3">
        <v>1.5420000000000001E-4</v>
      </c>
      <c r="D12" s="3">
        <v>-4.7130000000000002E-4</v>
      </c>
      <c r="E12" s="3">
        <v>0</v>
      </c>
      <c r="F12" s="3">
        <v>0</v>
      </c>
      <c r="G12" s="3">
        <v>0</v>
      </c>
      <c r="H12" s="3">
        <v>7.1237144000000003E-5</v>
      </c>
      <c r="I12" s="3">
        <v>1.5723084000000002E-5</v>
      </c>
      <c r="J12" s="3">
        <v>-1.9792995999999999E-4</v>
      </c>
      <c r="K12" s="3"/>
      <c r="L12" s="3">
        <f t="shared" si="0"/>
        <v>9.3549755994058986E-2</v>
      </c>
      <c r="M12" s="3"/>
      <c r="N12" s="2">
        <f>IF('Modell einstellen'!$B$1="Voll",H12/0.35,H12/0.35*2)</f>
        <v>2.0353469714285717E-4</v>
      </c>
      <c r="O12" s="2">
        <f>IF('Modell einstellen'!$B$1="Voll",J12/0.35,J12/0.35*2)</f>
        <v>-5.6551417142857146E-4</v>
      </c>
      <c r="P12" s="3">
        <f t="shared" si="1"/>
        <v>0.35991086948130546</v>
      </c>
      <c r="Q12" s="3"/>
      <c r="R12" s="3"/>
      <c r="S12" s="3"/>
      <c r="T12" s="3"/>
      <c r="U12" s="3"/>
    </row>
    <row r="13" spans="1:21" x14ac:dyDescent="0.25">
      <c r="A13" s="3">
        <v>1.0000000000000001E-5</v>
      </c>
      <c r="B13" s="3">
        <v>4.3720000000000002E-5</v>
      </c>
      <c r="C13" s="3">
        <v>1.5459999999999999E-4</v>
      </c>
      <c r="D13" s="3">
        <v>-4.7150000000000002E-4</v>
      </c>
      <c r="E13" s="3">
        <v>0</v>
      </c>
      <c r="F13" s="3">
        <v>0</v>
      </c>
      <c r="G13" s="3">
        <v>0</v>
      </c>
      <c r="H13" s="3">
        <v>7.1561984999999996E-5</v>
      </c>
      <c r="I13" s="3">
        <v>1.5761291999999999E-5</v>
      </c>
      <c r="J13" s="3">
        <v>-1.9844835999999999E-4</v>
      </c>
      <c r="K13" s="3"/>
      <c r="L13" s="3">
        <f t="shared" si="0"/>
        <v>9.2725344644750796E-2</v>
      </c>
      <c r="M13" s="3"/>
      <c r="N13" s="2">
        <f>IF('Modell einstellen'!$B$1="Voll",H13/0.35,H13/0.35*2)</f>
        <v>2.0446281428571428E-4</v>
      </c>
      <c r="O13" s="2">
        <f>IF('Modell einstellen'!$B$1="Voll",J13/0.35,J13/0.35*2)</f>
        <v>-5.6699531428571425E-4</v>
      </c>
      <c r="P13" s="3">
        <f t="shared" si="1"/>
        <v>0.36060759081103017</v>
      </c>
      <c r="Q13" s="3"/>
      <c r="R13" s="3"/>
      <c r="S13" s="3"/>
      <c r="T13" s="3"/>
      <c r="U13" s="3"/>
    </row>
    <row r="14" spans="1:21" x14ac:dyDescent="0.25">
      <c r="A14" s="3">
        <v>1E-4</v>
      </c>
      <c r="B14" s="3">
        <v>4.1980000000000001E-5</v>
      </c>
      <c r="C14" s="3">
        <v>1.5669999999999999E-4</v>
      </c>
      <c r="D14" s="3">
        <v>-4.7350000000000002E-4</v>
      </c>
      <c r="E14" s="3">
        <v>0</v>
      </c>
      <c r="F14" s="3">
        <v>0</v>
      </c>
      <c r="G14" s="3">
        <v>0</v>
      </c>
      <c r="H14" s="3">
        <v>7.3446963000000002E-5</v>
      </c>
      <c r="I14" s="3">
        <v>1.6001136E-5</v>
      </c>
      <c r="J14" s="3">
        <v>-2.0150705000000001E-4</v>
      </c>
      <c r="K14" s="3"/>
      <c r="L14" s="3">
        <f t="shared" si="0"/>
        <v>8.865892291446674E-2</v>
      </c>
      <c r="M14" s="3"/>
      <c r="N14" s="2">
        <f>IF('Modell einstellen'!$B$1="Voll",H14/0.35,H14/0.35*2)</f>
        <v>2.0984846571428574E-4</v>
      </c>
      <c r="O14" s="2">
        <f>IF('Modell einstellen'!$B$1="Voll",J14/0.35,J14/0.35*2)</f>
        <v>-5.7573442857142862E-4</v>
      </c>
      <c r="P14" s="3">
        <f t="shared" si="1"/>
        <v>0.36448830450349007</v>
      </c>
      <c r="Q14" s="3"/>
      <c r="R14" s="3"/>
      <c r="S14" s="3"/>
      <c r="T14" s="3"/>
      <c r="U14" s="3"/>
    </row>
    <row r="15" spans="1:21" x14ac:dyDescent="0.25">
      <c r="A15" s="3">
        <v>1E-3</v>
      </c>
      <c r="B15" s="3">
        <v>3.9409999999999997E-5</v>
      </c>
      <c r="C15" s="3">
        <v>1.594E-4</v>
      </c>
      <c r="D15" s="3">
        <v>-4.7560000000000001E-4</v>
      </c>
      <c r="E15" s="3">
        <v>0</v>
      </c>
      <c r="F15" s="3">
        <v>0</v>
      </c>
      <c r="G15" s="3">
        <v>0</v>
      </c>
      <c r="H15" s="3">
        <v>7.5915032999999998E-5</v>
      </c>
      <c r="I15" s="3">
        <v>1.6303140999999999E-5</v>
      </c>
      <c r="J15" s="3">
        <v>-2.0545565000000001E-4</v>
      </c>
      <c r="K15" s="3"/>
      <c r="L15" s="3">
        <f t="shared" si="0"/>
        <v>8.2863751051303614E-2</v>
      </c>
      <c r="M15" s="3"/>
      <c r="N15" s="2">
        <f>IF('Modell einstellen'!$B$1="Voll",H15/0.35,H15/0.35*2)</f>
        <v>2.1690009428571429E-4</v>
      </c>
      <c r="O15" s="2">
        <f>IF('Modell einstellen'!$B$1="Voll",J15/0.35,J15/0.35*2)</f>
        <v>-5.8701614285714288E-4</v>
      </c>
      <c r="P15" s="3">
        <f t="shared" si="1"/>
        <v>0.36949596178055943</v>
      </c>
      <c r="Q15" s="3"/>
      <c r="R15" s="3"/>
      <c r="S15" s="3"/>
      <c r="T15" s="3"/>
      <c r="U15" s="3"/>
    </row>
    <row r="16" spans="1:21" x14ac:dyDescent="0.25">
      <c r="A16" s="3">
        <v>0.01</v>
      </c>
      <c r="B16" s="3">
        <v>3.6159999999999999E-5</v>
      </c>
      <c r="C16" s="3">
        <v>1.6239999999999999E-4</v>
      </c>
      <c r="D16" s="3">
        <v>-4.7770000000000001E-4</v>
      </c>
      <c r="E16" s="3">
        <v>0</v>
      </c>
      <c r="F16" s="3">
        <v>0</v>
      </c>
      <c r="G16" s="3">
        <v>0</v>
      </c>
      <c r="H16" s="3">
        <v>7.8785680000000006E-5</v>
      </c>
      <c r="I16" s="3">
        <v>1.6644215E-5</v>
      </c>
      <c r="J16" s="3">
        <v>-2.0999422000000001E-4</v>
      </c>
      <c r="K16" s="3"/>
      <c r="L16" s="3">
        <f t="shared" si="0"/>
        <v>7.5696043541971944E-2</v>
      </c>
      <c r="M16" s="3"/>
      <c r="N16" s="2">
        <f>IF('Modell einstellen'!$B$1="Voll",H16/0.35,H16/0.35*2)</f>
        <v>2.2510194285714288E-4</v>
      </c>
      <c r="O16" s="2">
        <f>IF('Modell einstellen'!$B$1="Voll",J16/0.35,J16/0.35*2)</f>
        <v>-5.9998348571428575E-4</v>
      </c>
      <c r="P16" s="3">
        <f t="shared" si="1"/>
        <v>0.37518023115112409</v>
      </c>
      <c r="Q16" s="3"/>
      <c r="R16" s="3"/>
      <c r="S16" s="3"/>
      <c r="T16" s="3"/>
      <c r="U16" s="3"/>
    </row>
    <row r="17" spans="1:21" x14ac:dyDescent="0.25">
      <c r="A17" s="3">
        <v>0.1</v>
      </c>
      <c r="B17" s="3">
        <v>3.171E-5</v>
      </c>
      <c r="C17" s="3">
        <v>1.661E-4</v>
      </c>
      <c r="D17" s="3">
        <v>-4.796E-4</v>
      </c>
      <c r="E17" s="3">
        <v>0</v>
      </c>
      <c r="F17" s="3">
        <v>0</v>
      </c>
      <c r="G17" s="3">
        <v>0</v>
      </c>
      <c r="H17" s="3">
        <v>8.2424144000000003E-5</v>
      </c>
      <c r="I17" s="3">
        <v>1.7062135E-5</v>
      </c>
      <c r="J17" s="3">
        <v>-2.1566983999999999E-4</v>
      </c>
      <c r="K17" s="3"/>
      <c r="L17" s="3">
        <f t="shared" si="0"/>
        <v>6.6117597998331945E-2</v>
      </c>
      <c r="M17" s="3"/>
      <c r="N17" s="2">
        <f>IF('Modell einstellen'!$B$1="Voll",H17/0.35,H17/0.35*2)</f>
        <v>2.3549755428571432E-4</v>
      </c>
      <c r="O17" s="2">
        <f>IF('Modell einstellen'!$B$1="Voll",J17/0.35,J17/0.35*2)</f>
        <v>-6.1619954285714292E-4</v>
      </c>
      <c r="P17" s="3">
        <f t="shared" si="1"/>
        <v>0.38217742453001313</v>
      </c>
      <c r="Q17" s="3"/>
      <c r="R17" s="3"/>
      <c r="S17" s="3"/>
      <c r="T17" s="3"/>
      <c r="U17" s="3"/>
    </row>
    <row r="18" spans="1:21" x14ac:dyDescent="0.25">
      <c r="A18" s="3">
        <v>1</v>
      </c>
      <c r="B18" s="3">
        <v>2.6299999999999999E-5</v>
      </c>
      <c r="C18" s="3">
        <v>1.7019999999999999E-4</v>
      </c>
      <c r="D18" s="3">
        <v>-4.8119999999999999E-4</v>
      </c>
      <c r="E18" s="3">
        <v>0</v>
      </c>
      <c r="F18" s="3">
        <v>0</v>
      </c>
      <c r="G18" s="3">
        <v>0</v>
      </c>
      <c r="H18" s="3">
        <v>8.6592362000000004E-5</v>
      </c>
      <c r="I18" s="3">
        <v>1.7532123000000001E-5</v>
      </c>
      <c r="J18" s="3">
        <v>-2.2209684E-4</v>
      </c>
      <c r="K18" s="3"/>
      <c r="L18" s="3">
        <f t="shared" si="0"/>
        <v>5.4655029093931835E-2</v>
      </c>
      <c r="M18" s="3"/>
      <c r="N18" s="2">
        <f>IF('Modell einstellen'!$B$1="Voll",H18/0.35,H18/0.35*2)</f>
        <v>2.4740674857142862E-4</v>
      </c>
      <c r="O18" s="2">
        <f>IF('Modell einstellen'!$B$1="Voll",J18/0.35,J18/0.35*2)</f>
        <v>-6.345624E-4</v>
      </c>
      <c r="P18" s="3">
        <f t="shared" si="1"/>
        <v>0.38988561025902041</v>
      </c>
      <c r="Q18" s="3"/>
      <c r="R18" s="3"/>
      <c r="S18" s="3"/>
      <c r="T18" s="3"/>
      <c r="U18" s="3"/>
    </row>
    <row r="19" spans="1:21" x14ac:dyDescent="0.25">
      <c r="A19" s="3">
        <v>10</v>
      </c>
      <c r="B19" s="3">
        <v>2.0299999999999999E-5</v>
      </c>
      <c r="C19" s="3">
        <v>1.7650000000000001E-4</v>
      </c>
      <c r="D19" s="3">
        <v>-4.8460000000000002E-4</v>
      </c>
      <c r="E19" s="3">
        <v>0</v>
      </c>
      <c r="F19" s="3">
        <v>0</v>
      </c>
      <c r="G19" s="3">
        <v>0</v>
      </c>
      <c r="H19" s="3">
        <v>9.1992653000000002E-5</v>
      </c>
      <c r="I19" s="3">
        <v>1.8252865E-5</v>
      </c>
      <c r="J19" s="3">
        <v>-2.3068123E-4</v>
      </c>
      <c r="K19" s="3"/>
      <c r="L19" s="3">
        <f t="shared" si="0"/>
        <v>4.1890218737102761E-2</v>
      </c>
      <c r="M19" s="3"/>
      <c r="N19" s="2">
        <f>IF('Modell einstellen'!$B$1="Voll",H19/0.35,H19/0.35*2)</f>
        <v>2.6283615142857147E-4</v>
      </c>
      <c r="O19" s="2">
        <f>IF('Modell einstellen'!$B$1="Voll",J19/0.35,J19/0.35*2)</f>
        <v>-6.5908922857142857E-4</v>
      </c>
      <c r="P19" s="3">
        <f t="shared" si="1"/>
        <v>0.3987869017344845</v>
      </c>
      <c r="Q19" s="3"/>
      <c r="R19" s="3"/>
      <c r="S19" s="3"/>
      <c r="T19" s="3"/>
      <c r="U19" s="3"/>
    </row>
    <row r="20" spans="1:21" x14ac:dyDescent="0.25">
      <c r="A20" s="3">
        <v>100</v>
      </c>
      <c r="B20" s="3">
        <v>2.1350000000000001E-5</v>
      </c>
      <c r="C20" s="3">
        <v>1.9320000000000001E-4</v>
      </c>
      <c r="D20" s="3">
        <v>-5.0379999999999999E-4</v>
      </c>
      <c r="E20" s="3">
        <v>0</v>
      </c>
      <c r="F20" s="3">
        <v>0</v>
      </c>
      <c r="G20" s="3">
        <v>0</v>
      </c>
      <c r="H20" s="3">
        <v>9.9872318999999994E-5</v>
      </c>
      <c r="I20" s="3">
        <v>2.0176715000000001E-5</v>
      </c>
      <c r="J20" s="3">
        <v>-2.4564283000000001E-4</v>
      </c>
      <c r="K20" s="3"/>
      <c r="L20" s="3">
        <f t="shared" si="0"/>
        <v>4.2377927749106793E-2</v>
      </c>
      <c r="M20" s="3"/>
      <c r="N20" s="2">
        <f>IF('Modell einstellen'!$B$1="Voll",H20/0.35,H20/0.35*2)</f>
        <v>2.8534948285714284E-4</v>
      </c>
      <c r="O20" s="2">
        <f>IF('Modell einstellen'!$B$1="Voll",J20/0.35,J20/0.35*2)</f>
        <v>-7.0183665714285723E-4</v>
      </c>
      <c r="P20" s="3">
        <f t="shared" si="1"/>
        <v>0.40657534762972719</v>
      </c>
      <c r="Q20" s="3"/>
      <c r="R20" s="3"/>
      <c r="S20" s="3"/>
      <c r="T20" s="3"/>
      <c r="U20" s="3"/>
    </row>
    <row r="21" spans="1:21" x14ac:dyDescent="0.25">
      <c r="A21" s="3">
        <v>1000</v>
      </c>
      <c r="B21" s="3">
        <v>4.3770000000000003E-5</v>
      </c>
      <c r="C21" s="3">
        <v>2.3110000000000001E-4</v>
      </c>
      <c r="D21" s="3">
        <v>-5.6030000000000001E-4</v>
      </c>
      <c r="E21" s="3">
        <v>0</v>
      </c>
      <c r="F21" s="3">
        <v>0</v>
      </c>
      <c r="G21" s="3">
        <v>0</v>
      </c>
      <c r="H21" s="3">
        <v>1.1064323999999999E-4</v>
      </c>
      <c r="I21" s="3">
        <v>2.4620198E-5</v>
      </c>
      <c r="J21" s="3">
        <v>-2.7143738999999998E-4</v>
      </c>
      <c r="K21" s="3"/>
      <c r="L21" s="3">
        <f t="shared" si="0"/>
        <v>7.8118864893806886E-2</v>
      </c>
      <c r="M21" s="3"/>
      <c r="N21" s="2">
        <f>IF('Modell einstellen'!$B$1="Voll",H21/0.35,H21/0.35*2)</f>
        <v>3.1612354285714289E-4</v>
      </c>
      <c r="O21" s="2">
        <f>IF('Modell einstellen'!$B$1="Voll",J21/0.35,J21/0.35*2)</f>
        <v>-7.7553539999999997E-4</v>
      </c>
      <c r="P21" s="3">
        <f t="shared" si="1"/>
        <v>0.40761974612266944</v>
      </c>
      <c r="Q21" s="3"/>
      <c r="R21" s="3"/>
      <c r="S21" s="3"/>
      <c r="T21" s="3"/>
      <c r="U21" s="3"/>
    </row>
    <row r="22" spans="1:21" x14ac:dyDescent="0.25">
      <c r="A22" s="3">
        <v>10000</v>
      </c>
      <c r="B22" s="3">
        <v>7.7529999999999998E-5</v>
      </c>
      <c r="C22" s="3">
        <v>2.8269999999999999E-4</v>
      </c>
      <c r="D22" s="3">
        <v>-6.3969999999999999E-4</v>
      </c>
      <c r="E22" s="3">
        <v>0</v>
      </c>
      <c r="F22" s="3">
        <v>0</v>
      </c>
      <c r="G22" s="3">
        <v>0</v>
      </c>
      <c r="H22" s="3">
        <v>1.2323548E-4</v>
      </c>
      <c r="I22" s="3">
        <v>3.0881842999999997E-5</v>
      </c>
      <c r="J22" s="3">
        <v>-3.0507026E-4</v>
      </c>
      <c r="K22" s="3"/>
      <c r="L22" s="3">
        <f t="shared" si="0"/>
        <v>0.12119743629826481</v>
      </c>
      <c r="M22" s="3"/>
      <c r="N22" s="2">
        <f>IF('Modell einstellen'!$B$1="Voll",H22/0.35,H22/0.35*2)</f>
        <v>3.5210137142857145E-4</v>
      </c>
      <c r="O22" s="2">
        <f>IF('Modell einstellen'!$B$1="Voll",J22/0.35,J22/0.35*2)</f>
        <v>-8.7162931428571438E-4</v>
      </c>
      <c r="P22" s="3">
        <f t="shared" si="1"/>
        <v>0.40395769813812726</v>
      </c>
      <c r="Q22" s="3"/>
      <c r="R22" s="3"/>
      <c r="S22" s="3"/>
      <c r="T22" s="3"/>
      <c r="U22" s="3"/>
    </row>
    <row r="23" spans="1:21" x14ac:dyDescent="0.25">
      <c r="A23" s="3">
        <v>100000</v>
      </c>
      <c r="B23" s="3">
        <v>1.081E-4</v>
      </c>
      <c r="C23" s="3">
        <v>3.3780000000000003E-4</v>
      </c>
      <c r="D23" s="3">
        <v>-7.205E-4</v>
      </c>
      <c r="E23" s="3">
        <v>0</v>
      </c>
      <c r="F23" s="3">
        <v>0</v>
      </c>
      <c r="G23" s="3">
        <v>0</v>
      </c>
      <c r="H23" s="3">
        <v>1.3742002E-4</v>
      </c>
      <c r="I23" s="3">
        <v>3.7848795999999998E-5</v>
      </c>
      <c r="J23" s="3">
        <v>-3.4312448000000002E-4</v>
      </c>
      <c r="K23" s="3"/>
      <c r="L23" s="3">
        <f t="shared" si="0"/>
        <v>0.15003469812630119</v>
      </c>
      <c r="M23" s="3"/>
      <c r="N23" s="2">
        <f>IF('Modell einstellen'!$B$1="Voll",H23/0.35,H23/0.35*2)</f>
        <v>3.9262862857142859E-4</v>
      </c>
      <c r="O23" s="2">
        <f>IF('Modell einstellen'!$B$1="Voll",J23/0.35,J23/0.35*2)</f>
        <v>-9.803556571428573E-4</v>
      </c>
      <c r="P23" s="3">
        <f t="shared" si="1"/>
        <v>0.40049611149866071</v>
      </c>
      <c r="Q23" s="3"/>
      <c r="R23" s="3"/>
      <c r="S23" s="3"/>
      <c r="T23" s="3"/>
      <c r="U23" s="3"/>
    </row>
    <row r="24" spans="1:21" x14ac:dyDescent="0.25">
      <c r="A24" s="3">
        <v>1000000</v>
      </c>
      <c r="B24" s="3">
        <v>1.2769999999999999E-4</v>
      </c>
      <c r="C24" s="3">
        <v>3.948E-4</v>
      </c>
      <c r="D24" s="3">
        <v>-7.9500000000000003E-4</v>
      </c>
      <c r="E24" s="3">
        <v>0</v>
      </c>
      <c r="F24" s="3">
        <v>0</v>
      </c>
      <c r="G24" s="3">
        <v>0</v>
      </c>
      <c r="H24" s="3">
        <v>1.5458875999999999E-4</v>
      </c>
      <c r="I24" s="3">
        <v>4.5409998999999998E-5</v>
      </c>
      <c r="J24" s="3">
        <v>-3.8692875000000002E-4</v>
      </c>
      <c r="K24" s="3"/>
      <c r="L24" s="3">
        <f t="shared" si="0"/>
        <v>0.16062893081761004</v>
      </c>
      <c r="M24" s="3"/>
      <c r="N24" s="2">
        <f>IF('Modell einstellen'!$B$1="Voll",H24/0.35,H24/0.35*2)</f>
        <v>4.4168217142857142E-4</v>
      </c>
      <c r="O24" s="2">
        <f>IF('Modell einstellen'!$B$1="Voll",J24/0.35,J24/0.35*2)</f>
        <v>-1.1055107142857144E-3</v>
      </c>
      <c r="P24" s="3">
        <f t="shared" si="1"/>
        <v>0.39952771666618203</v>
      </c>
      <c r="Q24" s="3"/>
      <c r="R24" s="3"/>
      <c r="S24" s="3"/>
      <c r="T24" s="3"/>
      <c r="U24" s="3"/>
    </row>
    <row r="25" spans="1:21" x14ac:dyDescent="0.25">
      <c r="A25" s="3">
        <v>10000000</v>
      </c>
      <c r="B25" s="3">
        <v>1.247E-4</v>
      </c>
      <c r="C25" s="3">
        <v>4.6440000000000001E-4</v>
      </c>
      <c r="D25" s="3">
        <v>-8.633E-4</v>
      </c>
      <c r="E25" s="3">
        <v>0</v>
      </c>
      <c r="F25" s="3">
        <v>0</v>
      </c>
      <c r="G25" s="3">
        <v>0</v>
      </c>
      <c r="H25" s="3">
        <v>1.8028515E-4</v>
      </c>
      <c r="I25" s="3">
        <v>5.5134611999999998E-5</v>
      </c>
      <c r="J25" s="3">
        <v>-4.4791862000000002E-4</v>
      </c>
      <c r="K25" s="3"/>
      <c r="L25" s="3">
        <f t="shared" si="0"/>
        <v>0.14444573149542453</v>
      </c>
      <c r="M25" s="3"/>
      <c r="N25" s="2">
        <f>IF('Modell einstellen'!$B$1="Voll",H25/0.35,H25/0.35*2)</f>
        <v>5.1510042857142856E-4</v>
      </c>
      <c r="O25" s="2">
        <f>IF('Modell einstellen'!$B$1="Voll",J25/0.35,J25/0.35*2)</f>
        <v>-1.2797674857142859E-3</v>
      </c>
      <c r="P25" s="3">
        <f t="shared" si="1"/>
        <v>0.40249532381574127</v>
      </c>
      <c r="Q25" s="3"/>
      <c r="R25" s="3"/>
      <c r="S25" s="3"/>
      <c r="T25" s="3"/>
      <c r="U25" s="3"/>
    </row>
    <row r="26" spans="1:21" x14ac:dyDescent="0.25">
      <c r="A26" s="3">
        <v>100000000</v>
      </c>
      <c r="B26" s="3">
        <v>7.9010000000000004E-5</v>
      </c>
      <c r="C26" s="3">
        <v>5.6150000000000004E-4</v>
      </c>
      <c r="D26" s="3">
        <v>-9.1980000000000002E-4</v>
      </c>
      <c r="E26" s="3">
        <v>0</v>
      </c>
      <c r="F26" s="3">
        <v>0</v>
      </c>
      <c r="G26" s="3">
        <v>0</v>
      </c>
      <c r="H26" s="3">
        <v>2.2108277000000001E-4</v>
      </c>
      <c r="I26" s="3">
        <v>6.9456720000000003E-5</v>
      </c>
      <c r="J26" s="3">
        <v>-5.4139352999999998E-4</v>
      </c>
      <c r="K26" s="3"/>
      <c r="L26" s="3">
        <f t="shared" si="0"/>
        <v>8.5899108501848231E-2</v>
      </c>
      <c r="M26" s="3"/>
      <c r="N26" s="2">
        <f>IF('Modell einstellen'!$B$1="Voll",H26/0.35,H26/0.35*2)</f>
        <v>6.3166505714285718E-4</v>
      </c>
      <c r="O26" s="2">
        <f>IF('Modell einstellen'!$B$1="Voll",J26/0.35,J26/0.35*2)</f>
        <v>-1.5468386571428571E-3</v>
      </c>
      <c r="P26" s="3">
        <f t="shared" si="1"/>
        <v>0.40835872198177181</v>
      </c>
      <c r="Q26" s="3"/>
      <c r="R26" s="3"/>
      <c r="S26" s="3"/>
      <c r="T26" s="3"/>
      <c r="U26" s="3"/>
    </row>
    <row r="27" spans="1:21" x14ac:dyDescent="0.25">
      <c r="A27" s="3">
        <v>1000000000</v>
      </c>
      <c r="B27" s="3">
        <v>-7.1299999999999998E-5</v>
      </c>
      <c r="C27" s="3">
        <v>7.1659999999999996E-4</v>
      </c>
      <c r="D27" s="3">
        <v>-9.3300000000000002E-4</v>
      </c>
      <c r="E27" s="3">
        <v>0</v>
      </c>
      <c r="F27" s="3">
        <v>0</v>
      </c>
      <c r="G27" s="3">
        <v>0</v>
      </c>
      <c r="H27" s="3">
        <v>2.9380897999999999E-4</v>
      </c>
      <c r="I27" s="3">
        <v>9.3722209E-5</v>
      </c>
      <c r="J27" s="3">
        <v>-7.0361765000000003E-4</v>
      </c>
      <c r="K27" s="3"/>
      <c r="L27" s="3">
        <f t="shared" si="0"/>
        <v>-7.6420150053590569E-2</v>
      </c>
      <c r="M27" s="3"/>
      <c r="N27" s="2">
        <f>IF('Modell einstellen'!$B$1="Voll",H27/0.35,H27/0.35*2)</f>
        <v>8.3945422857142861E-4</v>
      </c>
      <c r="O27" s="2">
        <f>IF('Modell einstellen'!$B$1="Voll",J27/0.35,J27/0.35*2)</f>
        <v>-2.0103361428571429E-3</v>
      </c>
      <c r="P27" s="3">
        <f t="shared" si="1"/>
        <v>0.41756908741558713</v>
      </c>
      <c r="Q27" s="3"/>
      <c r="R27" s="3"/>
      <c r="S27" s="3"/>
      <c r="T27" s="3"/>
      <c r="U27" s="3"/>
    </row>
    <row r="28" spans="1:21" x14ac:dyDescent="0.25">
      <c r="A28" s="3">
        <v>10000000000</v>
      </c>
      <c r="B28" s="3">
        <v>-5.2079999999999997E-4</v>
      </c>
      <c r="C28" s="3">
        <v>1.013E-3</v>
      </c>
      <c r="D28" s="3">
        <v>-7.9069999999999997E-4</v>
      </c>
      <c r="E28" s="3">
        <v>0</v>
      </c>
      <c r="F28" s="3">
        <v>0</v>
      </c>
      <c r="G28" s="3">
        <v>0</v>
      </c>
      <c r="H28" s="3">
        <v>4.5070971999999998E-4</v>
      </c>
      <c r="I28" s="3">
        <v>1.4327417000000001E-4</v>
      </c>
      <c r="J28" s="3">
        <v>-1.0426226E-3</v>
      </c>
      <c r="K28" s="3"/>
      <c r="L28" s="3">
        <f t="shared" si="0"/>
        <v>-0.65865688630327557</v>
      </c>
      <c r="M28" s="3"/>
      <c r="N28" s="2">
        <f>IF('Modell einstellen'!$B$1="Voll",H28/0.35,H28/0.35*2)</f>
        <v>1.2877420571428572E-3</v>
      </c>
      <c r="O28" s="2">
        <f>IF('Modell einstellen'!$B$1="Voll",J28/0.35,J28/0.35*2)</f>
        <v>-2.9789217142857146E-3</v>
      </c>
      <c r="P28" s="3">
        <f t="shared" si="1"/>
        <v>0.43228462532847456</v>
      </c>
      <c r="Q28" s="3"/>
      <c r="R28" s="3"/>
      <c r="S28" s="3"/>
      <c r="T28" s="3"/>
      <c r="U28" s="3"/>
    </row>
    <row r="29" spans="1:21" x14ac:dyDescent="0.25">
      <c r="A29" s="3">
        <v>100000000000</v>
      </c>
      <c r="B29" s="3">
        <v>-1.6260000000000001E-3</v>
      </c>
      <c r="C29" s="3">
        <v>1.5590000000000001E-3</v>
      </c>
      <c r="D29" s="3">
        <v>-2.4130000000000001E-4</v>
      </c>
      <c r="E29" s="3">
        <v>0</v>
      </c>
      <c r="F29" s="3">
        <v>0</v>
      </c>
      <c r="G29" s="3">
        <v>0</v>
      </c>
      <c r="H29" s="3">
        <v>7.7029338999999998E-4</v>
      </c>
      <c r="I29" s="3">
        <v>2.3965552999999999E-4</v>
      </c>
      <c r="J29" s="3">
        <v>-1.7138715E-3</v>
      </c>
      <c r="K29" s="3"/>
      <c r="L29" s="3">
        <f t="shared" si="0"/>
        <v>-6.7384997927890593</v>
      </c>
      <c r="M29" s="3"/>
      <c r="N29" s="2">
        <f>IF('Modell einstellen'!$B$1="Voll",H29/0.35,H29/0.35*2)</f>
        <v>2.200838257142857E-3</v>
      </c>
      <c r="O29" s="2">
        <f>IF('Modell einstellen'!$B$1="Voll",J29/0.35,J29/0.35*2)</f>
        <v>-4.8967757142857147E-3</v>
      </c>
      <c r="P29" s="3">
        <f t="shared" si="1"/>
        <v>0.44944640832174404</v>
      </c>
      <c r="Q29" s="3"/>
      <c r="R29" s="3"/>
      <c r="S29" s="3"/>
      <c r="T29" s="3"/>
      <c r="U29" s="3"/>
    </row>
    <row r="30" spans="1:21" x14ac:dyDescent="0.25">
      <c r="A30" s="3">
        <v>1000000000000</v>
      </c>
      <c r="B30" s="3">
        <v>-3.8960000000000002E-3</v>
      </c>
      <c r="C30" s="3">
        <v>2.539E-3</v>
      </c>
      <c r="D30" s="3">
        <v>1.041E-3</v>
      </c>
      <c r="E30" s="3">
        <v>0</v>
      </c>
      <c r="F30" s="3">
        <v>0</v>
      </c>
      <c r="G30" s="3">
        <v>0</v>
      </c>
      <c r="H30" s="3">
        <v>1.3771527E-3</v>
      </c>
      <c r="I30" s="3">
        <v>4.1724421999999998E-4</v>
      </c>
      <c r="J30" s="3">
        <v>-2.9625049999999998E-3</v>
      </c>
      <c r="K30" s="3"/>
      <c r="L30" s="3">
        <f t="shared" si="0"/>
        <v>3.7425552353506246</v>
      </c>
      <c r="M30" s="3"/>
      <c r="N30" s="2">
        <f>IF('Modell einstellen'!$B$1="Voll",H30/0.35,H30/0.35*2)</f>
        <v>3.9347219999999999E-3</v>
      </c>
      <c r="O30" s="2">
        <f>IF('Modell einstellen'!$B$1="Voll",J30/0.35,J30/0.35*2)</f>
        <v>-8.4642999999999993E-3</v>
      </c>
      <c r="P30" s="3">
        <f t="shared" si="1"/>
        <v>0.46486088631074041</v>
      </c>
      <c r="Q30" s="3"/>
      <c r="R30" s="3"/>
      <c r="S30" s="3"/>
      <c r="T30" s="3"/>
      <c r="U30" s="3"/>
    </row>
    <row r="31" spans="1:21" x14ac:dyDescent="0.25">
      <c r="A31" s="3">
        <v>10000000000000</v>
      </c>
      <c r="B31" s="3">
        <v>-8.1429999999999992E-3</v>
      </c>
      <c r="C31" s="3">
        <v>4.267E-3</v>
      </c>
      <c r="D31" s="3">
        <v>3.5539999999999999E-3</v>
      </c>
      <c r="E31" s="3">
        <v>0</v>
      </c>
      <c r="F31" s="3">
        <v>0</v>
      </c>
      <c r="G31" s="3">
        <v>0</v>
      </c>
      <c r="H31" s="3">
        <v>2.4894317000000001E-3</v>
      </c>
      <c r="I31" s="3">
        <v>7.3721020000000004E-4</v>
      </c>
      <c r="J31" s="3">
        <v>-5.2133461000000002E-3</v>
      </c>
      <c r="K31" s="3"/>
      <c r="L31" s="3">
        <f t="shared" si="0"/>
        <v>2.2912211592571747</v>
      </c>
      <c r="M31" s="3"/>
      <c r="N31" s="2">
        <f>IF('Modell einstellen'!$B$1="Voll",H31/0.35,H31/0.35*2)</f>
        <v>7.1126620000000005E-3</v>
      </c>
      <c r="O31" s="2">
        <f>IF('Modell einstellen'!$B$1="Voll",J31/0.35,J31/0.35*2)</f>
        <v>-1.4895274571428573E-2</v>
      </c>
      <c r="P31" s="3">
        <f t="shared" si="1"/>
        <v>0.47751130507142042</v>
      </c>
      <c r="Q31" s="3"/>
      <c r="R31" s="3"/>
      <c r="S31" s="3"/>
      <c r="T31" s="3"/>
      <c r="U31" s="3"/>
    </row>
    <row r="32" spans="1:21" x14ac:dyDescent="0.25">
      <c r="A32" s="3">
        <v>100000000000000</v>
      </c>
      <c r="B32" s="3">
        <v>-1.244E-2</v>
      </c>
      <c r="C32" s="3">
        <v>5.9930000000000001E-3</v>
      </c>
      <c r="D32" s="3">
        <v>6.1180000000000002E-3</v>
      </c>
      <c r="E32" s="3">
        <v>0</v>
      </c>
      <c r="F32" s="3">
        <v>0</v>
      </c>
      <c r="G32" s="3">
        <v>0</v>
      </c>
      <c r="H32" s="3">
        <v>3.6301923000000001E-3</v>
      </c>
      <c r="I32" s="3">
        <v>1.0699716000000001E-3</v>
      </c>
      <c r="J32" s="3">
        <v>-7.5153310999999997E-3</v>
      </c>
      <c r="K32" s="3"/>
      <c r="L32" s="3">
        <f t="shared" si="0"/>
        <v>2.0333442301405689</v>
      </c>
      <c r="M32" s="3"/>
      <c r="N32" s="2">
        <f>IF('Modell einstellen'!$B$1="Voll",H32/0.35,H32/0.35*2)</f>
        <v>1.0371978E-2</v>
      </c>
      <c r="O32" s="2">
        <f>IF('Modell einstellen'!$B$1="Voll",J32/0.35,J32/0.35*2)</f>
        <v>-2.1472374571428574E-2</v>
      </c>
      <c r="P32" s="3">
        <f t="shared" si="1"/>
        <v>0.48303823899388809</v>
      </c>
      <c r="Q32" s="3"/>
      <c r="R32" s="3"/>
      <c r="S32" s="3"/>
      <c r="T32" s="3"/>
      <c r="U32" s="3"/>
    </row>
    <row r="33" spans="1:21" x14ac:dyDescent="0.25">
      <c r="A33" s="2">
        <v>1000000000000000</v>
      </c>
      <c r="B33" s="3">
        <v>-1.436E-2</v>
      </c>
      <c r="C33" s="3">
        <v>6.8149999999999999E-3</v>
      </c>
      <c r="D33" s="3">
        <v>7.2150000000000001E-3</v>
      </c>
      <c r="E33" s="3">
        <v>0</v>
      </c>
      <c r="F33" s="3">
        <v>0</v>
      </c>
      <c r="G33" s="3">
        <v>0</v>
      </c>
      <c r="H33" s="3">
        <v>4.1610880999999999E-3</v>
      </c>
      <c r="I33" s="3">
        <v>1.2351806E-3</v>
      </c>
      <c r="J33" s="3">
        <v>-8.6153549000000003E-3</v>
      </c>
      <c r="K33" s="3"/>
      <c r="L33" s="3">
        <f t="shared" si="0"/>
        <v>1.9902979902979903</v>
      </c>
      <c r="M33" s="3"/>
      <c r="N33" s="2">
        <f>IF('Modell einstellen'!$B$1="Voll",H33/0.35,H33/0.35*2)</f>
        <v>1.1888823142857143E-2</v>
      </c>
      <c r="O33" s="2">
        <f>IF('Modell einstellen'!$B$1="Voll",J33/0.35,J33/0.35*2)</f>
        <v>-2.4615299714285718E-2</v>
      </c>
      <c r="P33" s="3">
        <f t="shared" si="1"/>
        <v>0.48298510604595052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4.634E-5</v>
      </c>
      <c r="C3" s="3">
        <v>1.5569999999999999E-4</v>
      </c>
      <c r="D3" s="3">
        <v>-4.7449999999999999E-4</v>
      </c>
      <c r="E3" s="3">
        <v>0</v>
      </c>
      <c r="F3" s="3">
        <v>0</v>
      </c>
      <c r="G3" s="3">
        <v>0</v>
      </c>
      <c r="H3" s="3">
        <v>7.1422107999999997E-5</v>
      </c>
      <c r="I3" s="3">
        <v>1.5889279999999999E-5</v>
      </c>
      <c r="J3" s="3">
        <v>-1.9867771999999999E-4</v>
      </c>
      <c r="K3" s="2"/>
      <c r="L3" s="3"/>
      <c r="M3" s="3"/>
      <c r="N3" s="2">
        <f>IF('Modell einstellen'!$B$1="Voll",H3/0.35,H3/0.35*2)</f>
        <v>2.0406316571428571E-4</v>
      </c>
      <c r="O3" s="2">
        <f>IF('Modell einstellen'!$B$1="Voll",J3/0.35,J3/0.35*2)</f>
        <v>-5.6765062857142858E-4</v>
      </c>
      <c r="P3" s="3">
        <f>-N3/O3</f>
        <v>0.35948725403130255</v>
      </c>
      <c r="Q3" s="3"/>
      <c r="R3" s="3"/>
      <c r="S3" s="3"/>
      <c r="T3" s="3"/>
      <c r="U3" s="3"/>
    </row>
    <row r="4" spans="1:21" x14ac:dyDescent="0.25">
      <c r="A4" s="3">
        <v>1E-14</v>
      </c>
      <c r="B4" s="3">
        <v>4.634E-5</v>
      </c>
      <c r="C4" s="3">
        <v>1.5569999999999999E-4</v>
      </c>
      <c r="D4" s="3">
        <v>-4.7449999999999999E-4</v>
      </c>
      <c r="E4" s="3">
        <v>0</v>
      </c>
      <c r="F4" s="3">
        <v>0</v>
      </c>
      <c r="G4" s="3">
        <v>0</v>
      </c>
      <c r="H4" s="3">
        <v>7.1423918000000002E-5</v>
      </c>
      <c r="I4" s="3">
        <v>1.5890344999999999E-5</v>
      </c>
      <c r="J4" s="3">
        <v>-1.9867396999999999E-4</v>
      </c>
      <c r="K4" s="2"/>
      <c r="L4" s="3"/>
      <c r="M4" s="3"/>
      <c r="N4" s="2">
        <f>IF('Modell einstellen'!$B$1="Voll",H4/0.35,H4/0.35*2)</f>
        <v>2.0406833714285716E-4</v>
      </c>
      <c r="O4" s="2">
        <f>IF('Modell einstellen'!$B$1="Voll",J4/0.35,J4/0.35*2)</f>
        <v>-5.6763991428571429E-4</v>
      </c>
      <c r="P4" s="3">
        <f t="shared" ref="P4:P33" si="0">-N4/O4</f>
        <v>0.35950314980870418</v>
      </c>
      <c r="Q4" s="3"/>
      <c r="R4" s="3"/>
      <c r="S4" s="3"/>
      <c r="T4" s="3"/>
      <c r="U4" s="3"/>
    </row>
    <row r="5" spans="1:21" x14ac:dyDescent="0.25">
      <c r="A5" s="3">
        <v>1E-13</v>
      </c>
      <c r="B5" s="3">
        <v>4.634E-5</v>
      </c>
      <c r="C5" s="3">
        <v>1.5569999999999999E-4</v>
      </c>
      <c r="D5" s="3">
        <v>-4.7449999999999999E-4</v>
      </c>
      <c r="E5" s="3">
        <v>0</v>
      </c>
      <c r="F5" s="3">
        <v>0</v>
      </c>
      <c r="G5" s="3">
        <v>0</v>
      </c>
      <c r="H5" s="3">
        <v>7.1425220999999999E-5</v>
      </c>
      <c r="I5" s="3">
        <v>1.5890621000000001E-5</v>
      </c>
      <c r="J5" s="3">
        <v>-1.9867644000000001E-4</v>
      </c>
      <c r="K5" s="2"/>
      <c r="L5" s="3"/>
      <c r="M5" s="3"/>
      <c r="N5" s="2">
        <f>IF('Modell einstellen'!$B$1="Voll",H5/0.35,H5/0.35*2)</f>
        <v>2.0407206E-4</v>
      </c>
      <c r="O5" s="2">
        <f>IF('Modell einstellen'!$B$1="Voll",J5/0.35,J5/0.35*2)</f>
        <v>-5.6764697142857147E-4</v>
      </c>
      <c r="P5" s="3">
        <f t="shared" si="0"/>
        <v>0.35950523876912627</v>
      </c>
      <c r="Q5" s="3"/>
      <c r="R5" s="3"/>
      <c r="S5" s="3"/>
      <c r="T5" s="3"/>
      <c r="U5" s="3"/>
    </row>
    <row r="6" spans="1:21" x14ac:dyDescent="0.25">
      <c r="A6" s="3">
        <v>9.9999999999999998E-13</v>
      </c>
      <c r="B6" s="3">
        <v>4.6329999999999999E-5</v>
      </c>
      <c r="C6" s="3">
        <v>1.5569999999999999E-4</v>
      </c>
      <c r="D6" s="3">
        <v>-4.7449999999999999E-4</v>
      </c>
      <c r="E6" s="3">
        <v>0</v>
      </c>
      <c r="F6" s="3">
        <v>0</v>
      </c>
      <c r="G6" s="3">
        <v>0</v>
      </c>
      <c r="H6" s="3">
        <v>7.1434596999999994E-5</v>
      </c>
      <c r="I6" s="3">
        <v>1.5891780000000001E-5</v>
      </c>
      <c r="J6" s="3">
        <v>-1.9869158000000001E-4</v>
      </c>
      <c r="K6" s="2"/>
      <c r="L6" s="3"/>
      <c r="M6" s="3"/>
      <c r="N6" s="2">
        <f>IF('Modell einstellen'!$B$1="Voll",H6/0.35,H6/0.35*2)</f>
        <v>2.0409884857142856E-4</v>
      </c>
      <c r="O6" s="2">
        <f>IF('Modell einstellen'!$B$1="Voll",J6/0.35,J6/0.35*2)</f>
        <v>-5.6769022857142864E-4</v>
      </c>
      <c r="P6" s="3">
        <f t="shared" si="0"/>
        <v>0.35952503372311995</v>
      </c>
      <c r="Q6" s="3"/>
      <c r="R6" s="3"/>
      <c r="S6" s="3"/>
      <c r="T6" s="3"/>
      <c r="U6" s="3"/>
    </row>
    <row r="7" spans="1:21" x14ac:dyDescent="0.25">
      <c r="A7" s="3">
        <v>9.9999999999999994E-12</v>
      </c>
      <c r="B7" s="3">
        <v>4.6230000000000003E-5</v>
      </c>
      <c r="C7" s="3">
        <v>1.5579999999999999E-4</v>
      </c>
      <c r="D7" s="3">
        <v>-4.7459999999999999E-4</v>
      </c>
      <c r="E7" s="3">
        <v>0</v>
      </c>
      <c r="F7" s="3">
        <v>0</v>
      </c>
      <c r="G7" s="3">
        <v>0</v>
      </c>
      <c r="H7" s="3">
        <v>7.1525632999999995E-5</v>
      </c>
      <c r="I7" s="3">
        <v>1.5902747000000001E-5</v>
      </c>
      <c r="J7" s="3">
        <v>-1.9883764000000001E-4</v>
      </c>
      <c r="K7" s="2"/>
      <c r="L7" s="3"/>
      <c r="M7" s="3"/>
      <c r="N7" s="2">
        <f>IF('Modell einstellen'!$B$1="Voll",H7/0.35,H7/0.35*2)</f>
        <v>2.0435895142857142E-4</v>
      </c>
      <c r="O7" s="2">
        <f>IF('Modell einstellen'!$B$1="Voll",J7/0.35,J7/0.35*2)</f>
        <v>-5.6810754285714291E-4</v>
      </c>
      <c r="P7" s="3">
        <f t="shared" si="0"/>
        <v>0.35971877859745266</v>
      </c>
      <c r="Q7" s="3"/>
      <c r="R7" s="3"/>
      <c r="S7" s="3"/>
      <c r="T7" s="3"/>
      <c r="U7" s="3"/>
    </row>
    <row r="8" spans="1:21" x14ac:dyDescent="0.25">
      <c r="A8" s="3">
        <v>1E-10</v>
      </c>
      <c r="B8" s="3">
        <v>4.5370000000000001E-5</v>
      </c>
      <c r="C8" s="3">
        <v>1.5660000000000001E-4</v>
      </c>
      <c r="D8" s="3">
        <v>-4.752E-4</v>
      </c>
      <c r="E8" s="3">
        <v>0</v>
      </c>
      <c r="F8" s="3">
        <v>0</v>
      </c>
      <c r="G8" s="3">
        <v>0</v>
      </c>
      <c r="H8" s="3">
        <v>7.2292843999999994E-5</v>
      </c>
      <c r="I8" s="3">
        <v>1.5994869E-5</v>
      </c>
      <c r="J8" s="3">
        <v>-2.0006703E-4</v>
      </c>
      <c r="K8" s="2"/>
      <c r="L8" s="3"/>
      <c r="M8" s="3"/>
      <c r="N8" s="2">
        <f>IF('Modell einstellen'!$B$1="Voll",H8/0.35,H8/0.35*2)</f>
        <v>2.0655098285714285E-4</v>
      </c>
      <c r="O8" s="2">
        <f>IF('Modell einstellen'!$B$1="Voll",J8/0.35,J8/0.35*2)</f>
        <v>-5.7162008571428572E-4</v>
      </c>
      <c r="P8" s="3">
        <f t="shared" si="0"/>
        <v>0.36134311585472129</v>
      </c>
      <c r="Q8" s="3"/>
      <c r="R8" s="3"/>
      <c r="S8" s="3"/>
      <c r="T8" s="3"/>
      <c r="U8" s="3"/>
    </row>
    <row r="9" spans="1:21" x14ac:dyDescent="0.25">
      <c r="A9" s="3">
        <v>1.0000000000000001E-9</v>
      </c>
      <c r="B9" s="3">
        <v>4.32E-5</v>
      </c>
      <c r="C9" s="3">
        <v>1.594E-4</v>
      </c>
      <c r="D9" s="3">
        <v>-4.7780000000000001E-4</v>
      </c>
      <c r="E9" s="3">
        <v>0</v>
      </c>
      <c r="F9" s="3">
        <v>0</v>
      </c>
      <c r="G9" s="3">
        <v>0</v>
      </c>
      <c r="H9" s="3">
        <v>7.4688289999999994E-5</v>
      </c>
      <c r="I9" s="3">
        <v>1.6306532000000001E-5</v>
      </c>
      <c r="J9" s="3">
        <v>-2.0396804000000001E-4</v>
      </c>
      <c r="K9" s="2"/>
      <c r="L9" s="3"/>
      <c r="M9" s="3"/>
      <c r="N9" s="2">
        <f>IF('Modell einstellen'!$B$1="Voll",H9/0.35,H9/0.35*2)</f>
        <v>2.1339511428571429E-4</v>
      </c>
      <c r="O9" s="2">
        <f>IF('Modell einstellen'!$B$1="Voll",J9/0.35,J9/0.35*2)</f>
        <v>-5.8276582857142865E-4</v>
      </c>
      <c r="P9" s="3">
        <f t="shared" si="0"/>
        <v>0.3661764362691331</v>
      </c>
      <c r="Q9" s="3"/>
      <c r="R9" s="3"/>
      <c r="S9" s="3"/>
      <c r="T9" s="3"/>
      <c r="U9" s="3"/>
    </row>
    <row r="10" spans="1:21" x14ac:dyDescent="0.25">
      <c r="A10" s="3">
        <v>1E-8</v>
      </c>
      <c r="B10" s="3">
        <v>4.0410000000000001E-5</v>
      </c>
      <c r="C10" s="3">
        <v>1.6229999999999999E-4</v>
      </c>
      <c r="D10" s="3">
        <v>-4.7990000000000001E-4</v>
      </c>
      <c r="E10" s="3">
        <v>0</v>
      </c>
      <c r="F10" s="3">
        <v>0</v>
      </c>
      <c r="G10" s="3">
        <v>0</v>
      </c>
      <c r="H10" s="3">
        <v>7.7300443E-5</v>
      </c>
      <c r="I10" s="3">
        <v>1.6628824000000001E-5</v>
      </c>
      <c r="J10" s="3">
        <v>-2.0814609999999999E-4</v>
      </c>
      <c r="K10" s="2"/>
      <c r="L10" s="3"/>
      <c r="M10" s="3"/>
      <c r="N10" s="2">
        <f>IF('Modell einstellen'!$B$1="Voll",H10/0.35,H10/0.35*2)</f>
        <v>2.2085840857142858E-4</v>
      </c>
      <c r="O10" s="2">
        <f>IF('Modell einstellen'!$B$1="Voll",J10/0.35,J10/0.35*2)</f>
        <v>-5.9470314285714281E-4</v>
      </c>
      <c r="P10" s="3">
        <f t="shared" si="0"/>
        <v>0.37137588933926702</v>
      </c>
      <c r="Q10" s="3"/>
      <c r="R10" s="3"/>
      <c r="S10" s="3"/>
      <c r="T10" s="3"/>
      <c r="U10" s="3"/>
    </row>
    <row r="11" spans="1:21" x14ac:dyDescent="0.25">
      <c r="A11" s="3">
        <v>9.9999999999999995E-8</v>
      </c>
      <c r="B11" s="3">
        <v>3.6730000000000002E-5</v>
      </c>
      <c r="C11" s="3">
        <v>1.6559999999999999E-4</v>
      </c>
      <c r="D11" s="3">
        <v>-4.8210000000000001E-4</v>
      </c>
      <c r="E11" s="3">
        <v>0</v>
      </c>
      <c r="F11" s="3">
        <v>0</v>
      </c>
      <c r="G11" s="3">
        <v>0</v>
      </c>
      <c r="H11" s="3">
        <v>8.0480961999999993E-5</v>
      </c>
      <c r="I11" s="3">
        <v>1.7008900999999998E-5</v>
      </c>
      <c r="J11" s="3">
        <v>-2.1316980999999999E-4</v>
      </c>
      <c r="K11" s="2"/>
      <c r="L11" s="3"/>
      <c r="M11" s="3"/>
      <c r="N11" s="2">
        <f>IF('Modell einstellen'!$B$1="Voll",H11/0.35,H11/0.35*2)</f>
        <v>2.299456057142857E-4</v>
      </c>
      <c r="O11" s="2">
        <f>IF('Modell einstellen'!$B$1="Voll",J11/0.35,J11/0.35*2)</f>
        <v>-6.0905660000000006E-4</v>
      </c>
      <c r="P11" s="3">
        <f t="shared" si="0"/>
        <v>0.37754390267552423</v>
      </c>
      <c r="Q11" s="3"/>
      <c r="R11" s="3"/>
      <c r="S11" s="3"/>
      <c r="T11" s="3"/>
      <c r="U11" s="3"/>
    </row>
    <row r="12" spans="1:21" x14ac:dyDescent="0.25">
      <c r="A12" s="3">
        <v>9.9999999999999995E-7</v>
      </c>
      <c r="B12" s="3">
        <v>3.167E-5</v>
      </c>
      <c r="C12" s="3">
        <v>1.696E-4</v>
      </c>
      <c r="D12" s="3">
        <v>-4.84E-4</v>
      </c>
      <c r="E12" s="3">
        <v>0</v>
      </c>
      <c r="F12" s="3">
        <v>0</v>
      </c>
      <c r="G12" s="3">
        <v>0</v>
      </c>
      <c r="H12" s="3">
        <v>8.4489036000000002E-5</v>
      </c>
      <c r="I12" s="3">
        <v>1.7468550000000001E-5</v>
      </c>
      <c r="J12" s="3">
        <v>-2.1940258000000001E-4</v>
      </c>
      <c r="K12" s="2"/>
      <c r="L12" s="3"/>
      <c r="M12" s="3"/>
      <c r="N12" s="2">
        <f>IF('Modell einstellen'!$B$1="Voll",H12/0.35,H12/0.35*2)</f>
        <v>2.4139724571428574E-4</v>
      </c>
      <c r="O12" s="2">
        <f>IF('Modell einstellen'!$B$1="Voll",J12/0.35,J12/0.35*2)</f>
        <v>-6.2686451428571436E-4</v>
      </c>
      <c r="P12" s="3">
        <f t="shared" si="0"/>
        <v>0.38508679341874646</v>
      </c>
      <c r="Q12" s="3"/>
      <c r="R12" s="3"/>
      <c r="S12" s="3"/>
      <c r="T12" s="3"/>
      <c r="U12" s="3"/>
    </row>
    <row r="13" spans="1:21" x14ac:dyDescent="0.25">
      <c r="A13" s="3">
        <v>1.0000000000000001E-5</v>
      </c>
      <c r="B13" s="3">
        <v>2.5539999999999999E-5</v>
      </c>
      <c r="C13" s="3">
        <v>1.738E-4</v>
      </c>
      <c r="D13" s="3">
        <v>-4.8509999999999997E-4</v>
      </c>
      <c r="E13" s="3">
        <v>0</v>
      </c>
      <c r="F13" s="3">
        <v>0</v>
      </c>
      <c r="G13" s="3">
        <v>0</v>
      </c>
      <c r="H13" s="3">
        <v>8.8926304E-5</v>
      </c>
      <c r="I13" s="3">
        <v>1.7952660999999998E-5</v>
      </c>
      <c r="J13" s="3">
        <v>-2.2617833000000001E-4</v>
      </c>
      <c r="K13" s="2"/>
      <c r="L13" s="3"/>
      <c r="M13" s="3"/>
      <c r="N13" s="2">
        <f>IF('Modell einstellen'!$B$1="Voll",H13/0.35,H13/0.35*2)</f>
        <v>2.5407515428571429E-4</v>
      </c>
      <c r="O13" s="2">
        <f>IF('Modell einstellen'!$B$1="Voll",J13/0.35,J13/0.35*2)</f>
        <v>-6.4622380000000008E-4</v>
      </c>
      <c r="P13" s="3">
        <f t="shared" si="0"/>
        <v>0.39316898307631853</v>
      </c>
      <c r="Q13" s="3"/>
      <c r="R13" s="3"/>
      <c r="S13" s="3"/>
      <c r="T13" s="3"/>
      <c r="U13" s="3"/>
    </row>
    <row r="14" spans="1:21" x14ac:dyDescent="0.25">
      <c r="A14" s="3">
        <v>1E-4</v>
      </c>
      <c r="B14" s="3">
        <v>1.6310000000000001E-5</v>
      </c>
      <c r="C14" s="3">
        <v>1.7919999999999999E-4</v>
      </c>
      <c r="D14" s="3">
        <v>-4.8529999999999998E-4</v>
      </c>
      <c r="E14" s="3">
        <v>0</v>
      </c>
      <c r="F14" s="3">
        <v>0</v>
      </c>
      <c r="G14" s="3">
        <v>0</v>
      </c>
      <c r="H14" s="3">
        <v>9.5062217000000006E-5</v>
      </c>
      <c r="I14" s="3">
        <v>1.8584547E-5</v>
      </c>
      <c r="J14" s="3">
        <v>-2.3536237000000001E-4</v>
      </c>
      <c r="K14" s="2"/>
      <c r="L14" s="3"/>
      <c r="M14" s="3"/>
      <c r="N14" s="2">
        <f>IF('Modell einstellen'!$B$1="Voll",H14/0.35,H14/0.35*2)</f>
        <v>2.7160633428571432E-4</v>
      </c>
      <c r="O14" s="2">
        <f>IF('Modell einstellen'!$B$1="Voll",J14/0.35,J14/0.35*2)</f>
        <v>-6.724639142857144E-4</v>
      </c>
      <c r="P14" s="3">
        <f t="shared" si="0"/>
        <v>0.40389726276124766</v>
      </c>
      <c r="Q14" s="3"/>
      <c r="R14" s="3"/>
      <c r="S14" s="3"/>
      <c r="T14" s="3"/>
      <c r="U14" s="3"/>
    </row>
    <row r="15" spans="1:21" x14ac:dyDescent="0.25">
      <c r="A15" s="3">
        <v>1E-3</v>
      </c>
      <c r="B15" s="3">
        <v>3.7290000000000002E-6</v>
      </c>
      <c r="C15" s="3">
        <v>1.853E-4</v>
      </c>
      <c r="D15" s="3">
        <v>-4.8319999999999998E-4</v>
      </c>
      <c r="E15" s="3">
        <v>0</v>
      </c>
      <c r="F15" s="3">
        <v>0</v>
      </c>
      <c r="G15" s="3">
        <v>0</v>
      </c>
      <c r="H15" s="3">
        <v>1.0261869999999999E-4</v>
      </c>
      <c r="I15" s="3">
        <v>1.9303414000000001E-5</v>
      </c>
      <c r="J15" s="3">
        <v>-2.4637964000000001E-4</v>
      </c>
      <c r="K15" s="2"/>
      <c r="L15" s="3"/>
      <c r="M15" s="3"/>
      <c r="N15" s="2">
        <f>IF('Modell einstellen'!$B$1="Voll",H15/0.35,H15/0.35*2)</f>
        <v>2.9319628571428569E-4</v>
      </c>
      <c r="O15" s="2">
        <f>IF('Modell einstellen'!$B$1="Voll",J15/0.35,J15/0.35*2)</f>
        <v>-7.0394182857142862E-4</v>
      </c>
      <c r="P15" s="3">
        <f t="shared" si="0"/>
        <v>0.4165064126240301</v>
      </c>
      <c r="Q15" s="3"/>
      <c r="R15" s="3"/>
      <c r="S15" s="3"/>
      <c r="T15" s="3"/>
      <c r="U15" s="3"/>
    </row>
    <row r="16" spans="1:21" x14ac:dyDescent="0.25">
      <c r="A16" s="3">
        <v>0.01</v>
      </c>
      <c r="B16" s="3">
        <v>-1.169E-5</v>
      </c>
      <c r="C16" s="3">
        <v>1.9139999999999999E-4</v>
      </c>
      <c r="D16" s="3">
        <v>-4.7839999999999997E-4</v>
      </c>
      <c r="E16" s="3">
        <v>0</v>
      </c>
      <c r="F16" s="3">
        <v>0</v>
      </c>
      <c r="G16" s="3">
        <v>0</v>
      </c>
      <c r="H16" s="3">
        <v>1.1104581999999999E-4</v>
      </c>
      <c r="I16" s="3">
        <v>2.0037308000000001E-5</v>
      </c>
      <c r="J16" s="3">
        <v>-2.5833106999999998E-4</v>
      </c>
      <c r="K16" s="2"/>
      <c r="L16" s="3"/>
      <c r="M16" s="3"/>
      <c r="N16" s="2">
        <f>IF('Modell einstellen'!$B$1="Voll",H16/0.35,H16/0.35*2)</f>
        <v>3.1727377142857144E-4</v>
      </c>
      <c r="O16" s="2">
        <f>IF('Modell einstellen'!$B$1="Voll",J16/0.35,J16/0.35*2)</f>
        <v>-7.3808877142857144E-4</v>
      </c>
      <c r="P16" s="3">
        <f t="shared" si="0"/>
        <v>0.42985855321235655</v>
      </c>
      <c r="Q16" s="3"/>
      <c r="R16" s="3"/>
      <c r="S16" s="3"/>
      <c r="T16" s="3"/>
      <c r="U16" s="3"/>
    </row>
    <row r="17" spans="1:21" x14ac:dyDescent="0.25">
      <c r="A17" s="3">
        <v>0.1</v>
      </c>
      <c r="B17" s="3">
        <v>-3.2299999999999999E-5</v>
      </c>
      <c r="C17" s="3">
        <v>1.9819999999999999E-4</v>
      </c>
      <c r="D17" s="3">
        <v>-4.6969999999999998E-4</v>
      </c>
      <c r="E17" s="3">
        <v>0</v>
      </c>
      <c r="F17" s="3">
        <v>0</v>
      </c>
      <c r="G17" s="3">
        <v>0</v>
      </c>
      <c r="H17" s="3">
        <v>1.2148573E-4</v>
      </c>
      <c r="I17" s="3">
        <v>2.0879131E-5</v>
      </c>
      <c r="J17" s="3">
        <v>-2.727804E-4</v>
      </c>
      <c r="K17" s="2"/>
      <c r="L17" s="3"/>
      <c r="M17" s="3"/>
      <c r="N17" s="2">
        <f>IF('Modell einstellen'!$B$1="Voll",H17/0.35,H17/0.35*2)</f>
        <v>3.4710208571428572E-4</v>
      </c>
      <c r="O17" s="2">
        <f>IF('Modell einstellen'!$B$1="Voll",J17/0.35,J17/0.35*2)</f>
        <v>-7.7937257142857153E-4</v>
      </c>
      <c r="P17" s="3">
        <f t="shared" si="0"/>
        <v>0.44536092035938063</v>
      </c>
      <c r="Q17" s="3"/>
      <c r="R17" s="3"/>
      <c r="S17" s="3"/>
      <c r="T17" s="3"/>
      <c r="U17" s="3"/>
    </row>
    <row r="18" spans="1:21" x14ac:dyDescent="0.25">
      <c r="A18" s="3">
        <v>1</v>
      </c>
      <c r="B18" s="3">
        <v>-5.8440000000000003E-5</v>
      </c>
      <c r="C18" s="3">
        <v>2.0719999999999999E-4</v>
      </c>
      <c r="D18" s="3">
        <v>-4.5770000000000001E-4</v>
      </c>
      <c r="E18" s="3">
        <v>0</v>
      </c>
      <c r="F18" s="3">
        <v>0</v>
      </c>
      <c r="G18" s="3">
        <v>0</v>
      </c>
      <c r="H18" s="3">
        <v>1.3446599000000001E-4</v>
      </c>
      <c r="I18" s="3">
        <v>2.1996543999999999E-5</v>
      </c>
      <c r="J18" s="3">
        <v>-2.9076988999999999E-4</v>
      </c>
      <c r="K18" s="2"/>
      <c r="L18" s="3"/>
      <c r="M18" s="3"/>
      <c r="N18" s="2">
        <f>IF('Modell einstellen'!$B$1="Voll",H18/0.35,H18/0.35*2)</f>
        <v>3.8418854285714291E-4</v>
      </c>
      <c r="O18" s="2">
        <f>IF('Modell einstellen'!$B$1="Voll",J18/0.35,J18/0.35*2)</f>
        <v>-8.3077111428571425E-4</v>
      </c>
      <c r="P18" s="3">
        <f t="shared" si="0"/>
        <v>0.4624481234972439</v>
      </c>
      <c r="Q18" s="3"/>
      <c r="R18" s="3"/>
      <c r="S18" s="3"/>
      <c r="T18" s="3"/>
      <c r="U18" s="3"/>
    </row>
    <row r="19" spans="1:21" x14ac:dyDescent="0.25">
      <c r="A19" s="3">
        <v>10</v>
      </c>
      <c r="B19" s="3">
        <v>-9.0669999999999998E-5</v>
      </c>
      <c r="C19" s="3">
        <v>2.3120000000000001E-4</v>
      </c>
      <c r="D19" s="3">
        <v>-4.5399999999999998E-4</v>
      </c>
      <c r="E19" s="3">
        <v>0</v>
      </c>
      <c r="F19" s="3">
        <v>0</v>
      </c>
      <c r="G19" s="3">
        <v>0</v>
      </c>
      <c r="H19" s="3">
        <v>1.5504871999999999E-4</v>
      </c>
      <c r="I19" s="3">
        <v>2.4951475000000002E-5</v>
      </c>
      <c r="J19" s="3">
        <v>-3.2275541999999998E-4</v>
      </c>
      <c r="K19" s="2"/>
      <c r="L19" s="3"/>
      <c r="M19" s="3"/>
      <c r="N19" s="2">
        <f>IF('Modell einstellen'!$B$1="Voll",H19/0.35,H19/0.35*2)</f>
        <v>4.4299634285714288E-4</v>
      </c>
      <c r="O19" s="2">
        <f>IF('Modell einstellen'!$B$1="Voll",J19/0.35,J19/0.35*2)</f>
        <v>-9.2215834285714292E-4</v>
      </c>
      <c r="P19" s="3">
        <f t="shared" si="0"/>
        <v>0.48039075532798176</v>
      </c>
      <c r="Q19" s="3"/>
      <c r="R19" s="3"/>
      <c r="S19" s="3"/>
      <c r="T19" s="3"/>
      <c r="U19" s="3"/>
    </row>
    <row r="20" spans="1:21" x14ac:dyDescent="0.25">
      <c r="A20" s="3">
        <v>100</v>
      </c>
      <c r="B20" s="3">
        <v>-1.261E-4</v>
      </c>
      <c r="C20" s="3">
        <v>2.943E-4</v>
      </c>
      <c r="D20" s="3">
        <v>-4.8289999999999997E-4</v>
      </c>
      <c r="E20" s="3">
        <v>0</v>
      </c>
      <c r="F20" s="3">
        <v>0</v>
      </c>
      <c r="G20" s="3">
        <v>0</v>
      </c>
      <c r="H20" s="3">
        <v>1.8963494999999999E-4</v>
      </c>
      <c r="I20" s="3">
        <v>3.2943091999999998E-5</v>
      </c>
      <c r="J20" s="3">
        <v>-3.8606619000000001E-4</v>
      </c>
      <c r="K20" s="2"/>
      <c r="L20" s="3"/>
      <c r="M20" s="3"/>
      <c r="N20" s="2">
        <f>IF('Modell einstellen'!$B$1="Voll",H20/0.35,H20/0.35*2)</f>
        <v>5.4181414285714284E-4</v>
      </c>
      <c r="O20" s="2">
        <f>IF('Modell einstellen'!$B$1="Voll",J20/0.35,J20/0.35*2)</f>
        <v>-1.1030462571428572E-3</v>
      </c>
      <c r="P20" s="3">
        <f t="shared" si="0"/>
        <v>0.49119802487754749</v>
      </c>
      <c r="Q20" s="3"/>
      <c r="R20" s="3"/>
      <c r="S20" s="3"/>
      <c r="T20" s="3"/>
      <c r="U20" s="3"/>
    </row>
    <row r="21" spans="1:21" x14ac:dyDescent="0.25">
      <c r="A21" s="3">
        <v>1000</v>
      </c>
      <c r="B21" s="3">
        <v>-2.0770000000000001E-4</v>
      </c>
      <c r="C21" s="3">
        <v>4.0269999999999998E-4</v>
      </c>
      <c r="D21" s="3">
        <v>-5.1029999999999999E-4</v>
      </c>
      <c r="E21" s="3">
        <v>0</v>
      </c>
      <c r="F21" s="3">
        <v>0</v>
      </c>
      <c r="G21" s="3">
        <v>0</v>
      </c>
      <c r="H21" s="3">
        <v>2.4670156999999999E-4</v>
      </c>
      <c r="I21" s="3">
        <v>4.7645570000000001E-5</v>
      </c>
      <c r="J21" s="3">
        <v>-4.9591957000000005E-4</v>
      </c>
      <c r="K21" s="2"/>
      <c r="L21" s="3"/>
      <c r="M21" s="3"/>
      <c r="N21" s="2">
        <f>IF('Modell einstellen'!$B$1="Voll",H21/0.35,H21/0.35*2)</f>
        <v>7.0486162857142862E-4</v>
      </c>
      <c r="O21" s="2">
        <f>IF('Modell einstellen'!$B$1="Voll",J21/0.35,J21/0.35*2)</f>
        <v>-1.4169130571428574E-3</v>
      </c>
      <c r="P21" s="3">
        <f t="shared" si="0"/>
        <v>0.49746286479478913</v>
      </c>
      <c r="Q21" s="3"/>
      <c r="R21" s="3"/>
      <c r="S21" s="3"/>
      <c r="T21" s="3"/>
      <c r="U21" s="3"/>
    </row>
    <row r="22" spans="1:21" x14ac:dyDescent="0.25">
      <c r="A22" s="3">
        <v>10000</v>
      </c>
      <c r="B22" s="3">
        <v>-4.595E-4</v>
      </c>
      <c r="C22" s="3">
        <v>5.71E-4</v>
      </c>
      <c r="D22" s="3">
        <v>-4.3110000000000002E-4</v>
      </c>
      <c r="E22" s="3">
        <v>0</v>
      </c>
      <c r="F22" s="3">
        <v>0</v>
      </c>
      <c r="G22" s="3">
        <v>0</v>
      </c>
      <c r="H22" s="3">
        <v>3.5507052000000001E-4</v>
      </c>
      <c r="I22" s="3">
        <v>7.2934597999999999E-5</v>
      </c>
      <c r="J22" s="3">
        <v>-6.9622724000000002E-4</v>
      </c>
      <c r="K22" s="2"/>
      <c r="L22" s="3"/>
      <c r="M22" s="3"/>
      <c r="N22" s="2">
        <f>IF('Modell einstellen'!$B$1="Voll",H22/0.35,H22/0.35*2)</f>
        <v>1.0144872000000002E-3</v>
      </c>
      <c r="O22" s="2">
        <f>IF('Modell einstellen'!$B$1="Voll",J22/0.35,J22/0.35*2)</f>
        <v>-1.989220685714286E-3</v>
      </c>
      <c r="P22" s="3">
        <f t="shared" si="0"/>
        <v>0.50999228355385806</v>
      </c>
      <c r="Q22" s="3"/>
      <c r="R22" s="3"/>
      <c r="S22" s="3"/>
      <c r="T22" s="3"/>
      <c r="U22" s="3"/>
    </row>
    <row r="23" spans="1:21" x14ac:dyDescent="0.25">
      <c r="A23" s="3">
        <v>100000</v>
      </c>
      <c r="B23" s="3">
        <v>-1.1670000000000001E-3</v>
      </c>
      <c r="C23" s="3">
        <v>8.5959999999999997E-4</v>
      </c>
      <c r="D23" s="3">
        <v>-1.906E-5</v>
      </c>
      <c r="E23" s="3">
        <v>0</v>
      </c>
      <c r="F23" s="3">
        <v>0</v>
      </c>
      <c r="G23" s="3">
        <v>0</v>
      </c>
      <c r="H23" s="3">
        <v>5.8302310000000004E-4</v>
      </c>
      <c r="I23" s="3">
        <v>1.2111107E-4</v>
      </c>
      <c r="J23" s="3">
        <v>-1.0997963E-3</v>
      </c>
      <c r="K23" s="2"/>
      <c r="L23" s="3"/>
      <c r="M23" s="3"/>
      <c r="N23" s="2">
        <f>IF('Modell einstellen'!$B$1="Voll",H23/0.35,H23/0.35*2)</f>
        <v>1.6657802857142859E-3</v>
      </c>
      <c r="O23" s="2">
        <f>IF('Modell einstellen'!$B$1="Voll",J23/0.35,J23/0.35*2)</f>
        <v>-3.1422751428571431E-3</v>
      </c>
      <c r="P23" s="3">
        <f t="shared" si="0"/>
        <v>0.53011916843146323</v>
      </c>
      <c r="Q23" s="3"/>
      <c r="R23" s="3"/>
      <c r="S23" s="3"/>
      <c r="T23" s="3"/>
      <c r="U23" s="3"/>
    </row>
    <row r="24" spans="1:21" x14ac:dyDescent="0.25">
      <c r="A24" s="3">
        <v>1000000</v>
      </c>
      <c r="B24" s="3">
        <v>-2.7959999999999999E-3</v>
      </c>
      <c r="C24" s="3">
        <v>1.41E-3</v>
      </c>
      <c r="D24" s="3">
        <v>1.0549999999999999E-3</v>
      </c>
      <c r="E24" s="3">
        <v>0</v>
      </c>
      <c r="F24" s="3">
        <v>0</v>
      </c>
      <c r="G24" s="3">
        <v>0</v>
      </c>
      <c r="H24" s="3">
        <v>1.0345126E-3</v>
      </c>
      <c r="I24" s="3">
        <v>2.1798738E-4</v>
      </c>
      <c r="J24" s="3">
        <v>-1.9022453E-3</v>
      </c>
      <c r="K24" s="2"/>
      <c r="L24" s="3"/>
      <c r="M24" s="3"/>
      <c r="N24" s="2">
        <f>IF('Modell einstellen'!$B$1="Voll",H24/0.35,H24/0.35*2)</f>
        <v>2.955750285714286E-3</v>
      </c>
      <c r="O24" s="2">
        <f>IF('Modell einstellen'!$B$1="Voll",J24/0.35,J24/0.35*2)</f>
        <v>-5.4349865714285722E-3</v>
      </c>
      <c r="P24" s="3">
        <f t="shared" si="0"/>
        <v>0.54383764281084046</v>
      </c>
      <c r="Q24" s="3"/>
      <c r="R24" s="3"/>
      <c r="S24" s="3"/>
      <c r="T24" s="3"/>
      <c r="U24" s="3"/>
    </row>
    <row r="25" spans="1:21" x14ac:dyDescent="0.25">
      <c r="A25" s="3">
        <v>10000000</v>
      </c>
      <c r="B25" s="3">
        <v>-6.0039999999999998E-3</v>
      </c>
      <c r="C25" s="3">
        <v>2.4729999999999999E-3</v>
      </c>
      <c r="D25" s="3">
        <v>3.1979999999999999E-3</v>
      </c>
      <c r="E25" s="3">
        <v>0</v>
      </c>
      <c r="F25" s="3">
        <v>0</v>
      </c>
      <c r="G25" s="3">
        <v>0</v>
      </c>
      <c r="H25" s="3">
        <v>1.8615423E-3</v>
      </c>
      <c r="I25" s="3">
        <v>4.0890441999999998E-4</v>
      </c>
      <c r="J25" s="3">
        <v>-3.4140388000000002E-3</v>
      </c>
      <c r="K25" s="2"/>
      <c r="L25" s="3"/>
      <c r="M25" s="3"/>
      <c r="N25" s="2">
        <f>IF('Modell einstellen'!$B$1="Voll",H25/0.35,H25/0.35*2)</f>
        <v>5.3186922857142863E-3</v>
      </c>
      <c r="O25" s="2">
        <f>IF('Modell einstellen'!$B$1="Voll",J25/0.35,J25/0.35*2)</f>
        <v>-9.7543965714285731E-3</v>
      </c>
      <c r="P25" s="3">
        <f t="shared" si="0"/>
        <v>0.54526102632459827</v>
      </c>
      <c r="Q25" s="3"/>
      <c r="R25" s="3"/>
      <c r="S25" s="3"/>
      <c r="T25" s="3"/>
      <c r="U25" s="3"/>
    </row>
    <row r="26" spans="1:21" x14ac:dyDescent="0.25">
      <c r="A26" s="3">
        <v>100000000</v>
      </c>
      <c r="B26" s="3">
        <v>-1.1209999999999999E-2</v>
      </c>
      <c r="C26" s="3">
        <v>4.2770000000000004E-3</v>
      </c>
      <c r="D26" s="3">
        <v>6.5970000000000004E-3</v>
      </c>
      <c r="E26" s="3">
        <v>0</v>
      </c>
      <c r="F26" s="3">
        <v>0</v>
      </c>
      <c r="G26" s="3">
        <v>0</v>
      </c>
      <c r="H26" s="3">
        <v>3.1772236000000001E-3</v>
      </c>
      <c r="I26" s="3">
        <v>7.4146759999999998E-4</v>
      </c>
      <c r="J26" s="3">
        <v>-5.9029757000000002E-3</v>
      </c>
      <c r="K26" s="2"/>
      <c r="L26" s="3"/>
      <c r="M26" s="3"/>
      <c r="N26" s="2">
        <f>IF('Modell einstellen'!$B$1="Voll",H26/0.35,H26/0.35*2)</f>
        <v>9.0777817142857157E-3</v>
      </c>
      <c r="O26" s="2">
        <f>IF('Modell einstellen'!$B$1="Voll",J26/0.35,J26/0.35*2)</f>
        <v>-1.6865644857142859E-2</v>
      </c>
      <c r="P26" s="3">
        <f t="shared" si="0"/>
        <v>0.53824100953015952</v>
      </c>
      <c r="Q26" s="3"/>
      <c r="R26" s="3"/>
      <c r="S26" s="3"/>
      <c r="T26" s="3"/>
      <c r="U26" s="3"/>
    </row>
    <row r="27" spans="1:21" x14ac:dyDescent="0.25">
      <c r="A27" s="3">
        <v>1000000000</v>
      </c>
      <c r="B27" s="3">
        <v>-1.4489999999999999E-2</v>
      </c>
      <c r="C27" s="3">
        <v>5.7590000000000002E-3</v>
      </c>
      <c r="D27" s="3">
        <v>8.4010000000000005E-3</v>
      </c>
      <c r="E27" s="3">
        <v>0</v>
      </c>
      <c r="F27" s="3">
        <v>0</v>
      </c>
      <c r="G27" s="3">
        <v>0</v>
      </c>
      <c r="H27" s="3">
        <v>4.0207708000000002E-3</v>
      </c>
      <c r="I27" s="3">
        <v>1.0243871999999999E-3</v>
      </c>
      <c r="J27" s="3">
        <v>-7.7326360999999998E-3</v>
      </c>
      <c r="K27" s="2"/>
      <c r="L27" s="3"/>
      <c r="M27" s="3"/>
      <c r="N27" s="2">
        <f>IF('Modell einstellen'!$B$1="Voll",H27/0.35,H27/0.35*2)</f>
        <v>1.1487916571428572E-2</v>
      </c>
      <c r="O27" s="2">
        <f>IF('Modell einstellen'!$B$1="Voll",J27/0.35,J27/0.35*2)</f>
        <v>-2.2093246E-2</v>
      </c>
      <c r="P27" s="3">
        <f t="shared" si="0"/>
        <v>0.51997413922012958</v>
      </c>
      <c r="Q27" s="3"/>
      <c r="R27" s="3"/>
      <c r="S27" s="3"/>
      <c r="T27" s="3"/>
      <c r="U27" s="3"/>
    </row>
    <row r="28" spans="1:21" x14ac:dyDescent="0.25">
      <c r="A28" s="3">
        <v>10000000000</v>
      </c>
      <c r="B28" s="3">
        <v>-1.5800000000000002E-2</v>
      </c>
      <c r="C28" s="3">
        <v>6.6140000000000001E-3</v>
      </c>
      <c r="D28" s="3">
        <v>8.8529999999999998E-3</v>
      </c>
      <c r="E28" s="3">
        <v>0</v>
      </c>
      <c r="F28" s="3">
        <v>0</v>
      </c>
      <c r="G28" s="3">
        <v>0</v>
      </c>
      <c r="H28" s="3">
        <v>4.3751425999999996E-3</v>
      </c>
      <c r="I28" s="3">
        <v>1.1929093999999999E-3</v>
      </c>
      <c r="J28" s="3">
        <v>-8.6727476000000008E-3</v>
      </c>
      <c r="K28" s="2"/>
      <c r="L28" s="3"/>
      <c r="M28" s="3"/>
      <c r="N28" s="2">
        <f>IF('Modell einstellen'!$B$1="Voll",H28/0.35,H28/0.35*2)</f>
        <v>1.2500407428571428E-2</v>
      </c>
      <c r="O28" s="2">
        <f>IF('Modell einstellen'!$B$1="Voll",J28/0.35,J28/0.35*2)</f>
        <v>-2.4779278857142862E-2</v>
      </c>
      <c r="P28" s="3">
        <f t="shared" si="0"/>
        <v>0.50447018658769671</v>
      </c>
      <c r="Q28" s="3"/>
      <c r="R28" s="3"/>
      <c r="S28" s="3"/>
      <c r="T28" s="3"/>
      <c r="U28" s="3"/>
    </row>
    <row r="29" spans="1:21" x14ac:dyDescent="0.25">
      <c r="A29" s="3">
        <v>100000000000</v>
      </c>
      <c r="B29" s="3">
        <v>-1.6709999999999999E-2</v>
      </c>
      <c r="C29" s="3">
        <v>7.2259999999999998E-3</v>
      </c>
      <c r="D29" s="3">
        <v>9.1529999999999997E-3</v>
      </c>
      <c r="E29" s="3">
        <v>0</v>
      </c>
      <c r="F29" s="3">
        <v>0</v>
      </c>
      <c r="G29" s="3">
        <v>0</v>
      </c>
      <c r="H29" s="3">
        <v>4.6427061000000004E-3</v>
      </c>
      <c r="I29" s="3">
        <v>1.3168068000000001E-3</v>
      </c>
      <c r="J29" s="3">
        <v>-9.3682716999999999E-3</v>
      </c>
      <c r="K29" s="2"/>
      <c r="L29" s="3"/>
      <c r="M29" s="3"/>
      <c r="N29" s="2">
        <f>IF('Modell einstellen'!$B$1="Voll",H29/0.35,H29/0.35*2)</f>
        <v>1.3264874571428574E-2</v>
      </c>
      <c r="O29" s="2">
        <f>IF('Modell einstellen'!$B$1="Voll",J29/0.35,J29/0.35*2)</f>
        <v>-2.6766490571428572E-2</v>
      </c>
      <c r="P29" s="3">
        <f t="shared" si="0"/>
        <v>0.49557765281295169</v>
      </c>
      <c r="Q29" s="3"/>
      <c r="R29" s="3"/>
      <c r="S29" s="3"/>
      <c r="T29" s="3"/>
      <c r="U29" s="3"/>
    </row>
    <row r="30" spans="1:21" x14ac:dyDescent="0.25">
      <c r="A30" s="3">
        <v>1000000000000</v>
      </c>
      <c r="B30" s="3">
        <v>-1.6670000000000001E-2</v>
      </c>
      <c r="C30" s="3">
        <v>7.2830000000000004E-3</v>
      </c>
      <c r="D30" s="3">
        <v>9.0600000000000003E-3</v>
      </c>
      <c r="E30" s="3">
        <v>0</v>
      </c>
      <c r="F30" s="3">
        <v>0</v>
      </c>
      <c r="G30" s="3">
        <v>0</v>
      </c>
      <c r="H30" s="3">
        <v>4.6364841000000002E-3</v>
      </c>
      <c r="I30" s="3">
        <v>1.328638E-3</v>
      </c>
      <c r="J30" s="3">
        <v>-9.4039443999999993E-3</v>
      </c>
      <c r="K30" s="2"/>
      <c r="L30" s="3"/>
      <c r="M30" s="3"/>
      <c r="N30" s="2">
        <f>IF('Modell einstellen'!$B$1="Voll",H30/0.35,H30/0.35*2)</f>
        <v>1.3247097428571429E-2</v>
      </c>
      <c r="O30" s="2">
        <f>IF('Modell einstellen'!$B$1="Voll",J30/0.35,J30/0.35*2)</f>
        <v>-2.6868412571428572E-2</v>
      </c>
      <c r="P30" s="3">
        <f t="shared" si="0"/>
        <v>0.49303610302077072</v>
      </c>
      <c r="Q30" s="3"/>
      <c r="R30" s="3"/>
      <c r="S30" s="3"/>
      <c r="T30" s="3"/>
      <c r="U30" s="3"/>
    </row>
    <row r="31" spans="1:21" x14ac:dyDescent="0.25">
      <c r="A31" s="3">
        <v>10000000000000</v>
      </c>
      <c r="B31" s="3">
        <v>-1.634E-2</v>
      </c>
      <c r="C31" s="3">
        <v>7.4749999999999999E-3</v>
      </c>
      <c r="D31" s="3">
        <v>8.5400000000000007E-3</v>
      </c>
      <c r="E31" s="3">
        <v>0</v>
      </c>
      <c r="F31" s="3">
        <v>0</v>
      </c>
      <c r="G31" s="3">
        <v>0</v>
      </c>
      <c r="H31" s="3">
        <v>4.6079310999999996E-3</v>
      </c>
      <c r="I31" s="3">
        <v>1.3685167E-3</v>
      </c>
      <c r="J31" s="3">
        <v>-9.5169318999999992E-3</v>
      </c>
      <c r="K31" s="2"/>
      <c r="L31" s="3"/>
      <c r="M31" s="3"/>
      <c r="N31" s="2">
        <f>IF('Modell einstellen'!$B$1="Voll",H31/0.35,H31/0.35*2)</f>
        <v>1.3165517428571428E-2</v>
      </c>
      <c r="O31" s="2">
        <f>IF('Modell einstellen'!$B$1="Voll",J31/0.35,J31/0.35*2)</f>
        <v>-2.7191233999999998E-2</v>
      </c>
      <c r="P31" s="3">
        <f t="shared" si="0"/>
        <v>0.48418241807530432</v>
      </c>
      <c r="Q31" s="3"/>
      <c r="R31" s="3"/>
      <c r="S31" s="3"/>
      <c r="T31" s="3"/>
      <c r="U31" s="3"/>
    </row>
    <row r="32" spans="1:21" x14ac:dyDescent="0.25">
      <c r="A32" s="3">
        <v>100000000000000</v>
      </c>
      <c r="B32" s="3">
        <v>-1.634E-2</v>
      </c>
      <c r="C32" s="3">
        <v>7.4780000000000003E-3</v>
      </c>
      <c r="D32" s="3">
        <v>8.5319999999999997E-3</v>
      </c>
      <c r="E32" s="3">
        <v>0</v>
      </c>
      <c r="F32" s="3">
        <v>0</v>
      </c>
      <c r="G32" s="3">
        <v>0</v>
      </c>
      <c r="H32" s="3">
        <v>4.6076093E-3</v>
      </c>
      <c r="I32" s="3">
        <v>1.3690834E-3</v>
      </c>
      <c r="J32" s="3">
        <v>-9.5185996999999998E-3</v>
      </c>
      <c r="K32" s="2"/>
      <c r="L32" s="3"/>
      <c r="M32" s="3"/>
      <c r="N32" s="2">
        <f>IF('Modell einstellen'!$B$1="Voll",H32/0.35,H32/0.35*2)</f>
        <v>1.3164598000000001E-2</v>
      </c>
      <c r="O32" s="2">
        <f>IF('Modell einstellen'!$B$1="Voll",J32/0.35,J32/0.35*2)</f>
        <v>-2.7195999142857145E-2</v>
      </c>
      <c r="P32" s="3">
        <f t="shared" si="0"/>
        <v>0.48406377463273303</v>
      </c>
      <c r="Q32" s="3"/>
      <c r="R32" s="3"/>
      <c r="S32" s="3"/>
      <c r="T32" s="3"/>
      <c r="U32" s="3"/>
    </row>
    <row r="33" spans="1:21" x14ac:dyDescent="0.25">
      <c r="A33" s="2">
        <v>1000000000000000</v>
      </c>
      <c r="B33" s="3">
        <v>-1.6129999999999999E-2</v>
      </c>
      <c r="C33" s="3">
        <v>7.5440000000000004E-3</v>
      </c>
      <c r="D33" s="3">
        <v>8.2559999999999995E-3</v>
      </c>
      <c r="E33" s="3">
        <v>0</v>
      </c>
      <c r="F33" s="3">
        <v>0</v>
      </c>
      <c r="G33" s="3">
        <v>0</v>
      </c>
      <c r="H33" s="3">
        <v>4.6053161000000004E-3</v>
      </c>
      <c r="I33" s="3">
        <v>1.3836384000000001E-3</v>
      </c>
      <c r="J33" s="3">
        <v>-9.5676252000000007E-3</v>
      </c>
      <c r="K33" s="2"/>
      <c r="L33" s="3"/>
      <c r="M33" s="3"/>
      <c r="N33" s="2">
        <f>IF('Modell einstellen'!$B$1="Voll",H33/0.35,H33/0.35*2)</f>
        <v>1.3158046000000001E-2</v>
      </c>
      <c r="O33" s="2">
        <f>IF('Modell einstellen'!$B$1="Voll",J33/0.35,J33/0.35*2)</f>
        <v>-2.7336072000000003E-2</v>
      </c>
      <c r="P33" s="3">
        <f t="shared" si="0"/>
        <v>0.48134369853869274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3.8630000000000001E-5</v>
      </c>
      <c r="C3" s="3">
        <v>1.696E-4</v>
      </c>
      <c r="D3" s="3">
        <v>-4.8799999999999999E-4</v>
      </c>
      <c r="E3" s="3">
        <v>0</v>
      </c>
      <c r="F3" s="3">
        <v>0</v>
      </c>
      <c r="G3" s="3">
        <v>0</v>
      </c>
      <c r="H3" s="3">
        <v>8.2006550999999994E-5</v>
      </c>
      <c r="I3" s="3">
        <v>1.7469031999999999E-5</v>
      </c>
      <c r="J3" s="3">
        <v>-2.1644068999999999E-4</v>
      </c>
      <c r="L3" s="3">
        <f>-B3/D3</f>
        <v>7.915983606557378E-2</v>
      </c>
      <c r="M3" s="3"/>
      <c r="N3" s="2">
        <f>IF('Modell einstellen'!$B$1="Voll",H3/0.35,H3/0.35*2)</f>
        <v>2.3430443142857143E-4</v>
      </c>
      <c r="O3" s="2">
        <f>IF('Modell einstellen'!$B$1="Voll",J3/0.35,J3/0.35*2)</f>
        <v>-6.1840197142857146E-4</v>
      </c>
      <c r="P3" s="3">
        <f>-N3/O3</f>
        <v>0.37888694126783645</v>
      </c>
    </row>
    <row r="4" spans="1:16" x14ac:dyDescent="0.25">
      <c r="A4" s="3">
        <v>1E-14</v>
      </c>
      <c r="B4" s="3">
        <v>3.1919999999999999E-5</v>
      </c>
      <c r="C4" s="3">
        <v>1.749E-4</v>
      </c>
      <c r="D4" s="3">
        <v>-4.9050000000000005E-4</v>
      </c>
      <c r="E4" s="3">
        <v>0</v>
      </c>
      <c r="F4" s="3">
        <v>0</v>
      </c>
      <c r="G4" s="3">
        <v>0</v>
      </c>
      <c r="H4" s="3">
        <v>8.7314182000000002E-5</v>
      </c>
      <c r="I4" s="3">
        <v>1.8080686999999999E-5</v>
      </c>
      <c r="J4" s="3">
        <v>-2.2467367E-4</v>
      </c>
      <c r="L4" s="3">
        <f t="shared" ref="L4:L33" si="0">-B4/D4</f>
        <v>6.5076452599388365E-2</v>
      </c>
      <c r="M4" s="3"/>
      <c r="N4" s="2">
        <f>IF('Modell einstellen'!$B$1="Voll",H4/0.35,H4/0.35*2)</f>
        <v>2.4946909142857147E-4</v>
      </c>
      <c r="O4" s="2">
        <f>IF('Modell einstellen'!$B$1="Voll",J4/0.35,J4/0.35*2)</f>
        <v>-6.4192477142857151E-4</v>
      </c>
      <c r="P4" s="3">
        <f t="shared" ref="P4:P33" si="1">-N4/O4</f>
        <v>0.38862667797254569</v>
      </c>
    </row>
    <row r="5" spans="1:16" x14ac:dyDescent="0.25">
      <c r="A5" s="3">
        <v>1E-13</v>
      </c>
      <c r="B5" s="3">
        <v>2.4090000000000001E-5</v>
      </c>
      <c r="C5" s="3">
        <v>1.8009999999999999E-4</v>
      </c>
      <c r="D5" s="3">
        <v>-4.9140000000000002E-4</v>
      </c>
      <c r="E5" s="3">
        <v>0</v>
      </c>
      <c r="F5" s="3">
        <v>0</v>
      </c>
      <c r="G5" s="3">
        <v>0</v>
      </c>
      <c r="H5" s="3">
        <v>9.2814993999999995E-5</v>
      </c>
      <c r="I5" s="3">
        <v>1.8677027000000001E-5</v>
      </c>
      <c r="J5" s="3">
        <v>-2.3302498000000001E-4</v>
      </c>
      <c r="L5" s="3">
        <f t="shared" si="0"/>
        <v>4.9023199023199023E-2</v>
      </c>
      <c r="M5" s="3"/>
      <c r="N5" s="2">
        <f>IF('Modell einstellen'!$B$1="Voll",H5/0.35,H5/0.35*2)</f>
        <v>2.6518569714285714E-4</v>
      </c>
      <c r="O5" s="2">
        <f>IF('Modell einstellen'!$B$1="Voll",J5/0.35,J5/0.35*2)</f>
        <v>-6.6578565714285718E-4</v>
      </c>
      <c r="P5" s="3">
        <f t="shared" si="1"/>
        <v>0.39830491134469787</v>
      </c>
    </row>
    <row r="6" spans="1:16" x14ac:dyDescent="0.25">
      <c r="A6" s="3">
        <v>9.9999999999999998E-13</v>
      </c>
      <c r="B6" s="3">
        <v>1.3010000000000001E-5</v>
      </c>
      <c r="C6" s="3">
        <v>1.861E-4</v>
      </c>
      <c r="D6" s="3">
        <v>-4.9069999999999995E-4</v>
      </c>
      <c r="E6" s="3">
        <v>0</v>
      </c>
      <c r="F6" s="3">
        <v>0</v>
      </c>
      <c r="G6" s="3">
        <v>0</v>
      </c>
      <c r="H6" s="3">
        <v>9.9837783000000002E-5</v>
      </c>
      <c r="I6" s="3">
        <v>1.9387842999999999E-5</v>
      </c>
      <c r="J6" s="3">
        <v>-2.4343722000000001E-4</v>
      </c>
      <c r="L6" s="3">
        <f t="shared" si="0"/>
        <v>2.6513144487466889E-2</v>
      </c>
      <c r="M6" s="3"/>
      <c r="N6" s="2">
        <f>IF('Modell einstellen'!$B$1="Voll",H6/0.35,H6/0.35*2)</f>
        <v>2.8525080857142858E-4</v>
      </c>
      <c r="O6" s="2">
        <f>IF('Modell einstellen'!$B$1="Voll",J6/0.35,J6/0.35*2)</f>
        <v>-6.9553491428571434E-4</v>
      </c>
      <c r="P6" s="3">
        <f t="shared" si="1"/>
        <v>0.41011716696403283</v>
      </c>
    </row>
    <row r="7" spans="1:16" x14ac:dyDescent="0.25">
      <c r="A7" s="3">
        <v>9.9999999999999994E-12</v>
      </c>
      <c r="B7" s="3">
        <v>-1.11E-6</v>
      </c>
      <c r="C7" s="3">
        <v>1.9230000000000001E-4</v>
      </c>
      <c r="D7" s="3">
        <v>-4.8730000000000003E-4</v>
      </c>
      <c r="E7" s="3">
        <v>0</v>
      </c>
      <c r="F7" s="3">
        <v>0</v>
      </c>
      <c r="G7" s="3">
        <v>0</v>
      </c>
      <c r="H7" s="3">
        <v>1.0790886E-4</v>
      </c>
      <c r="I7" s="3">
        <v>2.0139274000000001E-5</v>
      </c>
      <c r="J7" s="3">
        <v>-2.5508288000000002E-4</v>
      </c>
      <c r="L7" s="3">
        <f t="shared" si="0"/>
        <v>-2.2778575825979888E-3</v>
      </c>
      <c r="M7" s="3"/>
      <c r="N7" s="2">
        <f>IF('Modell einstellen'!$B$1="Voll",H7/0.35,H7/0.35*2)</f>
        <v>3.0831102857142861E-4</v>
      </c>
      <c r="O7" s="2">
        <f>IF('Modell einstellen'!$B$1="Voll",J7/0.35,J7/0.35*2)</f>
        <v>-7.2880822857142866E-4</v>
      </c>
      <c r="P7" s="3">
        <f t="shared" si="1"/>
        <v>0.42303450549092125</v>
      </c>
    </row>
    <row r="8" spans="1:16" x14ac:dyDescent="0.25">
      <c r="A8" s="3">
        <v>1E-10</v>
      </c>
      <c r="B8" s="3">
        <v>-1.931E-5</v>
      </c>
      <c r="C8" s="3">
        <v>1.9900000000000001E-4</v>
      </c>
      <c r="D8" s="3">
        <v>-4.8060000000000003E-4</v>
      </c>
      <c r="E8" s="3">
        <v>0</v>
      </c>
      <c r="F8" s="3">
        <v>0</v>
      </c>
      <c r="G8" s="3">
        <v>0</v>
      </c>
      <c r="H8" s="3">
        <v>1.1742024E-4</v>
      </c>
      <c r="I8" s="3">
        <v>2.0948769E-5</v>
      </c>
      <c r="J8" s="3">
        <v>-2.6843792999999998E-4</v>
      </c>
      <c r="L8" s="3">
        <f t="shared" si="0"/>
        <v>-4.0178942987931753E-2</v>
      </c>
      <c r="M8" s="3"/>
      <c r="N8" s="2">
        <f>IF('Modell einstellen'!$B$1="Voll",H8/0.35,H8/0.35*2)</f>
        <v>3.3548640000000005E-4</v>
      </c>
      <c r="O8" s="2">
        <f>IF('Modell einstellen'!$B$1="Voll",J8/0.35,J8/0.35*2)</f>
        <v>-7.6696551428571426E-4</v>
      </c>
      <c r="P8" s="3">
        <f t="shared" si="1"/>
        <v>0.4374204494871497</v>
      </c>
    </row>
    <row r="9" spans="1:16" x14ac:dyDescent="0.25">
      <c r="A9" s="3">
        <v>1.0000000000000001E-9</v>
      </c>
      <c r="B9" s="3">
        <v>-4.409E-5</v>
      </c>
      <c r="C9" s="3">
        <v>2.062E-4</v>
      </c>
      <c r="D9" s="3">
        <v>-4.684E-4</v>
      </c>
      <c r="E9" s="3">
        <v>0</v>
      </c>
      <c r="F9" s="3">
        <v>0</v>
      </c>
      <c r="G9" s="3">
        <v>0</v>
      </c>
      <c r="H9" s="3">
        <v>1.2927351999999999E-4</v>
      </c>
      <c r="I9" s="3">
        <v>2.1854801999999998E-5</v>
      </c>
      <c r="J9" s="3">
        <v>-2.8458550999999998E-4</v>
      </c>
      <c r="L9" s="3">
        <f t="shared" si="0"/>
        <v>-9.4128949615713067E-2</v>
      </c>
      <c r="M9" s="3"/>
      <c r="N9" s="2">
        <f>IF('Modell einstellen'!$B$1="Voll",H9/0.35,H9/0.35*2)</f>
        <v>3.6935291428571429E-4</v>
      </c>
      <c r="O9" s="2">
        <f>IF('Modell einstellen'!$B$1="Voll",J9/0.35,J9/0.35*2)</f>
        <v>-8.1310145714285709E-4</v>
      </c>
      <c r="P9" s="3">
        <f t="shared" si="1"/>
        <v>0.45425193995295127</v>
      </c>
    </row>
    <row r="10" spans="1:16" x14ac:dyDescent="0.25">
      <c r="A10" s="3">
        <v>1E-8</v>
      </c>
      <c r="B10" s="3">
        <v>-8.1630000000000003E-5</v>
      </c>
      <c r="C10" s="3">
        <v>2.1479999999999999E-4</v>
      </c>
      <c r="D10" s="3">
        <v>-4.46E-4</v>
      </c>
      <c r="E10" s="3">
        <v>0</v>
      </c>
      <c r="F10" s="3">
        <v>0</v>
      </c>
      <c r="G10" s="3">
        <v>0</v>
      </c>
      <c r="H10" s="3">
        <v>1.4575826E-4</v>
      </c>
      <c r="I10" s="3">
        <v>2.2964623E-5</v>
      </c>
      <c r="J10" s="3">
        <v>-3.0632062999999998E-4</v>
      </c>
      <c r="L10" s="3">
        <f t="shared" si="0"/>
        <v>-0.18302690582959641</v>
      </c>
      <c r="M10" s="3"/>
      <c r="N10" s="2">
        <f>IF('Modell einstellen'!$B$1="Voll",H10/0.35,H10/0.35*2)</f>
        <v>4.1645217142857147E-4</v>
      </c>
      <c r="O10" s="2">
        <f>IF('Modell einstellen'!$B$1="Voll",J10/0.35,J10/0.35*2)</f>
        <v>-8.7520179999999999E-4</v>
      </c>
      <c r="P10" s="3">
        <f t="shared" si="1"/>
        <v>0.47583559749142595</v>
      </c>
    </row>
    <row r="11" spans="1:16" x14ac:dyDescent="0.25">
      <c r="A11" s="3">
        <v>9.9999999999999995E-8</v>
      </c>
      <c r="B11" s="3">
        <v>-1.5090000000000001E-4</v>
      </c>
      <c r="C11" s="3">
        <v>2.264E-4</v>
      </c>
      <c r="D11" s="3">
        <v>-3.9720000000000001E-4</v>
      </c>
      <c r="E11" s="3">
        <v>0</v>
      </c>
      <c r="F11" s="3">
        <v>0</v>
      </c>
      <c r="G11" s="3">
        <v>0</v>
      </c>
      <c r="H11" s="3">
        <v>1.7330551999999999E-4</v>
      </c>
      <c r="I11" s="3">
        <v>2.4504752000000002E-5</v>
      </c>
      <c r="J11" s="3">
        <v>-3.4113465E-4</v>
      </c>
      <c r="L11" s="3">
        <f t="shared" si="0"/>
        <v>-0.37990936555891242</v>
      </c>
      <c r="M11" s="3"/>
      <c r="N11" s="2">
        <f>IF('Modell einstellen'!$B$1="Voll",H11/0.35,H11/0.35*2)</f>
        <v>4.9515862857142862E-4</v>
      </c>
      <c r="O11" s="2">
        <f>IF('Modell einstellen'!$B$1="Voll",J11/0.35,J11/0.35*2)</f>
        <v>-9.7467042857142863E-4</v>
      </c>
      <c r="P11" s="3">
        <f t="shared" si="1"/>
        <v>0.50802672786244374</v>
      </c>
    </row>
    <row r="12" spans="1:16" x14ac:dyDescent="0.25">
      <c r="A12" s="3">
        <v>9.9999999999999995E-7</v>
      </c>
      <c r="B12" s="3">
        <v>-2.8459999999999998E-4</v>
      </c>
      <c r="C12" s="3">
        <v>2.4039999999999999E-4</v>
      </c>
      <c r="D12" s="3">
        <v>-2.8889999999999997E-4</v>
      </c>
      <c r="E12" s="3">
        <v>0</v>
      </c>
      <c r="F12" s="3">
        <v>0</v>
      </c>
      <c r="G12" s="3">
        <v>0</v>
      </c>
      <c r="H12" s="3">
        <v>2.2088927E-4</v>
      </c>
      <c r="I12" s="3">
        <v>2.6508899E-5</v>
      </c>
      <c r="J12" s="3">
        <v>-3.9812992000000001E-4</v>
      </c>
      <c r="L12" s="3">
        <f t="shared" si="0"/>
        <v>-0.98511595707857391</v>
      </c>
      <c r="M12" s="3"/>
      <c r="N12" s="2">
        <f>IF('Modell einstellen'!$B$1="Voll",H12/0.35,H12/0.35*2)</f>
        <v>6.3111220000000004E-4</v>
      </c>
      <c r="O12" s="2">
        <f>IF('Modell einstellen'!$B$1="Voll",J12/0.35,J12/0.35*2)</f>
        <v>-1.1375140571428571E-3</v>
      </c>
      <c r="P12" s="3">
        <f t="shared" si="1"/>
        <v>0.55481705569880313</v>
      </c>
    </row>
    <row r="13" spans="1:16" x14ac:dyDescent="0.25">
      <c r="A13" s="3">
        <v>1.0000000000000001E-5</v>
      </c>
      <c r="B13" s="3">
        <v>-5.7090000000000005E-4</v>
      </c>
      <c r="C13" s="3">
        <v>2.5619999999999999E-4</v>
      </c>
      <c r="D13" s="3">
        <v>-3.2110000000000003E-5</v>
      </c>
      <c r="E13" s="3">
        <v>0</v>
      </c>
      <c r="F13" s="3">
        <v>0</v>
      </c>
      <c r="G13" s="3">
        <v>0</v>
      </c>
      <c r="H13" s="3">
        <v>3.1236333E-4</v>
      </c>
      <c r="I13" s="3">
        <v>2.9021910000000001E-5</v>
      </c>
      <c r="J13" s="3">
        <v>-5.0128924000000005E-4</v>
      </c>
      <c r="L13" s="3">
        <f t="shared" si="0"/>
        <v>-17.779507941451261</v>
      </c>
      <c r="M13" s="3"/>
      <c r="N13" s="2">
        <f>IF('Modell einstellen'!$B$1="Voll",H13/0.35,H13/0.35*2)</f>
        <v>8.9246665714285724E-4</v>
      </c>
      <c r="O13" s="2">
        <f>IF('Modell einstellen'!$B$1="Voll",J13/0.35,J13/0.35*2)</f>
        <v>-1.4322549714285717E-3</v>
      </c>
      <c r="P13" s="3">
        <f t="shared" si="1"/>
        <v>0.62311995765159445</v>
      </c>
    </row>
    <row r="14" spans="1:16" x14ac:dyDescent="0.25">
      <c r="A14" s="3">
        <v>1E-4</v>
      </c>
      <c r="B14" s="3">
        <v>-1.2830000000000001E-3</v>
      </c>
      <c r="C14" s="3">
        <v>2.7119999999999998E-4</v>
      </c>
      <c r="D14" s="3">
        <v>6.5039999999999998E-4</v>
      </c>
      <c r="E14" s="3">
        <v>0</v>
      </c>
      <c r="F14" s="3">
        <v>0</v>
      </c>
      <c r="G14" s="3">
        <v>0</v>
      </c>
      <c r="H14" s="3">
        <v>5.1945691E-4</v>
      </c>
      <c r="I14" s="3">
        <v>3.1877664999999999E-5</v>
      </c>
      <c r="J14" s="3">
        <v>-7.2122037E-4</v>
      </c>
      <c r="L14" s="3">
        <f t="shared" si="0"/>
        <v>1.9726322263222633</v>
      </c>
      <c r="M14" s="3"/>
      <c r="N14" s="2">
        <f>IF('Modell einstellen'!$B$1="Voll",H14/0.35,H14/0.35*2)</f>
        <v>1.4841626E-3</v>
      </c>
      <c r="O14" s="2">
        <f>IF('Modell einstellen'!$B$1="Voll",J14/0.35,J14/0.35*2)</f>
        <v>-2.0606296285714289E-3</v>
      </c>
      <c r="P14" s="3">
        <f t="shared" si="1"/>
        <v>0.72024714166073811</v>
      </c>
    </row>
    <row r="15" spans="1:16" x14ac:dyDescent="0.25">
      <c r="A15" s="3">
        <v>1E-3</v>
      </c>
      <c r="B15" s="3">
        <v>-2.862E-3</v>
      </c>
      <c r="C15" s="3">
        <v>2.8069999999999999E-4</v>
      </c>
      <c r="D15" s="3">
        <v>2.209E-3</v>
      </c>
      <c r="E15" s="3">
        <v>0</v>
      </c>
      <c r="F15" s="3">
        <v>0</v>
      </c>
      <c r="G15" s="3">
        <v>0</v>
      </c>
      <c r="H15" s="3">
        <v>9.5341641999999996E-4</v>
      </c>
      <c r="I15" s="3">
        <v>3.4106410999999999E-5</v>
      </c>
      <c r="J15" s="3">
        <v>-1.1634855999999999E-3</v>
      </c>
      <c r="L15" s="3">
        <f t="shared" si="0"/>
        <v>1.295608872793119</v>
      </c>
      <c r="M15" s="3"/>
      <c r="N15" s="2">
        <f>IF('Modell einstellen'!$B$1="Voll",H15/0.35,H15/0.35*2)</f>
        <v>2.7240469142857143E-3</v>
      </c>
      <c r="O15" s="2">
        <f>IF('Modell einstellen'!$B$1="Voll",J15/0.35,J15/0.35*2)</f>
        <v>-3.3242445714285712E-3</v>
      </c>
      <c r="P15" s="3">
        <f t="shared" si="1"/>
        <v>0.81944840572156641</v>
      </c>
    </row>
    <row r="16" spans="1:16" x14ac:dyDescent="0.25">
      <c r="A16" s="3">
        <v>0.01</v>
      </c>
      <c r="B16" s="3">
        <v>-5.9490000000000003E-3</v>
      </c>
      <c r="C16" s="3">
        <v>2.9050000000000001E-4</v>
      </c>
      <c r="D16" s="3">
        <v>5.2820000000000002E-3</v>
      </c>
      <c r="E16" s="3">
        <v>0</v>
      </c>
      <c r="F16" s="3">
        <v>0</v>
      </c>
      <c r="G16" s="3">
        <v>0</v>
      </c>
      <c r="H16" s="3">
        <v>1.7844221E-3</v>
      </c>
      <c r="I16" s="3">
        <v>3.5670718E-5</v>
      </c>
      <c r="J16" s="3">
        <v>-1.9943846999999999E-3</v>
      </c>
      <c r="L16" s="3">
        <f t="shared" si="0"/>
        <v>1.1262779250283983</v>
      </c>
      <c r="M16" s="3"/>
      <c r="N16" s="2">
        <f>IF('Modell einstellen'!$B$1="Voll",H16/0.35,H16/0.35*2)</f>
        <v>5.0983488571428575E-3</v>
      </c>
      <c r="O16" s="2">
        <f>IF('Modell einstellen'!$B$1="Voll",J16/0.35,J16/0.35*2)</f>
        <v>-5.6982420000000001E-3</v>
      </c>
      <c r="P16" s="3">
        <f t="shared" si="1"/>
        <v>0.89472311936608828</v>
      </c>
    </row>
    <row r="17" spans="1:16" x14ac:dyDescent="0.25">
      <c r="A17" s="3">
        <v>0.1</v>
      </c>
      <c r="B17" s="3">
        <v>-1.1599999999999999E-2</v>
      </c>
      <c r="C17" s="3">
        <v>3.2519999999999999E-4</v>
      </c>
      <c r="D17" s="3">
        <v>1.09E-2</v>
      </c>
      <c r="E17" s="3">
        <v>0</v>
      </c>
      <c r="F17" s="3">
        <v>0</v>
      </c>
      <c r="G17" s="3">
        <v>0</v>
      </c>
      <c r="H17" s="3">
        <v>3.3019172999999998E-3</v>
      </c>
      <c r="I17" s="3">
        <v>3.8662180999999999E-5</v>
      </c>
      <c r="J17" s="3">
        <v>-3.5001774999999999E-3</v>
      </c>
      <c r="L17" s="3">
        <f t="shared" si="0"/>
        <v>1.0642201834862384</v>
      </c>
      <c r="M17" s="3"/>
      <c r="N17" s="2">
        <f>IF('Modell einstellen'!$B$1="Voll",H17/0.35,H17/0.35*2)</f>
        <v>9.4340494285714283E-3</v>
      </c>
      <c r="O17" s="2">
        <f>IF('Modell einstellen'!$B$1="Voll",J17/0.35,J17/0.35*2)</f>
        <v>-1.0000507142857143E-2</v>
      </c>
      <c r="P17" s="3">
        <f t="shared" si="1"/>
        <v>0.94335710117558313</v>
      </c>
    </row>
    <row r="18" spans="1:16" x14ac:dyDescent="0.25">
      <c r="A18" s="3">
        <v>1</v>
      </c>
      <c r="B18" s="3">
        <v>-1.6979999999999999E-2</v>
      </c>
      <c r="C18" s="3">
        <v>4.2860000000000001E-4</v>
      </c>
      <c r="D18" s="3">
        <v>1.618E-2</v>
      </c>
      <c r="E18" s="3">
        <v>0</v>
      </c>
      <c r="F18" s="3">
        <v>0</v>
      </c>
      <c r="G18" s="3">
        <v>0</v>
      </c>
      <c r="H18" s="3">
        <v>4.7583382E-3</v>
      </c>
      <c r="I18" s="3">
        <v>5.0548772000000003E-5</v>
      </c>
      <c r="J18" s="3">
        <v>-4.9649228000000004E-3</v>
      </c>
      <c r="L18" s="3">
        <f t="shared" si="0"/>
        <v>1.0494437577255871</v>
      </c>
      <c r="M18" s="3"/>
      <c r="N18" s="2">
        <f>IF('Modell einstellen'!$B$1="Voll",H18/0.35,H18/0.35*2)</f>
        <v>1.3595252E-2</v>
      </c>
      <c r="O18" s="2">
        <f>IF('Modell einstellen'!$B$1="Voll",J18/0.35,J18/0.35*2)</f>
        <v>-1.4185493714285716E-2</v>
      </c>
      <c r="P18" s="3">
        <f t="shared" si="1"/>
        <v>0.9583911757902861</v>
      </c>
    </row>
    <row r="19" spans="1:16" x14ac:dyDescent="0.25">
      <c r="A19" s="3">
        <v>10</v>
      </c>
      <c r="B19" s="3">
        <v>-1.9310000000000001E-2</v>
      </c>
      <c r="C19" s="3">
        <v>6.4199999999999999E-4</v>
      </c>
      <c r="D19" s="3">
        <v>1.8290000000000001E-2</v>
      </c>
      <c r="E19" s="3">
        <v>0</v>
      </c>
      <c r="F19" s="3">
        <v>0</v>
      </c>
      <c r="G19" s="3">
        <v>0</v>
      </c>
      <c r="H19" s="3">
        <v>5.4005772999999998E-3</v>
      </c>
      <c r="I19" s="3">
        <v>8.3572263999999994E-5</v>
      </c>
      <c r="J19" s="3">
        <v>-5.7064085999999998E-3</v>
      </c>
      <c r="L19" s="3">
        <f t="shared" si="0"/>
        <v>1.0557681793329687</v>
      </c>
      <c r="M19" s="3"/>
      <c r="N19" s="2">
        <f>IF('Modell einstellen'!$B$1="Voll",H19/0.35,H19/0.35*2)</f>
        <v>1.5430220857142858E-2</v>
      </c>
      <c r="O19" s="2">
        <f>IF('Modell einstellen'!$B$1="Voll",J19/0.35,J19/0.35*2)</f>
        <v>-1.6304024571428571E-2</v>
      </c>
      <c r="P19" s="3">
        <f t="shared" si="1"/>
        <v>0.94640564294677398</v>
      </c>
    </row>
    <row r="20" spans="1:16" x14ac:dyDescent="0.25">
      <c r="A20" s="3">
        <v>100</v>
      </c>
      <c r="B20" s="3">
        <v>-2.0930000000000001E-2</v>
      </c>
      <c r="C20" s="3">
        <v>1.0690000000000001E-3</v>
      </c>
      <c r="D20" s="3">
        <v>1.949E-2</v>
      </c>
      <c r="E20" s="3">
        <v>0</v>
      </c>
      <c r="F20" s="3">
        <v>0</v>
      </c>
      <c r="G20" s="3">
        <v>0</v>
      </c>
      <c r="H20" s="3">
        <v>5.8350820999999997E-3</v>
      </c>
      <c r="I20" s="3">
        <v>1.5745679000000001E-4</v>
      </c>
      <c r="J20" s="3">
        <v>-6.3915326999999999E-3</v>
      </c>
      <c r="L20" s="3">
        <f t="shared" si="0"/>
        <v>1.0738840430990251</v>
      </c>
      <c r="M20" s="3"/>
      <c r="N20" s="2">
        <f>IF('Modell einstellen'!$B$1="Voll",H20/0.35,H20/0.35*2)</f>
        <v>1.6671663142857143E-2</v>
      </c>
      <c r="O20" s="2">
        <f>IF('Modell einstellen'!$B$1="Voll",J20/0.35,J20/0.35*2)</f>
        <v>-1.8261522000000002E-2</v>
      </c>
      <c r="P20" s="3">
        <f t="shared" si="1"/>
        <v>0.91293941123073641</v>
      </c>
    </row>
    <row r="21" spans="1:16" x14ac:dyDescent="0.25">
      <c r="A21" s="3">
        <v>1000</v>
      </c>
      <c r="B21" s="3">
        <v>-2.0709999999999999E-2</v>
      </c>
      <c r="C21" s="3">
        <v>1.952E-3</v>
      </c>
      <c r="D21" s="3">
        <v>1.839E-2</v>
      </c>
      <c r="E21" s="3">
        <v>0</v>
      </c>
      <c r="F21" s="3">
        <v>0</v>
      </c>
      <c r="G21" s="3">
        <v>0</v>
      </c>
      <c r="H21" s="3">
        <v>5.7256420000000004E-3</v>
      </c>
      <c r="I21" s="3">
        <v>3.177856E-4</v>
      </c>
      <c r="J21" s="3">
        <v>-6.8607281000000004E-3</v>
      </c>
      <c r="L21" s="3">
        <f t="shared" si="0"/>
        <v>1.1261555193039694</v>
      </c>
      <c r="M21" s="3"/>
      <c r="N21" s="2">
        <f>IF('Modell einstellen'!$B$1="Voll",H21/0.35,H21/0.35*2)</f>
        <v>1.6358977142857146E-2</v>
      </c>
      <c r="O21" s="2">
        <f>IF('Modell einstellen'!$B$1="Voll",J21/0.35,J21/0.35*2)</f>
        <v>-1.960208028571429E-2</v>
      </c>
      <c r="P21" s="3">
        <f t="shared" si="1"/>
        <v>0.83455311397634313</v>
      </c>
    </row>
    <row r="22" spans="1:16" x14ac:dyDescent="0.25">
      <c r="A22" s="3">
        <v>10000</v>
      </c>
      <c r="B22" s="3">
        <v>-1.9970000000000002E-2</v>
      </c>
      <c r="C22" s="3">
        <v>3.297E-3</v>
      </c>
      <c r="D22" s="3">
        <v>1.6320000000000001E-2</v>
      </c>
      <c r="E22" s="3">
        <v>0</v>
      </c>
      <c r="F22" s="3">
        <v>0</v>
      </c>
      <c r="G22" s="3">
        <v>0</v>
      </c>
      <c r="H22" s="3">
        <v>5.4393910999999996E-3</v>
      </c>
      <c r="I22" s="3">
        <v>5.6414085000000005E-4</v>
      </c>
      <c r="J22" s="3">
        <v>-7.4656122999999996E-3</v>
      </c>
      <c r="L22" s="3">
        <f t="shared" si="0"/>
        <v>1.2236519607843137</v>
      </c>
      <c r="M22" s="3"/>
      <c r="N22" s="2">
        <f>IF('Modell einstellen'!$B$1="Voll",H22/0.35,H22/0.35*2)</f>
        <v>1.5541117428571428E-2</v>
      </c>
      <c r="O22" s="2">
        <f>IF('Modell einstellen'!$B$1="Voll",J22/0.35,J22/0.35*2)</f>
        <v>-2.1330320857142857E-2</v>
      </c>
      <c r="P22" s="3">
        <f t="shared" si="1"/>
        <v>0.7285927639183728</v>
      </c>
    </row>
    <row r="23" spans="1:16" x14ac:dyDescent="0.25">
      <c r="A23" s="3">
        <v>100000</v>
      </c>
      <c r="B23" s="3">
        <v>-1.917E-2</v>
      </c>
      <c r="C23" s="3">
        <v>4.6189999999999998E-3</v>
      </c>
      <c r="D23" s="3">
        <v>1.4200000000000001E-2</v>
      </c>
      <c r="E23" s="3">
        <v>0</v>
      </c>
      <c r="F23" s="3">
        <v>0</v>
      </c>
      <c r="G23" s="3">
        <v>0</v>
      </c>
      <c r="H23" s="3">
        <v>5.1606600999999997E-3</v>
      </c>
      <c r="I23" s="3">
        <v>8.1033110999999996E-4</v>
      </c>
      <c r="J23" s="3">
        <v>-8.0739181000000007E-3</v>
      </c>
      <c r="L23" s="3">
        <f t="shared" si="0"/>
        <v>1.3499999999999999</v>
      </c>
      <c r="M23" s="3"/>
      <c r="N23" s="2">
        <f>IF('Modell einstellen'!$B$1="Voll",H23/0.35,H23/0.35*2)</f>
        <v>1.4744743142857142E-2</v>
      </c>
      <c r="O23" s="2">
        <f>IF('Modell einstellen'!$B$1="Voll",J23/0.35,J23/0.35*2)</f>
        <v>-2.3068337428571433E-2</v>
      </c>
      <c r="P23" s="3">
        <f t="shared" si="1"/>
        <v>0.63917667185650529</v>
      </c>
    </row>
    <row r="24" spans="1:16" x14ac:dyDescent="0.25">
      <c r="A24" s="3">
        <v>1000000</v>
      </c>
      <c r="B24" s="3">
        <v>-1.8460000000000001E-2</v>
      </c>
      <c r="C24" s="3">
        <v>5.6449999999999998E-3</v>
      </c>
      <c r="D24" s="3">
        <v>1.248E-2</v>
      </c>
      <c r="E24" s="3">
        <v>0</v>
      </c>
      <c r="F24" s="3">
        <v>0</v>
      </c>
      <c r="G24" s="3">
        <v>0</v>
      </c>
      <c r="H24" s="3">
        <v>4.9459591000000002E-3</v>
      </c>
      <c r="I24" s="3">
        <v>1.0051057999999999E-3</v>
      </c>
      <c r="J24" s="3">
        <v>-8.558398E-3</v>
      </c>
      <c r="L24" s="3">
        <f t="shared" si="0"/>
        <v>1.4791666666666667</v>
      </c>
      <c r="M24" s="3"/>
      <c r="N24" s="2">
        <f>IF('Modell einstellen'!$B$1="Voll",H24/0.35,H24/0.35*2)</f>
        <v>1.4131311714285716E-2</v>
      </c>
      <c r="O24" s="2">
        <f>IF('Modell einstellen'!$B$1="Voll",J24/0.35,J24/0.35*2)</f>
        <v>-2.4452565714285716E-2</v>
      </c>
      <c r="P24" s="3">
        <f t="shared" si="1"/>
        <v>0.57790711532695727</v>
      </c>
    </row>
    <row r="25" spans="1:16" x14ac:dyDescent="0.25">
      <c r="A25" s="3">
        <v>10000000</v>
      </c>
      <c r="B25" s="3">
        <v>-1.7899999999999999E-2</v>
      </c>
      <c r="C25" s="3">
        <v>6.3619999999999996E-3</v>
      </c>
      <c r="D25" s="3">
        <v>1.12E-2</v>
      </c>
      <c r="E25" s="3">
        <v>0</v>
      </c>
      <c r="F25" s="3">
        <v>0</v>
      </c>
      <c r="G25" s="3">
        <v>0</v>
      </c>
      <c r="H25" s="3">
        <v>4.7967645E-3</v>
      </c>
      <c r="I25" s="3">
        <v>1.1438411999999999E-3</v>
      </c>
      <c r="J25" s="3">
        <v>-8.9057734000000006E-3</v>
      </c>
      <c r="L25" s="3">
        <f t="shared" si="0"/>
        <v>1.5982142857142856</v>
      </c>
      <c r="M25" s="3"/>
      <c r="N25" s="2">
        <f>IF('Modell einstellen'!$B$1="Voll",H25/0.35,H25/0.35*2)</f>
        <v>1.3705041428571429E-2</v>
      </c>
      <c r="O25" s="2">
        <f>IF('Modell einstellen'!$B$1="Voll",J25/0.35,J25/0.35*2)</f>
        <v>-2.5445066857142859E-2</v>
      </c>
      <c r="P25" s="3">
        <f t="shared" si="1"/>
        <v>0.5386129069935689</v>
      </c>
    </row>
    <row r="26" spans="1:16" x14ac:dyDescent="0.25">
      <c r="A26" s="3">
        <v>100000000</v>
      </c>
      <c r="B26" s="3">
        <v>-1.7479999999999999E-2</v>
      </c>
      <c r="C26" s="3">
        <v>6.8380000000000003E-3</v>
      </c>
      <c r="D26" s="3">
        <v>1.031E-2</v>
      </c>
      <c r="E26" s="3">
        <v>0</v>
      </c>
      <c r="F26" s="3">
        <v>0</v>
      </c>
      <c r="G26" s="3">
        <v>0</v>
      </c>
      <c r="H26" s="3">
        <v>4.6988378999999999E-3</v>
      </c>
      <c r="I26" s="3">
        <v>1.2374249999999999E-3</v>
      </c>
      <c r="J26" s="3">
        <v>-9.1420766999999997E-3</v>
      </c>
      <c r="L26" s="3">
        <f t="shared" si="0"/>
        <v>1.6954413191076625</v>
      </c>
      <c r="M26" s="3"/>
      <c r="N26" s="2">
        <f>IF('Modell einstellen'!$B$1="Voll",H26/0.35,H26/0.35*2)</f>
        <v>1.3425251142857144E-2</v>
      </c>
      <c r="O26" s="2">
        <f>IF('Modell einstellen'!$B$1="Voll",J26/0.35,J26/0.35*2)</f>
        <v>-2.6120219142857143E-2</v>
      </c>
      <c r="P26" s="3">
        <f t="shared" si="1"/>
        <v>0.51397926906476299</v>
      </c>
    </row>
    <row r="27" spans="1:16" x14ac:dyDescent="0.25">
      <c r="A27" s="3">
        <v>1000000000</v>
      </c>
      <c r="B27" s="3">
        <v>-1.7149999999999999E-2</v>
      </c>
      <c r="C27" s="3">
        <v>7.1510000000000002E-3</v>
      </c>
      <c r="D27" s="3">
        <v>9.6699999999999998E-3</v>
      </c>
      <c r="E27" s="3">
        <v>0</v>
      </c>
      <c r="F27" s="3">
        <v>0</v>
      </c>
      <c r="G27" s="3">
        <v>0</v>
      </c>
      <c r="H27" s="3">
        <v>4.6372510999999998E-3</v>
      </c>
      <c r="I27" s="3">
        <v>1.3000408E-3</v>
      </c>
      <c r="J27" s="3">
        <v>-9.3036834999999998E-3</v>
      </c>
      <c r="L27" s="3">
        <f t="shared" si="0"/>
        <v>1.7735263702171664</v>
      </c>
      <c r="M27" s="3"/>
      <c r="N27" s="2">
        <f>IF('Modell einstellen'!$B$1="Voll",H27/0.35,H27/0.35*2)</f>
        <v>1.3249288857142858E-2</v>
      </c>
      <c r="O27" s="2">
        <f>IF('Modell einstellen'!$B$1="Voll",J27/0.35,J27/0.35*2)</f>
        <v>-2.6581952857142859E-2</v>
      </c>
      <c r="P27" s="3">
        <f t="shared" si="1"/>
        <v>0.49843173405458169</v>
      </c>
    </row>
    <row r="28" spans="1:16" x14ac:dyDescent="0.25">
      <c r="A28" s="3">
        <v>10000000000</v>
      </c>
      <c r="B28" s="3">
        <v>-1.686E-2</v>
      </c>
      <c r="C28" s="3">
        <v>7.3460000000000001E-3</v>
      </c>
      <c r="D28" s="3">
        <v>9.188E-3</v>
      </c>
      <c r="E28" s="3">
        <v>0</v>
      </c>
      <c r="F28" s="3">
        <v>0</v>
      </c>
      <c r="G28" s="3">
        <v>0</v>
      </c>
      <c r="H28" s="3">
        <v>4.6044768999999996E-3</v>
      </c>
      <c r="I28" s="3">
        <v>1.3401654000000001E-3</v>
      </c>
      <c r="J28" s="3">
        <v>-9.4135470999999991E-3</v>
      </c>
      <c r="L28" s="3">
        <f t="shared" si="0"/>
        <v>1.8350021767522855</v>
      </c>
      <c r="M28" s="3"/>
      <c r="N28" s="2">
        <f>IF('Modell einstellen'!$B$1="Voll",H28/0.35,H28/0.35*2)</f>
        <v>1.3155648285714285E-2</v>
      </c>
      <c r="O28" s="2">
        <f>IF('Modell einstellen'!$B$1="Voll",J28/0.35,J28/0.35*2)</f>
        <v>-2.6895848857142857E-2</v>
      </c>
      <c r="P28" s="3">
        <f t="shared" si="1"/>
        <v>0.48913303891579824</v>
      </c>
    </row>
    <row r="29" spans="1:16" x14ac:dyDescent="0.25">
      <c r="A29" s="3">
        <v>100000000000</v>
      </c>
      <c r="B29" s="3">
        <v>-1.6799999999999999E-2</v>
      </c>
      <c r="C29" s="3">
        <v>7.3810000000000004E-3</v>
      </c>
      <c r="D29" s="3">
        <v>9.0950000000000007E-3</v>
      </c>
      <c r="E29" s="3">
        <v>0</v>
      </c>
      <c r="F29" s="3">
        <v>0</v>
      </c>
      <c r="G29" s="3">
        <v>0</v>
      </c>
      <c r="H29" s="3">
        <v>4.5991373999999998E-3</v>
      </c>
      <c r="I29" s="3">
        <v>1.3474572999999999E-3</v>
      </c>
      <c r="J29" s="3">
        <v>-9.4340731000000008E-3</v>
      </c>
      <c r="L29" s="3">
        <f t="shared" si="0"/>
        <v>1.8471687740516765</v>
      </c>
      <c r="M29" s="3"/>
      <c r="N29" s="2">
        <f>IF('Modell einstellen'!$B$1="Voll",H29/0.35,H29/0.35*2)</f>
        <v>1.3140392571428572E-2</v>
      </c>
      <c r="O29" s="2">
        <f>IF('Modell einstellen'!$B$1="Voll",J29/0.35,J29/0.35*2)</f>
        <v>-2.6954494571428574E-2</v>
      </c>
      <c r="P29" s="3">
        <f t="shared" si="1"/>
        <v>0.48750283692417007</v>
      </c>
    </row>
    <row r="30" spans="1:16" x14ac:dyDescent="0.25">
      <c r="A30" s="3">
        <v>1000000000000</v>
      </c>
      <c r="B30" s="3">
        <v>-1.6410000000000001E-2</v>
      </c>
      <c r="C30" s="3">
        <v>7.5059999999999997E-3</v>
      </c>
      <c r="D30" s="3">
        <v>8.5730000000000008E-3</v>
      </c>
      <c r="E30" s="3">
        <v>0</v>
      </c>
      <c r="F30" s="3">
        <v>0</v>
      </c>
      <c r="G30" s="3">
        <v>0</v>
      </c>
      <c r="H30" s="3">
        <v>4.5951357999999996E-3</v>
      </c>
      <c r="I30" s="3">
        <v>1.3747103E-3</v>
      </c>
      <c r="J30" s="3">
        <v>-9.5261902999999992E-3</v>
      </c>
      <c r="L30" s="3">
        <f t="shared" si="0"/>
        <v>1.9141490726700103</v>
      </c>
      <c r="M30" s="3"/>
      <c r="N30" s="2">
        <f>IF('Modell einstellen'!$B$1="Voll",H30/0.35,H30/0.35*2)</f>
        <v>1.3128959428571427E-2</v>
      </c>
      <c r="O30" s="2">
        <f>IF('Modell einstellen'!$B$1="Voll",J30/0.35,J30/0.35*2)</f>
        <v>-2.7217686571428569E-2</v>
      </c>
      <c r="P30" s="3">
        <f t="shared" si="1"/>
        <v>0.48236867575488179</v>
      </c>
    </row>
    <row r="31" spans="1:16" x14ac:dyDescent="0.25">
      <c r="A31" s="3">
        <v>10000000000000</v>
      </c>
      <c r="B31" s="3">
        <v>-1.6400000000000001E-2</v>
      </c>
      <c r="C31" s="3">
        <v>7.5079999999999999E-3</v>
      </c>
      <c r="D31" s="3">
        <v>8.5649999999999997E-3</v>
      </c>
      <c r="E31" s="3">
        <v>0</v>
      </c>
      <c r="F31" s="3">
        <v>0</v>
      </c>
      <c r="G31" s="3">
        <v>0</v>
      </c>
      <c r="H31" s="3">
        <v>4.595142E-3</v>
      </c>
      <c r="I31" s="3">
        <v>1.3751137000000001E-3</v>
      </c>
      <c r="J31" s="3">
        <v>-9.5276032999999996E-3</v>
      </c>
      <c r="L31" s="3">
        <f t="shared" si="0"/>
        <v>1.9147694103911268</v>
      </c>
      <c r="M31" s="3"/>
      <c r="N31" s="2">
        <f>IF('Modell einstellen'!$B$1="Voll",H31/0.35,H31/0.35*2)</f>
        <v>1.3128977142857143E-2</v>
      </c>
      <c r="O31" s="2">
        <f>IF('Modell einstellen'!$B$1="Voll",J31/0.35,J31/0.35*2)</f>
        <v>-2.7221723714285714E-2</v>
      </c>
      <c r="P31" s="3">
        <f t="shared" si="1"/>
        <v>0.48229778836404746</v>
      </c>
    </row>
    <row r="32" spans="1:16" x14ac:dyDescent="0.25">
      <c r="A32" s="3">
        <v>100000000000000</v>
      </c>
      <c r="B32" s="3">
        <v>-1.626E-2</v>
      </c>
      <c r="C32" s="3">
        <v>7.5440000000000004E-3</v>
      </c>
      <c r="D32" s="3">
        <v>8.3899999999999999E-3</v>
      </c>
      <c r="E32" s="3">
        <v>0</v>
      </c>
      <c r="F32" s="3">
        <v>0</v>
      </c>
      <c r="G32" s="3">
        <v>0</v>
      </c>
      <c r="H32" s="3">
        <v>4.5952611999999999E-3</v>
      </c>
      <c r="I32" s="3">
        <v>1.38345E-3</v>
      </c>
      <c r="J32" s="3">
        <v>-9.5570550999999997E-3</v>
      </c>
      <c r="L32" s="3">
        <f t="shared" si="0"/>
        <v>1.9380214541120382</v>
      </c>
      <c r="M32" s="3"/>
      <c r="N32" s="2">
        <f>IF('Modell einstellen'!$B$1="Voll",H32/0.35,H32/0.35*2)</f>
        <v>1.3129317714285715E-2</v>
      </c>
      <c r="O32" s="2">
        <f>IF('Modell einstellen'!$B$1="Voll",J32/0.35,J32/0.35*2)</f>
        <v>-2.7305871714285716E-2</v>
      </c>
      <c r="P32" s="3">
        <f t="shared" si="1"/>
        <v>0.48082397264822718</v>
      </c>
    </row>
    <row r="33" spans="1:16" x14ac:dyDescent="0.25">
      <c r="A33" s="3">
        <v>1000000000000000</v>
      </c>
      <c r="B33" s="3">
        <v>-1.6250000000000001E-2</v>
      </c>
      <c r="C33" s="3">
        <v>7.5459999999999998E-3</v>
      </c>
      <c r="D33" s="3">
        <v>8.3820000000000006E-3</v>
      </c>
      <c r="E33" s="3">
        <v>0</v>
      </c>
      <c r="F33" s="3">
        <v>0</v>
      </c>
      <c r="G33" s="3">
        <v>0</v>
      </c>
      <c r="H33" s="3">
        <v>4.5955003999999999E-3</v>
      </c>
      <c r="I33" s="3">
        <v>1.3837652E-3</v>
      </c>
      <c r="J33" s="3">
        <v>-9.5583870999999994E-3</v>
      </c>
      <c r="L33" s="3">
        <f t="shared" si="0"/>
        <v>1.9386781197804819</v>
      </c>
      <c r="M33" s="3"/>
      <c r="N33" s="2">
        <f>IF('Modell einstellen'!$B$1="Voll",H33/0.35,H33/0.35*2)</f>
        <v>1.3130001142857143E-2</v>
      </c>
      <c r="O33" s="2">
        <f>IF('Modell einstellen'!$B$1="Voll",J33/0.35,J33/0.35*2)</f>
        <v>-2.7309677428571429E-2</v>
      </c>
      <c r="P33" s="3">
        <f t="shared" si="1"/>
        <v>0.48078199302055891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3.1189999999999998E-5</v>
      </c>
      <c r="C3" s="3">
        <v>1.7980000000000001E-4</v>
      </c>
      <c r="D3" s="3">
        <v>-4.9560000000000001E-4</v>
      </c>
      <c r="E3" s="3">
        <v>0</v>
      </c>
      <c r="F3" s="3">
        <v>0</v>
      </c>
      <c r="G3" s="3">
        <v>0</v>
      </c>
      <c r="H3" s="3">
        <v>9.0164786999999999E-5</v>
      </c>
      <c r="I3" s="3">
        <v>1.8647970999999999E-5</v>
      </c>
      <c r="J3" s="3">
        <v>-2.2981839E-4</v>
      </c>
      <c r="L3" s="3">
        <f>-B3/D3</f>
        <v>6.2933817594834532E-2</v>
      </c>
      <c r="M3" s="3"/>
      <c r="N3" s="2">
        <f>IF('Modell einstellen'!$B$1="Voll",H3/0.35,H3/0.35*2)</f>
        <v>2.5761367714285716E-4</v>
      </c>
      <c r="O3" s="2">
        <f>IF('Modell einstellen'!$B$1="Voll",J3/0.35,J3/0.35*2)</f>
        <v>-6.5662397142857143E-4</v>
      </c>
      <c r="P3" s="3">
        <f>-N3/O3</f>
        <v>0.39233060069735937</v>
      </c>
    </row>
    <row r="4" spans="1:16" x14ac:dyDescent="0.25">
      <c r="A4" s="3">
        <v>1E-14</v>
      </c>
      <c r="B4" s="3">
        <v>1.925E-5</v>
      </c>
      <c r="C4" s="3">
        <v>1.872E-4</v>
      </c>
      <c r="D4" s="3">
        <v>-4.9620000000000003E-4</v>
      </c>
      <c r="E4" s="3">
        <v>0</v>
      </c>
      <c r="F4" s="3">
        <v>0</v>
      </c>
      <c r="G4" s="3">
        <v>0</v>
      </c>
      <c r="H4" s="3">
        <v>9.8224922999999998E-5</v>
      </c>
      <c r="I4" s="3">
        <v>1.9508681E-5</v>
      </c>
      <c r="J4" s="3">
        <v>-2.4194911999999999E-4</v>
      </c>
      <c r="L4" s="3">
        <f t="shared" ref="L4:L33" si="0">-B4/D4</f>
        <v>3.8794840790004032E-2</v>
      </c>
      <c r="M4" s="3"/>
      <c r="N4" s="2">
        <f>IF('Modell einstellen'!$B$1="Voll",H4/0.35,H4/0.35*2)</f>
        <v>2.8064263714285714E-4</v>
      </c>
      <c r="O4" s="2">
        <f>IF('Modell einstellen'!$B$1="Voll",J4/0.35,J4/0.35*2)</f>
        <v>-6.9128320000000007E-4</v>
      </c>
      <c r="P4" s="3">
        <f t="shared" ref="P4:P33" si="1">-N4/O4</f>
        <v>0.40597346665282347</v>
      </c>
    </row>
    <row r="5" spans="1:16" x14ac:dyDescent="0.25">
      <c r="A5" s="3">
        <v>1E-13</v>
      </c>
      <c r="B5" s="3">
        <v>5.541E-6</v>
      </c>
      <c r="C5" s="3">
        <v>1.9379999999999999E-4</v>
      </c>
      <c r="D5" s="3">
        <v>-4.9370000000000002E-4</v>
      </c>
      <c r="E5" s="3">
        <v>0</v>
      </c>
      <c r="F5" s="3">
        <v>0</v>
      </c>
      <c r="G5" s="3">
        <v>0</v>
      </c>
      <c r="H5" s="3">
        <v>1.0633346E-4</v>
      </c>
      <c r="I5" s="3">
        <v>2.0298851999999998E-5</v>
      </c>
      <c r="J5" s="3">
        <v>-2.5378739999999998E-4</v>
      </c>
      <c r="L5" s="3">
        <f t="shared" si="0"/>
        <v>1.1223415029370062E-2</v>
      </c>
      <c r="M5" s="3"/>
      <c r="N5" s="2">
        <f>IF('Modell einstellen'!$B$1="Voll",H5/0.35,H5/0.35*2)</f>
        <v>3.0380988571428576E-4</v>
      </c>
      <c r="O5" s="2">
        <f>IF('Modell einstellen'!$B$1="Voll",J5/0.35,J5/0.35*2)</f>
        <v>-7.2510685714285712E-4</v>
      </c>
      <c r="P5" s="3">
        <f t="shared" si="1"/>
        <v>0.41898636417726026</v>
      </c>
    </row>
    <row r="6" spans="1:16" x14ac:dyDescent="0.25">
      <c r="A6" s="3">
        <v>9.9999999999999998E-13</v>
      </c>
      <c r="B6" s="3">
        <v>-1.1430000000000001E-5</v>
      </c>
      <c r="C6" s="3">
        <v>2.0039999999999999E-4</v>
      </c>
      <c r="D6" s="3">
        <v>-4.8819999999999999E-4</v>
      </c>
      <c r="E6" s="3">
        <v>0</v>
      </c>
      <c r="F6" s="3">
        <v>0</v>
      </c>
      <c r="G6" s="3">
        <v>0</v>
      </c>
      <c r="H6" s="3">
        <v>1.1544322E-4</v>
      </c>
      <c r="I6" s="3">
        <v>2.1112590000000001E-5</v>
      </c>
      <c r="J6" s="3">
        <v>-2.6672901000000001E-4</v>
      </c>
      <c r="L6" s="3">
        <f t="shared" si="0"/>
        <v>-2.3412535845964769E-2</v>
      </c>
      <c r="M6" s="3"/>
      <c r="N6" s="2">
        <f>IF('Modell einstellen'!$B$1="Voll",H6/0.35,H6/0.35*2)</f>
        <v>3.2983777142857145E-4</v>
      </c>
      <c r="O6" s="2">
        <f>IF('Modell einstellen'!$B$1="Voll",J6/0.35,J6/0.35*2)</f>
        <v>-7.6208288571428585E-4</v>
      </c>
      <c r="P6" s="3">
        <f t="shared" si="1"/>
        <v>0.43281088922423544</v>
      </c>
    </row>
    <row r="7" spans="1:16" x14ac:dyDescent="0.25">
      <c r="A7" s="3">
        <v>9.9999999999999994E-12</v>
      </c>
      <c r="B7" s="3">
        <v>-3.4770000000000001E-5</v>
      </c>
      <c r="C7" s="3">
        <v>2.0790000000000001E-4</v>
      </c>
      <c r="D7" s="3">
        <v>-4.7760000000000001E-4</v>
      </c>
      <c r="E7" s="3">
        <v>0</v>
      </c>
      <c r="F7" s="3">
        <v>0</v>
      </c>
      <c r="G7" s="3">
        <v>0</v>
      </c>
      <c r="H7" s="3">
        <v>1.2688257000000001E-4</v>
      </c>
      <c r="I7" s="3">
        <v>2.2036383000000001E-5</v>
      </c>
      <c r="J7" s="3">
        <v>-2.8250971E-4</v>
      </c>
      <c r="L7" s="3">
        <f t="shared" si="0"/>
        <v>-7.2801507537688437E-2</v>
      </c>
      <c r="M7" s="3"/>
      <c r="N7" s="2">
        <f>IF('Modell einstellen'!$B$1="Voll",H7/0.35,H7/0.35*2)</f>
        <v>3.6252162857142861E-4</v>
      </c>
      <c r="O7" s="2">
        <f>IF('Modell einstellen'!$B$1="Voll",J7/0.35,J7/0.35*2)</f>
        <v>-8.0717060000000005E-4</v>
      </c>
      <c r="P7" s="3">
        <f t="shared" si="1"/>
        <v>0.44912640347830879</v>
      </c>
    </row>
    <row r="8" spans="1:16" x14ac:dyDescent="0.25">
      <c r="A8" s="3">
        <v>1E-10</v>
      </c>
      <c r="B8" s="3">
        <v>-6.8150000000000003E-5</v>
      </c>
      <c r="C8" s="3">
        <v>2.163E-4</v>
      </c>
      <c r="D8" s="3">
        <v>-4.5869999999999998E-4</v>
      </c>
      <c r="E8" s="3">
        <v>0</v>
      </c>
      <c r="F8" s="3">
        <v>0</v>
      </c>
      <c r="G8" s="3">
        <v>0</v>
      </c>
      <c r="H8" s="3">
        <v>1.4185841000000001E-4</v>
      </c>
      <c r="I8" s="3">
        <v>2.310815E-5</v>
      </c>
      <c r="J8" s="3">
        <v>-3.0251200000000001E-4</v>
      </c>
      <c r="L8" s="3">
        <f t="shared" si="0"/>
        <v>-0.1485720514497493</v>
      </c>
      <c r="M8" s="3"/>
      <c r="N8" s="2">
        <f>IF('Modell einstellen'!$B$1="Voll",H8/0.35,H8/0.35*2)</f>
        <v>4.053097428571429E-4</v>
      </c>
      <c r="O8" s="2">
        <f>IF('Modell einstellen'!$B$1="Voll",J8/0.35,J8/0.35*2)</f>
        <v>-8.6432000000000013E-4</v>
      </c>
      <c r="P8" s="3">
        <f t="shared" si="1"/>
        <v>0.4689348191146136</v>
      </c>
    </row>
    <row r="9" spans="1:16" x14ac:dyDescent="0.25">
      <c r="A9" s="3">
        <v>1.0000000000000001E-9</v>
      </c>
      <c r="B9" s="3">
        <v>-1.292E-4</v>
      </c>
      <c r="C9" s="3">
        <v>2.2770000000000001E-4</v>
      </c>
      <c r="D9" s="3">
        <v>-4.1750000000000001E-4</v>
      </c>
      <c r="E9" s="3">
        <v>0</v>
      </c>
      <c r="F9" s="3">
        <v>0</v>
      </c>
      <c r="G9" s="3">
        <v>0</v>
      </c>
      <c r="H9" s="3">
        <v>1.6674733E-4</v>
      </c>
      <c r="I9" s="3">
        <v>2.4616183E-5</v>
      </c>
      <c r="J9" s="3">
        <v>-3.3445662999999999E-4</v>
      </c>
      <c r="L9" s="3">
        <f t="shared" si="0"/>
        <v>-0.30946107784431137</v>
      </c>
      <c r="M9" s="3"/>
      <c r="N9" s="2">
        <f>IF('Modell einstellen'!$B$1="Voll",H9/0.35,H9/0.35*2)</f>
        <v>4.7642094285714291E-4</v>
      </c>
      <c r="O9" s="2">
        <f>IF('Modell einstellen'!$B$1="Voll",J9/0.35,J9/0.35*2)</f>
        <v>-9.5559037142857147E-4</v>
      </c>
      <c r="P9" s="3">
        <f t="shared" si="1"/>
        <v>0.49856189126823414</v>
      </c>
    </row>
    <row r="10" spans="1:16" x14ac:dyDescent="0.25">
      <c r="A10" s="3">
        <v>1E-8</v>
      </c>
      <c r="B10" s="3">
        <v>-2.455E-4</v>
      </c>
      <c r="C10" s="3">
        <v>2.418E-4</v>
      </c>
      <c r="D10" s="3">
        <v>-3.2630000000000002E-4</v>
      </c>
      <c r="E10" s="3">
        <v>0</v>
      </c>
      <c r="F10" s="3">
        <v>0</v>
      </c>
      <c r="G10" s="3">
        <v>0</v>
      </c>
      <c r="H10" s="3">
        <v>2.0918240999999999E-4</v>
      </c>
      <c r="I10" s="3">
        <v>2.6602640000000001E-5</v>
      </c>
      <c r="J10" s="3">
        <v>-3.8614733999999998E-4</v>
      </c>
      <c r="L10" s="3">
        <f t="shared" si="0"/>
        <v>-0.75237511492491571</v>
      </c>
      <c r="M10" s="3"/>
      <c r="N10" s="2">
        <f>IF('Modell einstellen'!$B$1="Voll",H10/0.35,H10/0.35*2)</f>
        <v>5.9766402857142856E-4</v>
      </c>
      <c r="O10" s="2">
        <f>IF('Modell einstellen'!$B$1="Voll",J10/0.35,J10/0.35*2)</f>
        <v>-1.1032781142857142E-3</v>
      </c>
      <c r="P10" s="3">
        <f t="shared" si="1"/>
        <v>0.54171656342369212</v>
      </c>
    </row>
    <row r="11" spans="1:16" x14ac:dyDescent="0.25">
      <c r="A11" s="3">
        <v>9.9999999999999995E-8</v>
      </c>
      <c r="B11" s="3">
        <v>-4.86E-4</v>
      </c>
      <c r="C11" s="3">
        <v>2.5799999999999998E-4</v>
      </c>
      <c r="D11" s="3">
        <v>-1.153E-4</v>
      </c>
      <c r="E11" s="3">
        <v>0</v>
      </c>
      <c r="F11" s="3">
        <v>0</v>
      </c>
      <c r="G11" s="3">
        <v>0</v>
      </c>
      <c r="H11" s="3">
        <v>2.8778586999999998E-4</v>
      </c>
      <c r="I11" s="3">
        <v>2.910098E-5</v>
      </c>
      <c r="J11" s="3">
        <v>-4.7629915000000001E-4</v>
      </c>
      <c r="L11" s="3">
        <f t="shared" si="0"/>
        <v>-4.2150910667823069</v>
      </c>
      <c r="M11" s="3"/>
      <c r="N11" s="2">
        <f>IF('Modell einstellen'!$B$1="Voll",H11/0.35,H11/0.35*2)</f>
        <v>8.2224534285714284E-4</v>
      </c>
      <c r="O11" s="2">
        <f>IF('Modell einstellen'!$B$1="Voll",J11/0.35,J11/0.35*2)</f>
        <v>-1.3608547142857144E-3</v>
      </c>
      <c r="P11" s="3">
        <f t="shared" si="1"/>
        <v>0.60421243665876778</v>
      </c>
    </row>
    <row r="12" spans="1:16" x14ac:dyDescent="0.25">
      <c r="A12" s="3">
        <v>9.9999999999999995E-7</v>
      </c>
      <c r="B12" s="3">
        <v>-1.0709999999999999E-3</v>
      </c>
      <c r="C12" s="3">
        <v>2.744E-4</v>
      </c>
      <c r="D12" s="3">
        <v>4.3790000000000002E-4</v>
      </c>
      <c r="E12" s="3">
        <v>0</v>
      </c>
      <c r="F12" s="3">
        <v>0</v>
      </c>
      <c r="G12" s="3">
        <v>0</v>
      </c>
      <c r="H12" s="3">
        <v>4.6102841999999999E-4</v>
      </c>
      <c r="I12" s="3">
        <v>3.2086821000000003E-5</v>
      </c>
      <c r="J12" s="3">
        <v>-6.6302007E-4</v>
      </c>
      <c r="L12" s="3">
        <f t="shared" si="0"/>
        <v>2.4457638730303719</v>
      </c>
      <c r="M12" s="3"/>
      <c r="N12" s="2">
        <f>IF('Modell einstellen'!$B$1="Voll",H12/0.35,H12/0.35*2)</f>
        <v>1.3172240571428572E-3</v>
      </c>
      <c r="O12" s="2">
        <f>IF('Modell einstellen'!$B$1="Voll",J12/0.35,J12/0.35*2)</f>
        <v>-1.8943430571428572E-3</v>
      </c>
      <c r="P12" s="3">
        <f t="shared" si="1"/>
        <v>0.69534610015651555</v>
      </c>
    </row>
    <row r="13" spans="1:16" x14ac:dyDescent="0.25">
      <c r="A13" s="3">
        <v>1.0000000000000001E-5</v>
      </c>
      <c r="B13" s="3">
        <v>-2.385E-3</v>
      </c>
      <c r="C13" s="3">
        <v>2.853E-4</v>
      </c>
      <c r="D13" s="3">
        <v>1.73E-3</v>
      </c>
      <c r="E13" s="3">
        <v>0</v>
      </c>
      <c r="F13" s="3">
        <v>0</v>
      </c>
      <c r="G13" s="3">
        <v>0</v>
      </c>
      <c r="H13" s="3">
        <v>8.2528720000000003E-4</v>
      </c>
      <c r="I13" s="3">
        <v>3.4553237000000001E-5</v>
      </c>
      <c r="J13" s="3">
        <v>-1.0371720000000001E-3</v>
      </c>
      <c r="L13" s="3">
        <f t="shared" si="0"/>
        <v>1.3786127167630058</v>
      </c>
      <c r="M13" s="3"/>
      <c r="N13" s="2">
        <f>IF('Modell einstellen'!$B$1="Voll",H13/0.35,H13/0.35*2)</f>
        <v>2.3579634285714286E-3</v>
      </c>
      <c r="O13" s="2">
        <f>IF('Modell einstellen'!$B$1="Voll",J13/0.35,J13/0.35*2)</f>
        <v>-2.9633485714285718E-3</v>
      </c>
      <c r="P13" s="3">
        <f t="shared" si="1"/>
        <v>0.79570910128696104</v>
      </c>
    </row>
    <row r="14" spans="1:16" x14ac:dyDescent="0.25">
      <c r="A14" s="3">
        <v>1E-4</v>
      </c>
      <c r="B14" s="3">
        <v>-5.0229999999999997E-3</v>
      </c>
      <c r="C14" s="3">
        <v>2.9300000000000002E-4</v>
      </c>
      <c r="D14" s="3">
        <v>4.3550000000000004E-3</v>
      </c>
      <c r="E14" s="3">
        <v>0</v>
      </c>
      <c r="F14" s="3">
        <v>0</v>
      </c>
      <c r="G14" s="3">
        <v>0</v>
      </c>
      <c r="H14" s="3">
        <v>1.5371814E-3</v>
      </c>
      <c r="I14" s="3">
        <v>3.6106402000000003E-5</v>
      </c>
      <c r="J14" s="3">
        <v>-1.7509035E-3</v>
      </c>
      <c r="L14" s="3">
        <f t="shared" si="0"/>
        <v>1.1533869115958666</v>
      </c>
      <c r="M14" s="3"/>
      <c r="N14" s="2">
        <f>IF('Modell einstellen'!$B$1="Voll",H14/0.35,H14/0.35*2)</f>
        <v>4.3919468571428574E-3</v>
      </c>
      <c r="O14" s="2">
        <f>IF('Modell einstellen'!$B$1="Voll",J14/0.35,J14/0.35*2)</f>
        <v>-5.0025814285714291E-3</v>
      </c>
      <c r="P14" s="3">
        <f t="shared" si="1"/>
        <v>0.87793610555921553</v>
      </c>
    </row>
    <row r="15" spans="1:16" x14ac:dyDescent="0.25">
      <c r="A15" s="3">
        <v>1E-3</v>
      </c>
      <c r="B15" s="3">
        <v>-9.9970000000000007E-3</v>
      </c>
      <c r="C15" s="3">
        <v>3.0880000000000002E-4</v>
      </c>
      <c r="D15" s="3">
        <v>9.3120000000000008E-3</v>
      </c>
      <c r="E15" s="3">
        <v>0</v>
      </c>
      <c r="F15" s="3">
        <v>0</v>
      </c>
      <c r="G15" s="3">
        <v>0</v>
      </c>
      <c r="H15" s="3">
        <v>2.8698437999999998E-3</v>
      </c>
      <c r="I15" s="3">
        <v>3.70689E-5</v>
      </c>
      <c r="J15" s="3">
        <v>-3.0701286999999999E-3</v>
      </c>
      <c r="L15" s="3">
        <f t="shared" si="0"/>
        <v>1.073560996563574</v>
      </c>
      <c r="M15" s="3"/>
      <c r="N15" s="2">
        <f>IF('Modell einstellen'!$B$1="Voll",H15/0.35,H15/0.35*2)</f>
        <v>8.199553714285714E-3</v>
      </c>
      <c r="O15" s="2">
        <f>IF('Modell einstellen'!$B$1="Voll",J15/0.35,J15/0.35*2)</f>
        <v>-8.7717962857142857E-3</v>
      </c>
      <c r="P15" s="3">
        <f t="shared" si="1"/>
        <v>0.93476335373171815</v>
      </c>
    </row>
    <row r="16" spans="1:16" x14ac:dyDescent="0.25">
      <c r="A16" s="3">
        <v>0.01</v>
      </c>
      <c r="B16" s="3">
        <v>-1.5980000000000001E-2</v>
      </c>
      <c r="C16" s="3">
        <v>3.4489999999999998E-4</v>
      </c>
      <c r="D16" s="3">
        <v>1.5259999999999999E-2</v>
      </c>
      <c r="E16" s="3">
        <v>0</v>
      </c>
      <c r="F16" s="3">
        <v>0</v>
      </c>
      <c r="G16" s="3">
        <v>0</v>
      </c>
      <c r="H16" s="3">
        <v>4.4754796999999999E-3</v>
      </c>
      <c r="I16" s="3">
        <v>3.832602E-5</v>
      </c>
      <c r="J16" s="3">
        <v>-4.6459316000000001E-3</v>
      </c>
      <c r="L16" s="3">
        <f t="shared" si="0"/>
        <v>1.0471821756225428</v>
      </c>
      <c r="M16" s="3"/>
      <c r="N16" s="2">
        <f>IF('Modell einstellen'!$B$1="Voll",H16/0.35,H16/0.35*2)</f>
        <v>1.2787084857142857E-2</v>
      </c>
      <c r="O16" s="2">
        <f>IF('Modell einstellen'!$B$1="Voll",J16/0.35,J16/0.35*2)</f>
        <v>-1.3274090285714286E-2</v>
      </c>
      <c r="P16" s="3">
        <f t="shared" si="1"/>
        <v>0.96331157781143395</v>
      </c>
    </row>
    <row r="17" spans="1:16" x14ac:dyDescent="0.25">
      <c r="A17" s="3">
        <v>0.1</v>
      </c>
      <c r="B17" s="3">
        <v>-1.9029999999999998E-2</v>
      </c>
      <c r="C17" s="3">
        <v>4.0549999999999999E-4</v>
      </c>
      <c r="D17" s="3">
        <v>1.8249999999999999E-2</v>
      </c>
      <c r="E17" s="3">
        <v>0</v>
      </c>
      <c r="F17" s="3">
        <v>0</v>
      </c>
      <c r="G17" s="3">
        <v>0</v>
      </c>
      <c r="H17" s="3">
        <v>5.3071715999999996E-3</v>
      </c>
      <c r="I17" s="3">
        <v>4.4678122999999998E-5</v>
      </c>
      <c r="J17" s="3">
        <v>-5.4767625999999998E-3</v>
      </c>
      <c r="L17" s="3">
        <f t="shared" si="0"/>
        <v>1.0427397260273972</v>
      </c>
      <c r="M17" s="3"/>
      <c r="N17" s="2">
        <f>IF('Modell einstellen'!$B$1="Voll",H17/0.35,H17/0.35*2)</f>
        <v>1.5163347428571429E-2</v>
      </c>
      <c r="O17" s="2">
        <f>IF('Modell einstellen'!$B$1="Voll",J17/0.35,J17/0.35*2)</f>
        <v>-1.5647893142857142E-2</v>
      </c>
      <c r="P17" s="3">
        <f t="shared" si="1"/>
        <v>0.96903444381540293</v>
      </c>
    </row>
    <row r="18" spans="1:16" x14ac:dyDescent="0.25">
      <c r="A18" s="3">
        <v>1</v>
      </c>
      <c r="B18" s="3">
        <v>-2.0889999999999999E-2</v>
      </c>
      <c r="C18" s="3">
        <v>5.5690000000000004E-4</v>
      </c>
      <c r="D18" s="3">
        <v>1.9959999999999999E-2</v>
      </c>
      <c r="E18" s="3">
        <v>0</v>
      </c>
      <c r="F18" s="3">
        <v>0</v>
      </c>
      <c r="G18" s="3">
        <v>0</v>
      </c>
      <c r="H18" s="3">
        <v>5.8234456000000002E-3</v>
      </c>
      <c r="I18" s="3">
        <v>6.7048406000000003E-5</v>
      </c>
      <c r="J18" s="3">
        <v>-6.0562947000000001E-3</v>
      </c>
      <c r="L18" s="3">
        <f t="shared" si="0"/>
        <v>1.0465931863727456</v>
      </c>
      <c r="M18" s="3"/>
      <c r="N18" s="2">
        <f>IF('Modell einstellen'!$B$1="Voll",H18/0.35,H18/0.35*2)</f>
        <v>1.6638416000000003E-2</v>
      </c>
      <c r="O18" s="2">
        <f>IF('Modell einstellen'!$B$1="Voll",J18/0.35,J18/0.35*2)</f>
        <v>-1.7303699142857145E-2</v>
      </c>
      <c r="P18" s="3">
        <f t="shared" si="1"/>
        <v>0.96155254796303102</v>
      </c>
    </row>
    <row r="19" spans="1:16" x14ac:dyDescent="0.25">
      <c r="A19" s="3">
        <v>10</v>
      </c>
      <c r="B19" s="3">
        <v>-2.1329999999999998E-2</v>
      </c>
      <c r="C19" s="3">
        <v>8.6729999999999999E-4</v>
      </c>
      <c r="D19" s="3">
        <v>2.01E-2</v>
      </c>
      <c r="E19" s="3">
        <v>0</v>
      </c>
      <c r="F19" s="3">
        <v>0</v>
      </c>
      <c r="G19" s="3">
        <v>0</v>
      </c>
      <c r="H19" s="3">
        <v>5.9491891000000002E-3</v>
      </c>
      <c r="I19" s="3">
        <v>1.2050900999999999E-4</v>
      </c>
      <c r="J19" s="3">
        <v>-6.3690363000000003E-3</v>
      </c>
      <c r="L19" s="3">
        <f t="shared" si="0"/>
        <v>1.0611940298507463</v>
      </c>
      <c r="M19" s="3"/>
      <c r="N19" s="2">
        <f>IF('Modell einstellen'!$B$1="Voll",H19/0.35,H19/0.35*2)</f>
        <v>1.6997683142857146E-2</v>
      </c>
      <c r="O19" s="2">
        <f>IF('Modell einstellen'!$B$1="Voll",J19/0.35,J19/0.35*2)</f>
        <v>-1.8197246571428575E-2</v>
      </c>
      <c r="P19" s="3">
        <f t="shared" si="1"/>
        <v>0.93407994864152366</v>
      </c>
    </row>
    <row r="20" spans="1:16" x14ac:dyDescent="0.25">
      <c r="A20" s="3">
        <v>100</v>
      </c>
      <c r="B20" s="3">
        <v>-2.0959999999999999E-2</v>
      </c>
      <c r="C20" s="3">
        <v>1.5E-3</v>
      </c>
      <c r="D20" s="3">
        <v>1.9089999999999999E-2</v>
      </c>
      <c r="E20" s="3">
        <v>0</v>
      </c>
      <c r="F20" s="3">
        <v>0</v>
      </c>
      <c r="G20" s="3">
        <v>0</v>
      </c>
      <c r="H20" s="3">
        <v>5.8213177000000001E-3</v>
      </c>
      <c r="I20" s="3">
        <v>2.3534715000000001E-4</v>
      </c>
      <c r="J20" s="3">
        <v>-6.6572506000000002E-3</v>
      </c>
      <c r="L20" s="3">
        <f t="shared" si="0"/>
        <v>1.0979570455735987</v>
      </c>
      <c r="M20" s="3"/>
      <c r="N20" s="2">
        <f>IF('Modell einstellen'!$B$1="Voll",H20/0.35,H20/0.35*2)</f>
        <v>1.6632336285714287E-2</v>
      </c>
      <c r="O20" s="2">
        <f>IF('Modell einstellen'!$B$1="Voll",J20/0.35,J20/0.35*2)</f>
        <v>-1.9020716E-2</v>
      </c>
      <c r="P20" s="3">
        <f t="shared" si="1"/>
        <v>0.87443271250747268</v>
      </c>
    </row>
    <row r="21" spans="1:16" x14ac:dyDescent="0.25">
      <c r="A21" s="3">
        <v>1000</v>
      </c>
      <c r="B21" s="3">
        <v>-2.0310000000000002E-2</v>
      </c>
      <c r="C21" s="3">
        <v>2.7000000000000001E-3</v>
      </c>
      <c r="D21" s="3">
        <v>1.7250000000000001E-2</v>
      </c>
      <c r="E21" s="3">
        <v>0</v>
      </c>
      <c r="F21" s="3">
        <v>0</v>
      </c>
      <c r="G21" s="3">
        <v>0</v>
      </c>
      <c r="H21" s="3">
        <v>5.5660385999999999E-3</v>
      </c>
      <c r="I21" s="3">
        <v>4.5440855999999999E-4</v>
      </c>
      <c r="J21" s="3">
        <v>-7.1954176000000002E-3</v>
      </c>
      <c r="L21" s="3">
        <f t="shared" si="0"/>
        <v>1.1773913043478261</v>
      </c>
      <c r="M21" s="3"/>
      <c r="N21" s="2">
        <f>IF('Modell einstellen'!$B$1="Voll",H21/0.35,H21/0.35*2)</f>
        <v>1.5902967428571429E-2</v>
      </c>
      <c r="O21" s="2">
        <f>IF('Modell einstellen'!$B$1="Voll",J21/0.35,J21/0.35*2)</f>
        <v>-2.0558336000000003E-2</v>
      </c>
      <c r="P21" s="3">
        <f t="shared" si="1"/>
        <v>0.77355324032895589</v>
      </c>
    </row>
    <row r="22" spans="1:16" x14ac:dyDescent="0.25">
      <c r="A22" s="3">
        <v>10000</v>
      </c>
      <c r="B22" s="3">
        <v>-1.95E-2</v>
      </c>
      <c r="C22" s="3">
        <v>4.0889999999999998E-3</v>
      </c>
      <c r="D22" s="3">
        <v>1.507E-2</v>
      </c>
      <c r="E22" s="3">
        <v>0</v>
      </c>
      <c r="F22" s="3">
        <v>0</v>
      </c>
      <c r="G22" s="3">
        <v>0</v>
      </c>
      <c r="H22" s="3">
        <v>5.2721634E-3</v>
      </c>
      <c r="I22" s="3">
        <v>7.1094514999999999E-4</v>
      </c>
      <c r="J22" s="3">
        <v>-7.8274767000000006E-3</v>
      </c>
      <c r="L22" s="3">
        <f t="shared" si="0"/>
        <v>1.2939615129396151</v>
      </c>
      <c r="M22" s="3"/>
      <c r="N22" s="2">
        <f>IF('Modell einstellen'!$B$1="Voll",H22/0.35,H22/0.35*2)</f>
        <v>1.5063324000000001E-2</v>
      </c>
      <c r="O22" s="2">
        <f>IF('Modell einstellen'!$B$1="Voll",J22/0.35,J22/0.35*2)</f>
        <v>-2.2364219142857147E-2</v>
      </c>
      <c r="P22" s="3">
        <f t="shared" si="1"/>
        <v>0.67354571620762527</v>
      </c>
    </row>
    <row r="23" spans="1:16" x14ac:dyDescent="0.25">
      <c r="A23" s="3">
        <v>100000</v>
      </c>
      <c r="B23" s="3">
        <v>-1.874E-2</v>
      </c>
      <c r="C23" s="3">
        <v>5.2519999999999997E-3</v>
      </c>
      <c r="D23" s="3">
        <v>1.315E-2</v>
      </c>
      <c r="E23" s="3">
        <v>0</v>
      </c>
      <c r="F23" s="3">
        <v>0</v>
      </c>
      <c r="G23" s="3">
        <v>0</v>
      </c>
      <c r="H23" s="3">
        <v>5.0280302999999998E-3</v>
      </c>
      <c r="I23" s="3">
        <v>9.3004781000000005E-4</v>
      </c>
      <c r="J23" s="3">
        <v>-8.3710507999999999E-3</v>
      </c>
      <c r="L23" s="3">
        <f t="shared" si="0"/>
        <v>1.4250950570342205</v>
      </c>
      <c r="M23" s="3"/>
      <c r="N23" s="2">
        <f>IF('Modell einstellen'!$B$1="Voll",H23/0.35,H23/0.35*2)</f>
        <v>1.4365800857142858E-2</v>
      </c>
      <c r="O23" s="2">
        <f>IF('Modell einstellen'!$B$1="Voll",J23/0.35,J23/0.35*2)</f>
        <v>-2.3917288000000002E-2</v>
      </c>
      <c r="P23" s="3">
        <f t="shared" si="1"/>
        <v>0.60064505880193675</v>
      </c>
    </row>
    <row r="24" spans="1:16" x14ac:dyDescent="0.25">
      <c r="A24" s="3">
        <v>1000000</v>
      </c>
      <c r="B24" s="3">
        <v>-1.8120000000000001E-2</v>
      </c>
      <c r="C24" s="3">
        <v>6.0930000000000003E-3</v>
      </c>
      <c r="D24" s="3">
        <v>1.1690000000000001E-2</v>
      </c>
      <c r="E24" s="3">
        <v>0</v>
      </c>
      <c r="F24" s="3">
        <v>0</v>
      </c>
      <c r="G24" s="3">
        <v>0</v>
      </c>
      <c r="H24" s="3">
        <v>4.8526423000000004E-3</v>
      </c>
      <c r="I24" s="3">
        <v>1.0914903E-3</v>
      </c>
      <c r="J24" s="3">
        <v>-8.7741812999999995E-3</v>
      </c>
      <c r="L24" s="3">
        <f t="shared" si="0"/>
        <v>1.5500427715996579</v>
      </c>
      <c r="M24" s="3"/>
      <c r="N24" s="2">
        <f>IF('Modell einstellen'!$B$1="Voll",H24/0.35,H24/0.35*2)</f>
        <v>1.3864692285714289E-2</v>
      </c>
      <c r="O24" s="2">
        <f>IF('Modell einstellen'!$B$1="Voll",J24/0.35,J24/0.35*2)</f>
        <v>-2.5069089428571428E-2</v>
      </c>
      <c r="P24" s="3">
        <f t="shared" si="1"/>
        <v>0.55305926947281125</v>
      </c>
    </row>
    <row r="25" spans="1:16" x14ac:dyDescent="0.25">
      <c r="A25" s="3">
        <v>10000000</v>
      </c>
      <c r="B25" s="3">
        <v>-1.7649999999999999E-2</v>
      </c>
      <c r="C25" s="3">
        <v>6.6600000000000001E-3</v>
      </c>
      <c r="D25" s="3">
        <v>1.0659999999999999E-2</v>
      </c>
      <c r="E25" s="3">
        <v>0</v>
      </c>
      <c r="F25" s="3">
        <v>0</v>
      </c>
      <c r="G25" s="3">
        <v>0</v>
      </c>
      <c r="H25" s="3">
        <v>4.7353159000000002E-3</v>
      </c>
      <c r="I25" s="3">
        <v>1.2021076E-3</v>
      </c>
      <c r="J25" s="3">
        <v>-9.0522763000000003E-3</v>
      </c>
      <c r="L25" s="3">
        <f t="shared" si="0"/>
        <v>1.6557223264540337</v>
      </c>
      <c r="M25" s="3"/>
      <c r="N25" s="2">
        <f>IF('Modell einstellen'!$B$1="Voll",H25/0.35,H25/0.35*2)</f>
        <v>1.3529474000000001E-2</v>
      </c>
      <c r="O25" s="2">
        <f>IF('Modell einstellen'!$B$1="Voll",J25/0.35,J25/0.35*2)</f>
        <v>-2.5863646571428575E-2</v>
      </c>
      <c r="P25" s="3">
        <f t="shared" si="1"/>
        <v>0.52310775136194199</v>
      </c>
    </row>
    <row r="26" spans="1:16" x14ac:dyDescent="0.25">
      <c r="A26" s="3">
        <v>100000000</v>
      </c>
      <c r="B26" s="3">
        <v>-1.728E-2</v>
      </c>
      <c r="C26" s="3">
        <v>7.0359999999999997E-3</v>
      </c>
      <c r="D26" s="3">
        <v>9.9170000000000005E-3</v>
      </c>
      <c r="E26" s="3">
        <v>0</v>
      </c>
      <c r="F26" s="3">
        <v>0</v>
      </c>
      <c r="G26" s="3">
        <v>0</v>
      </c>
      <c r="H26" s="3">
        <v>4.6592912000000004E-3</v>
      </c>
      <c r="I26" s="3">
        <v>1.2768641E-3</v>
      </c>
      <c r="J26" s="3">
        <v>-9.2429578999999994E-3</v>
      </c>
      <c r="L26" s="3">
        <f t="shared" si="0"/>
        <v>1.7424624382373701</v>
      </c>
      <c r="M26" s="3"/>
      <c r="N26" s="2">
        <f>IF('Modell einstellen'!$B$1="Voll",H26/0.35,H26/0.35*2)</f>
        <v>1.3312260571428574E-2</v>
      </c>
      <c r="O26" s="2">
        <f>IF('Modell einstellen'!$B$1="Voll",J26/0.35,J26/0.35*2)</f>
        <v>-2.6408451142857142E-2</v>
      </c>
      <c r="P26" s="3">
        <f t="shared" si="1"/>
        <v>0.50409092526538513</v>
      </c>
    </row>
    <row r="27" spans="1:16" x14ac:dyDescent="0.25">
      <c r="A27" s="3">
        <v>1000000000</v>
      </c>
      <c r="B27" s="3">
        <v>-1.6979999999999999E-2</v>
      </c>
      <c r="C27" s="3">
        <v>7.2769999999999996E-3</v>
      </c>
      <c r="D27" s="3">
        <v>9.3760000000000007E-3</v>
      </c>
      <c r="E27" s="3">
        <v>0</v>
      </c>
      <c r="F27" s="3">
        <v>0</v>
      </c>
      <c r="G27" s="3">
        <v>0</v>
      </c>
      <c r="H27" s="3">
        <v>4.6151022999999999E-3</v>
      </c>
      <c r="I27" s="3">
        <v>1.3256622999999999E-3</v>
      </c>
      <c r="J27" s="3">
        <v>-9.3724732999999998E-3</v>
      </c>
      <c r="L27" s="3">
        <f t="shared" si="0"/>
        <v>1.8110068259385663</v>
      </c>
      <c r="M27" s="3"/>
      <c r="N27" s="2">
        <f>IF('Modell einstellen'!$B$1="Voll",H27/0.35,H27/0.35*2)</f>
        <v>1.3186006571428571E-2</v>
      </c>
      <c r="O27" s="2">
        <f>IF('Modell einstellen'!$B$1="Voll",J27/0.35,J27/0.35*2)</f>
        <v>-2.6778495142857142E-2</v>
      </c>
      <c r="P27" s="3">
        <f t="shared" si="1"/>
        <v>0.49241029046196377</v>
      </c>
    </row>
    <row r="28" spans="1:16" x14ac:dyDescent="0.25">
      <c r="A28" s="3">
        <v>10000000000</v>
      </c>
      <c r="B28" s="3">
        <v>-1.6920000000000001E-2</v>
      </c>
      <c r="C28" s="3">
        <v>7.3169999999999997E-3</v>
      </c>
      <c r="D28" s="3">
        <v>9.2779999999999998E-3</v>
      </c>
      <c r="E28" s="3">
        <v>0</v>
      </c>
      <c r="F28" s="3">
        <v>0</v>
      </c>
      <c r="G28" s="3">
        <v>0</v>
      </c>
      <c r="H28" s="3">
        <v>4.6080938E-3</v>
      </c>
      <c r="I28" s="3">
        <v>1.3340609000000001E-3</v>
      </c>
      <c r="J28" s="3">
        <v>-9.3952832999999996E-3</v>
      </c>
      <c r="L28" s="3">
        <f t="shared" si="0"/>
        <v>1.823668894158224</v>
      </c>
      <c r="M28" s="3"/>
      <c r="N28" s="2">
        <f>IF('Modell einstellen'!$B$1="Voll",H28/0.35,H28/0.35*2)</f>
        <v>1.3165982285714287E-2</v>
      </c>
      <c r="O28" s="2">
        <f>IF('Modell einstellen'!$B$1="Voll",J28/0.35,J28/0.35*2)</f>
        <v>-2.6843666571428573E-2</v>
      </c>
      <c r="P28" s="3">
        <f t="shared" si="1"/>
        <v>0.49046885047095923</v>
      </c>
    </row>
    <row r="29" spans="1:16" x14ac:dyDescent="0.25">
      <c r="A29" s="3">
        <v>100000000000</v>
      </c>
      <c r="B29" s="3">
        <v>-1.6840000000000001E-2</v>
      </c>
      <c r="C29" s="3">
        <v>7.3699999999999998E-3</v>
      </c>
      <c r="D29" s="3">
        <v>9.1420000000000008E-3</v>
      </c>
      <c r="E29" s="3">
        <v>0</v>
      </c>
      <c r="F29" s="3">
        <v>0</v>
      </c>
      <c r="G29" s="3">
        <v>0</v>
      </c>
      <c r="H29" s="3">
        <v>4.5993932000000003E-3</v>
      </c>
      <c r="I29" s="3">
        <v>1.3452367999999999E-3</v>
      </c>
      <c r="J29" s="3">
        <v>-9.4262922000000002E-3</v>
      </c>
      <c r="L29" s="3">
        <f t="shared" si="0"/>
        <v>1.8420476919711222</v>
      </c>
      <c r="M29" s="3"/>
      <c r="N29" s="2">
        <f>IF('Modell einstellen'!$B$1="Voll",H29/0.35,H29/0.35*2)</f>
        <v>1.3141123428571429E-2</v>
      </c>
      <c r="O29" s="2">
        <f>IF('Modell einstellen'!$B$1="Voll",J29/0.35,J29/0.35*2)</f>
        <v>-2.693226342857143E-2</v>
      </c>
      <c r="P29" s="3">
        <f t="shared" si="1"/>
        <v>0.48793238130258682</v>
      </c>
    </row>
    <row r="30" spans="1:16" x14ac:dyDescent="0.25">
      <c r="A30" s="3">
        <v>1000000000000</v>
      </c>
      <c r="B30" s="3">
        <v>-1.643E-2</v>
      </c>
      <c r="C30" s="3">
        <v>7.5240000000000003E-3</v>
      </c>
      <c r="D30" s="3">
        <v>8.5780000000000006E-3</v>
      </c>
      <c r="E30" s="3">
        <v>0</v>
      </c>
      <c r="F30" s="3">
        <v>0</v>
      </c>
      <c r="G30" s="3">
        <v>0</v>
      </c>
      <c r="H30" s="3">
        <v>4.5875834999999998E-3</v>
      </c>
      <c r="I30" s="3">
        <v>1.3786477E-3</v>
      </c>
      <c r="J30" s="3">
        <v>-9.5325911999999992E-3</v>
      </c>
      <c r="L30" s="3">
        <f t="shared" si="0"/>
        <v>1.9153648869200279</v>
      </c>
      <c r="M30" s="3"/>
      <c r="N30" s="2">
        <f>IF('Modell einstellen'!$B$1="Voll",H30/0.35,H30/0.35*2)</f>
        <v>1.310738142857143E-2</v>
      </c>
      <c r="O30" s="2">
        <f>IF('Modell einstellen'!$B$1="Voll",J30/0.35,J30/0.35*2)</f>
        <v>-2.7235974857142856E-2</v>
      </c>
      <c r="P30" s="3">
        <f t="shared" si="1"/>
        <v>0.48125251610496006</v>
      </c>
    </row>
    <row r="31" spans="1:16" x14ac:dyDescent="0.25">
      <c r="A31" s="3">
        <v>10000000000000</v>
      </c>
      <c r="B31" s="3">
        <v>-1.6420000000000001E-2</v>
      </c>
      <c r="C31" s="3">
        <v>7.5259999999999997E-3</v>
      </c>
      <c r="D31" s="3">
        <v>8.5699999999999995E-3</v>
      </c>
      <c r="E31" s="3">
        <v>0</v>
      </c>
      <c r="F31" s="3">
        <v>0</v>
      </c>
      <c r="G31" s="3">
        <v>0</v>
      </c>
      <c r="H31" s="3">
        <v>4.5875763999999996E-3</v>
      </c>
      <c r="I31" s="3">
        <v>1.3790854999999999E-3</v>
      </c>
      <c r="J31" s="3">
        <v>-9.5341123999999992E-3</v>
      </c>
      <c r="L31" s="3">
        <f t="shared" si="0"/>
        <v>1.9159859976662779</v>
      </c>
      <c r="M31" s="3"/>
      <c r="N31" s="2">
        <f>IF('Modell einstellen'!$B$1="Voll",H31/0.35,H31/0.35*2)</f>
        <v>1.3107361142857142E-2</v>
      </c>
      <c r="O31" s="2">
        <f>IF('Modell einstellen'!$B$1="Voll",J31/0.35,J31/0.35*2)</f>
        <v>-2.7240321142857141E-2</v>
      </c>
      <c r="P31" s="3">
        <f t="shared" si="1"/>
        <v>0.48117498593786245</v>
      </c>
    </row>
    <row r="32" spans="1:16" x14ac:dyDescent="0.25">
      <c r="A32" s="3">
        <v>100000000000000</v>
      </c>
      <c r="B32" s="3">
        <v>-1.617E-2</v>
      </c>
      <c r="C32" s="3">
        <v>7.5659999999999998E-3</v>
      </c>
      <c r="D32" s="3">
        <v>8.2749999999999994E-3</v>
      </c>
      <c r="E32" s="3">
        <v>0</v>
      </c>
      <c r="F32" s="3">
        <v>0</v>
      </c>
      <c r="G32" s="3">
        <v>0</v>
      </c>
      <c r="H32" s="3">
        <v>4.5965140999999999E-3</v>
      </c>
      <c r="I32" s="3">
        <v>1.3884939000000001E-3</v>
      </c>
      <c r="J32" s="3">
        <v>-9.5758117000000007E-3</v>
      </c>
      <c r="L32" s="3">
        <f t="shared" si="0"/>
        <v>1.9540785498489428</v>
      </c>
      <c r="M32" s="3"/>
      <c r="N32" s="2">
        <f>IF('Modell einstellen'!$B$1="Voll",H32/0.35,H32/0.35*2)</f>
        <v>1.3132897428571429E-2</v>
      </c>
      <c r="O32" s="2">
        <f>IF('Modell einstellen'!$B$1="Voll",J32/0.35,J32/0.35*2)</f>
        <v>-2.7359462000000005E-2</v>
      </c>
      <c r="P32" s="3">
        <f t="shared" si="1"/>
        <v>0.48001299983791446</v>
      </c>
    </row>
    <row r="33" spans="1:16" x14ac:dyDescent="0.25">
      <c r="A33" s="3">
        <v>1000000000000000</v>
      </c>
      <c r="B33" s="3">
        <v>-1.6160000000000001E-2</v>
      </c>
      <c r="C33" s="3">
        <v>7.5659999999999998E-3</v>
      </c>
      <c r="D33" s="3">
        <v>8.2690000000000003E-3</v>
      </c>
      <c r="E33" s="3">
        <v>0</v>
      </c>
      <c r="F33" s="3">
        <v>0</v>
      </c>
      <c r="G33" s="3">
        <v>0</v>
      </c>
      <c r="H33" s="3">
        <v>4.5968639000000004E-3</v>
      </c>
      <c r="I33" s="3">
        <v>1.3886720000000001E-3</v>
      </c>
      <c r="J33" s="3">
        <v>-9.5767743000000002E-3</v>
      </c>
      <c r="L33" s="3">
        <f t="shared" si="0"/>
        <v>1.9542870963840853</v>
      </c>
      <c r="M33" s="3"/>
      <c r="N33" s="2">
        <f>IF('Modell einstellen'!$B$1="Voll",H33/0.35,H33/0.35*2)</f>
        <v>1.3133896857142859E-2</v>
      </c>
      <c r="O33" s="2">
        <f>IF('Modell einstellen'!$B$1="Voll",J33/0.35,J33/0.35*2)</f>
        <v>-2.7362212285714289E-2</v>
      </c>
      <c r="P33" s="3">
        <f t="shared" si="1"/>
        <v>0.4800012776744671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2022-01-08T09:35:25Z</dcterms:modified>
</cp:coreProperties>
</file>