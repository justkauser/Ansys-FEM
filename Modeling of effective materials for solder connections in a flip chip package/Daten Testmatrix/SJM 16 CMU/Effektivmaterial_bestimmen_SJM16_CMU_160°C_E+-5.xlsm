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queryTables/queryTable1.xml" ContentType="application/vnd.openxmlformats-officedocument.spreadsheetml.queryTable+xml"/>
  <Override PartName="/xl/queryTables/queryTable2.xml" ContentType="application/vnd.openxmlformats-officedocument.spreadsheetml.queryTable+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drawings/drawing2.xml" ContentType="application/vnd.openxmlformats-officedocument.drawing+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charts/chart11.xml" ContentType="application/vnd.openxmlformats-officedocument.drawingml.chart+xml"/>
  <Override PartName="/xl/charts/style11.xml" ContentType="application/vnd.ms-office.chartstyle+xml"/>
  <Override PartName="/xl/charts/colors11.xml" ContentType="application/vnd.ms-office.chartcolorstyle+xml"/>
  <Override PartName="/xl/charts/chart12.xml" ContentType="application/vnd.openxmlformats-officedocument.drawingml.chart+xml"/>
  <Override PartName="/xl/charts/style12.xml" ContentType="application/vnd.ms-office.chartstyle+xml"/>
  <Override PartName="/xl/charts/colors12.xml" ContentType="application/vnd.ms-office.chartcolorstyle+xml"/>
  <Override PartName="/xl/drawings/drawing3.xml" ContentType="application/vnd.openxmlformats-officedocument.drawing+xml"/>
  <Override PartName="/xl/charts/chart13.xml" ContentType="application/vnd.openxmlformats-officedocument.drawingml.chart+xml"/>
  <Override PartName="/xl/charts/style13.xml" ContentType="application/vnd.ms-office.chartstyle+xml"/>
  <Override PartName="/xl/charts/colors13.xml" ContentType="application/vnd.ms-office.chartcolorstyle+xml"/>
  <Override PartName="/xl/queryTables/queryTable3.xml" ContentType="application/vnd.openxmlformats-officedocument.spreadsheetml.queryTable+xml"/>
  <Override PartName="/xl/queryTables/queryTable4.xml" ContentType="application/vnd.openxmlformats-officedocument.spreadsheetml.queryTable+xml"/>
  <Override PartName="/xl/queryTables/queryTable5.xml" ContentType="application/vnd.openxmlformats-officedocument.spreadsheetml.queryTable+xml"/>
  <Override PartName="/xl/queryTables/queryTable6.xml" ContentType="application/vnd.openxmlformats-officedocument.spreadsheetml.queryTable+xml"/>
  <Override PartName="/xl/queryTables/queryTable7.xml" ContentType="application/vnd.openxmlformats-officedocument.spreadsheetml.queryTable+xml"/>
  <Override PartName="/xl/queryTables/queryTable8.xml" ContentType="application/vnd.openxmlformats-officedocument.spreadsheetml.queryTable+xml"/>
  <Override PartName="/xl/queryTables/queryTable9.xml" ContentType="application/vnd.openxmlformats-officedocument.spreadsheetml.query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filterPrivacy="1" codeName="DieseArbeitsmappe" defaultThemeVersion="124226"/>
  <bookViews>
    <workbookView xWindow="0" yWindow="0" windowWidth="28800" windowHeight="12300" activeTab="6"/>
  </bookViews>
  <sheets>
    <sheet name="Modell einstellen" sheetId="42" r:id="rId1"/>
    <sheet name="Output" sheetId="39" r:id="rId2"/>
    <sheet name="CTE" sheetId="37" r:id="rId3"/>
    <sheet name="STUTT" sheetId="50" r:id="rId4"/>
    <sheet name="Comparison" sheetId="8" r:id="rId5"/>
    <sheet name="Mastercurve bestimmen" sheetId="43" r:id="rId6"/>
    <sheet name="Shiftfunktion bestimmen" sheetId="44" r:id="rId7"/>
    <sheet name="creep_res-40" sheetId="2" r:id="rId8"/>
    <sheet name="creep_res0" sheetId="34" r:id="rId9"/>
    <sheet name="creep_res25" sheetId="4" r:id="rId10"/>
    <sheet name="creep_res50" sheetId="5" r:id="rId11"/>
    <sheet name="creep_res80" sheetId="11" r:id="rId12"/>
    <sheet name="creep_res125" sheetId="36" r:id="rId13"/>
    <sheet name="creep_res160" sheetId="35" r:id="rId14"/>
  </sheets>
  <definedNames>
    <definedName name="creep_res_25" localSheetId="7">'creep_res-40'!$A$1:$J$33</definedName>
    <definedName name="creep_res110" localSheetId="13">creep_res160!$A$1:$J$33</definedName>
    <definedName name="creep_res120" localSheetId="12">creep_res125!$A$1:$J$33</definedName>
    <definedName name="creep_res50" localSheetId="8">creep_res0!$A$1:$J$33</definedName>
    <definedName name="creep_res75_1" localSheetId="9">creep_res25!$A$1:$J$33</definedName>
    <definedName name="creep_res80" localSheetId="10">creep_res50!$A$1:$J$33</definedName>
    <definedName name="CTE_res100" localSheetId="2">CTE!$A$1:$J$14</definedName>
    <definedName name="res_z80" localSheetId="11">creep_res80!$A$1:$J$33</definedName>
    <definedName name="solver_adj" localSheetId="5" hidden="1">'Mastercurve bestimmen'!$E$126:$H$126</definedName>
    <definedName name="solver_cvg" localSheetId="5" hidden="1">0.000000000000001</definedName>
    <definedName name="solver_drv" localSheetId="5" hidden="1">1</definedName>
    <definedName name="solver_eng" localSheetId="5" hidden="1">1</definedName>
    <definedName name="solver_est" localSheetId="5" hidden="1">1</definedName>
    <definedName name="solver_itr" localSheetId="5" hidden="1">2147483647</definedName>
    <definedName name="solver_lhs1" localSheetId="5" hidden="1">'Mastercurve bestimmen'!$C$18:$C$48</definedName>
    <definedName name="solver_mip" localSheetId="5" hidden="1">2147483647</definedName>
    <definedName name="solver_mni" localSheetId="5" hidden="1">30</definedName>
    <definedName name="solver_mrt" localSheetId="5" hidden="1">0.000000000000001</definedName>
    <definedName name="solver_msl" localSheetId="5" hidden="1">2</definedName>
    <definedName name="solver_neg" localSheetId="5" hidden="1">2</definedName>
    <definedName name="solver_nod" localSheetId="5" hidden="1">2147483647</definedName>
    <definedName name="solver_num" localSheetId="5" hidden="1">0</definedName>
    <definedName name="solver_nwt" localSheetId="5" hidden="1">1</definedName>
    <definedName name="solver_opt" localSheetId="5" hidden="1">'Mastercurve bestimmen'!$A$121</definedName>
    <definedName name="solver_pre" localSheetId="5" hidden="1">0.000000000000001</definedName>
    <definedName name="solver_rbv" localSheetId="5" hidden="1">2</definedName>
    <definedName name="solver_rel1" localSheetId="5" hidden="1">3</definedName>
    <definedName name="solver_rhs1" localSheetId="5" hidden="1">0</definedName>
    <definedName name="solver_rlx" localSheetId="5" hidden="1">2</definedName>
    <definedName name="solver_rsd" localSheetId="5" hidden="1">0</definedName>
    <definedName name="solver_scl" localSheetId="5" hidden="1">2</definedName>
    <definedName name="solver_sho" localSheetId="5" hidden="1">2</definedName>
    <definedName name="solver_ssz" localSheetId="5" hidden="1">0</definedName>
    <definedName name="solver_tim" localSheetId="5" hidden="1">2147483647</definedName>
    <definedName name="solver_tol" localSheetId="5" hidden="1">1</definedName>
    <definedName name="solver_typ" localSheetId="5" hidden="1">2</definedName>
    <definedName name="solver_val" localSheetId="5" hidden="1">0</definedName>
    <definedName name="solver_ver" localSheetId="5" hidden="1">3</definedName>
    <definedName name="STUTT" localSheetId="3">STUTT!$A$1:$D$10</definedName>
  </definedNames>
  <calcPr calcId="152511"/>
</workbook>
</file>

<file path=xl/calcChain.xml><?xml version="1.0" encoding="utf-8"?>
<calcChain xmlns="http://schemas.openxmlformats.org/spreadsheetml/2006/main">
  <c r="I404" i="43" l="1"/>
  <c r="I405" i="43"/>
  <c r="I406" i="43"/>
  <c r="I407" i="43"/>
  <c r="I408" i="43"/>
  <c r="I409" i="43"/>
  <c r="I410" i="43"/>
  <c r="I411" i="43"/>
  <c r="I412" i="43"/>
  <c r="I413" i="43"/>
  <c r="I414" i="43"/>
  <c r="I415" i="43"/>
  <c r="I416" i="43"/>
  <c r="I417" i="43"/>
  <c r="I418" i="43"/>
  <c r="I419" i="43"/>
  <c r="I420" i="43"/>
  <c r="I421" i="43"/>
  <c r="I422" i="43"/>
  <c r="I423" i="43"/>
  <c r="I424" i="43"/>
  <c r="I425" i="43"/>
  <c r="I426" i="43"/>
  <c r="I427" i="43"/>
  <c r="I428" i="43"/>
  <c r="I429" i="43"/>
  <c r="I430" i="43"/>
  <c r="I431" i="43"/>
  <c r="I432" i="43"/>
  <c r="I433" i="43"/>
  <c r="I434" i="43"/>
  <c r="J403" i="43"/>
  <c r="K403" i="43"/>
  <c r="L403" i="43"/>
  <c r="M403" i="43"/>
  <c r="N403" i="43"/>
  <c r="O403" i="43"/>
  <c r="P403" i="43"/>
  <c r="I403" i="43"/>
  <c r="B65" i="43"/>
  <c r="A65" i="43"/>
  <c r="N122" i="43" l="1"/>
  <c r="O33" i="11"/>
  <c r="N33" i="11"/>
  <c r="P33" i="11" s="1"/>
  <c r="O32" i="11"/>
  <c r="N32" i="11"/>
  <c r="O31" i="11"/>
  <c r="N31" i="11"/>
  <c r="P31" i="11" s="1"/>
  <c r="O30" i="11"/>
  <c r="N30" i="11"/>
  <c r="P30" i="11" s="1"/>
  <c r="O29" i="11"/>
  <c r="N29" i="11"/>
  <c r="P29" i="11" s="1"/>
  <c r="O28" i="11"/>
  <c r="N28" i="11"/>
  <c r="P27" i="11"/>
  <c r="O27" i="11"/>
  <c r="N27" i="11"/>
  <c r="O26" i="11"/>
  <c r="N26" i="11"/>
  <c r="P26" i="11" s="1"/>
  <c r="O25" i="11"/>
  <c r="P25" i="11" s="1"/>
  <c r="N25" i="11"/>
  <c r="O24" i="11"/>
  <c r="N24" i="11"/>
  <c r="P24" i="11" s="1"/>
  <c r="O23" i="11"/>
  <c r="N23" i="11"/>
  <c r="P23" i="11" s="1"/>
  <c r="O22" i="11"/>
  <c r="N22" i="11"/>
  <c r="P22" i="11" s="1"/>
  <c r="O21" i="11"/>
  <c r="N21" i="11"/>
  <c r="P21" i="11" s="1"/>
  <c r="O20" i="11"/>
  <c r="N20" i="11"/>
  <c r="O19" i="11"/>
  <c r="N19" i="11"/>
  <c r="P19" i="11" s="1"/>
  <c r="O18" i="11"/>
  <c r="N18" i="11"/>
  <c r="P18" i="11" s="1"/>
  <c r="O17" i="11"/>
  <c r="N17" i="11"/>
  <c r="P17" i="11" s="1"/>
  <c r="O16" i="11"/>
  <c r="N16" i="11"/>
  <c r="P15" i="11"/>
  <c r="O15" i="11"/>
  <c r="N15" i="11"/>
  <c r="O14" i="11"/>
  <c r="N14" i="11"/>
  <c r="P14" i="11" s="1"/>
  <c r="O13" i="11"/>
  <c r="P13" i="11" s="1"/>
  <c r="N13" i="11"/>
  <c r="O12" i="11"/>
  <c r="N12" i="11"/>
  <c r="P12" i="11" s="1"/>
  <c r="O11" i="11"/>
  <c r="N11" i="11"/>
  <c r="P11" i="11" s="1"/>
  <c r="O10" i="11"/>
  <c r="N10" i="11"/>
  <c r="P10" i="11" s="1"/>
  <c r="O9" i="11"/>
  <c r="N9" i="11"/>
  <c r="P9" i="11" s="1"/>
  <c r="O8" i="11"/>
  <c r="N8" i="11"/>
  <c r="O7" i="11"/>
  <c r="N7" i="11"/>
  <c r="P7" i="11" s="1"/>
  <c r="O6" i="11"/>
  <c r="N6" i="11"/>
  <c r="P6" i="11" s="1"/>
  <c r="O5" i="11"/>
  <c r="N5" i="11"/>
  <c r="P5" i="11" s="1"/>
  <c r="O4" i="11"/>
  <c r="N4" i="11"/>
  <c r="P4" i="11" s="1"/>
  <c r="P3" i="11"/>
  <c r="O3" i="11"/>
  <c r="N3" i="11"/>
  <c r="P16" i="11" l="1"/>
  <c r="P28" i="11"/>
  <c r="P8" i="11"/>
  <c r="P20" i="11"/>
  <c r="P32" i="11"/>
  <c r="A18" i="43"/>
  <c r="O33" i="35" l="1"/>
  <c r="O32" i="35"/>
  <c r="O31" i="35"/>
  <c r="O30" i="35"/>
  <c r="O29" i="35"/>
  <c r="O28" i="35"/>
  <c r="O27" i="35"/>
  <c r="O26" i="35"/>
  <c r="O25" i="35"/>
  <c r="O24" i="35"/>
  <c r="O23" i="35"/>
  <c r="O22" i="35"/>
  <c r="O21" i="35"/>
  <c r="O20" i="35"/>
  <c r="O19" i="35"/>
  <c r="O18" i="35"/>
  <c r="O17" i="35"/>
  <c r="O16" i="35"/>
  <c r="O15" i="35"/>
  <c r="O14" i="35"/>
  <c r="O13" i="35"/>
  <c r="O12" i="35"/>
  <c r="O11" i="35"/>
  <c r="O10" i="35"/>
  <c r="O9" i="35"/>
  <c r="O8" i="35"/>
  <c r="O7" i="35"/>
  <c r="O6" i="35"/>
  <c r="O5" i="35"/>
  <c r="O4" i="35"/>
  <c r="O3" i="35"/>
  <c r="O33" i="36"/>
  <c r="O32" i="36"/>
  <c r="O31" i="36"/>
  <c r="O30" i="36"/>
  <c r="O29" i="36"/>
  <c r="O28" i="36"/>
  <c r="O27" i="36"/>
  <c r="O26" i="36"/>
  <c r="O25" i="36"/>
  <c r="O24" i="36"/>
  <c r="O23" i="36"/>
  <c r="O22" i="36"/>
  <c r="O21" i="36"/>
  <c r="O20" i="36"/>
  <c r="O19" i="36"/>
  <c r="O18" i="36"/>
  <c r="O17" i="36"/>
  <c r="O16" i="36"/>
  <c r="O15" i="36"/>
  <c r="O14" i="36"/>
  <c r="O13" i="36"/>
  <c r="O12" i="36"/>
  <c r="O11" i="36"/>
  <c r="O10" i="36"/>
  <c r="O9" i="36"/>
  <c r="O8" i="36"/>
  <c r="O7" i="36"/>
  <c r="O6" i="36"/>
  <c r="O5" i="36"/>
  <c r="O4" i="36"/>
  <c r="O3" i="36"/>
  <c r="F33" i="8"/>
  <c r="F32" i="8"/>
  <c r="F31" i="8"/>
  <c r="F30" i="8"/>
  <c r="F29" i="8"/>
  <c r="F28" i="8"/>
  <c r="F27" i="8"/>
  <c r="F26" i="8"/>
  <c r="F25" i="8"/>
  <c r="F24" i="8"/>
  <c r="F23" i="8"/>
  <c r="F22" i="8"/>
  <c r="F21" i="8"/>
  <c r="F20" i="8"/>
  <c r="F19" i="8"/>
  <c r="F18" i="8"/>
  <c r="F17" i="8"/>
  <c r="F16" i="8"/>
  <c r="F15" i="8"/>
  <c r="F14" i="8"/>
  <c r="F13" i="8"/>
  <c r="F12" i="8"/>
  <c r="F11" i="8"/>
  <c r="F10" i="8"/>
  <c r="F9" i="8"/>
  <c r="F8" i="8"/>
  <c r="F7" i="8"/>
  <c r="F6" i="8"/>
  <c r="F5" i="8"/>
  <c r="F4" i="8"/>
  <c r="O33" i="5"/>
  <c r="O32" i="5"/>
  <c r="O31" i="5"/>
  <c r="O30" i="5"/>
  <c r="O29" i="5"/>
  <c r="O28" i="5"/>
  <c r="O27" i="5"/>
  <c r="O26" i="5"/>
  <c r="O25" i="5"/>
  <c r="O24" i="5"/>
  <c r="O23" i="5"/>
  <c r="O22" i="5"/>
  <c r="O21" i="5"/>
  <c r="O20" i="5"/>
  <c r="O19" i="5"/>
  <c r="O18" i="5"/>
  <c r="O17" i="5"/>
  <c r="O16" i="5"/>
  <c r="O15" i="5"/>
  <c r="O14" i="5"/>
  <c r="O13" i="5"/>
  <c r="O12" i="5"/>
  <c r="O11" i="5"/>
  <c r="O10" i="5"/>
  <c r="O9" i="5"/>
  <c r="O8" i="5"/>
  <c r="O7" i="5"/>
  <c r="O6" i="5"/>
  <c r="O5" i="5"/>
  <c r="O4" i="5"/>
  <c r="O3" i="5"/>
  <c r="O33" i="4"/>
  <c r="O32" i="4"/>
  <c r="O31" i="4"/>
  <c r="O30" i="4"/>
  <c r="O29" i="4"/>
  <c r="O28" i="4"/>
  <c r="O27" i="4"/>
  <c r="O26" i="4"/>
  <c r="O25" i="4"/>
  <c r="O24" i="4"/>
  <c r="O23" i="4"/>
  <c r="O22" i="4"/>
  <c r="O21" i="4"/>
  <c r="O20" i="4"/>
  <c r="O19" i="4"/>
  <c r="O18" i="4"/>
  <c r="O17" i="4"/>
  <c r="O16" i="4"/>
  <c r="O15" i="4"/>
  <c r="O14" i="4"/>
  <c r="O13" i="4"/>
  <c r="O12" i="4"/>
  <c r="O11" i="4"/>
  <c r="O10" i="4"/>
  <c r="O9" i="4"/>
  <c r="O8" i="4"/>
  <c r="O7" i="4"/>
  <c r="O6" i="4"/>
  <c r="O5" i="4"/>
  <c r="O4" i="4"/>
  <c r="O3" i="4"/>
  <c r="O33" i="34"/>
  <c r="O32" i="34"/>
  <c r="O31" i="34"/>
  <c r="O30" i="34"/>
  <c r="O29" i="34"/>
  <c r="O28" i="34"/>
  <c r="O27" i="34"/>
  <c r="O26" i="34"/>
  <c r="O25" i="34"/>
  <c r="O24" i="34"/>
  <c r="O23" i="34"/>
  <c r="O22" i="34"/>
  <c r="O21" i="34"/>
  <c r="O20" i="34"/>
  <c r="O19" i="34"/>
  <c r="O18" i="34"/>
  <c r="O17" i="34"/>
  <c r="O16" i="34"/>
  <c r="O15" i="34"/>
  <c r="O14" i="34"/>
  <c r="O13" i="34"/>
  <c r="O12" i="34"/>
  <c r="O11" i="34"/>
  <c r="O10" i="34"/>
  <c r="O9" i="34"/>
  <c r="O8" i="34"/>
  <c r="O7" i="34"/>
  <c r="O6" i="34"/>
  <c r="O5" i="34"/>
  <c r="O4" i="34"/>
  <c r="O3" i="34"/>
  <c r="O4" i="2"/>
  <c r="O5" i="2"/>
  <c r="O6" i="2"/>
  <c r="O7" i="2"/>
  <c r="O8" i="2"/>
  <c r="O9" i="2"/>
  <c r="O10" i="2"/>
  <c r="O11" i="2"/>
  <c r="O12" i="2"/>
  <c r="O13" i="2"/>
  <c r="O14" i="2"/>
  <c r="O15" i="2"/>
  <c r="O16" i="2"/>
  <c r="O17" i="2"/>
  <c r="O18" i="2"/>
  <c r="O19" i="2"/>
  <c r="O20" i="2"/>
  <c r="O21" i="2"/>
  <c r="O22" i="2"/>
  <c r="O23" i="2"/>
  <c r="O24" i="2"/>
  <c r="O25" i="2"/>
  <c r="O26" i="2"/>
  <c r="O27" i="2"/>
  <c r="O28" i="2"/>
  <c r="O29" i="2"/>
  <c r="O30" i="2"/>
  <c r="O31" i="2"/>
  <c r="O32" i="2"/>
  <c r="O33" i="2"/>
  <c r="O3" i="2"/>
  <c r="B64" i="43"/>
  <c r="A64" i="43"/>
  <c r="C114" i="39" l="1"/>
  <c r="C115" i="39"/>
  <c r="C113" i="39"/>
  <c r="B114" i="39"/>
  <c r="B115" i="39"/>
  <c r="A115" i="39"/>
  <c r="A108" i="39"/>
  <c r="B108" i="39"/>
  <c r="A109" i="39"/>
  <c r="B109" i="39"/>
  <c r="A110" i="39"/>
  <c r="B110" i="39"/>
  <c r="A111" i="39"/>
  <c r="B111" i="39"/>
  <c r="A112" i="39"/>
  <c r="B112" i="39"/>
  <c r="A113" i="39"/>
  <c r="B113" i="39"/>
  <c r="A114" i="39"/>
  <c r="B107" i="39"/>
  <c r="A107" i="39"/>
  <c r="B51" i="43"/>
  <c r="Q3" i="44"/>
  <c r="Q4" i="44" s="1"/>
  <c r="Q2" i="44"/>
  <c r="P17" i="44"/>
  <c r="P18" i="44" s="1"/>
  <c r="P16" i="44"/>
  <c r="F16" i="44"/>
  <c r="G223" i="44" s="1"/>
  <c r="F17" i="44"/>
  <c r="G224" i="44" s="1"/>
  <c r="F18" i="44"/>
  <c r="G225" i="44" s="1"/>
  <c r="F19" i="44"/>
  <c r="G226" i="44" s="1"/>
  <c r="F20" i="44"/>
  <c r="G227" i="44" s="1"/>
  <c r="F21" i="44"/>
  <c r="G228" i="44" s="1"/>
  <c r="F22" i="44"/>
  <c r="G229" i="44" s="1"/>
  <c r="F23" i="44"/>
  <c r="G230" i="44" s="1"/>
  <c r="F24" i="44"/>
  <c r="G231" i="44" s="1"/>
  <c r="F25" i="44"/>
  <c r="G232" i="44" s="1"/>
  <c r="F26" i="44"/>
  <c r="G233" i="44" s="1"/>
  <c r="F27" i="44"/>
  <c r="G234" i="44" s="1"/>
  <c r="F28" i="44"/>
  <c r="G235" i="44" s="1"/>
  <c r="F29" i="44"/>
  <c r="G236" i="44" s="1"/>
  <c r="F30" i="44"/>
  <c r="G237" i="44" s="1"/>
  <c r="F31" i="44"/>
  <c r="G238" i="44" s="1"/>
  <c r="F32" i="44"/>
  <c r="G239" i="44" s="1"/>
  <c r="F33" i="44"/>
  <c r="G240" i="44" s="1"/>
  <c r="F34" i="44"/>
  <c r="G241" i="44" s="1"/>
  <c r="F35" i="44"/>
  <c r="G242" i="44" s="1"/>
  <c r="F36" i="44"/>
  <c r="G243" i="44" s="1"/>
  <c r="F37" i="44"/>
  <c r="G244" i="44" s="1"/>
  <c r="F38" i="44"/>
  <c r="G245" i="44" s="1"/>
  <c r="F39" i="44"/>
  <c r="G246" i="44" s="1"/>
  <c r="F40" i="44"/>
  <c r="G247" i="44" s="1"/>
  <c r="F41" i="44"/>
  <c r="G248" i="44" s="1"/>
  <c r="F42" i="44"/>
  <c r="G249" i="44" s="1"/>
  <c r="F43" i="44"/>
  <c r="G250" i="44" s="1"/>
  <c r="F44" i="44"/>
  <c r="G251" i="44" s="1"/>
  <c r="F45" i="44"/>
  <c r="G252" i="44" s="1"/>
  <c r="F46" i="44"/>
  <c r="G253" i="44" s="1"/>
  <c r="F47" i="44"/>
  <c r="G254" i="44" s="1"/>
  <c r="F48" i="44"/>
  <c r="G255" i="44" s="1"/>
  <c r="F49" i="44"/>
  <c r="G256" i="44" s="1"/>
  <c r="F50" i="44"/>
  <c r="G257" i="44" s="1"/>
  <c r="F51" i="44"/>
  <c r="G258" i="44" s="1"/>
  <c r="F52" i="44"/>
  <c r="G259" i="44" s="1"/>
  <c r="F53" i="44"/>
  <c r="G260" i="44" s="1"/>
  <c r="F54" i="44"/>
  <c r="G261" i="44" s="1"/>
  <c r="F55" i="44"/>
  <c r="G262" i="44" s="1"/>
  <c r="F56" i="44"/>
  <c r="G263" i="44" s="1"/>
  <c r="F57" i="44"/>
  <c r="G264" i="44" s="1"/>
  <c r="F58" i="44"/>
  <c r="G265" i="44" s="1"/>
  <c r="F59" i="44"/>
  <c r="G266" i="44" s="1"/>
  <c r="F60" i="44"/>
  <c r="G267" i="44" s="1"/>
  <c r="F61" i="44"/>
  <c r="G268" i="44" s="1"/>
  <c r="F62" i="44"/>
  <c r="G269" i="44" s="1"/>
  <c r="F63" i="44"/>
  <c r="G270" i="44" s="1"/>
  <c r="F64" i="44"/>
  <c r="G271" i="44" s="1"/>
  <c r="F65" i="44"/>
  <c r="G272" i="44" s="1"/>
  <c r="F66" i="44"/>
  <c r="G273" i="44" s="1"/>
  <c r="F67" i="44"/>
  <c r="G274" i="44" s="1"/>
  <c r="F68" i="44"/>
  <c r="G275" i="44" s="1"/>
  <c r="F69" i="44"/>
  <c r="G276" i="44" s="1"/>
  <c r="F70" i="44"/>
  <c r="G277" i="44" s="1"/>
  <c r="F71" i="44"/>
  <c r="G278" i="44" s="1"/>
  <c r="F72" i="44"/>
  <c r="G279" i="44" s="1"/>
  <c r="F73" i="44"/>
  <c r="G280" i="44" s="1"/>
  <c r="F74" i="44"/>
  <c r="G281" i="44" s="1"/>
  <c r="F75" i="44"/>
  <c r="G282" i="44" s="1"/>
  <c r="F76" i="44"/>
  <c r="G283" i="44" s="1"/>
  <c r="F77" i="44"/>
  <c r="G284" i="44" s="1"/>
  <c r="F78" i="44"/>
  <c r="G285" i="44" s="1"/>
  <c r="F79" i="44"/>
  <c r="G286" i="44" s="1"/>
  <c r="F80" i="44"/>
  <c r="G287" i="44" s="1"/>
  <c r="F81" i="44"/>
  <c r="G288" i="44" s="1"/>
  <c r="F82" i="44"/>
  <c r="G289" i="44" s="1"/>
  <c r="F83" i="44"/>
  <c r="G290" i="44" s="1"/>
  <c r="F84" i="44"/>
  <c r="G291" i="44" s="1"/>
  <c r="F85" i="44"/>
  <c r="G292" i="44" s="1"/>
  <c r="F86" i="44"/>
  <c r="G293" i="44" s="1"/>
  <c r="F87" i="44"/>
  <c r="G294" i="44" s="1"/>
  <c r="F88" i="44"/>
  <c r="G295" i="44" s="1"/>
  <c r="F89" i="44"/>
  <c r="G296" i="44" s="1"/>
  <c r="F90" i="44"/>
  <c r="G297" i="44" s="1"/>
  <c r="F91" i="44"/>
  <c r="G298" i="44" s="1"/>
  <c r="F92" i="44"/>
  <c r="G299" i="44" s="1"/>
  <c r="F93" i="44"/>
  <c r="G300" i="44" s="1"/>
  <c r="F94" i="44"/>
  <c r="G301" i="44" s="1"/>
  <c r="F95" i="44"/>
  <c r="G302" i="44" s="1"/>
  <c r="F96" i="44"/>
  <c r="G303" i="44" s="1"/>
  <c r="F97" i="44"/>
  <c r="G304" i="44" s="1"/>
  <c r="F98" i="44"/>
  <c r="G305" i="44" s="1"/>
  <c r="F99" i="44"/>
  <c r="G306" i="44" s="1"/>
  <c r="F100" i="44"/>
  <c r="G307" i="44" s="1"/>
  <c r="F101" i="44"/>
  <c r="G308" i="44" s="1"/>
  <c r="F102" i="44"/>
  <c r="G309" i="44" s="1"/>
  <c r="F103" i="44"/>
  <c r="G310" i="44" s="1"/>
  <c r="F104" i="44"/>
  <c r="G311" i="44" s="1"/>
  <c r="F105" i="44"/>
  <c r="G312" i="44" s="1"/>
  <c r="F106" i="44"/>
  <c r="G313" i="44" s="1"/>
  <c r="F107" i="44"/>
  <c r="G314" i="44" s="1"/>
  <c r="F108" i="44"/>
  <c r="G315" i="44" s="1"/>
  <c r="F109" i="44"/>
  <c r="G316" i="44" s="1"/>
  <c r="F110" i="44"/>
  <c r="G317" i="44" s="1"/>
  <c r="F111" i="44"/>
  <c r="G318" i="44" s="1"/>
  <c r="F112" i="44"/>
  <c r="G319" i="44" s="1"/>
  <c r="F113" i="44"/>
  <c r="G320" i="44" s="1"/>
  <c r="F114" i="44"/>
  <c r="G321" i="44" s="1"/>
  <c r="F115" i="44"/>
  <c r="G322" i="44" s="1"/>
  <c r="F116" i="44"/>
  <c r="G323" i="44" s="1"/>
  <c r="F117" i="44"/>
  <c r="G324" i="44" s="1"/>
  <c r="F118" i="44"/>
  <c r="G325" i="44" s="1"/>
  <c r="F119" i="44"/>
  <c r="G326" i="44" s="1"/>
  <c r="F120" i="44"/>
  <c r="G327" i="44" s="1"/>
  <c r="F121" i="44"/>
  <c r="G328" i="44" s="1"/>
  <c r="F122" i="44"/>
  <c r="G329" i="44" s="1"/>
  <c r="F123" i="44"/>
  <c r="G330" i="44" s="1"/>
  <c r="F124" i="44"/>
  <c r="G331" i="44" s="1"/>
  <c r="F125" i="44"/>
  <c r="G332" i="44" s="1"/>
  <c r="F126" i="44"/>
  <c r="G333" i="44" s="1"/>
  <c r="F127" i="44"/>
  <c r="G334" i="44" s="1"/>
  <c r="F128" i="44"/>
  <c r="G335" i="44" s="1"/>
  <c r="F129" i="44"/>
  <c r="G336" i="44" s="1"/>
  <c r="F130" i="44"/>
  <c r="G337" i="44" s="1"/>
  <c r="F131" i="44"/>
  <c r="G338" i="44" s="1"/>
  <c r="F132" i="44"/>
  <c r="G339" i="44" s="1"/>
  <c r="F133" i="44"/>
  <c r="G340" i="44" s="1"/>
  <c r="F134" i="44"/>
  <c r="G341" i="44" s="1"/>
  <c r="F135" i="44"/>
  <c r="G342" i="44" s="1"/>
  <c r="F136" i="44"/>
  <c r="G343" i="44" s="1"/>
  <c r="F137" i="44"/>
  <c r="G344" i="44" s="1"/>
  <c r="F138" i="44"/>
  <c r="G345" i="44" s="1"/>
  <c r="F139" i="44"/>
  <c r="G346" i="44" s="1"/>
  <c r="F140" i="44"/>
  <c r="G347" i="44" s="1"/>
  <c r="F141" i="44"/>
  <c r="G348" i="44" s="1"/>
  <c r="F142" i="44"/>
  <c r="G349" i="44" s="1"/>
  <c r="F143" i="44"/>
  <c r="G350" i="44" s="1"/>
  <c r="F144" i="44"/>
  <c r="G351" i="44" s="1"/>
  <c r="F145" i="44"/>
  <c r="G352" i="44" s="1"/>
  <c r="F146" i="44"/>
  <c r="G353" i="44" s="1"/>
  <c r="F147" i="44"/>
  <c r="G354" i="44" s="1"/>
  <c r="F148" i="44"/>
  <c r="G355" i="44" s="1"/>
  <c r="F149" i="44"/>
  <c r="G356" i="44" s="1"/>
  <c r="F150" i="44"/>
  <c r="G357" i="44" s="1"/>
  <c r="F151" i="44"/>
  <c r="G358" i="44" s="1"/>
  <c r="F152" i="44"/>
  <c r="G359" i="44" s="1"/>
  <c r="F153" i="44"/>
  <c r="G360" i="44" s="1"/>
  <c r="F154" i="44"/>
  <c r="G361" i="44" s="1"/>
  <c r="F155" i="44"/>
  <c r="G362" i="44" s="1"/>
  <c r="F156" i="44"/>
  <c r="G363" i="44" s="1"/>
  <c r="F157" i="44"/>
  <c r="G364" i="44" s="1"/>
  <c r="F158" i="44"/>
  <c r="G365" i="44" s="1"/>
  <c r="F159" i="44"/>
  <c r="G366" i="44" s="1"/>
  <c r="F160" i="44"/>
  <c r="G367" i="44" s="1"/>
  <c r="F161" i="44"/>
  <c r="G368" i="44" s="1"/>
  <c r="F162" i="44"/>
  <c r="G369" i="44" s="1"/>
  <c r="F163" i="44"/>
  <c r="G370" i="44" s="1"/>
  <c r="F164" i="44"/>
  <c r="G371" i="44" s="1"/>
  <c r="F165" i="44"/>
  <c r="G372" i="44" s="1"/>
  <c r="F166" i="44"/>
  <c r="G373" i="44" s="1"/>
  <c r="F167" i="44"/>
  <c r="G374" i="44" s="1"/>
  <c r="F168" i="44"/>
  <c r="G375" i="44" s="1"/>
  <c r="F169" i="44"/>
  <c r="G376" i="44" s="1"/>
  <c r="F170" i="44"/>
  <c r="G377" i="44" s="1"/>
  <c r="F171" i="44"/>
  <c r="G378" i="44" s="1"/>
  <c r="F172" i="44"/>
  <c r="G379" i="44" s="1"/>
  <c r="F173" i="44"/>
  <c r="G380" i="44" s="1"/>
  <c r="F174" i="44"/>
  <c r="G381" i="44" s="1"/>
  <c r="F175" i="44"/>
  <c r="G382" i="44" s="1"/>
  <c r="F176" i="44"/>
  <c r="G383" i="44" s="1"/>
  <c r="F177" i="44"/>
  <c r="G384" i="44" s="1"/>
  <c r="F178" i="44"/>
  <c r="G385" i="44" s="1"/>
  <c r="F179" i="44"/>
  <c r="G386" i="44" s="1"/>
  <c r="F180" i="44"/>
  <c r="G387" i="44" s="1"/>
  <c r="F181" i="44"/>
  <c r="G388" i="44" s="1"/>
  <c r="F182" i="44"/>
  <c r="G389" i="44" s="1"/>
  <c r="F183" i="44"/>
  <c r="G390" i="44" s="1"/>
  <c r="F184" i="44"/>
  <c r="G391" i="44" s="1"/>
  <c r="F185" i="44"/>
  <c r="G392" i="44" s="1"/>
  <c r="F186" i="44"/>
  <c r="G393" i="44" s="1"/>
  <c r="F187" i="44"/>
  <c r="G394" i="44" s="1"/>
  <c r="F188" i="44"/>
  <c r="G395" i="44" s="1"/>
  <c r="F189" i="44"/>
  <c r="G396" i="44" s="1"/>
  <c r="F190" i="44"/>
  <c r="G397" i="44" s="1"/>
  <c r="F191" i="44"/>
  <c r="G398" i="44" s="1"/>
  <c r="F192" i="44"/>
  <c r="G399" i="44" s="1"/>
  <c r="F193" i="44"/>
  <c r="G400" i="44" s="1"/>
  <c r="F194" i="44"/>
  <c r="G401" i="44" s="1"/>
  <c r="F195" i="44"/>
  <c r="G402" i="44" s="1"/>
  <c r="F196" i="44"/>
  <c r="G403" i="44" s="1"/>
  <c r="F197" i="44"/>
  <c r="G404" i="44" s="1"/>
  <c r="F198" i="44"/>
  <c r="G405" i="44" s="1"/>
  <c r="F199" i="44"/>
  <c r="G406" i="44" s="1"/>
  <c r="F200" i="44"/>
  <c r="G407" i="44" s="1"/>
  <c r="F201" i="44"/>
  <c r="G408" i="44" s="1"/>
  <c r="F202" i="44"/>
  <c r="G409" i="44" s="1"/>
  <c r="F203" i="44"/>
  <c r="G410" i="44" s="1"/>
  <c r="F204" i="44"/>
  <c r="G411" i="44" s="1"/>
  <c r="F205" i="44"/>
  <c r="G412" i="44" s="1"/>
  <c r="F206" i="44"/>
  <c r="G413" i="44" s="1"/>
  <c r="F207" i="44"/>
  <c r="G414" i="44" s="1"/>
  <c r="F208" i="44"/>
  <c r="G415" i="44" s="1"/>
  <c r="F209" i="44"/>
  <c r="G416" i="44" s="1"/>
  <c r="F210" i="44"/>
  <c r="G417" i="44" s="1"/>
  <c r="F211" i="44"/>
  <c r="G418" i="44" s="1"/>
  <c r="F212" i="44"/>
  <c r="G419" i="44" s="1"/>
  <c r="F213" i="44"/>
  <c r="G420" i="44" s="1"/>
  <c r="F214" i="44"/>
  <c r="G421" i="44" s="1"/>
  <c r="F215" i="44"/>
  <c r="G422" i="44" s="1"/>
  <c r="F15" i="44"/>
  <c r="G222" i="44" s="1"/>
  <c r="I14" i="44"/>
  <c r="J14" i="44" s="1"/>
  <c r="K14" i="44" s="1"/>
  <c r="L14" i="44" s="1"/>
  <c r="M14" i="44" s="1"/>
  <c r="N14" i="44" s="1"/>
  <c r="O14" i="44" s="1"/>
  <c r="P14" i="44" s="1"/>
  <c r="Q5" i="44" l="1"/>
  <c r="P19" i="44"/>
  <c r="P20" i="44" s="1"/>
  <c r="P21" i="44" s="1"/>
  <c r="P22" i="44" s="1"/>
  <c r="P23" i="44" s="1"/>
  <c r="P24" i="44" s="1"/>
  <c r="P25" i="44" s="1"/>
  <c r="P26" i="44" s="1"/>
  <c r="P27" i="44" s="1"/>
  <c r="P28" i="44" s="1"/>
  <c r="P29" i="44" s="1"/>
  <c r="P30" i="44" s="1"/>
  <c r="P31" i="44" s="1"/>
  <c r="P32" i="44" s="1"/>
  <c r="P33" i="44" s="1"/>
  <c r="P34" i="44" s="1"/>
  <c r="P35" i="44" s="1"/>
  <c r="P36" i="44" s="1"/>
  <c r="P37" i="44" s="1"/>
  <c r="P38" i="44" s="1"/>
  <c r="P39" i="44" s="1"/>
  <c r="P40" i="44" s="1"/>
  <c r="P41" i="44" s="1"/>
  <c r="P42" i="44" s="1"/>
  <c r="P43" i="44" s="1"/>
  <c r="P44" i="44" s="1"/>
  <c r="P45" i="44" s="1"/>
  <c r="P46" i="44" s="1"/>
  <c r="P47" i="44" s="1"/>
  <c r="P48" i="44" s="1"/>
  <c r="P49" i="44" s="1"/>
  <c r="P50" i="44" s="1"/>
  <c r="P51" i="44" s="1"/>
  <c r="P52" i="44" s="1"/>
  <c r="P53" i="44" s="1"/>
  <c r="P54" i="44" s="1"/>
  <c r="P55" i="44" s="1"/>
  <c r="P56" i="44" s="1"/>
  <c r="P57" i="44" s="1"/>
  <c r="P58" i="44" s="1"/>
  <c r="P59" i="44" s="1"/>
  <c r="P60" i="44" s="1"/>
  <c r="P61" i="44" s="1"/>
  <c r="P62" i="44" s="1"/>
  <c r="P63" i="44" s="1"/>
  <c r="P64" i="44" s="1"/>
  <c r="P65" i="44" s="1"/>
  <c r="P66" i="44" s="1"/>
  <c r="P67" i="44" s="1"/>
  <c r="P68" i="44" s="1"/>
  <c r="P69" i="44" s="1"/>
  <c r="P70" i="44" s="1"/>
  <c r="P71" i="44" s="1"/>
  <c r="P72" i="44" s="1"/>
  <c r="P73" i="44" s="1"/>
  <c r="P74" i="44" s="1"/>
  <c r="P75" i="44" s="1"/>
  <c r="P76" i="44" s="1"/>
  <c r="P77" i="44" s="1"/>
  <c r="P78" i="44" s="1"/>
  <c r="P79" i="44" s="1"/>
  <c r="P80" i="44" s="1"/>
  <c r="P81" i="44" s="1"/>
  <c r="P82" i="44" s="1"/>
  <c r="P83" i="44" s="1"/>
  <c r="P84" i="44" s="1"/>
  <c r="P85" i="44" s="1"/>
  <c r="P86" i="44" s="1"/>
  <c r="P87" i="44" s="1"/>
  <c r="P88" i="44" s="1"/>
  <c r="P89" i="44" s="1"/>
  <c r="P90" i="44" s="1"/>
  <c r="P91" i="44" s="1"/>
  <c r="P92" i="44" s="1"/>
  <c r="P93" i="44" s="1"/>
  <c r="P94" i="44" s="1"/>
  <c r="P95" i="44" s="1"/>
  <c r="P96" i="44" s="1"/>
  <c r="P97" i="44" s="1"/>
  <c r="P98" i="44" s="1"/>
  <c r="P99" i="44" s="1"/>
  <c r="P100" i="44" s="1"/>
  <c r="P101" i="44" s="1"/>
  <c r="P102" i="44" s="1"/>
  <c r="P103" i="44" s="1"/>
  <c r="P104" i="44" s="1"/>
  <c r="P105" i="44" s="1"/>
  <c r="P106" i="44" s="1"/>
  <c r="P107" i="44" s="1"/>
  <c r="P108" i="44" s="1"/>
  <c r="P109" i="44" s="1"/>
  <c r="P110" i="44" s="1"/>
  <c r="P111" i="44" s="1"/>
  <c r="P112" i="44" s="1"/>
  <c r="P113" i="44" s="1"/>
  <c r="P114" i="44" s="1"/>
  <c r="P115" i="44" s="1"/>
  <c r="P116" i="44" s="1"/>
  <c r="P117" i="44" s="1"/>
  <c r="P118" i="44" s="1"/>
  <c r="P119" i="44" s="1"/>
  <c r="P120" i="44" s="1"/>
  <c r="P121" i="44" s="1"/>
  <c r="P122" i="44" s="1"/>
  <c r="P123" i="44" s="1"/>
  <c r="P124" i="44" s="1"/>
  <c r="P125" i="44" s="1"/>
  <c r="P126" i="44" s="1"/>
  <c r="P127" i="44" s="1"/>
  <c r="P128" i="44" s="1"/>
  <c r="P129" i="44" s="1"/>
  <c r="P130" i="44" s="1"/>
  <c r="P131" i="44" s="1"/>
  <c r="P132" i="44" s="1"/>
  <c r="P133" i="44" s="1"/>
  <c r="P134" i="44" s="1"/>
  <c r="P135" i="44" s="1"/>
  <c r="P136" i="44" s="1"/>
  <c r="P137" i="44" s="1"/>
  <c r="P138" i="44" s="1"/>
  <c r="P139" i="44" s="1"/>
  <c r="P140" i="44" s="1"/>
  <c r="P141" i="44" s="1"/>
  <c r="P142" i="44" s="1"/>
  <c r="P143" i="44" s="1"/>
  <c r="P144" i="44" s="1"/>
  <c r="P145" i="44" s="1"/>
  <c r="P146" i="44" s="1"/>
  <c r="P147" i="44" s="1"/>
  <c r="P148" i="44" s="1"/>
  <c r="P149" i="44" s="1"/>
  <c r="P150" i="44" s="1"/>
  <c r="P151" i="44" s="1"/>
  <c r="P152" i="44" s="1"/>
  <c r="P153" i="44" s="1"/>
  <c r="P154" i="44" s="1"/>
  <c r="P155" i="44" s="1"/>
  <c r="P156" i="44" s="1"/>
  <c r="P157" i="44" s="1"/>
  <c r="P158" i="44" s="1"/>
  <c r="P159" i="44" s="1"/>
  <c r="P160" i="44" s="1"/>
  <c r="P161" i="44" s="1"/>
  <c r="P162" i="44" s="1"/>
  <c r="P163" i="44" s="1"/>
  <c r="P164" i="44" s="1"/>
  <c r="P165" i="44" s="1"/>
  <c r="P166" i="44" s="1"/>
  <c r="P167" i="44" s="1"/>
  <c r="P168" i="44" s="1"/>
  <c r="P169" i="44" s="1"/>
  <c r="P170" i="44" s="1"/>
  <c r="P171" i="44" s="1"/>
  <c r="P172" i="44" s="1"/>
  <c r="P173" i="44" s="1"/>
  <c r="P174" i="44" s="1"/>
  <c r="P175" i="44" s="1"/>
  <c r="P176" i="44" s="1"/>
  <c r="P177" i="44" s="1"/>
  <c r="P178" i="44" s="1"/>
  <c r="P179" i="44" s="1"/>
  <c r="P180" i="44" s="1"/>
  <c r="P181" i="44" s="1"/>
  <c r="P182" i="44" s="1"/>
  <c r="P183" i="44" s="1"/>
  <c r="P184" i="44" s="1"/>
  <c r="P185" i="44" s="1"/>
  <c r="P186" i="44" s="1"/>
  <c r="P187" i="44" s="1"/>
  <c r="P188" i="44" s="1"/>
  <c r="P189" i="44" s="1"/>
  <c r="P190" i="44" s="1"/>
  <c r="P191" i="44" s="1"/>
  <c r="P192" i="44" s="1"/>
  <c r="P193" i="44" s="1"/>
  <c r="P194" i="44" s="1"/>
  <c r="P195" i="44" s="1"/>
  <c r="P196" i="44" s="1"/>
  <c r="P197" i="44" s="1"/>
  <c r="P198" i="44" s="1"/>
  <c r="P199" i="44" s="1"/>
  <c r="P200" i="44" s="1"/>
  <c r="P201" i="44" s="1"/>
  <c r="P202" i="44" s="1"/>
  <c r="P203" i="44" s="1"/>
  <c r="P204" i="44" s="1"/>
  <c r="P205" i="44" s="1"/>
  <c r="P206" i="44" s="1"/>
  <c r="P207" i="44" s="1"/>
  <c r="P208" i="44" s="1"/>
  <c r="P209" i="44" s="1"/>
  <c r="P210" i="44" s="1"/>
  <c r="P211" i="44" s="1"/>
  <c r="P212" i="44" s="1"/>
  <c r="P213" i="44" s="1"/>
  <c r="P214" i="44" s="1"/>
  <c r="P215" i="44" s="1"/>
  <c r="Q6" i="44" l="1"/>
  <c r="Q7" i="44" l="1"/>
  <c r="Q8" i="44" l="1"/>
  <c r="A17" i="44" l="1"/>
  <c r="A18" i="44"/>
  <c r="A19" i="44"/>
  <c r="A20" i="44" s="1"/>
  <c r="A21" i="44" s="1"/>
  <c r="A22" i="44" s="1"/>
  <c r="A23" i="44" s="1"/>
  <c r="A24" i="44" s="1"/>
  <c r="A25" i="44" s="1"/>
  <c r="A26" i="44" s="1"/>
  <c r="A27" i="44" s="1"/>
  <c r="A28" i="44" s="1"/>
  <c r="A29" i="44" s="1"/>
  <c r="A30" i="44" s="1"/>
  <c r="A31" i="44" s="1"/>
  <c r="A32" i="44" s="1"/>
  <c r="A33" i="44" s="1"/>
  <c r="A34" i="44" s="1"/>
  <c r="A35" i="44" s="1"/>
  <c r="A36" i="44" s="1"/>
  <c r="A37" i="44" s="1"/>
  <c r="A38" i="44" s="1"/>
  <c r="A39" i="44" s="1"/>
  <c r="A40" i="44" s="1"/>
  <c r="A41" i="44" s="1"/>
  <c r="A42" i="44" s="1"/>
  <c r="A43" i="44" s="1"/>
  <c r="A44" i="44" s="1"/>
  <c r="A45" i="44" s="1"/>
  <c r="A46" i="44" s="1"/>
  <c r="A47" i="44" s="1"/>
  <c r="A48" i="44" s="1"/>
  <c r="A49" i="44" s="1"/>
  <c r="A50" i="44" s="1"/>
  <c r="A51" i="44" s="1"/>
  <c r="A52" i="44" s="1"/>
  <c r="A53" i="44" s="1"/>
  <c r="A54" i="44" s="1"/>
  <c r="A55" i="44" s="1"/>
  <c r="A56" i="44" s="1"/>
  <c r="A57" i="44" s="1"/>
  <c r="A58" i="44" s="1"/>
  <c r="A59" i="44" s="1"/>
  <c r="A60" i="44" s="1"/>
  <c r="A61" i="44" s="1"/>
  <c r="A62" i="44" s="1"/>
  <c r="A63" i="44" s="1"/>
  <c r="A64" i="44" s="1"/>
  <c r="A65" i="44" s="1"/>
  <c r="A66" i="44" s="1"/>
  <c r="A67" i="44" s="1"/>
  <c r="A68" i="44" s="1"/>
  <c r="A69" i="44" s="1"/>
  <c r="A70" i="44" s="1"/>
  <c r="A71" i="44" s="1"/>
  <c r="A72" i="44" s="1"/>
  <c r="A73" i="44" s="1"/>
  <c r="A74" i="44" s="1"/>
  <c r="A75" i="44" s="1"/>
  <c r="A76" i="44" s="1"/>
  <c r="A77" i="44" s="1"/>
  <c r="A78" i="44" s="1"/>
  <c r="A79" i="44" s="1"/>
  <c r="A80" i="44" s="1"/>
  <c r="A81" i="44" s="1"/>
  <c r="A82" i="44" s="1"/>
  <c r="A83" i="44" s="1"/>
  <c r="A84" i="44" s="1"/>
  <c r="A85" i="44" s="1"/>
  <c r="A86" i="44" s="1"/>
  <c r="A87" i="44" s="1"/>
  <c r="A88" i="44" s="1"/>
  <c r="A89" i="44" s="1"/>
  <c r="A90" i="44" s="1"/>
  <c r="A91" i="44" s="1"/>
  <c r="A92" i="44" s="1"/>
  <c r="A93" i="44" s="1"/>
  <c r="A94" i="44" s="1"/>
  <c r="A95" i="44" s="1"/>
  <c r="A96" i="44" s="1"/>
  <c r="A97" i="44" s="1"/>
  <c r="A98" i="44" s="1"/>
  <c r="A99" i="44" s="1"/>
  <c r="A100" i="44" s="1"/>
  <c r="A101" i="44" s="1"/>
  <c r="A102" i="44" s="1"/>
  <c r="A103" i="44" s="1"/>
  <c r="A104" i="44" s="1"/>
  <c r="A105" i="44" s="1"/>
  <c r="A106" i="44" s="1"/>
  <c r="A107" i="44" s="1"/>
  <c r="A108" i="44" s="1"/>
  <c r="A109" i="44" s="1"/>
  <c r="A110" i="44" s="1"/>
  <c r="A111" i="44" s="1"/>
  <c r="A112" i="44" s="1"/>
  <c r="A113" i="44" s="1"/>
  <c r="A114" i="44" s="1"/>
  <c r="A115" i="44" s="1"/>
  <c r="A116" i="44" s="1"/>
  <c r="A117" i="44" s="1"/>
  <c r="A118" i="44" s="1"/>
  <c r="A119" i="44" s="1"/>
  <c r="A120" i="44" s="1"/>
  <c r="A121" i="44" s="1"/>
  <c r="A122" i="44" s="1"/>
  <c r="A123" i="44" s="1"/>
  <c r="A124" i="44" s="1"/>
  <c r="A125" i="44" s="1"/>
  <c r="A126" i="44" s="1"/>
  <c r="A127" i="44" s="1"/>
  <c r="A128" i="44" s="1"/>
  <c r="A129" i="44" s="1"/>
  <c r="A130" i="44" s="1"/>
  <c r="A131" i="44" s="1"/>
  <c r="A132" i="44" s="1"/>
  <c r="A133" i="44" s="1"/>
  <c r="A134" i="44" s="1"/>
  <c r="A135" i="44" s="1"/>
  <c r="A136" i="44" s="1"/>
  <c r="A137" i="44" s="1"/>
  <c r="A138" i="44" s="1"/>
  <c r="A139" i="44" s="1"/>
  <c r="A140" i="44" s="1"/>
  <c r="A141" i="44" s="1"/>
  <c r="A142" i="44" s="1"/>
  <c r="A143" i="44" s="1"/>
  <c r="A144" i="44" s="1"/>
  <c r="A145" i="44" s="1"/>
  <c r="A146" i="44" s="1"/>
  <c r="A147" i="44" s="1"/>
  <c r="A148" i="44" s="1"/>
  <c r="A149" i="44" s="1"/>
  <c r="A150" i="44" s="1"/>
  <c r="A151" i="44" s="1"/>
  <c r="A152" i="44" s="1"/>
  <c r="A153" i="44" s="1"/>
  <c r="A154" i="44" s="1"/>
  <c r="A155" i="44" s="1"/>
  <c r="A156" i="44" s="1"/>
  <c r="A157" i="44" s="1"/>
  <c r="A158" i="44" s="1"/>
  <c r="A159" i="44" s="1"/>
  <c r="A160" i="44" s="1"/>
  <c r="A161" i="44" s="1"/>
  <c r="A162" i="44" s="1"/>
  <c r="A163" i="44" s="1"/>
  <c r="A164" i="44" s="1"/>
  <c r="A165" i="44" s="1"/>
  <c r="A166" i="44" s="1"/>
  <c r="A167" i="44" s="1"/>
  <c r="A168" i="44" s="1"/>
  <c r="A169" i="44" s="1"/>
  <c r="A170" i="44" s="1"/>
  <c r="A171" i="44" s="1"/>
  <c r="A172" i="44" s="1"/>
  <c r="A173" i="44" s="1"/>
  <c r="A174" i="44" s="1"/>
  <c r="A175" i="44" s="1"/>
  <c r="A176" i="44" s="1"/>
  <c r="A177" i="44" s="1"/>
  <c r="A178" i="44" s="1"/>
  <c r="A179" i="44" s="1"/>
  <c r="A180" i="44" s="1"/>
  <c r="A181" i="44" s="1"/>
  <c r="A182" i="44" s="1"/>
  <c r="A183" i="44" s="1"/>
  <c r="A184" i="44" s="1"/>
  <c r="A185" i="44" s="1"/>
  <c r="A186" i="44" s="1"/>
  <c r="A187" i="44" s="1"/>
  <c r="A188" i="44" s="1"/>
  <c r="A189" i="44" s="1"/>
  <c r="A190" i="44" s="1"/>
  <c r="A191" i="44" s="1"/>
  <c r="A192" i="44" s="1"/>
  <c r="A193" i="44" s="1"/>
  <c r="A194" i="44" s="1"/>
  <c r="A195" i="44" s="1"/>
  <c r="A196" i="44" s="1"/>
  <c r="A197" i="44" s="1"/>
  <c r="A198" i="44" s="1"/>
  <c r="A199" i="44" s="1"/>
  <c r="A200" i="44" s="1"/>
  <c r="A201" i="44" s="1"/>
  <c r="A202" i="44" s="1"/>
  <c r="A203" i="44" s="1"/>
  <c r="A204" i="44" s="1"/>
  <c r="A205" i="44" s="1"/>
  <c r="A206" i="44" s="1"/>
  <c r="A207" i="44" s="1"/>
  <c r="A208" i="44" s="1"/>
  <c r="A209" i="44" s="1"/>
  <c r="A210" i="44" s="1"/>
  <c r="A211" i="44" s="1"/>
  <c r="A212" i="44" s="1"/>
  <c r="A213" i="44" s="1"/>
  <c r="A214" i="44" s="1"/>
  <c r="A215" i="44" s="1"/>
  <c r="A16" i="44"/>
  <c r="N119" i="43" l="1"/>
  <c r="N120" i="43"/>
  <c r="N121" i="43"/>
  <c r="N123" i="43"/>
  <c r="N124" i="43"/>
  <c r="N118" i="43"/>
  <c r="E1" i="43"/>
  <c r="F1" i="43"/>
  <c r="G1" i="43"/>
  <c r="H1" i="43"/>
  <c r="I1" i="43"/>
  <c r="J1" i="43"/>
  <c r="P8" i="37" l="1"/>
  <c r="B32" i="39" s="1"/>
  <c r="P5" i="37"/>
  <c r="B30" i="39" s="1"/>
  <c r="R4" i="37"/>
  <c r="R5" i="37"/>
  <c r="R6" i="37"/>
  <c r="R7" i="37"/>
  <c r="P6" i="37" s="1"/>
  <c r="B31" i="39" s="1"/>
  <c r="R8" i="37"/>
  <c r="R9" i="37"/>
  <c r="P7" i="37" s="1"/>
  <c r="R10" i="37"/>
  <c r="R11" i="37"/>
  <c r="R12" i="37"/>
  <c r="R13" i="37"/>
  <c r="P9" i="37" s="1"/>
  <c r="B33" i="39" s="1"/>
  <c r="R14" i="37"/>
  <c r="R3" i="37"/>
  <c r="L4" i="37"/>
  <c r="L5" i="37"/>
  <c r="L6" i="37"/>
  <c r="L7" i="37"/>
  <c r="L8" i="37"/>
  <c r="L9" i="37"/>
  <c r="L10" i="37"/>
  <c r="L11" i="37"/>
  <c r="L12" i="37"/>
  <c r="L13" i="37"/>
  <c r="L14" i="37"/>
  <c r="L3" i="37"/>
  <c r="B7" i="44" l="1"/>
  <c r="A4" i="8"/>
  <c r="A5" i="8"/>
  <c r="A6" i="8"/>
  <c r="A7" i="8"/>
  <c r="A8" i="8"/>
  <c r="A9" i="8"/>
  <c r="A10" i="8"/>
  <c r="A11" i="8"/>
  <c r="A12" i="8"/>
  <c r="A13" i="8"/>
  <c r="A14" i="8"/>
  <c r="A15" i="8"/>
  <c r="A16" i="8"/>
  <c r="A17" i="8"/>
  <c r="A18" i="8"/>
  <c r="A19" i="8"/>
  <c r="A20" i="8"/>
  <c r="A21" i="8"/>
  <c r="A22" i="8"/>
  <c r="A23" i="8"/>
  <c r="A24" i="8"/>
  <c r="A25" i="8"/>
  <c r="A26" i="8"/>
  <c r="A27" i="8"/>
  <c r="A28" i="8"/>
  <c r="A29" i="8"/>
  <c r="A30" i="8"/>
  <c r="A31" i="8"/>
  <c r="A32" i="8"/>
  <c r="A33" i="8"/>
  <c r="A3" i="8"/>
  <c r="E75" i="39" l="1"/>
  <c r="E76" i="39"/>
  <c r="E77" i="39"/>
  <c r="E78" i="39"/>
  <c r="E79" i="39"/>
  <c r="E80" i="39"/>
  <c r="E81" i="39"/>
  <c r="E82" i="39"/>
  <c r="E83" i="39"/>
  <c r="E84" i="39"/>
  <c r="E85" i="39"/>
  <c r="E86" i="39"/>
  <c r="E87" i="39"/>
  <c r="E88" i="39"/>
  <c r="E89" i="39"/>
  <c r="E90" i="39"/>
  <c r="E91" i="39"/>
  <c r="E92" i="39"/>
  <c r="E93" i="39"/>
  <c r="E94" i="39"/>
  <c r="E95" i="39"/>
  <c r="E96" i="39"/>
  <c r="E97" i="39"/>
  <c r="E98" i="39"/>
  <c r="E99" i="39"/>
  <c r="E100" i="39"/>
  <c r="E101" i="39"/>
  <c r="E102" i="39"/>
  <c r="E103" i="39"/>
  <c r="E104" i="39"/>
  <c r="E74" i="39"/>
  <c r="B2" i="44" l="1"/>
  <c r="B3" i="44"/>
  <c r="B4" i="44"/>
  <c r="B5" i="44"/>
  <c r="B6" i="44"/>
  <c r="B1" i="44"/>
  <c r="L120" i="43"/>
  <c r="L121" i="43"/>
  <c r="L122" i="43"/>
  <c r="L123" i="43"/>
  <c r="L124" i="43"/>
  <c r="L119" i="43"/>
  <c r="G33" i="8" l="1"/>
  <c r="N33" i="36"/>
  <c r="L33" i="36"/>
  <c r="G32" i="8"/>
  <c r="N32" i="36"/>
  <c r="L32" i="36"/>
  <c r="G31" i="8"/>
  <c r="N31" i="36"/>
  <c r="L31" i="36"/>
  <c r="G30" i="8"/>
  <c r="N30" i="36"/>
  <c r="L30" i="36"/>
  <c r="N29" i="36"/>
  <c r="L29" i="36"/>
  <c r="G28" i="8"/>
  <c r="N28" i="36"/>
  <c r="L28" i="36"/>
  <c r="G27" i="8"/>
  <c r="N27" i="36"/>
  <c r="L27" i="36"/>
  <c r="G26" i="8"/>
  <c r="N26" i="36"/>
  <c r="L26" i="36"/>
  <c r="G25" i="8"/>
  <c r="N25" i="36"/>
  <c r="L25" i="36"/>
  <c r="G24" i="8"/>
  <c r="N24" i="36"/>
  <c r="L24" i="36"/>
  <c r="G23" i="8"/>
  <c r="N23" i="36"/>
  <c r="L23" i="36"/>
  <c r="G22" i="8"/>
  <c r="N22" i="36"/>
  <c r="L22" i="36"/>
  <c r="G21" i="8"/>
  <c r="N21" i="36"/>
  <c r="L21" i="36"/>
  <c r="G20" i="8"/>
  <c r="N20" i="36"/>
  <c r="L20" i="36"/>
  <c r="G19" i="8"/>
  <c r="N19" i="36"/>
  <c r="L19" i="36"/>
  <c r="G18" i="8"/>
  <c r="N18" i="36"/>
  <c r="L18" i="36"/>
  <c r="G17" i="8"/>
  <c r="N17" i="36"/>
  <c r="L17" i="36"/>
  <c r="G16" i="8"/>
  <c r="N16" i="36"/>
  <c r="L16" i="36"/>
  <c r="G15" i="8"/>
  <c r="N15" i="36"/>
  <c r="L15" i="36"/>
  <c r="G14" i="8"/>
  <c r="N14" i="36"/>
  <c r="L14" i="36"/>
  <c r="G13" i="8"/>
  <c r="N13" i="36"/>
  <c r="L13" i="36"/>
  <c r="G12" i="8"/>
  <c r="N12" i="36"/>
  <c r="L12" i="36"/>
  <c r="G11" i="8"/>
  <c r="N11" i="36"/>
  <c r="L11" i="36"/>
  <c r="G10" i="8"/>
  <c r="N10" i="36"/>
  <c r="L10" i="36"/>
  <c r="G9" i="8"/>
  <c r="N9" i="36"/>
  <c r="L9" i="36"/>
  <c r="G8" i="8"/>
  <c r="N8" i="36"/>
  <c r="L8" i="36"/>
  <c r="G7" i="8"/>
  <c r="N7" i="36"/>
  <c r="L7" i="36"/>
  <c r="G6" i="8"/>
  <c r="N6" i="36"/>
  <c r="L6" i="36"/>
  <c r="G5" i="8"/>
  <c r="N5" i="36"/>
  <c r="L5" i="36"/>
  <c r="G4" i="8"/>
  <c r="N4" i="36"/>
  <c r="L4" i="36"/>
  <c r="G3" i="8"/>
  <c r="N3" i="36"/>
  <c r="L3" i="36"/>
  <c r="H33" i="8"/>
  <c r="N33" i="35"/>
  <c r="P33" i="35" s="1"/>
  <c r="AG33" i="8" s="1"/>
  <c r="L33" i="35"/>
  <c r="N32" i="35"/>
  <c r="L32" i="35"/>
  <c r="H31" i="8"/>
  <c r="N31" i="35"/>
  <c r="L31" i="35"/>
  <c r="H30" i="8"/>
  <c r="N30" i="35"/>
  <c r="L30" i="35"/>
  <c r="H29" i="8"/>
  <c r="N29" i="35"/>
  <c r="L29" i="35"/>
  <c r="H28" i="8"/>
  <c r="N28" i="35"/>
  <c r="L28" i="35"/>
  <c r="H27" i="8"/>
  <c r="N27" i="35"/>
  <c r="P27" i="35" s="1"/>
  <c r="AG27" i="8" s="1"/>
  <c r="L27" i="35"/>
  <c r="H26" i="8"/>
  <c r="N26" i="35"/>
  <c r="L26" i="35"/>
  <c r="H25" i="8"/>
  <c r="N25" i="35"/>
  <c r="L25" i="35"/>
  <c r="H24" i="8"/>
  <c r="N24" i="35"/>
  <c r="L24" i="35"/>
  <c r="H23" i="8"/>
  <c r="N23" i="35"/>
  <c r="P23" i="35" s="1"/>
  <c r="AG23" i="8" s="1"/>
  <c r="L23" i="35"/>
  <c r="H22" i="8"/>
  <c r="N22" i="35"/>
  <c r="L22" i="35"/>
  <c r="H21" i="8"/>
  <c r="N21" i="35"/>
  <c r="P21" i="35" s="1"/>
  <c r="AG21" i="8" s="1"/>
  <c r="L21" i="35"/>
  <c r="H20" i="8"/>
  <c r="N20" i="35"/>
  <c r="P20" i="35" s="1"/>
  <c r="AG20" i="8" s="1"/>
  <c r="L20" i="35"/>
  <c r="H19" i="8"/>
  <c r="N19" i="35"/>
  <c r="P19" i="35" s="1"/>
  <c r="AG19" i="8" s="1"/>
  <c r="L19" i="35"/>
  <c r="H18" i="8"/>
  <c r="N18" i="35"/>
  <c r="P18" i="35" s="1"/>
  <c r="AG18" i="8" s="1"/>
  <c r="L18" i="35"/>
  <c r="H17" i="8"/>
  <c r="N17" i="35"/>
  <c r="P17" i="35" s="1"/>
  <c r="AG17" i="8" s="1"/>
  <c r="L17" i="35"/>
  <c r="H16" i="8"/>
  <c r="N16" i="35"/>
  <c r="L16" i="35"/>
  <c r="H15" i="8"/>
  <c r="N15" i="35"/>
  <c r="P15" i="35" s="1"/>
  <c r="AG15" i="8" s="1"/>
  <c r="L15" i="35"/>
  <c r="H14" i="8"/>
  <c r="N14" i="35"/>
  <c r="P14" i="35" s="1"/>
  <c r="AG14" i="8" s="1"/>
  <c r="L14" i="35"/>
  <c r="H13" i="8"/>
  <c r="N13" i="35"/>
  <c r="L13" i="35"/>
  <c r="H12" i="8"/>
  <c r="N12" i="35"/>
  <c r="L12" i="35"/>
  <c r="H11" i="8"/>
  <c r="N11" i="35"/>
  <c r="P11" i="35" s="1"/>
  <c r="AG11" i="8" s="1"/>
  <c r="L11" i="35"/>
  <c r="H10" i="8"/>
  <c r="N10" i="35"/>
  <c r="L10" i="35"/>
  <c r="H9" i="8"/>
  <c r="N9" i="35"/>
  <c r="P9" i="35" s="1"/>
  <c r="AG9" i="8" s="1"/>
  <c r="L9" i="35"/>
  <c r="H8" i="8"/>
  <c r="N8" i="35"/>
  <c r="L8" i="35"/>
  <c r="H7" i="8"/>
  <c r="N7" i="35"/>
  <c r="L7" i="35"/>
  <c r="H6" i="8"/>
  <c r="N6" i="35"/>
  <c r="P6" i="35" s="1"/>
  <c r="AG6" i="8" s="1"/>
  <c r="L6" i="35"/>
  <c r="N5" i="35"/>
  <c r="L5" i="35"/>
  <c r="H4" i="8"/>
  <c r="N4" i="35"/>
  <c r="L4" i="35"/>
  <c r="H3" i="8"/>
  <c r="N3" i="35"/>
  <c r="L3" i="35"/>
  <c r="AE32" i="8"/>
  <c r="AE30" i="8"/>
  <c r="AE28" i="8"/>
  <c r="AE24" i="8"/>
  <c r="AE22" i="8"/>
  <c r="AE18" i="8"/>
  <c r="AE16" i="8"/>
  <c r="AE12" i="8"/>
  <c r="AE10" i="8"/>
  <c r="AE7" i="8"/>
  <c r="AE6" i="8"/>
  <c r="AE4" i="8"/>
  <c r="N33" i="5"/>
  <c r="L33" i="5"/>
  <c r="N32" i="5"/>
  <c r="P32" i="5" s="1"/>
  <c r="L32" i="5"/>
  <c r="N31" i="5"/>
  <c r="L31" i="5"/>
  <c r="N30" i="5"/>
  <c r="P30" i="5" s="1"/>
  <c r="L30" i="5"/>
  <c r="N29" i="5"/>
  <c r="L29" i="5"/>
  <c r="N28" i="5"/>
  <c r="L28" i="5"/>
  <c r="N27" i="5"/>
  <c r="L27" i="5"/>
  <c r="N26" i="5"/>
  <c r="L26" i="5"/>
  <c r="N25" i="5"/>
  <c r="L25" i="5"/>
  <c r="N24" i="5"/>
  <c r="P24" i="5" s="1"/>
  <c r="L24" i="5"/>
  <c r="N23" i="5"/>
  <c r="L23" i="5"/>
  <c r="N22" i="5"/>
  <c r="P22" i="5" s="1"/>
  <c r="L22" i="5"/>
  <c r="N21" i="5"/>
  <c r="L21" i="5"/>
  <c r="N20" i="5"/>
  <c r="L20" i="5"/>
  <c r="N19" i="5"/>
  <c r="L19" i="5"/>
  <c r="N18" i="5"/>
  <c r="P18" i="5" s="1"/>
  <c r="L18" i="5"/>
  <c r="N17" i="5"/>
  <c r="L17" i="5"/>
  <c r="N16" i="5"/>
  <c r="P16" i="5" s="1"/>
  <c r="L16" i="5"/>
  <c r="N15" i="5"/>
  <c r="L15" i="5"/>
  <c r="N14" i="5"/>
  <c r="L14" i="5"/>
  <c r="N13" i="5"/>
  <c r="L13" i="5"/>
  <c r="N12" i="5"/>
  <c r="P12" i="5" s="1"/>
  <c r="L12" i="5"/>
  <c r="N11" i="5"/>
  <c r="L11" i="5"/>
  <c r="N10" i="5"/>
  <c r="P10" i="5" s="1"/>
  <c r="L10" i="5"/>
  <c r="N9" i="5"/>
  <c r="L9" i="5"/>
  <c r="N8" i="5"/>
  <c r="L8" i="5"/>
  <c r="N7" i="5"/>
  <c r="L7" i="5"/>
  <c r="N6" i="5"/>
  <c r="P6" i="5" s="1"/>
  <c r="L6" i="5"/>
  <c r="N5" i="5"/>
  <c r="L5" i="5"/>
  <c r="N4" i="5"/>
  <c r="P4" i="5" s="1"/>
  <c r="L4" i="5"/>
  <c r="N3" i="5"/>
  <c r="L3" i="5"/>
  <c r="N33" i="4"/>
  <c r="P33" i="4" s="1"/>
  <c r="L33" i="4"/>
  <c r="N32" i="4"/>
  <c r="P32" i="4" s="1"/>
  <c r="L32" i="4"/>
  <c r="N31" i="4"/>
  <c r="L31" i="4"/>
  <c r="N30" i="4"/>
  <c r="L30" i="4"/>
  <c r="N29" i="4"/>
  <c r="L29" i="4"/>
  <c r="N28" i="4"/>
  <c r="P28" i="4" s="1"/>
  <c r="L28" i="4"/>
  <c r="N27" i="4"/>
  <c r="L27" i="4"/>
  <c r="N26" i="4"/>
  <c r="P26" i="4" s="1"/>
  <c r="L26" i="4"/>
  <c r="N25" i="4"/>
  <c r="L25" i="4"/>
  <c r="N24" i="4"/>
  <c r="P24" i="4" s="1"/>
  <c r="L24" i="4"/>
  <c r="N23" i="4"/>
  <c r="L23" i="4"/>
  <c r="N22" i="4"/>
  <c r="L22" i="4"/>
  <c r="N21" i="4"/>
  <c r="L21" i="4"/>
  <c r="N20" i="4"/>
  <c r="P20" i="4" s="1"/>
  <c r="L20" i="4"/>
  <c r="N19" i="4"/>
  <c r="L19" i="4"/>
  <c r="N18" i="4"/>
  <c r="L18" i="4"/>
  <c r="N17" i="4"/>
  <c r="L17" i="4"/>
  <c r="N16" i="4"/>
  <c r="P16" i="4" s="1"/>
  <c r="L16" i="4"/>
  <c r="N15" i="4"/>
  <c r="L15" i="4"/>
  <c r="N14" i="4"/>
  <c r="P14" i="4" s="1"/>
  <c r="L14" i="4"/>
  <c r="N13" i="4"/>
  <c r="L13" i="4"/>
  <c r="N12" i="4"/>
  <c r="L12" i="4"/>
  <c r="N11" i="4"/>
  <c r="L11" i="4"/>
  <c r="N10" i="4"/>
  <c r="L10" i="4"/>
  <c r="N9" i="4"/>
  <c r="L9" i="4"/>
  <c r="N8" i="4"/>
  <c r="L8" i="4"/>
  <c r="N7" i="4"/>
  <c r="L7" i="4"/>
  <c r="N6" i="4"/>
  <c r="L6" i="4"/>
  <c r="N5" i="4"/>
  <c r="L5" i="4"/>
  <c r="N4" i="4"/>
  <c r="L4" i="4"/>
  <c r="N3" i="4"/>
  <c r="L3" i="4"/>
  <c r="N33" i="34"/>
  <c r="L33" i="34"/>
  <c r="N32" i="34"/>
  <c r="L32" i="34"/>
  <c r="N31" i="34"/>
  <c r="L31" i="34"/>
  <c r="N30" i="34"/>
  <c r="L30" i="34"/>
  <c r="N29" i="34"/>
  <c r="L29" i="34"/>
  <c r="N28" i="34"/>
  <c r="L28" i="34"/>
  <c r="N27" i="34"/>
  <c r="L27" i="34"/>
  <c r="N26" i="34"/>
  <c r="L26" i="34"/>
  <c r="N25" i="34"/>
  <c r="L25" i="34"/>
  <c r="N24" i="34"/>
  <c r="L24" i="34"/>
  <c r="N23" i="34"/>
  <c r="L23" i="34"/>
  <c r="N22" i="34"/>
  <c r="L22" i="34"/>
  <c r="N21" i="34"/>
  <c r="L21" i="34"/>
  <c r="N20" i="34"/>
  <c r="L20" i="34"/>
  <c r="N19" i="34"/>
  <c r="L19" i="34"/>
  <c r="N18" i="34"/>
  <c r="L18" i="34"/>
  <c r="N17" i="34"/>
  <c r="L17" i="34"/>
  <c r="N16" i="34"/>
  <c r="L16" i="34"/>
  <c r="N15" i="34"/>
  <c r="L15" i="34"/>
  <c r="N14" i="34"/>
  <c r="L14" i="34"/>
  <c r="N13" i="34"/>
  <c r="L13" i="34"/>
  <c r="N12" i="34"/>
  <c r="P12" i="34" s="1"/>
  <c r="L12" i="34"/>
  <c r="N11" i="34"/>
  <c r="L11" i="34"/>
  <c r="N10" i="34"/>
  <c r="L10" i="34"/>
  <c r="N9" i="34"/>
  <c r="L9" i="34"/>
  <c r="N8" i="34"/>
  <c r="L8" i="34"/>
  <c r="N7" i="34"/>
  <c r="L7" i="34"/>
  <c r="N6" i="34"/>
  <c r="L6" i="34"/>
  <c r="N5" i="34"/>
  <c r="L5" i="34"/>
  <c r="N4" i="34"/>
  <c r="L4" i="34"/>
  <c r="N3" i="34"/>
  <c r="P3" i="34" s="1"/>
  <c r="L3" i="34"/>
  <c r="B4" i="8"/>
  <c r="B5" i="8"/>
  <c r="B6" i="8"/>
  <c r="B7" i="8"/>
  <c r="B8" i="8"/>
  <c r="B9" i="8"/>
  <c r="B10" i="8"/>
  <c r="B11" i="8"/>
  <c r="B12" i="8"/>
  <c r="B13" i="8"/>
  <c r="B14" i="8"/>
  <c r="B15" i="8"/>
  <c r="B16" i="8"/>
  <c r="B17" i="8"/>
  <c r="B18" i="8"/>
  <c r="B19" i="8"/>
  <c r="B20" i="8"/>
  <c r="B21" i="8"/>
  <c r="B22" i="8"/>
  <c r="B23" i="8"/>
  <c r="B24" i="8"/>
  <c r="B25" i="8"/>
  <c r="B26" i="8"/>
  <c r="B27" i="8"/>
  <c r="B28" i="8"/>
  <c r="B29" i="8"/>
  <c r="B30" i="8"/>
  <c r="B31" i="8"/>
  <c r="B32" i="8"/>
  <c r="B33" i="8"/>
  <c r="B3" i="8"/>
  <c r="L4" i="2"/>
  <c r="L5" i="2"/>
  <c r="L6" i="2"/>
  <c r="L7" i="2"/>
  <c r="L8" i="2"/>
  <c r="L9" i="2"/>
  <c r="L10" i="2"/>
  <c r="L11" i="2"/>
  <c r="L12" i="2"/>
  <c r="L13" i="2"/>
  <c r="L14" i="2"/>
  <c r="L15" i="2"/>
  <c r="L16" i="2"/>
  <c r="L17" i="2"/>
  <c r="L18" i="2"/>
  <c r="L19" i="2"/>
  <c r="L20" i="2"/>
  <c r="L21" i="2"/>
  <c r="L22" i="2"/>
  <c r="L23" i="2"/>
  <c r="L24" i="2"/>
  <c r="L25" i="2"/>
  <c r="L26" i="2"/>
  <c r="L27" i="2"/>
  <c r="L28" i="2"/>
  <c r="L29" i="2"/>
  <c r="L30" i="2"/>
  <c r="L31" i="2"/>
  <c r="L32" i="2"/>
  <c r="L33" i="2"/>
  <c r="L3" i="2"/>
  <c r="P8" i="36" l="1"/>
  <c r="AF8" i="8" s="1"/>
  <c r="P12" i="36"/>
  <c r="AF12" i="8" s="1"/>
  <c r="P14" i="36"/>
  <c r="AF14" i="8" s="1"/>
  <c r="P16" i="36"/>
  <c r="AF16" i="8" s="1"/>
  <c r="P22" i="36"/>
  <c r="AF22" i="8" s="1"/>
  <c r="P26" i="36"/>
  <c r="AF26" i="8" s="1"/>
  <c r="P11" i="4"/>
  <c r="P5" i="35"/>
  <c r="AG5" i="8" s="1"/>
  <c r="H5" i="8"/>
  <c r="P32" i="35"/>
  <c r="AG32" i="8" s="1"/>
  <c r="H32" i="8"/>
  <c r="P13" i="36"/>
  <c r="AF13" i="8" s="1"/>
  <c r="P15" i="36"/>
  <c r="AF15" i="8" s="1"/>
  <c r="P17" i="36"/>
  <c r="AF17" i="8" s="1"/>
  <c r="P21" i="36"/>
  <c r="AF21" i="8" s="1"/>
  <c r="P23" i="36"/>
  <c r="AF23" i="8" s="1"/>
  <c r="P25" i="36"/>
  <c r="AF25" i="8" s="1"/>
  <c r="P29" i="36"/>
  <c r="AF29" i="8" s="1"/>
  <c r="G29" i="8"/>
  <c r="AE9" i="8"/>
  <c r="AE13" i="8"/>
  <c r="AE15" i="8"/>
  <c r="AE19" i="8"/>
  <c r="AE21" i="8"/>
  <c r="AE25" i="8"/>
  <c r="AE27" i="8"/>
  <c r="AE31" i="8"/>
  <c r="AE33" i="8"/>
  <c r="P5" i="4"/>
  <c r="P7" i="4"/>
  <c r="P29" i="4"/>
  <c r="P6" i="4"/>
  <c r="P8" i="4"/>
  <c r="P10" i="4"/>
  <c r="P27" i="34"/>
  <c r="P4" i="34"/>
  <c r="P6" i="34"/>
  <c r="P10" i="34"/>
  <c r="P18" i="34"/>
  <c r="P29" i="35"/>
  <c r="AG29" i="8" s="1"/>
  <c r="P8" i="35"/>
  <c r="AG8" i="8" s="1"/>
  <c r="P10" i="35"/>
  <c r="AG10" i="8" s="1"/>
  <c r="P12" i="35"/>
  <c r="AG12" i="8" s="1"/>
  <c r="P3" i="35"/>
  <c r="AG3" i="8" s="1"/>
  <c r="P24" i="35"/>
  <c r="AG24" i="8" s="1"/>
  <c r="P26" i="35"/>
  <c r="AG26" i="8" s="1"/>
  <c r="P30" i="35"/>
  <c r="AG30" i="8" s="1"/>
  <c r="P11" i="36"/>
  <c r="AF11" i="8" s="1"/>
  <c r="P4" i="36"/>
  <c r="AF4" i="8" s="1"/>
  <c r="P6" i="36"/>
  <c r="AF6" i="8" s="1"/>
  <c r="P31" i="36"/>
  <c r="AF31" i="8" s="1"/>
  <c r="P33" i="36"/>
  <c r="AF33" i="8" s="1"/>
  <c r="P24" i="36"/>
  <c r="AF24" i="8" s="1"/>
  <c r="P3" i="36"/>
  <c r="AF3" i="8" s="1"/>
  <c r="P5" i="36"/>
  <c r="AF5" i="8" s="1"/>
  <c r="P7" i="36"/>
  <c r="AF7" i="8" s="1"/>
  <c r="P20" i="36"/>
  <c r="AF20" i="8" s="1"/>
  <c r="P30" i="36"/>
  <c r="AF30" i="8" s="1"/>
  <c r="P32" i="36"/>
  <c r="AF32" i="8" s="1"/>
  <c r="P11" i="5"/>
  <c r="P17" i="5"/>
  <c r="P25" i="5"/>
  <c r="P29" i="5"/>
  <c r="P5" i="5"/>
  <c r="P23" i="5"/>
  <c r="P31" i="5"/>
  <c r="P15" i="4"/>
  <c r="P17" i="4"/>
  <c r="P19" i="4"/>
  <c r="P23" i="4"/>
  <c r="P25" i="4"/>
  <c r="P13" i="34"/>
  <c r="P15" i="34"/>
  <c r="P19" i="34"/>
  <c r="P21" i="34"/>
  <c r="P29" i="34"/>
  <c r="P31" i="34"/>
  <c r="P33" i="34"/>
  <c r="P20" i="34"/>
  <c r="P22" i="34"/>
  <c r="P24" i="34"/>
  <c r="P28" i="34"/>
  <c r="P30" i="34"/>
  <c r="P9" i="34"/>
  <c r="P11" i="34"/>
  <c r="P9" i="36"/>
  <c r="AF9" i="8" s="1"/>
  <c r="P18" i="36"/>
  <c r="AF18" i="8" s="1"/>
  <c r="P27" i="36"/>
  <c r="AF27" i="8" s="1"/>
  <c r="P10" i="36"/>
  <c r="AF10" i="8" s="1"/>
  <c r="P19" i="36"/>
  <c r="AF19" i="8" s="1"/>
  <c r="P28" i="36"/>
  <c r="AF28" i="8" s="1"/>
  <c r="P7" i="35"/>
  <c r="AG7" i="8" s="1"/>
  <c r="P16" i="35"/>
  <c r="AG16" i="8" s="1"/>
  <c r="P25" i="35"/>
  <c r="AG25" i="8" s="1"/>
  <c r="P4" i="35"/>
  <c r="AG4" i="8" s="1"/>
  <c r="P13" i="35"/>
  <c r="AG13" i="8" s="1"/>
  <c r="P22" i="35"/>
  <c r="AG22" i="8" s="1"/>
  <c r="P31" i="35"/>
  <c r="AG31" i="8" s="1"/>
  <c r="P28" i="35"/>
  <c r="AG28" i="8" s="1"/>
  <c r="AE8" i="8"/>
  <c r="AE14" i="8"/>
  <c r="AE20" i="8"/>
  <c r="AE26" i="8"/>
  <c r="AE5" i="8"/>
  <c r="AE11" i="8"/>
  <c r="AE17" i="8"/>
  <c r="AE23" i="8"/>
  <c r="AE29" i="8"/>
  <c r="P3" i="5"/>
  <c r="P7" i="5"/>
  <c r="P9" i="5"/>
  <c r="P13" i="5"/>
  <c r="P15" i="5"/>
  <c r="P19" i="5"/>
  <c r="P21" i="5"/>
  <c r="P27" i="5"/>
  <c r="P33" i="5"/>
  <c r="P8" i="5"/>
  <c r="P14" i="5"/>
  <c r="P20" i="5"/>
  <c r="P26" i="5"/>
  <c r="P28" i="5"/>
  <c r="P3" i="4"/>
  <c r="P12" i="4"/>
  <c r="P21" i="4"/>
  <c r="P30" i="4"/>
  <c r="P9" i="4"/>
  <c r="P18" i="4"/>
  <c r="P27" i="4"/>
  <c r="P4" i="4"/>
  <c r="P13" i="4"/>
  <c r="P22" i="4"/>
  <c r="P31" i="4"/>
  <c r="P7" i="34"/>
  <c r="P16" i="34"/>
  <c r="P25" i="34"/>
  <c r="P8" i="34"/>
  <c r="P17" i="34"/>
  <c r="P26" i="34"/>
  <c r="P5" i="34"/>
  <c r="P14" i="34"/>
  <c r="P23" i="34"/>
  <c r="P32" i="34"/>
  <c r="E61" i="43" l="1"/>
  <c r="C122" i="43" l="1"/>
  <c r="D122" i="43" s="1"/>
  <c r="E122" i="43" l="1"/>
  <c r="F122" i="43"/>
  <c r="G122" i="43" l="1"/>
  <c r="H122" i="43" l="1"/>
  <c r="D2" i="43" l="1"/>
  <c r="A5" i="43" s="1"/>
  <c r="B167" i="43"/>
  <c r="B206" i="43"/>
  <c r="B245" i="43"/>
  <c r="B284" i="43"/>
  <c r="B323" i="43"/>
  <c r="D1" i="43"/>
  <c r="B128" i="43" s="1"/>
  <c r="A39" i="43"/>
  <c r="A40" i="43" s="1"/>
  <c r="A41" i="43" s="1"/>
  <c r="A42" i="43" s="1"/>
  <c r="A43" i="43" s="1"/>
  <c r="A44" i="43" s="1"/>
  <c r="A45" i="43" s="1"/>
  <c r="A46" i="43" s="1"/>
  <c r="A47" i="43" s="1"/>
  <c r="A48" i="43" s="1"/>
  <c r="H14" i="43"/>
  <c r="H125" i="43" l="1"/>
  <c r="M124" i="43" s="1"/>
  <c r="A7" i="44" s="1"/>
  <c r="B362" i="43"/>
  <c r="C125" i="43"/>
  <c r="M119" i="43" s="1"/>
  <c r="A2" i="44" s="1"/>
  <c r="E125" i="43"/>
  <c r="M121" i="43" s="1"/>
  <c r="A4" i="44" s="1"/>
  <c r="D125" i="43"/>
  <c r="M120" i="43" s="1"/>
  <c r="A3" i="44" s="1"/>
  <c r="B125" i="43"/>
  <c r="M118" i="43" s="1"/>
  <c r="A1" i="44" s="1"/>
  <c r="G125" i="43"/>
  <c r="M123" i="43" s="1"/>
  <c r="A6" i="44" s="1"/>
  <c r="B2" i="43"/>
  <c r="F125" i="43"/>
  <c r="M122" i="43" s="1"/>
  <c r="A5" i="44" s="1"/>
  <c r="I14" i="43"/>
  <c r="E2" i="43"/>
  <c r="F2" i="43" s="1"/>
  <c r="G2" i="43" s="1"/>
  <c r="H2" i="43" s="1"/>
  <c r="I2" i="43" s="1"/>
  <c r="J2" i="43" s="1"/>
  <c r="F403" i="43" l="1"/>
  <c r="G403" i="43"/>
  <c r="D403" i="43"/>
  <c r="H403" i="43"/>
  <c r="C403" i="43"/>
  <c r="B403" i="43"/>
  <c r="E403" i="43"/>
  <c r="B42" i="39"/>
  <c r="E18" i="44"/>
  <c r="E25" i="44"/>
  <c r="E29" i="44"/>
  <c r="E41" i="44"/>
  <c r="E48" i="44"/>
  <c r="E49" i="44"/>
  <c r="E52" i="44"/>
  <c r="E54" i="44"/>
  <c r="E55" i="44"/>
  <c r="E57" i="44"/>
  <c r="E16" i="44"/>
  <c r="E20" i="44"/>
  <c r="E22" i="44"/>
  <c r="E24" i="44"/>
  <c r="E46" i="44"/>
  <c r="E59" i="44"/>
  <c r="E75" i="44"/>
  <c r="E80" i="44"/>
  <c r="E82" i="44"/>
  <c r="E83" i="44"/>
  <c r="E84" i="44"/>
  <c r="E26" i="44"/>
  <c r="E28" i="44"/>
  <c r="E30" i="44"/>
  <c r="E31" i="44"/>
  <c r="E34" i="44"/>
  <c r="E36" i="44"/>
  <c r="E37" i="44"/>
  <c r="E21" i="44"/>
  <c r="E40" i="44"/>
  <c r="E44" i="44"/>
  <c r="E45" i="44"/>
  <c r="E53" i="44"/>
  <c r="E56" i="44"/>
  <c r="E72" i="44"/>
  <c r="E73" i="44"/>
  <c r="E74" i="44"/>
  <c r="E17" i="44"/>
  <c r="E33" i="44"/>
  <c r="E39" i="44"/>
  <c r="E50" i="44"/>
  <c r="E61" i="44"/>
  <c r="E76" i="44"/>
  <c r="E77" i="44"/>
  <c r="E85" i="44"/>
  <c r="E86" i="44"/>
  <c r="E89" i="44"/>
  <c r="E105" i="44"/>
  <c r="E111" i="44"/>
  <c r="E112" i="44"/>
  <c r="E115" i="44"/>
  <c r="E119" i="44"/>
  <c r="E126" i="44"/>
  <c r="E129" i="44"/>
  <c r="E130" i="44"/>
  <c r="E58" i="44"/>
  <c r="E70" i="44"/>
  <c r="E71" i="44"/>
  <c r="E88" i="44"/>
  <c r="E90" i="44"/>
  <c r="E91" i="44"/>
  <c r="E92" i="44"/>
  <c r="E99" i="44"/>
  <c r="E101" i="44"/>
  <c r="E108" i="44"/>
  <c r="E123" i="44"/>
  <c r="E124" i="44"/>
  <c r="E133" i="44"/>
  <c r="E134" i="44"/>
  <c r="E27" i="44"/>
  <c r="E35" i="44"/>
  <c r="E60" i="44"/>
  <c r="E62" i="44"/>
  <c r="E69" i="44"/>
  <c r="E94" i="44"/>
  <c r="E19" i="44"/>
  <c r="E32" i="44"/>
  <c r="E51" i="44"/>
  <c r="E63" i="44"/>
  <c r="E78" i="44"/>
  <c r="E79" i="44"/>
  <c r="E93" i="44"/>
  <c r="E95" i="44"/>
  <c r="E96" i="44"/>
  <c r="E97" i="44"/>
  <c r="E100" i="44"/>
  <c r="E114" i="44"/>
  <c r="E121" i="44"/>
  <c r="E125" i="44"/>
  <c r="E43" i="44"/>
  <c r="E66" i="44"/>
  <c r="E127" i="44"/>
  <c r="E139" i="44"/>
  <c r="E149" i="44"/>
  <c r="E154" i="44"/>
  <c r="E163" i="44"/>
  <c r="E169" i="44"/>
  <c r="E179" i="44"/>
  <c r="E185" i="44"/>
  <c r="E191" i="44"/>
  <c r="E205" i="44"/>
  <c r="E213" i="44"/>
  <c r="E209" i="44"/>
  <c r="E180" i="44"/>
  <c r="E193" i="44"/>
  <c r="E211" i="44"/>
  <c r="E47" i="44"/>
  <c r="E64" i="44"/>
  <c r="E87" i="44"/>
  <c r="E98" i="44"/>
  <c r="E131" i="44"/>
  <c r="E136" i="44"/>
  <c r="E142" i="44"/>
  <c r="E145" i="44"/>
  <c r="E146" i="44"/>
  <c r="E157" i="44"/>
  <c r="E159" i="44"/>
  <c r="E171" i="44"/>
  <c r="E173" i="44"/>
  <c r="E176" i="44"/>
  <c r="E178" i="44"/>
  <c r="E194" i="44"/>
  <c r="E196" i="44"/>
  <c r="E201" i="44"/>
  <c r="E204" i="44"/>
  <c r="E15" i="44"/>
  <c r="E222" i="44" s="1"/>
  <c r="E189" i="44"/>
  <c r="E212" i="44"/>
  <c r="E214" i="44"/>
  <c r="E38" i="44"/>
  <c r="E67" i="44"/>
  <c r="E81" i="44"/>
  <c r="E103" i="44"/>
  <c r="E109" i="44"/>
  <c r="E118" i="44"/>
  <c r="E132" i="44"/>
  <c r="E150" i="44"/>
  <c r="E153" i="44"/>
  <c r="E161" i="44"/>
  <c r="E166" i="44"/>
  <c r="E167" i="44"/>
  <c r="E183" i="44"/>
  <c r="E23" i="44"/>
  <c r="E42" i="44"/>
  <c r="E65" i="44"/>
  <c r="E68" i="44"/>
  <c r="E102" i="44"/>
  <c r="E113" i="44"/>
  <c r="E116" i="44"/>
  <c r="E117" i="44"/>
  <c r="E122" i="44"/>
  <c r="E128" i="44"/>
  <c r="E135" i="44"/>
  <c r="E137" i="44"/>
  <c r="E151" i="44"/>
  <c r="E152" i="44"/>
  <c r="E162" i="44"/>
  <c r="E168" i="44"/>
  <c r="E172" i="44"/>
  <c r="E181" i="44"/>
  <c r="E182" i="44"/>
  <c r="E186" i="44"/>
  <c r="E188" i="44"/>
  <c r="E190" i="44"/>
  <c r="E199" i="44"/>
  <c r="E215" i="44"/>
  <c r="E104" i="44"/>
  <c r="E107" i="44"/>
  <c r="E110" i="44"/>
  <c r="E138" i="44"/>
  <c r="E140" i="44"/>
  <c r="E147" i="44"/>
  <c r="E174" i="44"/>
  <c r="E197" i="44"/>
  <c r="E200" i="44"/>
  <c r="E203" i="44"/>
  <c r="E170" i="44"/>
  <c r="E187" i="44"/>
  <c r="E206" i="44"/>
  <c r="E202" i="44"/>
  <c r="E143" i="44"/>
  <c r="E164" i="44"/>
  <c r="E184" i="44"/>
  <c r="E144" i="44"/>
  <c r="E155" i="44"/>
  <c r="E165" i="44"/>
  <c r="E106" i="44"/>
  <c r="E195" i="44"/>
  <c r="E148" i="44"/>
  <c r="E192" i="44"/>
  <c r="E198" i="44"/>
  <c r="E210" i="44"/>
  <c r="E208" i="44"/>
  <c r="E120" i="44"/>
  <c r="E158" i="44"/>
  <c r="E160" i="44"/>
  <c r="E175" i="44"/>
  <c r="E177" i="44"/>
  <c r="E141" i="44"/>
  <c r="E156" i="44"/>
  <c r="E207" i="44"/>
  <c r="N15" i="44"/>
  <c r="L15" i="44"/>
  <c r="M15" i="44"/>
  <c r="K15" i="44"/>
  <c r="O15" i="44"/>
  <c r="I15" i="44"/>
  <c r="J14" i="43"/>
  <c r="A6" i="43"/>
  <c r="K14" i="43"/>
  <c r="C406" i="43" l="1"/>
  <c r="C423" i="43"/>
  <c r="C428" i="43"/>
  <c r="C404" i="43"/>
  <c r="C424" i="43"/>
  <c r="C409" i="43"/>
  <c r="C421" i="43"/>
  <c r="C434" i="43"/>
  <c r="C429" i="43"/>
  <c r="C422" i="43"/>
  <c r="C407" i="43"/>
  <c r="C414" i="43"/>
  <c r="C418" i="43"/>
  <c r="C425" i="43"/>
  <c r="C427" i="43"/>
  <c r="C432" i="43"/>
  <c r="C408" i="43"/>
  <c r="C410" i="43"/>
  <c r="C412" i="43"/>
  <c r="C420" i="43"/>
  <c r="C431" i="43"/>
  <c r="C433" i="43"/>
  <c r="C417" i="43"/>
  <c r="C419" i="43"/>
  <c r="C426" i="43"/>
  <c r="C430" i="43"/>
  <c r="C405" i="43"/>
  <c r="C415" i="43"/>
  <c r="C413" i="43"/>
  <c r="C411" i="43"/>
  <c r="C416" i="43"/>
  <c r="B405" i="43"/>
  <c r="B424" i="43"/>
  <c r="B425" i="43"/>
  <c r="B413" i="43"/>
  <c r="B414" i="43"/>
  <c r="B408" i="43"/>
  <c r="B422" i="43"/>
  <c r="B415" i="43"/>
  <c r="B417" i="43"/>
  <c r="B409" i="43"/>
  <c r="B406" i="43"/>
  <c r="B429" i="43"/>
  <c r="B411" i="43"/>
  <c r="B416" i="43"/>
  <c r="B432" i="43"/>
  <c r="B404" i="43"/>
  <c r="B428" i="43"/>
  <c r="B427" i="43"/>
  <c r="B433" i="43"/>
  <c r="B412" i="43"/>
  <c r="B410" i="43"/>
  <c r="B407" i="43"/>
  <c r="B431" i="43"/>
  <c r="B420" i="43"/>
  <c r="B426" i="43"/>
  <c r="B434" i="43"/>
  <c r="B430" i="43"/>
  <c r="B423" i="43"/>
  <c r="B418" i="43"/>
  <c r="B419" i="43"/>
  <c r="B421" i="43"/>
  <c r="H434" i="43"/>
  <c r="H418" i="43"/>
  <c r="H415" i="43"/>
  <c r="H410" i="43"/>
  <c r="H424" i="43"/>
  <c r="H405" i="43"/>
  <c r="H428" i="43"/>
  <c r="H420" i="43"/>
  <c r="H431" i="43"/>
  <c r="H406" i="43"/>
  <c r="H417" i="43"/>
  <c r="H414" i="43"/>
  <c r="H430" i="43"/>
  <c r="H423" i="43"/>
  <c r="H416" i="43"/>
  <c r="H404" i="43"/>
  <c r="H413" i="43"/>
  <c r="H427" i="43"/>
  <c r="H409" i="43"/>
  <c r="H422" i="43"/>
  <c r="H421" i="43"/>
  <c r="H433" i="43"/>
  <c r="H426" i="43"/>
  <c r="H411" i="43"/>
  <c r="H408" i="43"/>
  <c r="H432" i="43"/>
  <c r="H412" i="43"/>
  <c r="H425" i="43"/>
  <c r="H407" i="43"/>
  <c r="H419" i="43"/>
  <c r="H429" i="43"/>
  <c r="D406" i="43"/>
  <c r="D417" i="43"/>
  <c r="D419" i="43"/>
  <c r="D426" i="43"/>
  <c r="D430" i="43"/>
  <c r="D427" i="43"/>
  <c r="D410" i="43"/>
  <c r="D411" i="43"/>
  <c r="D416" i="43"/>
  <c r="D423" i="43"/>
  <c r="D428" i="43"/>
  <c r="D404" i="43"/>
  <c r="D434" i="43"/>
  <c r="D425" i="43"/>
  <c r="D432" i="43"/>
  <c r="D412" i="43"/>
  <c r="D422" i="43"/>
  <c r="D409" i="43"/>
  <c r="D421" i="43"/>
  <c r="D429" i="43"/>
  <c r="D431" i="43"/>
  <c r="D407" i="43"/>
  <c r="D414" i="43"/>
  <c r="D418" i="43"/>
  <c r="D405" i="43"/>
  <c r="D408" i="43"/>
  <c r="D413" i="43"/>
  <c r="D415" i="43"/>
  <c r="D424" i="43"/>
  <c r="D433" i="43"/>
  <c r="D420" i="43"/>
  <c r="G410" i="43"/>
  <c r="G413" i="43"/>
  <c r="G431" i="43"/>
  <c r="G416" i="43"/>
  <c r="G434" i="43"/>
  <c r="G428" i="43"/>
  <c r="G429" i="43"/>
  <c r="G411" i="43"/>
  <c r="G427" i="43"/>
  <c r="G409" i="43"/>
  <c r="G404" i="43"/>
  <c r="G425" i="43"/>
  <c r="G422" i="43"/>
  <c r="G426" i="43"/>
  <c r="G408" i="43"/>
  <c r="G424" i="43"/>
  <c r="G406" i="43"/>
  <c r="G419" i="43"/>
  <c r="G423" i="43"/>
  <c r="G405" i="43"/>
  <c r="G421" i="43"/>
  <c r="G420" i="43"/>
  <c r="G418" i="43"/>
  <c r="G432" i="43"/>
  <c r="G412" i="43"/>
  <c r="G407" i="43"/>
  <c r="G414" i="43"/>
  <c r="G417" i="43"/>
  <c r="G433" i="43"/>
  <c r="G415" i="43"/>
  <c r="G430" i="43"/>
  <c r="E405" i="43"/>
  <c r="E408" i="43"/>
  <c r="E413" i="43"/>
  <c r="E415" i="43"/>
  <c r="E424" i="43"/>
  <c r="E433" i="43"/>
  <c r="E404" i="43"/>
  <c r="E406" i="43"/>
  <c r="E417" i="43"/>
  <c r="E419" i="43"/>
  <c r="E426" i="43"/>
  <c r="E430" i="43"/>
  <c r="E427" i="43"/>
  <c r="E411" i="43"/>
  <c r="E416" i="43"/>
  <c r="E423" i="43"/>
  <c r="E425" i="43"/>
  <c r="E418" i="43"/>
  <c r="E410" i="43"/>
  <c r="E420" i="43"/>
  <c r="E422" i="43"/>
  <c r="E431" i="43"/>
  <c r="E434" i="43"/>
  <c r="E429" i="43"/>
  <c r="E421" i="43"/>
  <c r="E409" i="43"/>
  <c r="E428" i="43"/>
  <c r="E432" i="43"/>
  <c r="E412" i="43"/>
  <c r="E407" i="43"/>
  <c r="E414" i="43"/>
  <c r="F415" i="43"/>
  <c r="F410" i="43"/>
  <c r="F420" i="43"/>
  <c r="F431" i="43"/>
  <c r="F430" i="43"/>
  <c r="F423" i="43"/>
  <c r="F404" i="43"/>
  <c r="F434" i="43"/>
  <c r="F424" i="43"/>
  <c r="F419" i="43"/>
  <c r="F416" i="43"/>
  <c r="F427" i="43"/>
  <c r="F421" i="43"/>
  <c r="F425" i="43"/>
  <c r="F426" i="43"/>
  <c r="F412" i="43"/>
  <c r="F433" i="43"/>
  <c r="F417" i="43"/>
  <c r="F414" i="43"/>
  <c r="F422" i="43"/>
  <c r="F411" i="43"/>
  <c r="F405" i="43"/>
  <c r="F409" i="43"/>
  <c r="F432" i="43"/>
  <c r="F418" i="43"/>
  <c r="F413" i="43"/>
  <c r="F428" i="43"/>
  <c r="F429" i="43"/>
  <c r="F406" i="43"/>
  <c r="F408" i="43"/>
  <c r="F407" i="43"/>
  <c r="I175" i="44"/>
  <c r="E382" i="44"/>
  <c r="O175" i="44"/>
  <c r="L175" i="44"/>
  <c r="K175" i="44"/>
  <c r="J175" i="44"/>
  <c r="M175" i="44"/>
  <c r="H175" i="44"/>
  <c r="N175" i="44"/>
  <c r="H198" i="44"/>
  <c r="E405" i="44"/>
  <c r="L198" i="44"/>
  <c r="K198" i="44"/>
  <c r="M198" i="44"/>
  <c r="I198" i="44"/>
  <c r="N198" i="44"/>
  <c r="J198" i="44"/>
  <c r="O198" i="44"/>
  <c r="J174" i="44"/>
  <c r="E381" i="44"/>
  <c r="I174" i="44"/>
  <c r="K174" i="44"/>
  <c r="L174" i="44"/>
  <c r="O174" i="44"/>
  <c r="N174" i="44"/>
  <c r="H174" i="44"/>
  <c r="M174" i="44"/>
  <c r="E389" i="44"/>
  <c r="H182" i="44"/>
  <c r="N182" i="44"/>
  <c r="I182" i="44"/>
  <c r="O182" i="44"/>
  <c r="J182" i="44"/>
  <c r="L182" i="44"/>
  <c r="K182" i="44"/>
  <c r="M182" i="44"/>
  <c r="E323" i="44"/>
  <c r="M116" i="44"/>
  <c r="H116" i="44"/>
  <c r="N116" i="44"/>
  <c r="K116" i="44"/>
  <c r="I116" i="44"/>
  <c r="J116" i="44"/>
  <c r="L116" i="44"/>
  <c r="O116" i="44"/>
  <c r="E230" i="44"/>
  <c r="H23" i="44"/>
  <c r="L23" i="44"/>
  <c r="N23" i="44"/>
  <c r="I23" i="44"/>
  <c r="O23" i="44"/>
  <c r="K23" i="44"/>
  <c r="M23" i="44"/>
  <c r="J23" i="44"/>
  <c r="E274" i="44"/>
  <c r="J67" i="44"/>
  <c r="M67" i="44"/>
  <c r="H67" i="44"/>
  <c r="K67" i="44"/>
  <c r="I67" i="44"/>
  <c r="L67" i="44"/>
  <c r="O67" i="44"/>
  <c r="N67" i="44"/>
  <c r="I173" i="44"/>
  <c r="E380" i="44"/>
  <c r="L173" i="44"/>
  <c r="N173" i="44"/>
  <c r="M173" i="44"/>
  <c r="J173" i="44"/>
  <c r="H173" i="44"/>
  <c r="K173" i="44"/>
  <c r="O173" i="44"/>
  <c r="E254" i="44"/>
  <c r="M47" i="44"/>
  <c r="J47" i="44"/>
  <c r="H47" i="44"/>
  <c r="L47" i="44"/>
  <c r="N47" i="44"/>
  <c r="I47" i="44"/>
  <c r="O47" i="44"/>
  <c r="K47" i="44"/>
  <c r="L154" i="44"/>
  <c r="E361" i="44"/>
  <c r="M154" i="44"/>
  <c r="H154" i="44"/>
  <c r="N154" i="44"/>
  <c r="I154" i="44"/>
  <c r="O154" i="44"/>
  <c r="J154" i="44"/>
  <c r="K154" i="44"/>
  <c r="J32" i="44"/>
  <c r="I32" i="44"/>
  <c r="E239" i="44"/>
  <c r="L32" i="44"/>
  <c r="M32" i="44"/>
  <c r="O32" i="44"/>
  <c r="N32" i="44"/>
  <c r="K32" i="44"/>
  <c r="H32" i="44"/>
  <c r="E223" i="44"/>
  <c r="J16" i="44"/>
  <c r="L16" i="44"/>
  <c r="M16" i="44"/>
  <c r="N16" i="44"/>
  <c r="H16" i="44"/>
  <c r="O16" i="44"/>
  <c r="I16" i="44"/>
  <c r="K16" i="44"/>
  <c r="I160" i="44"/>
  <c r="E367" i="44"/>
  <c r="M160" i="44"/>
  <c r="O160" i="44"/>
  <c r="L160" i="44"/>
  <c r="H160" i="44"/>
  <c r="N160" i="44"/>
  <c r="J160" i="44"/>
  <c r="K160" i="44"/>
  <c r="H192" i="44"/>
  <c r="E399" i="44"/>
  <c r="L192" i="44"/>
  <c r="M192" i="44"/>
  <c r="K192" i="44"/>
  <c r="O192" i="44"/>
  <c r="J192" i="44"/>
  <c r="I192" i="44"/>
  <c r="N192" i="44"/>
  <c r="K187" i="44"/>
  <c r="E394" i="44"/>
  <c r="L187" i="44"/>
  <c r="M187" i="44"/>
  <c r="N187" i="44"/>
  <c r="H187" i="44"/>
  <c r="I187" i="44"/>
  <c r="J187" i="44"/>
  <c r="O187" i="44"/>
  <c r="M147" i="44"/>
  <c r="E354" i="44"/>
  <c r="K147" i="44"/>
  <c r="L147" i="44"/>
  <c r="I147" i="44"/>
  <c r="J147" i="44"/>
  <c r="N147" i="44"/>
  <c r="H147" i="44"/>
  <c r="O147" i="44"/>
  <c r="E388" i="44"/>
  <c r="I181" i="44"/>
  <c r="L181" i="44"/>
  <c r="J181" i="44"/>
  <c r="O181" i="44"/>
  <c r="K181" i="44"/>
  <c r="H181" i="44"/>
  <c r="M181" i="44"/>
  <c r="N181" i="44"/>
  <c r="I137" i="44"/>
  <c r="E344" i="44"/>
  <c r="N137" i="44"/>
  <c r="H137" i="44"/>
  <c r="J137" i="44"/>
  <c r="K137" i="44"/>
  <c r="M137" i="44"/>
  <c r="L137" i="44"/>
  <c r="O137" i="44"/>
  <c r="M183" i="44"/>
  <c r="E390" i="44"/>
  <c r="J183" i="44"/>
  <c r="L183" i="44"/>
  <c r="K183" i="44"/>
  <c r="H183" i="44"/>
  <c r="O183" i="44"/>
  <c r="I183" i="44"/>
  <c r="N183" i="44"/>
  <c r="J132" i="44"/>
  <c r="E339" i="44"/>
  <c r="H132" i="44"/>
  <c r="L132" i="44"/>
  <c r="N132" i="44"/>
  <c r="O132" i="44"/>
  <c r="I132" i="44"/>
  <c r="K132" i="44"/>
  <c r="M132" i="44"/>
  <c r="K201" i="44"/>
  <c r="E408" i="44"/>
  <c r="L201" i="44"/>
  <c r="N201" i="44"/>
  <c r="O201" i="44"/>
  <c r="I201" i="44"/>
  <c r="H201" i="44"/>
  <c r="J201" i="44"/>
  <c r="M201" i="44"/>
  <c r="E378" i="44"/>
  <c r="H171" i="44"/>
  <c r="M171" i="44"/>
  <c r="L171" i="44"/>
  <c r="I171" i="44"/>
  <c r="O171" i="44"/>
  <c r="N171" i="44"/>
  <c r="K171" i="44"/>
  <c r="J171" i="44"/>
  <c r="I211" i="44"/>
  <c r="E418" i="44"/>
  <c r="M211" i="44"/>
  <c r="N211" i="44"/>
  <c r="H211" i="44"/>
  <c r="L211" i="44"/>
  <c r="J211" i="44"/>
  <c r="K211" i="44"/>
  <c r="O211" i="44"/>
  <c r="I149" i="44"/>
  <c r="E356" i="44"/>
  <c r="M149" i="44"/>
  <c r="N149" i="44"/>
  <c r="H149" i="44"/>
  <c r="K149" i="44"/>
  <c r="J149" i="44"/>
  <c r="L149" i="44"/>
  <c r="O149" i="44"/>
  <c r="E300" i="44"/>
  <c r="H93" i="44"/>
  <c r="N93" i="44"/>
  <c r="I93" i="44"/>
  <c r="O93" i="44"/>
  <c r="J93" i="44"/>
  <c r="L93" i="44"/>
  <c r="M93" i="44"/>
  <c r="K93" i="44"/>
  <c r="E226" i="44"/>
  <c r="O19" i="44"/>
  <c r="J19" i="44"/>
  <c r="K19" i="44"/>
  <c r="M19" i="44"/>
  <c r="L19" i="44"/>
  <c r="I19" i="44"/>
  <c r="N19" i="44"/>
  <c r="H19" i="44"/>
  <c r="H27" i="44"/>
  <c r="N27" i="44"/>
  <c r="I27" i="44"/>
  <c r="O27" i="44"/>
  <c r="J27" i="44"/>
  <c r="E234" i="44"/>
  <c r="K27" i="44"/>
  <c r="L27" i="44"/>
  <c r="M27" i="44"/>
  <c r="L71" i="44"/>
  <c r="E278" i="44"/>
  <c r="O71" i="44"/>
  <c r="M71" i="44"/>
  <c r="H71" i="44"/>
  <c r="N71" i="44"/>
  <c r="K71" i="44"/>
  <c r="I71" i="44"/>
  <c r="J71" i="44"/>
  <c r="I119" i="44"/>
  <c r="E326" i="44"/>
  <c r="M119" i="44"/>
  <c r="N119" i="44"/>
  <c r="K119" i="44"/>
  <c r="H119" i="44"/>
  <c r="J119" i="44"/>
  <c r="L119" i="44"/>
  <c r="O119" i="44"/>
  <c r="K86" i="44"/>
  <c r="E293" i="44"/>
  <c r="M86" i="44"/>
  <c r="N86" i="44"/>
  <c r="H86" i="44"/>
  <c r="O86" i="44"/>
  <c r="J86" i="44"/>
  <c r="L86" i="44"/>
  <c r="I86" i="44"/>
  <c r="E263" i="44"/>
  <c r="O56" i="44"/>
  <c r="J56" i="44"/>
  <c r="K56" i="44"/>
  <c r="H56" i="44"/>
  <c r="M56" i="44"/>
  <c r="N56" i="44"/>
  <c r="I56" i="44"/>
  <c r="L56" i="44"/>
  <c r="H37" i="44"/>
  <c r="E244" i="44"/>
  <c r="J37" i="44"/>
  <c r="M37" i="44"/>
  <c r="N37" i="44"/>
  <c r="I37" i="44"/>
  <c r="O37" i="44"/>
  <c r="K37" i="44"/>
  <c r="L37" i="44"/>
  <c r="J26" i="44"/>
  <c r="L26" i="44"/>
  <c r="M26" i="44"/>
  <c r="E233" i="44"/>
  <c r="N26" i="44"/>
  <c r="O26" i="44"/>
  <c r="H26" i="44"/>
  <c r="I26" i="44"/>
  <c r="K26" i="44"/>
  <c r="E266" i="44"/>
  <c r="I59" i="44"/>
  <c r="J59" i="44"/>
  <c r="M59" i="44"/>
  <c r="O59" i="44"/>
  <c r="N59" i="44"/>
  <c r="K59" i="44"/>
  <c r="L59" i="44"/>
  <c r="H59" i="44"/>
  <c r="E248" i="44"/>
  <c r="J41" i="44"/>
  <c r="L41" i="44"/>
  <c r="O41" i="44"/>
  <c r="M41" i="44"/>
  <c r="N41" i="44"/>
  <c r="H41" i="44"/>
  <c r="I41" i="44"/>
  <c r="K41" i="44"/>
  <c r="K207" i="44"/>
  <c r="E414" i="44"/>
  <c r="I207" i="44"/>
  <c r="J207" i="44"/>
  <c r="L207" i="44"/>
  <c r="O207" i="44"/>
  <c r="H207" i="44"/>
  <c r="N207" i="44"/>
  <c r="M207" i="44"/>
  <c r="E365" i="44"/>
  <c r="I158" i="44"/>
  <c r="O158" i="44"/>
  <c r="J158" i="44"/>
  <c r="K158" i="44"/>
  <c r="M158" i="44"/>
  <c r="H158" i="44"/>
  <c r="L158" i="44"/>
  <c r="N158" i="44"/>
  <c r="E355" i="44"/>
  <c r="L148" i="44"/>
  <c r="H148" i="44"/>
  <c r="N148" i="44"/>
  <c r="I148" i="44"/>
  <c r="O148" i="44"/>
  <c r="J148" i="44"/>
  <c r="M148" i="44"/>
  <c r="K148" i="44"/>
  <c r="I184" i="44"/>
  <c r="E391" i="44"/>
  <c r="J184" i="44"/>
  <c r="K184" i="44"/>
  <c r="M184" i="44"/>
  <c r="L184" i="44"/>
  <c r="O184" i="44"/>
  <c r="H184" i="44"/>
  <c r="N184" i="44"/>
  <c r="E377" i="44"/>
  <c r="I170" i="44"/>
  <c r="O170" i="44"/>
  <c r="J170" i="44"/>
  <c r="K170" i="44"/>
  <c r="M170" i="44"/>
  <c r="H170" i="44"/>
  <c r="L170" i="44"/>
  <c r="N170" i="44"/>
  <c r="E347" i="44"/>
  <c r="M140" i="44"/>
  <c r="H140" i="44"/>
  <c r="N140" i="44"/>
  <c r="I140" i="44"/>
  <c r="O140" i="44"/>
  <c r="K140" i="44"/>
  <c r="J140" i="44"/>
  <c r="L140" i="44"/>
  <c r="E379" i="44"/>
  <c r="O172" i="44"/>
  <c r="L172" i="44"/>
  <c r="H172" i="44"/>
  <c r="N172" i="44"/>
  <c r="M172" i="44"/>
  <c r="I172" i="44"/>
  <c r="J172" i="44"/>
  <c r="K172" i="44"/>
  <c r="M135" i="44"/>
  <c r="E342" i="44"/>
  <c r="K135" i="44"/>
  <c r="L135" i="44"/>
  <c r="I135" i="44"/>
  <c r="H135" i="44"/>
  <c r="J135" i="44"/>
  <c r="O135" i="44"/>
  <c r="N135" i="44"/>
  <c r="I102" i="44"/>
  <c r="E309" i="44"/>
  <c r="K102" i="44"/>
  <c r="L102" i="44"/>
  <c r="H102" i="44"/>
  <c r="N102" i="44"/>
  <c r="M102" i="44"/>
  <c r="J102" i="44"/>
  <c r="O102" i="44"/>
  <c r="I167" i="44"/>
  <c r="E374" i="44"/>
  <c r="K167" i="44"/>
  <c r="L167" i="44"/>
  <c r="M167" i="44"/>
  <c r="H167" i="44"/>
  <c r="J167" i="44"/>
  <c r="N167" i="44"/>
  <c r="O167" i="44"/>
  <c r="E325" i="44"/>
  <c r="L118" i="44"/>
  <c r="J118" i="44"/>
  <c r="M118" i="44"/>
  <c r="K118" i="44"/>
  <c r="H118" i="44"/>
  <c r="N118" i="44"/>
  <c r="I118" i="44"/>
  <c r="O118" i="44"/>
  <c r="H214" i="44"/>
  <c r="E421" i="44"/>
  <c r="K214" i="44"/>
  <c r="L214" i="44"/>
  <c r="M214" i="44"/>
  <c r="I214" i="44"/>
  <c r="J214" i="44"/>
  <c r="O214" i="44"/>
  <c r="N214" i="44"/>
  <c r="H196" i="44"/>
  <c r="E403" i="44"/>
  <c r="L196" i="44"/>
  <c r="M196" i="44"/>
  <c r="O196" i="44"/>
  <c r="J196" i="44"/>
  <c r="K196" i="44"/>
  <c r="I196" i="44"/>
  <c r="N196" i="44"/>
  <c r="K159" i="44"/>
  <c r="E366" i="44"/>
  <c r="N159" i="44"/>
  <c r="M159" i="44"/>
  <c r="H159" i="44"/>
  <c r="I159" i="44"/>
  <c r="O159" i="44"/>
  <c r="J159" i="44"/>
  <c r="L159" i="44"/>
  <c r="I131" i="44"/>
  <c r="K131" i="44"/>
  <c r="E338" i="44"/>
  <c r="M131" i="44"/>
  <c r="N131" i="44"/>
  <c r="J131" i="44"/>
  <c r="L131" i="44"/>
  <c r="H131" i="44"/>
  <c r="O131" i="44"/>
  <c r="I193" i="44"/>
  <c r="E400" i="44"/>
  <c r="N193" i="44"/>
  <c r="H193" i="44"/>
  <c r="L193" i="44"/>
  <c r="J193" i="44"/>
  <c r="K193" i="44"/>
  <c r="O193" i="44"/>
  <c r="M193" i="44"/>
  <c r="K139" i="44"/>
  <c r="E346" i="44"/>
  <c r="J139" i="44"/>
  <c r="I139" i="44"/>
  <c r="O139" i="44"/>
  <c r="L139" i="44"/>
  <c r="N139" i="44"/>
  <c r="H139" i="44"/>
  <c r="M139" i="44"/>
  <c r="J79" i="44"/>
  <c r="E286" i="44"/>
  <c r="H79" i="44"/>
  <c r="M79" i="44"/>
  <c r="O79" i="44"/>
  <c r="N79" i="44"/>
  <c r="L79" i="44"/>
  <c r="K79" i="44"/>
  <c r="I79" i="44"/>
  <c r="E341" i="44"/>
  <c r="L134" i="44"/>
  <c r="K134" i="44"/>
  <c r="M134" i="44"/>
  <c r="N134" i="44"/>
  <c r="I134" i="44"/>
  <c r="J134" i="44"/>
  <c r="H134" i="44"/>
  <c r="O134" i="44"/>
  <c r="M99" i="44"/>
  <c r="K99" i="44"/>
  <c r="L99" i="44"/>
  <c r="I99" i="44"/>
  <c r="H99" i="44"/>
  <c r="J99" i="44"/>
  <c r="O99" i="44"/>
  <c r="E306" i="44"/>
  <c r="N99" i="44"/>
  <c r="J115" i="44"/>
  <c r="E322" i="44"/>
  <c r="O115" i="44"/>
  <c r="I115" i="44"/>
  <c r="L115" i="44"/>
  <c r="N115" i="44"/>
  <c r="H115" i="44"/>
  <c r="K115" i="44"/>
  <c r="M115" i="44"/>
  <c r="J85" i="44"/>
  <c r="E292" i="44"/>
  <c r="I85" i="44"/>
  <c r="N85" i="44"/>
  <c r="M85" i="44"/>
  <c r="O85" i="44"/>
  <c r="L85" i="44"/>
  <c r="K85" i="44"/>
  <c r="H85" i="44"/>
  <c r="H33" i="44"/>
  <c r="N33" i="44"/>
  <c r="I33" i="44"/>
  <c r="O33" i="44"/>
  <c r="E240" i="44"/>
  <c r="J33" i="44"/>
  <c r="K33" i="44"/>
  <c r="L33" i="44"/>
  <c r="M33" i="44"/>
  <c r="H36" i="44"/>
  <c r="L36" i="44"/>
  <c r="M36" i="44"/>
  <c r="K36" i="44"/>
  <c r="J36" i="44"/>
  <c r="E243" i="44"/>
  <c r="I36" i="44"/>
  <c r="O36" i="44"/>
  <c r="N36" i="44"/>
  <c r="E291" i="44"/>
  <c r="M84" i="44"/>
  <c r="H84" i="44"/>
  <c r="J84" i="44"/>
  <c r="K84" i="44"/>
  <c r="I84" i="44"/>
  <c r="L84" i="44"/>
  <c r="O84" i="44"/>
  <c r="N84" i="44"/>
  <c r="M46" i="44"/>
  <c r="E253" i="44"/>
  <c r="K46" i="44"/>
  <c r="L46" i="44"/>
  <c r="H46" i="44"/>
  <c r="O46" i="44"/>
  <c r="I46" i="44"/>
  <c r="N46" i="44"/>
  <c r="J46" i="44"/>
  <c r="E262" i="44"/>
  <c r="H55" i="44"/>
  <c r="I55" i="44"/>
  <c r="K55" i="44"/>
  <c r="J55" i="44"/>
  <c r="L55" i="44"/>
  <c r="M55" i="44"/>
  <c r="O55" i="44"/>
  <c r="N55" i="44"/>
  <c r="E236" i="44"/>
  <c r="H29" i="44"/>
  <c r="L29" i="44"/>
  <c r="N29" i="44"/>
  <c r="I29" i="44"/>
  <c r="O29" i="44"/>
  <c r="K29" i="44"/>
  <c r="M29" i="44"/>
  <c r="J29" i="44"/>
  <c r="E413" i="44"/>
  <c r="M206" i="44"/>
  <c r="N206" i="44"/>
  <c r="O206" i="44"/>
  <c r="H206" i="44"/>
  <c r="I206" i="44"/>
  <c r="K206" i="44"/>
  <c r="J206" i="44"/>
  <c r="L206" i="44"/>
  <c r="K151" i="44"/>
  <c r="E358" i="44"/>
  <c r="I151" i="44"/>
  <c r="J151" i="44"/>
  <c r="L151" i="44"/>
  <c r="O151" i="44"/>
  <c r="N151" i="44"/>
  <c r="H151" i="44"/>
  <c r="M151" i="44"/>
  <c r="J150" i="44"/>
  <c r="E357" i="44"/>
  <c r="K150" i="44"/>
  <c r="L150" i="44"/>
  <c r="N150" i="44"/>
  <c r="H150" i="44"/>
  <c r="I150" i="44"/>
  <c r="O150" i="44"/>
  <c r="M150" i="44"/>
  <c r="H204" i="44"/>
  <c r="E411" i="44"/>
  <c r="L204" i="44"/>
  <c r="K204" i="44"/>
  <c r="M204" i="44"/>
  <c r="N204" i="44"/>
  <c r="J204" i="44"/>
  <c r="I204" i="44"/>
  <c r="O204" i="44"/>
  <c r="L142" i="44"/>
  <c r="E349" i="44"/>
  <c r="M142" i="44"/>
  <c r="K142" i="44"/>
  <c r="H142" i="44"/>
  <c r="N142" i="44"/>
  <c r="I142" i="44"/>
  <c r="O142" i="44"/>
  <c r="J142" i="44"/>
  <c r="I205" i="44"/>
  <c r="E412" i="44"/>
  <c r="H205" i="44"/>
  <c r="N205" i="44"/>
  <c r="L205" i="44"/>
  <c r="M205" i="44"/>
  <c r="K205" i="44"/>
  <c r="J205" i="44"/>
  <c r="O205" i="44"/>
  <c r="I125" i="44"/>
  <c r="E332" i="44"/>
  <c r="H125" i="44"/>
  <c r="J125" i="44"/>
  <c r="M125" i="44"/>
  <c r="N125" i="44"/>
  <c r="K125" i="44"/>
  <c r="L125" i="44"/>
  <c r="O125" i="44"/>
  <c r="H95" i="44"/>
  <c r="E302" i="44"/>
  <c r="J95" i="44"/>
  <c r="K95" i="44"/>
  <c r="L95" i="44"/>
  <c r="M95" i="44"/>
  <c r="I95" i="44"/>
  <c r="O95" i="44"/>
  <c r="N95" i="44"/>
  <c r="J35" i="44"/>
  <c r="E242" i="44"/>
  <c r="I35" i="44"/>
  <c r="K35" i="44"/>
  <c r="M35" i="44"/>
  <c r="H35" i="44"/>
  <c r="N35" i="44"/>
  <c r="L35" i="44"/>
  <c r="O35" i="44"/>
  <c r="J108" i="44"/>
  <c r="E315" i="44"/>
  <c r="L108" i="44"/>
  <c r="N108" i="44"/>
  <c r="I108" i="44"/>
  <c r="K108" i="44"/>
  <c r="O108" i="44"/>
  <c r="H108" i="44"/>
  <c r="M108" i="44"/>
  <c r="M88" i="44"/>
  <c r="E295" i="44"/>
  <c r="L88" i="44"/>
  <c r="H88" i="44"/>
  <c r="O88" i="44"/>
  <c r="K88" i="44"/>
  <c r="N88" i="44"/>
  <c r="I88" i="44"/>
  <c r="J88" i="44"/>
  <c r="J126" i="44"/>
  <c r="E333" i="44"/>
  <c r="N126" i="44"/>
  <c r="O126" i="44"/>
  <c r="H126" i="44"/>
  <c r="K126" i="44"/>
  <c r="L126" i="44"/>
  <c r="I126" i="44"/>
  <c r="M126" i="44"/>
  <c r="O89" i="44"/>
  <c r="E296" i="44"/>
  <c r="I89" i="44"/>
  <c r="K89" i="44"/>
  <c r="J89" i="44"/>
  <c r="M89" i="44"/>
  <c r="N89" i="44"/>
  <c r="L89" i="44"/>
  <c r="H89" i="44"/>
  <c r="J50" i="44"/>
  <c r="M50" i="44"/>
  <c r="O50" i="44"/>
  <c r="E257" i="44"/>
  <c r="I50" i="44"/>
  <c r="L50" i="44"/>
  <c r="N50" i="44"/>
  <c r="K50" i="44"/>
  <c r="H50" i="44"/>
  <c r="E279" i="44"/>
  <c r="K72" i="44"/>
  <c r="L72" i="44"/>
  <c r="M72" i="44"/>
  <c r="J72" i="44"/>
  <c r="N72" i="44"/>
  <c r="I72" i="44"/>
  <c r="O72" i="44"/>
  <c r="H72" i="44"/>
  <c r="I21" i="44"/>
  <c r="O21" i="44"/>
  <c r="J21" i="44"/>
  <c r="K21" i="44"/>
  <c r="L21" i="44"/>
  <c r="N21" i="44"/>
  <c r="H21" i="44"/>
  <c r="M21" i="44"/>
  <c r="E228" i="44"/>
  <c r="H48" i="44"/>
  <c r="E255" i="44"/>
  <c r="K48" i="44"/>
  <c r="J48" i="44"/>
  <c r="M48" i="44"/>
  <c r="L48" i="44"/>
  <c r="I48" i="44"/>
  <c r="N48" i="44"/>
  <c r="O48" i="44"/>
  <c r="J144" i="44"/>
  <c r="E351" i="44"/>
  <c r="O144" i="44"/>
  <c r="H144" i="44"/>
  <c r="I144" i="44"/>
  <c r="L144" i="44"/>
  <c r="K144" i="44"/>
  <c r="N144" i="44"/>
  <c r="M144" i="44"/>
  <c r="M215" i="44"/>
  <c r="E422" i="44"/>
  <c r="L215" i="44"/>
  <c r="K215" i="44"/>
  <c r="I215" i="44"/>
  <c r="H215" i="44"/>
  <c r="N215" i="44"/>
  <c r="J215" i="44"/>
  <c r="O215" i="44"/>
  <c r="I113" i="44"/>
  <c r="E320" i="44"/>
  <c r="K113" i="44"/>
  <c r="L113" i="44"/>
  <c r="H113" i="44"/>
  <c r="J113" i="44"/>
  <c r="M113" i="44"/>
  <c r="N113" i="44"/>
  <c r="O113" i="44"/>
  <c r="J38" i="44"/>
  <c r="E245" i="44"/>
  <c r="I38" i="44"/>
  <c r="L38" i="44"/>
  <c r="M38" i="44"/>
  <c r="O38" i="44"/>
  <c r="N38" i="44"/>
  <c r="K38" i="44"/>
  <c r="H38" i="44"/>
  <c r="E343" i="44"/>
  <c r="L136" i="44"/>
  <c r="M136" i="44"/>
  <c r="K136" i="44"/>
  <c r="H136" i="44"/>
  <c r="N136" i="44"/>
  <c r="I136" i="44"/>
  <c r="O136" i="44"/>
  <c r="J136" i="44"/>
  <c r="M191" i="44"/>
  <c r="E398" i="44"/>
  <c r="L191" i="44"/>
  <c r="K191" i="44"/>
  <c r="I191" i="44"/>
  <c r="H191" i="44"/>
  <c r="J191" i="44"/>
  <c r="O191" i="44"/>
  <c r="N191" i="44"/>
  <c r="J121" i="44"/>
  <c r="E328" i="44"/>
  <c r="I121" i="44"/>
  <c r="L121" i="44"/>
  <c r="O121" i="44"/>
  <c r="K121" i="44"/>
  <c r="M121" i="44"/>
  <c r="N121" i="44"/>
  <c r="H121" i="44"/>
  <c r="I101" i="44"/>
  <c r="L101" i="44"/>
  <c r="M101" i="44"/>
  <c r="E308" i="44"/>
  <c r="J101" i="44"/>
  <c r="H101" i="44"/>
  <c r="K101" i="44"/>
  <c r="N101" i="44"/>
  <c r="O101" i="44"/>
  <c r="M39" i="44"/>
  <c r="E246" i="44"/>
  <c r="H39" i="44"/>
  <c r="N39" i="44"/>
  <c r="I39" i="44"/>
  <c r="O39" i="44"/>
  <c r="J39" i="44"/>
  <c r="K39" i="44"/>
  <c r="L39" i="44"/>
  <c r="L57" i="44"/>
  <c r="E264" i="44"/>
  <c r="M57" i="44"/>
  <c r="I57" i="44"/>
  <c r="O57" i="44"/>
  <c r="N57" i="44"/>
  <c r="J57" i="44"/>
  <c r="K57" i="44"/>
  <c r="H57" i="44"/>
  <c r="H15" i="44"/>
  <c r="I199" i="44"/>
  <c r="E406" i="44"/>
  <c r="H199" i="44"/>
  <c r="L199" i="44"/>
  <c r="N199" i="44"/>
  <c r="J199" i="44"/>
  <c r="O199" i="44"/>
  <c r="M199" i="44"/>
  <c r="K199" i="44"/>
  <c r="N185" i="44"/>
  <c r="E392" i="44"/>
  <c r="H185" i="44"/>
  <c r="M185" i="44"/>
  <c r="L185" i="44"/>
  <c r="J185" i="44"/>
  <c r="K185" i="44"/>
  <c r="I185" i="44"/>
  <c r="O185" i="44"/>
  <c r="J114" i="44"/>
  <c r="E321" i="44"/>
  <c r="H114" i="44"/>
  <c r="I114" i="44"/>
  <c r="N114" i="44"/>
  <c r="O114" i="44"/>
  <c r="K114" i="44"/>
  <c r="L114" i="44"/>
  <c r="M114" i="44"/>
  <c r="L94" i="44"/>
  <c r="E301" i="44"/>
  <c r="O94" i="44"/>
  <c r="J94" i="44"/>
  <c r="M94" i="44"/>
  <c r="K94" i="44"/>
  <c r="H94" i="44"/>
  <c r="N94" i="44"/>
  <c r="I94" i="44"/>
  <c r="M70" i="44"/>
  <c r="E277" i="44"/>
  <c r="J70" i="44"/>
  <c r="K70" i="44"/>
  <c r="N70" i="44"/>
  <c r="O70" i="44"/>
  <c r="I70" i="44"/>
  <c r="H70" i="44"/>
  <c r="L70" i="44"/>
  <c r="E260" i="44"/>
  <c r="J53" i="44"/>
  <c r="N53" i="44"/>
  <c r="O53" i="44"/>
  <c r="K53" i="44"/>
  <c r="M53" i="44"/>
  <c r="I53" i="44"/>
  <c r="H53" i="44"/>
  <c r="L53" i="44"/>
  <c r="J15" i="44"/>
  <c r="J156" i="44"/>
  <c r="E363" i="44"/>
  <c r="O156" i="44"/>
  <c r="H156" i="44"/>
  <c r="I156" i="44"/>
  <c r="L156" i="44"/>
  <c r="K156" i="44"/>
  <c r="N156" i="44"/>
  <c r="M156" i="44"/>
  <c r="J120" i="44"/>
  <c r="K120" i="44"/>
  <c r="E327" i="44"/>
  <c r="L120" i="44"/>
  <c r="H120" i="44"/>
  <c r="N120" i="44"/>
  <c r="O120" i="44"/>
  <c r="I120" i="44"/>
  <c r="M120" i="44"/>
  <c r="K195" i="44"/>
  <c r="E402" i="44"/>
  <c r="O195" i="44"/>
  <c r="I195" i="44"/>
  <c r="H195" i="44"/>
  <c r="L195" i="44"/>
  <c r="J195" i="44"/>
  <c r="N195" i="44"/>
  <c r="M195" i="44"/>
  <c r="E371" i="44"/>
  <c r="M164" i="44"/>
  <c r="H164" i="44"/>
  <c r="N164" i="44"/>
  <c r="I164" i="44"/>
  <c r="O164" i="44"/>
  <c r="K164" i="44"/>
  <c r="L164" i="44"/>
  <c r="J164" i="44"/>
  <c r="M203" i="44"/>
  <c r="E410" i="44"/>
  <c r="I203" i="44"/>
  <c r="H203" i="44"/>
  <c r="K203" i="44"/>
  <c r="J203" i="44"/>
  <c r="L203" i="44"/>
  <c r="O203" i="44"/>
  <c r="N203" i="44"/>
  <c r="J138" i="44"/>
  <c r="L138" i="44"/>
  <c r="H138" i="44"/>
  <c r="E345" i="44"/>
  <c r="I138" i="44"/>
  <c r="N138" i="44"/>
  <c r="O138" i="44"/>
  <c r="K138" i="44"/>
  <c r="M138" i="44"/>
  <c r="H190" i="44"/>
  <c r="E397" i="44"/>
  <c r="I190" i="44"/>
  <c r="J190" i="44"/>
  <c r="K190" i="44"/>
  <c r="M190" i="44"/>
  <c r="O190" i="44"/>
  <c r="L190" i="44"/>
  <c r="N190" i="44"/>
  <c r="J168" i="44"/>
  <c r="E375" i="44"/>
  <c r="H168" i="44"/>
  <c r="I168" i="44"/>
  <c r="K168" i="44"/>
  <c r="N168" i="44"/>
  <c r="L168" i="44"/>
  <c r="O168" i="44"/>
  <c r="M168" i="44"/>
  <c r="E335" i="44"/>
  <c r="J128" i="44"/>
  <c r="K128" i="44"/>
  <c r="H128" i="44"/>
  <c r="I128" i="44"/>
  <c r="L128" i="44"/>
  <c r="N128" i="44"/>
  <c r="O128" i="44"/>
  <c r="M128" i="44"/>
  <c r="E275" i="44"/>
  <c r="I68" i="44"/>
  <c r="L68" i="44"/>
  <c r="O68" i="44"/>
  <c r="M68" i="44"/>
  <c r="H68" i="44"/>
  <c r="J68" i="44"/>
  <c r="N68" i="44"/>
  <c r="K68" i="44"/>
  <c r="E373" i="44"/>
  <c r="M166" i="44"/>
  <c r="O166" i="44"/>
  <c r="I166" i="44"/>
  <c r="L166" i="44"/>
  <c r="H166" i="44"/>
  <c r="N166" i="44"/>
  <c r="J166" i="44"/>
  <c r="K166" i="44"/>
  <c r="J109" i="44"/>
  <c r="E316" i="44"/>
  <c r="L109" i="44"/>
  <c r="O109" i="44"/>
  <c r="I109" i="44"/>
  <c r="N109" i="44"/>
  <c r="K109" i="44"/>
  <c r="H109" i="44"/>
  <c r="M109" i="44"/>
  <c r="E419" i="44"/>
  <c r="J212" i="44"/>
  <c r="K212" i="44"/>
  <c r="L212" i="44"/>
  <c r="H212" i="44"/>
  <c r="N212" i="44"/>
  <c r="I212" i="44"/>
  <c r="M212" i="44"/>
  <c r="O212" i="44"/>
  <c r="E401" i="44"/>
  <c r="K194" i="44"/>
  <c r="L194" i="44"/>
  <c r="M194" i="44"/>
  <c r="I194" i="44"/>
  <c r="O194" i="44"/>
  <c r="J194" i="44"/>
  <c r="H194" i="44"/>
  <c r="N194" i="44"/>
  <c r="L157" i="44"/>
  <c r="E364" i="44"/>
  <c r="K157" i="44"/>
  <c r="O157" i="44"/>
  <c r="M157" i="44"/>
  <c r="I157" i="44"/>
  <c r="H157" i="44"/>
  <c r="N157" i="44"/>
  <c r="J157" i="44"/>
  <c r="E305" i="44"/>
  <c r="I98" i="44"/>
  <c r="O98" i="44"/>
  <c r="J98" i="44"/>
  <c r="K98" i="44"/>
  <c r="M98" i="44"/>
  <c r="L98" i="44"/>
  <c r="N98" i="44"/>
  <c r="H98" i="44"/>
  <c r="J180" i="44"/>
  <c r="E387" i="44"/>
  <c r="K180" i="44"/>
  <c r="L180" i="44"/>
  <c r="N180" i="44"/>
  <c r="H180" i="44"/>
  <c r="I180" i="44"/>
  <c r="O180" i="44"/>
  <c r="M180" i="44"/>
  <c r="I179" i="44"/>
  <c r="E386" i="44"/>
  <c r="M179" i="44"/>
  <c r="N179" i="44"/>
  <c r="H179" i="44"/>
  <c r="K179" i="44"/>
  <c r="J179" i="44"/>
  <c r="L179" i="44"/>
  <c r="O179" i="44"/>
  <c r="K127" i="44"/>
  <c r="E334" i="44"/>
  <c r="L127" i="44"/>
  <c r="O127" i="44"/>
  <c r="I127" i="44"/>
  <c r="J127" i="44"/>
  <c r="N127" i="44"/>
  <c r="M127" i="44"/>
  <c r="H127" i="44"/>
  <c r="E307" i="44"/>
  <c r="L100" i="44"/>
  <c r="O100" i="44"/>
  <c r="J100" i="44"/>
  <c r="M100" i="44"/>
  <c r="K100" i="44"/>
  <c r="H100" i="44"/>
  <c r="N100" i="44"/>
  <c r="I100" i="44"/>
  <c r="E285" i="44"/>
  <c r="N78" i="44"/>
  <c r="J78" i="44"/>
  <c r="H78" i="44"/>
  <c r="K78" i="44"/>
  <c r="L78" i="44"/>
  <c r="M78" i="44"/>
  <c r="I78" i="44"/>
  <c r="O78" i="44"/>
  <c r="H69" i="44"/>
  <c r="N69" i="44"/>
  <c r="E276" i="44"/>
  <c r="I69" i="44"/>
  <c r="O69" i="44"/>
  <c r="K69" i="44"/>
  <c r="M69" i="44"/>
  <c r="J69" i="44"/>
  <c r="L69" i="44"/>
  <c r="K133" i="44"/>
  <c r="E340" i="44"/>
  <c r="L133" i="44"/>
  <c r="O133" i="44"/>
  <c r="I133" i="44"/>
  <c r="J133" i="44"/>
  <c r="N133" i="44"/>
  <c r="H133" i="44"/>
  <c r="M133" i="44"/>
  <c r="K92" i="44"/>
  <c r="E299" i="44"/>
  <c r="L92" i="44"/>
  <c r="M92" i="44"/>
  <c r="N92" i="44"/>
  <c r="I92" i="44"/>
  <c r="H92" i="44"/>
  <c r="J92" i="44"/>
  <c r="O92" i="44"/>
  <c r="M58" i="44"/>
  <c r="E265" i="44"/>
  <c r="H58" i="44"/>
  <c r="O58" i="44"/>
  <c r="I58" i="44"/>
  <c r="K58" i="44"/>
  <c r="L58" i="44"/>
  <c r="N58" i="44"/>
  <c r="J58" i="44"/>
  <c r="E319" i="44"/>
  <c r="H112" i="44"/>
  <c r="N112" i="44"/>
  <c r="I112" i="44"/>
  <c r="O112" i="44"/>
  <c r="L112" i="44"/>
  <c r="J112" i="44"/>
  <c r="M112" i="44"/>
  <c r="K112" i="44"/>
  <c r="O77" i="44"/>
  <c r="E284" i="44"/>
  <c r="I77" i="44"/>
  <c r="M77" i="44"/>
  <c r="H77" i="44"/>
  <c r="K77" i="44"/>
  <c r="N77" i="44"/>
  <c r="L77" i="44"/>
  <c r="J77" i="44"/>
  <c r="E224" i="44"/>
  <c r="N17" i="44"/>
  <c r="I17" i="44"/>
  <c r="O17" i="44"/>
  <c r="K17" i="44"/>
  <c r="M17" i="44"/>
  <c r="J17" i="44"/>
  <c r="H17" i="44"/>
  <c r="L17" i="44"/>
  <c r="E252" i="44"/>
  <c r="I45" i="44"/>
  <c r="O45" i="44"/>
  <c r="J45" i="44"/>
  <c r="K45" i="44"/>
  <c r="L45" i="44"/>
  <c r="N45" i="44"/>
  <c r="H45" i="44"/>
  <c r="M45" i="44"/>
  <c r="M34" i="44"/>
  <c r="E241" i="44"/>
  <c r="J34" i="44"/>
  <c r="K34" i="44"/>
  <c r="L34" i="44"/>
  <c r="N34" i="44"/>
  <c r="I34" i="44"/>
  <c r="O34" i="44"/>
  <c r="H34" i="44"/>
  <c r="E290" i="44"/>
  <c r="I83" i="44"/>
  <c r="J83" i="44"/>
  <c r="M83" i="44"/>
  <c r="O83" i="44"/>
  <c r="H83" i="44"/>
  <c r="L83" i="44"/>
  <c r="K83" i="44"/>
  <c r="N83" i="44"/>
  <c r="H24" i="44"/>
  <c r="E231" i="44"/>
  <c r="K24" i="44"/>
  <c r="L24" i="44"/>
  <c r="M24" i="44"/>
  <c r="I24" i="44"/>
  <c r="O24" i="44"/>
  <c r="N24" i="44"/>
  <c r="J24" i="44"/>
  <c r="H54" i="44"/>
  <c r="E261" i="44"/>
  <c r="K54" i="44"/>
  <c r="J54" i="44"/>
  <c r="L54" i="44"/>
  <c r="M54" i="44"/>
  <c r="N54" i="44"/>
  <c r="I54" i="44"/>
  <c r="O54" i="44"/>
  <c r="E232" i="44"/>
  <c r="I25" i="44"/>
  <c r="N25" i="44"/>
  <c r="O25" i="44"/>
  <c r="J25" i="44"/>
  <c r="K25" i="44"/>
  <c r="M25" i="44"/>
  <c r="H25" i="44"/>
  <c r="L25" i="44"/>
  <c r="I155" i="44"/>
  <c r="E362" i="44"/>
  <c r="J155" i="44"/>
  <c r="K155" i="44"/>
  <c r="L155" i="44"/>
  <c r="N155" i="44"/>
  <c r="H155" i="44"/>
  <c r="M155" i="44"/>
  <c r="O155" i="44"/>
  <c r="L75" i="44"/>
  <c r="H75" i="44"/>
  <c r="N75" i="44"/>
  <c r="I75" i="44"/>
  <c r="J75" i="44"/>
  <c r="M75" i="44"/>
  <c r="O75" i="44"/>
  <c r="K75" i="44"/>
  <c r="E282" i="44"/>
  <c r="M141" i="44"/>
  <c r="E348" i="44"/>
  <c r="L141" i="44"/>
  <c r="K141" i="44"/>
  <c r="H141" i="44"/>
  <c r="J141" i="44"/>
  <c r="O141" i="44"/>
  <c r="I141" i="44"/>
  <c r="N141" i="44"/>
  <c r="H208" i="44"/>
  <c r="E415" i="44"/>
  <c r="O208" i="44"/>
  <c r="I208" i="44"/>
  <c r="J208" i="44"/>
  <c r="L208" i="44"/>
  <c r="M208" i="44"/>
  <c r="K208" i="44"/>
  <c r="N208" i="44"/>
  <c r="E313" i="44"/>
  <c r="L106" i="44"/>
  <c r="N106" i="44"/>
  <c r="I106" i="44"/>
  <c r="O106" i="44"/>
  <c r="J106" i="44"/>
  <c r="M106" i="44"/>
  <c r="K106" i="44"/>
  <c r="H106" i="44"/>
  <c r="I143" i="44"/>
  <c r="E350" i="44"/>
  <c r="J143" i="44"/>
  <c r="K143" i="44"/>
  <c r="L143" i="44"/>
  <c r="N143" i="44"/>
  <c r="M143" i="44"/>
  <c r="H143" i="44"/>
  <c r="O143" i="44"/>
  <c r="E407" i="44"/>
  <c r="I200" i="44"/>
  <c r="O200" i="44"/>
  <c r="K200" i="44"/>
  <c r="J200" i="44"/>
  <c r="M200" i="44"/>
  <c r="H200" i="44"/>
  <c r="L200" i="44"/>
  <c r="N200" i="44"/>
  <c r="E317" i="44"/>
  <c r="J110" i="44"/>
  <c r="K110" i="44"/>
  <c r="H110" i="44"/>
  <c r="N110" i="44"/>
  <c r="I110" i="44"/>
  <c r="L110" i="44"/>
  <c r="O110" i="44"/>
  <c r="M110" i="44"/>
  <c r="E395" i="44"/>
  <c r="H188" i="44"/>
  <c r="N188" i="44"/>
  <c r="I188" i="44"/>
  <c r="O188" i="44"/>
  <c r="J188" i="44"/>
  <c r="L188" i="44"/>
  <c r="M188" i="44"/>
  <c r="K188" i="44"/>
  <c r="J162" i="44"/>
  <c r="E369" i="44"/>
  <c r="H162" i="44"/>
  <c r="I162" i="44"/>
  <c r="K162" i="44"/>
  <c r="N162" i="44"/>
  <c r="O162" i="44"/>
  <c r="L162" i="44"/>
  <c r="M162" i="44"/>
  <c r="I122" i="44"/>
  <c r="O122" i="44"/>
  <c r="J122" i="44"/>
  <c r="E329" i="44"/>
  <c r="M122" i="44"/>
  <c r="H122" i="44"/>
  <c r="K122" i="44"/>
  <c r="L122" i="44"/>
  <c r="N122" i="44"/>
  <c r="I65" i="44"/>
  <c r="E272" i="44"/>
  <c r="M65" i="44"/>
  <c r="H65" i="44"/>
  <c r="N65" i="44"/>
  <c r="O65" i="44"/>
  <c r="L65" i="44"/>
  <c r="K65" i="44"/>
  <c r="J65" i="44"/>
  <c r="I161" i="44"/>
  <c r="K161" i="44"/>
  <c r="L161" i="44"/>
  <c r="M161" i="44"/>
  <c r="E368" i="44"/>
  <c r="H161" i="44"/>
  <c r="N161" i="44"/>
  <c r="J161" i="44"/>
  <c r="O161" i="44"/>
  <c r="J103" i="44"/>
  <c r="E310" i="44"/>
  <c r="L103" i="44"/>
  <c r="O103" i="44"/>
  <c r="I103" i="44"/>
  <c r="K103" i="44"/>
  <c r="N103" i="44"/>
  <c r="M103" i="44"/>
  <c r="H103" i="44"/>
  <c r="K189" i="44"/>
  <c r="E396" i="44"/>
  <c r="J189" i="44"/>
  <c r="N189" i="44"/>
  <c r="L189" i="44"/>
  <c r="H189" i="44"/>
  <c r="I189" i="44"/>
  <c r="O189" i="44"/>
  <c r="M189" i="44"/>
  <c r="I178" i="44"/>
  <c r="E385" i="44"/>
  <c r="M178" i="44"/>
  <c r="L178" i="44"/>
  <c r="O178" i="44"/>
  <c r="N178" i="44"/>
  <c r="J178" i="44"/>
  <c r="K178" i="44"/>
  <c r="H178" i="44"/>
  <c r="E353" i="44"/>
  <c r="K146" i="44"/>
  <c r="L146" i="44"/>
  <c r="M146" i="44"/>
  <c r="I146" i="44"/>
  <c r="O146" i="44"/>
  <c r="H146" i="44"/>
  <c r="J146" i="44"/>
  <c r="N146" i="44"/>
  <c r="I87" i="44"/>
  <c r="O87" i="44"/>
  <c r="E294" i="44"/>
  <c r="J87" i="44"/>
  <c r="K87" i="44"/>
  <c r="M87" i="44"/>
  <c r="H87" i="44"/>
  <c r="L87" i="44"/>
  <c r="N87" i="44"/>
  <c r="M209" i="44"/>
  <c r="E416" i="44"/>
  <c r="K209" i="44"/>
  <c r="I209" i="44"/>
  <c r="N209" i="44"/>
  <c r="H209" i="44"/>
  <c r="O209" i="44"/>
  <c r="L209" i="44"/>
  <c r="J209" i="44"/>
  <c r="E376" i="44"/>
  <c r="I169" i="44"/>
  <c r="K169" i="44"/>
  <c r="M169" i="44"/>
  <c r="H169" i="44"/>
  <c r="N169" i="44"/>
  <c r="L169" i="44"/>
  <c r="O169" i="44"/>
  <c r="J169" i="44"/>
  <c r="H66" i="44"/>
  <c r="E273" i="44"/>
  <c r="L66" i="44"/>
  <c r="M66" i="44"/>
  <c r="J66" i="44"/>
  <c r="K66" i="44"/>
  <c r="O66" i="44"/>
  <c r="N66" i="44"/>
  <c r="I66" i="44"/>
  <c r="J97" i="44"/>
  <c r="E304" i="44"/>
  <c r="I97" i="44"/>
  <c r="L97" i="44"/>
  <c r="O97" i="44"/>
  <c r="H97" i="44"/>
  <c r="M97" i="44"/>
  <c r="K97" i="44"/>
  <c r="N97" i="44"/>
  <c r="H63" i="44"/>
  <c r="N63" i="44"/>
  <c r="I63" i="44"/>
  <c r="O63" i="44"/>
  <c r="K63" i="44"/>
  <c r="J63" i="44"/>
  <c r="L63" i="44"/>
  <c r="M63" i="44"/>
  <c r="E270" i="44"/>
  <c r="E269" i="44"/>
  <c r="N62" i="44"/>
  <c r="I62" i="44"/>
  <c r="L62" i="44"/>
  <c r="J62" i="44"/>
  <c r="M62" i="44"/>
  <c r="K62" i="44"/>
  <c r="O62" i="44"/>
  <c r="H62" i="44"/>
  <c r="E331" i="44"/>
  <c r="L124" i="44"/>
  <c r="O124" i="44"/>
  <c r="J124" i="44"/>
  <c r="M124" i="44"/>
  <c r="K124" i="44"/>
  <c r="H124" i="44"/>
  <c r="N124" i="44"/>
  <c r="I124" i="44"/>
  <c r="J91" i="44"/>
  <c r="E298" i="44"/>
  <c r="O91" i="44"/>
  <c r="L91" i="44"/>
  <c r="I91" i="44"/>
  <c r="M91" i="44"/>
  <c r="N91" i="44"/>
  <c r="H91" i="44"/>
  <c r="K91" i="44"/>
  <c r="E337" i="44"/>
  <c r="L130" i="44"/>
  <c r="J130" i="44"/>
  <c r="M130" i="44"/>
  <c r="K130" i="44"/>
  <c r="H130" i="44"/>
  <c r="N130" i="44"/>
  <c r="I130" i="44"/>
  <c r="O130" i="44"/>
  <c r="M111" i="44"/>
  <c r="L111" i="44"/>
  <c r="E318" i="44"/>
  <c r="H111" i="44"/>
  <c r="K111" i="44"/>
  <c r="N111" i="44"/>
  <c r="I111" i="44"/>
  <c r="J111" i="44"/>
  <c r="O111" i="44"/>
  <c r="M76" i="44"/>
  <c r="E283" i="44"/>
  <c r="H76" i="44"/>
  <c r="O76" i="44"/>
  <c r="J76" i="44"/>
  <c r="I76" i="44"/>
  <c r="L76" i="44"/>
  <c r="N76" i="44"/>
  <c r="K76" i="44"/>
  <c r="O74" i="44"/>
  <c r="N74" i="44"/>
  <c r="E281" i="44"/>
  <c r="H74" i="44"/>
  <c r="J74" i="44"/>
  <c r="M74" i="44"/>
  <c r="L74" i="44"/>
  <c r="K74" i="44"/>
  <c r="I74" i="44"/>
  <c r="J44" i="44"/>
  <c r="L44" i="44"/>
  <c r="M44" i="44"/>
  <c r="O44" i="44"/>
  <c r="E251" i="44"/>
  <c r="I44" i="44"/>
  <c r="K44" i="44"/>
  <c r="N44" i="44"/>
  <c r="H44" i="44"/>
  <c r="E238" i="44"/>
  <c r="M31" i="44"/>
  <c r="H31" i="44"/>
  <c r="I31" i="44"/>
  <c r="L31" i="44"/>
  <c r="O31" i="44"/>
  <c r="N31" i="44"/>
  <c r="J31" i="44"/>
  <c r="K31" i="44"/>
  <c r="M82" i="44"/>
  <c r="E289" i="44"/>
  <c r="J82" i="44"/>
  <c r="K82" i="44"/>
  <c r="N82" i="44"/>
  <c r="L82" i="44"/>
  <c r="I82" i="44"/>
  <c r="O82" i="44"/>
  <c r="H82" i="44"/>
  <c r="E229" i="44"/>
  <c r="K22" i="44"/>
  <c r="L22" i="44"/>
  <c r="M22" i="44"/>
  <c r="H22" i="44"/>
  <c r="N22" i="44"/>
  <c r="I22" i="44"/>
  <c r="O22" i="44"/>
  <c r="J22" i="44"/>
  <c r="M52" i="44"/>
  <c r="E259" i="44"/>
  <c r="L52" i="44"/>
  <c r="N52" i="44"/>
  <c r="I52" i="44"/>
  <c r="H52" i="44"/>
  <c r="J52" i="44"/>
  <c r="K52" i="44"/>
  <c r="O52" i="44"/>
  <c r="H18" i="44"/>
  <c r="E225" i="44"/>
  <c r="K18" i="44"/>
  <c r="L18" i="44"/>
  <c r="M18" i="44"/>
  <c r="N18" i="44"/>
  <c r="J18" i="44"/>
  <c r="O18" i="44"/>
  <c r="I18" i="44"/>
  <c r="E311" i="44"/>
  <c r="J104" i="44"/>
  <c r="K104" i="44"/>
  <c r="H104" i="44"/>
  <c r="N104" i="44"/>
  <c r="I104" i="44"/>
  <c r="L104" i="44"/>
  <c r="O104" i="44"/>
  <c r="M104" i="44"/>
  <c r="E235" i="44"/>
  <c r="J28" i="44"/>
  <c r="K28" i="44"/>
  <c r="L28" i="44"/>
  <c r="M28" i="44"/>
  <c r="H28" i="44"/>
  <c r="I28" i="44"/>
  <c r="O28" i="44"/>
  <c r="N28" i="44"/>
  <c r="N177" i="44"/>
  <c r="E384" i="44"/>
  <c r="L177" i="44"/>
  <c r="H177" i="44"/>
  <c r="K177" i="44"/>
  <c r="M177" i="44"/>
  <c r="I177" i="44"/>
  <c r="O177" i="44"/>
  <c r="J177" i="44"/>
  <c r="H210" i="44"/>
  <c r="E417" i="44"/>
  <c r="L210" i="44"/>
  <c r="M210" i="44"/>
  <c r="K210" i="44"/>
  <c r="O210" i="44"/>
  <c r="I210" i="44"/>
  <c r="J210" i="44"/>
  <c r="N210" i="44"/>
  <c r="E372" i="44"/>
  <c r="K165" i="44"/>
  <c r="L165" i="44"/>
  <c r="H165" i="44"/>
  <c r="O165" i="44"/>
  <c r="N165" i="44"/>
  <c r="J165" i="44"/>
  <c r="M165" i="44"/>
  <c r="I165" i="44"/>
  <c r="H202" i="44"/>
  <c r="E409" i="44"/>
  <c r="J202" i="44"/>
  <c r="K202" i="44"/>
  <c r="L202" i="44"/>
  <c r="O202" i="44"/>
  <c r="M202" i="44"/>
  <c r="I202" i="44"/>
  <c r="N202" i="44"/>
  <c r="M197" i="44"/>
  <c r="E404" i="44"/>
  <c r="I197" i="44"/>
  <c r="H197" i="44"/>
  <c r="N197" i="44"/>
  <c r="J197" i="44"/>
  <c r="L197" i="44"/>
  <c r="K197" i="44"/>
  <c r="O197" i="44"/>
  <c r="I107" i="44"/>
  <c r="E314" i="44"/>
  <c r="N107" i="44"/>
  <c r="H107" i="44"/>
  <c r="L107" i="44"/>
  <c r="J107" i="44"/>
  <c r="K107" i="44"/>
  <c r="M107" i="44"/>
  <c r="O107" i="44"/>
  <c r="J186" i="44"/>
  <c r="E393" i="44"/>
  <c r="I186" i="44"/>
  <c r="L186" i="44"/>
  <c r="K186" i="44"/>
  <c r="N186" i="44"/>
  <c r="M186" i="44"/>
  <c r="O186" i="44"/>
  <c r="H186" i="44"/>
  <c r="E359" i="44"/>
  <c r="H152" i="44"/>
  <c r="N152" i="44"/>
  <c r="I152" i="44"/>
  <c r="O152" i="44"/>
  <c r="J152" i="44"/>
  <c r="L152" i="44"/>
  <c r="M152" i="44"/>
  <c r="K152" i="44"/>
  <c r="M117" i="44"/>
  <c r="E324" i="44"/>
  <c r="K117" i="44"/>
  <c r="L117" i="44"/>
  <c r="H117" i="44"/>
  <c r="N117" i="44"/>
  <c r="O117" i="44"/>
  <c r="I117" i="44"/>
  <c r="J117" i="44"/>
  <c r="H42" i="44"/>
  <c r="J42" i="44"/>
  <c r="K42" i="44"/>
  <c r="L42" i="44"/>
  <c r="E249" i="44"/>
  <c r="M42" i="44"/>
  <c r="O42" i="44"/>
  <c r="N42" i="44"/>
  <c r="I42" i="44"/>
  <c r="E360" i="44"/>
  <c r="K153" i="44"/>
  <c r="L153" i="44"/>
  <c r="O153" i="44"/>
  <c r="J153" i="44"/>
  <c r="M153" i="44"/>
  <c r="H153" i="44"/>
  <c r="N153" i="44"/>
  <c r="I153" i="44"/>
  <c r="E288" i="44"/>
  <c r="J81" i="44"/>
  <c r="I81" i="44"/>
  <c r="K81" i="44"/>
  <c r="L81" i="44"/>
  <c r="N81" i="44"/>
  <c r="O81" i="44"/>
  <c r="H81" i="44"/>
  <c r="M81" i="44"/>
  <c r="K176" i="44"/>
  <c r="L176" i="44"/>
  <c r="M176" i="44"/>
  <c r="I176" i="44"/>
  <c r="O176" i="44"/>
  <c r="E383" i="44"/>
  <c r="H176" i="44"/>
  <c r="J176" i="44"/>
  <c r="N176" i="44"/>
  <c r="K145" i="44"/>
  <c r="E352" i="44"/>
  <c r="O145" i="44"/>
  <c r="J145" i="44"/>
  <c r="I145" i="44"/>
  <c r="L145" i="44"/>
  <c r="M145" i="44"/>
  <c r="N145" i="44"/>
  <c r="H145" i="44"/>
  <c r="M64" i="44"/>
  <c r="E271" i="44"/>
  <c r="J64" i="44"/>
  <c r="K64" i="44"/>
  <c r="N64" i="44"/>
  <c r="I64" i="44"/>
  <c r="L64" i="44"/>
  <c r="O64" i="44"/>
  <c r="H64" i="44"/>
  <c r="K213" i="44"/>
  <c r="N213" i="44"/>
  <c r="O213" i="44"/>
  <c r="E420" i="44"/>
  <c r="H213" i="44"/>
  <c r="J213" i="44"/>
  <c r="I213" i="44"/>
  <c r="L213" i="44"/>
  <c r="M213" i="44"/>
  <c r="E370" i="44"/>
  <c r="I163" i="44"/>
  <c r="L163" i="44"/>
  <c r="J163" i="44"/>
  <c r="O163" i="44"/>
  <c r="K163" i="44"/>
  <c r="M163" i="44"/>
  <c r="H163" i="44"/>
  <c r="N163" i="44"/>
  <c r="H43" i="44"/>
  <c r="L43" i="44"/>
  <c r="N43" i="44"/>
  <c r="E250" i="44"/>
  <c r="K43" i="44"/>
  <c r="O43" i="44"/>
  <c r="I43" i="44"/>
  <c r="J43" i="44"/>
  <c r="M43" i="44"/>
  <c r="I96" i="44"/>
  <c r="E303" i="44"/>
  <c r="H96" i="44"/>
  <c r="K96" i="44"/>
  <c r="L96" i="44"/>
  <c r="N96" i="44"/>
  <c r="O96" i="44"/>
  <c r="M96" i="44"/>
  <c r="J96" i="44"/>
  <c r="J51" i="44"/>
  <c r="K51" i="44"/>
  <c r="M51" i="44"/>
  <c r="H51" i="44"/>
  <c r="I51" i="44"/>
  <c r="E258" i="44"/>
  <c r="L51" i="44"/>
  <c r="O51" i="44"/>
  <c r="N51" i="44"/>
  <c r="H60" i="44"/>
  <c r="E267" i="44"/>
  <c r="J60" i="44"/>
  <c r="L60" i="44"/>
  <c r="K60" i="44"/>
  <c r="M60" i="44"/>
  <c r="O60" i="44"/>
  <c r="I60" i="44"/>
  <c r="N60" i="44"/>
  <c r="M123" i="44"/>
  <c r="E330" i="44"/>
  <c r="N123" i="44"/>
  <c r="K123" i="44"/>
  <c r="L123" i="44"/>
  <c r="H123" i="44"/>
  <c r="I123" i="44"/>
  <c r="J123" i="44"/>
  <c r="O123" i="44"/>
  <c r="I90" i="44"/>
  <c r="E297" i="44"/>
  <c r="N90" i="44"/>
  <c r="L90" i="44"/>
  <c r="K90" i="44"/>
  <c r="M90" i="44"/>
  <c r="J90" i="44"/>
  <c r="O90" i="44"/>
  <c r="H90" i="44"/>
  <c r="M129" i="44"/>
  <c r="E336" i="44"/>
  <c r="H129" i="44"/>
  <c r="K129" i="44"/>
  <c r="N129" i="44"/>
  <c r="L129" i="44"/>
  <c r="O129" i="44"/>
  <c r="J129" i="44"/>
  <c r="I129" i="44"/>
  <c r="M105" i="44"/>
  <c r="E312" i="44"/>
  <c r="N105" i="44"/>
  <c r="O105" i="44"/>
  <c r="K105" i="44"/>
  <c r="H105" i="44"/>
  <c r="I105" i="44"/>
  <c r="L105" i="44"/>
  <c r="J105" i="44"/>
  <c r="E268" i="44"/>
  <c r="N61" i="44"/>
  <c r="J61" i="44"/>
  <c r="M61" i="44"/>
  <c r="I61" i="44"/>
  <c r="O61" i="44"/>
  <c r="H61" i="44"/>
  <c r="K61" i="44"/>
  <c r="L61" i="44"/>
  <c r="E280" i="44"/>
  <c r="K73" i="44"/>
  <c r="L73" i="44"/>
  <c r="H73" i="44"/>
  <c r="N73" i="44"/>
  <c r="I73" i="44"/>
  <c r="J73" i="44"/>
  <c r="M73" i="44"/>
  <c r="O73" i="44"/>
  <c r="M40" i="44"/>
  <c r="E247" i="44"/>
  <c r="I40" i="44"/>
  <c r="J40" i="44"/>
  <c r="K40" i="44"/>
  <c r="L40" i="44"/>
  <c r="N40" i="44"/>
  <c r="O40" i="44"/>
  <c r="H40" i="44"/>
  <c r="H30" i="44"/>
  <c r="L30" i="44"/>
  <c r="M30" i="44"/>
  <c r="J30" i="44"/>
  <c r="E237" i="44"/>
  <c r="K30" i="44"/>
  <c r="N30" i="44"/>
  <c r="I30" i="44"/>
  <c r="O30" i="44"/>
  <c r="K80" i="44"/>
  <c r="E287" i="44"/>
  <c r="N80" i="44"/>
  <c r="J80" i="44"/>
  <c r="M80" i="44"/>
  <c r="O80" i="44"/>
  <c r="H80" i="44"/>
  <c r="I80" i="44"/>
  <c r="L80" i="44"/>
  <c r="J20" i="44"/>
  <c r="M20" i="44"/>
  <c r="N20" i="44"/>
  <c r="O20" i="44"/>
  <c r="E227" i="44"/>
  <c r="H20" i="44"/>
  <c r="I20" i="44"/>
  <c r="L20" i="44"/>
  <c r="K20" i="44"/>
  <c r="E256" i="44"/>
  <c r="J49" i="44"/>
  <c r="K49" i="44"/>
  <c r="M49" i="44"/>
  <c r="H49" i="44"/>
  <c r="I49" i="44"/>
  <c r="L49" i="44"/>
  <c r="O49" i="44"/>
  <c r="N49" i="44"/>
  <c r="A7" i="43"/>
  <c r="L14" i="43"/>
  <c r="H217" i="44" l="1" a="1"/>
  <c r="A8" i="43"/>
  <c r="M14" i="43"/>
  <c r="H217" i="44" l="1"/>
  <c r="I219" i="44"/>
  <c r="J218" i="44"/>
  <c r="K218" i="44"/>
  <c r="O217" i="44"/>
  <c r="N7" i="44" s="1"/>
  <c r="B65" i="39" s="1"/>
  <c r="I218" i="44"/>
  <c r="O219" i="44"/>
  <c r="M219" i="44"/>
  <c r="K217" i="44"/>
  <c r="N3" i="44" s="1"/>
  <c r="B61" i="39" s="1"/>
  <c r="H218" i="44"/>
  <c r="N219" i="44"/>
  <c r="P219" i="44"/>
  <c r="N217" i="44"/>
  <c r="N6" i="44" s="1"/>
  <c r="B64" i="39" s="1"/>
  <c r="I217" i="44"/>
  <c r="N1" i="44" s="1"/>
  <c r="B59" i="39" s="1"/>
  <c r="M218" i="44"/>
  <c r="J217" i="44"/>
  <c r="L219" i="44"/>
  <c r="L217" i="44"/>
  <c r="P218" i="44"/>
  <c r="L218" i="44"/>
  <c r="M217" i="44"/>
  <c r="N5" i="44" s="1"/>
  <c r="B63" i="39" s="1"/>
  <c r="K219" i="44"/>
  <c r="P217" i="44"/>
  <c r="N8" i="44" s="1"/>
  <c r="B66" i="39" s="1"/>
  <c r="O218" i="44"/>
  <c r="J219" i="44"/>
  <c r="N218" i="44"/>
  <c r="H219" i="44"/>
  <c r="A9" i="43"/>
  <c r="N14" i="43"/>
  <c r="F224" i="44" l="1"/>
  <c r="N4" i="44"/>
  <c r="B62" i="39" s="1"/>
  <c r="F228" i="44"/>
  <c r="N2" i="44"/>
  <c r="B60" i="39" s="1"/>
  <c r="F245" i="44"/>
  <c r="F248" i="44"/>
  <c r="F251" i="44"/>
  <c r="F254" i="44"/>
  <c r="F257" i="44"/>
  <c r="F260" i="44"/>
  <c r="F263" i="44"/>
  <c r="F266" i="44"/>
  <c r="F269" i="44"/>
  <c r="F272" i="44"/>
  <c r="F275" i="44"/>
  <c r="F278" i="44"/>
  <c r="F281" i="44"/>
  <c r="F284" i="44"/>
  <c r="F287" i="44"/>
  <c r="F290" i="44"/>
  <c r="F293" i="44"/>
  <c r="F296" i="44"/>
  <c r="F299" i="44"/>
  <c r="F302" i="44"/>
  <c r="F305" i="44"/>
  <c r="F308" i="44"/>
  <c r="F311" i="44"/>
  <c r="F314" i="44"/>
  <c r="F317" i="44"/>
  <c r="F320" i="44"/>
  <c r="F323" i="44"/>
  <c r="F326" i="44"/>
  <c r="F329" i="44"/>
  <c r="F332" i="44"/>
  <c r="F335" i="44"/>
  <c r="F338" i="44"/>
  <c r="F341" i="44"/>
  <c r="F344" i="44"/>
  <c r="F347" i="44"/>
  <c r="F350" i="44"/>
  <c r="F353" i="44"/>
  <c r="F356" i="44"/>
  <c r="F359" i="44"/>
  <c r="F362" i="44"/>
  <c r="F365" i="44"/>
  <c r="F368" i="44"/>
  <c r="F371" i="44"/>
  <c r="F374" i="44"/>
  <c r="F377" i="44"/>
  <c r="F380" i="44"/>
  <c r="F383" i="44"/>
  <c r="F386" i="44"/>
  <c r="F389" i="44"/>
  <c r="F392" i="44"/>
  <c r="F395" i="44"/>
  <c r="F398" i="44"/>
  <c r="F401" i="44"/>
  <c r="F404" i="44"/>
  <c r="F407" i="44"/>
  <c r="F410" i="44"/>
  <c r="F413" i="44"/>
  <c r="F416" i="44"/>
  <c r="F419" i="44"/>
  <c r="F422" i="44"/>
  <c r="F232" i="44"/>
  <c r="F235" i="44"/>
  <c r="F238" i="44"/>
  <c r="F241" i="44"/>
  <c r="F244" i="44"/>
  <c r="N9" i="44"/>
  <c r="B67" i="39" s="1"/>
  <c r="F246" i="44"/>
  <c r="F249" i="44"/>
  <c r="F252" i="44"/>
  <c r="F255" i="44"/>
  <c r="F258" i="44"/>
  <c r="F261" i="44"/>
  <c r="F264" i="44"/>
  <c r="F267" i="44"/>
  <c r="F270" i="44"/>
  <c r="F273" i="44"/>
  <c r="F276" i="44"/>
  <c r="F279" i="44"/>
  <c r="F282" i="44"/>
  <c r="F285" i="44"/>
  <c r="F288" i="44"/>
  <c r="F291" i="44"/>
  <c r="F294" i="44"/>
  <c r="F297" i="44"/>
  <c r="F300" i="44"/>
  <c r="F303" i="44"/>
  <c r="F306" i="44"/>
  <c r="F309" i="44"/>
  <c r="F312" i="44"/>
  <c r="F315" i="44"/>
  <c r="F318" i="44"/>
  <c r="F321" i="44"/>
  <c r="F324" i="44"/>
  <c r="F327" i="44"/>
  <c r="F330" i="44"/>
  <c r="F333" i="44"/>
  <c r="F336" i="44"/>
  <c r="F339" i="44"/>
  <c r="F342" i="44"/>
  <c r="F345" i="44"/>
  <c r="F348" i="44"/>
  <c r="F351" i="44"/>
  <c r="F354" i="44"/>
  <c r="F357" i="44"/>
  <c r="F360" i="44"/>
  <c r="F363" i="44"/>
  <c r="F366" i="44"/>
  <c r="F369" i="44"/>
  <c r="F372" i="44"/>
  <c r="F375" i="44"/>
  <c r="F378" i="44"/>
  <c r="F381" i="44"/>
  <c r="F384" i="44"/>
  <c r="F387" i="44"/>
  <c r="F390" i="44"/>
  <c r="F393" i="44"/>
  <c r="F396" i="44"/>
  <c r="F399" i="44"/>
  <c r="F402" i="44"/>
  <c r="F405" i="44"/>
  <c r="F408" i="44"/>
  <c r="F247" i="44"/>
  <c r="F250" i="44"/>
  <c r="F253" i="44"/>
  <c r="F256" i="44"/>
  <c r="F259" i="44"/>
  <c r="F262" i="44"/>
  <c r="F265" i="44"/>
  <c r="F268" i="44"/>
  <c r="F271" i="44"/>
  <c r="F274" i="44"/>
  <c r="F277" i="44"/>
  <c r="F280" i="44"/>
  <c r="F283" i="44"/>
  <c r="F286" i="44"/>
  <c r="F289" i="44"/>
  <c r="F292" i="44"/>
  <c r="F295" i="44"/>
  <c r="F298" i="44"/>
  <c r="F301" i="44"/>
  <c r="F304" i="44"/>
  <c r="F307" i="44"/>
  <c r="F310" i="44"/>
  <c r="F313" i="44"/>
  <c r="F316" i="44"/>
  <c r="F319" i="44"/>
  <c r="F322" i="44"/>
  <c r="F325" i="44"/>
  <c r="F328" i="44"/>
  <c r="F331" i="44"/>
  <c r="F334" i="44"/>
  <c r="F337" i="44"/>
  <c r="F340" i="44"/>
  <c r="F343" i="44"/>
  <c r="F346" i="44"/>
  <c r="F349" i="44"/>
  <c r="F352" i="44"/>
  <c r="F355" i="44"/>
  <c r="F358" i="44"/>
  <c r="F361" i="44"/>
  <c r="F364" i="44"/>
  <c r="F367" i="44"/>
  <c r="F370" i="44"/>
  <c r="F373" i="44"/>
  <c r="F376" i="44"/>
  <c r="F379" i="44"/>
  <c r="F382" i="44"/>
  <c r="F385" i="44"/>
  <c r="F388" i="44"/>
  <c r="F391" i="44"/>
  <c r="F394" i="44"/>
  <c r="F397" i="44"/>
  <c r="F400" i="44"/>
  <c r="F403" i="44"/>
  <c r="F406" i="44"/>
  <c r="F409" i="44"/>
  <c r="F412" i="44"/>
  <c r="F415" i="44"/>
  <c r="F418" i="44"/>
  <c r="F421" i="44"/>
  <c r="F231" i="44"/>
  <c r="F234" i="44"/>
  <c r="F237" i="44"/>
  <c r="F240" i="44"/>
  <c r="F243" i="44"/>
  <c r="F417" i="44"/>
  <c r="F233" i="44"/>
  <c r="F242" i="44"/>
  <c r="F414" i="44"/>
  <c r="F230" i="44"/>
  <c r="F239" i="44"/>
  <c r="F411" i="44"/>
  <c r="F236" i="44"/>
  <c r="F420" i="44"/>
  <c r="F225" i="44"/>
  <c r="F227" i="44"/>
  <c r="F229" i="44"/>
  <c r="F223" i="44"/>
  <c r="F222" i="44"/>
  <c r="F226" i="44"/>
  <c r="A10" i="43"/>
  <c r="A11" i="43" s="1"/>
  <c r="O14" i="43"/>
  <c r="A12" i="43" l="1"/>
  <c r="P14" i="43"/>
  <c r="A13" i="43" l="1"/>
  <c r="Q14" i="43"/>
  <c r="R14" i="43" l="1"/>
  <c r="S14" i="43" l="1"/>
  <c r="T14" i="43" l="1"/>
  <c r="U14" i="43" l="1"/>
  <c r="E21" i="8"/>
  <c r="E3" i="8"/>
  <c r="F3" i="8"/>
  <c r="E33" i="8"/>
  <c r="E32" i="8"/>
  <c r="E31" i="8"/>
  <c r="AD31" i="8"/>
  <c r="E30" i="8"/>
  <c r="E29" i="8"/>
  <c r="AD29" i="8"/>
  <c r="E28" i="8"/>
  <c r="AD28" i="8"/>
  <c r="E27" i="8"/>
  <c r="E26" i="8"/>
  <c r="AD26" i="8"/>
  <c r="E25" i="8"/>
  <c r="AD25" i="8"/>
  <c r="AD24" i="8"/>
  <c r="E24" i="8"/>
  <c r="E23" i="8"/>
  <c r="E22" i="8"/>
  <c r="AD22" i="8"/>
  <c r="E20" i="8"/>
  <c r="E19" i="8"/>
  <c r="AD19" i="8"/>
  <c r="E18" i="8"/>
  <c r="AD18" i="8"/>
  <c r="E17" i="8"/>
  <c r="E16" i="8"/>
  <c r="AD16" i="8"/>
  <c r="E15" i="8"/>
  <c r="AD15" i="8"/>
  <c r="E14" i="8"/>
  <c r="E13" i="8"/>
  <c r="AD13" i="8"/>
  <c r="E12" i="8"/>
  <c r="AD12" i="8"/>
  <c r="E11" i="8"/>
  <c r="E10" i="8"/>
  <c r="AD10" i="8"/>
  <c r="E9" i="8"/>
  <c r="AD9" i="8"/>
  <c r="E8" i="8"/>
  <c r="E7" i="8"/>
  <c r="AD7" i="8"/>
  <c r="E6" i="8"/>
  <c r="AD6" i="8"/>
  <c r="E5" i="8"/>
  <c r="E4" i="8"/>
  <c r="AD4" i="8"/>
  <c r="AD3" i="8"/>
  <c r="D33" i="8"/>
  <c r="AC33" i="8"/>
  <c r="D32" i="8"/>
  <c r="D31" i="8"/>
  <c r="D30" i="8"/>
  <c r="AC30" i="8"/>
  <c r="D29" i="8"/>
  <c r="D28" i="8"/>
  <c r="D27" i="8"/>
  <c r="AC27" i="8"/>
  <c r="D26" i="8"/>
  <c r="D25" i="8"/>
  <c r="D24" i="8"/>
  <c r="AC24" i="8"/>
  <c r="D23" i="8"/>
  <c r="D22" i="8"/>
  <c r="D21" i="8"/>
  <c r="AC21" i="8"/>
  <c r="D20" i="8"/>
  <c r="D19" i="8"/>
  <c r="D18" i="8"/>
  <c r="AC18" i="8"/>
  <c r="D17" i="8"/>
  <c r="D16" i="8"/>
  <c r="D15" i="8"/>
  <c r="AC15" i="8"/>
  <c r="D14" i="8"/>
  <c r="D13" i="8"/>
  <c r="D12" i="8"/>
  <c r="AC12" i="8"/>
  <c r="D11" i="8"/>
  <c r="D10" i="8"/>
  <c r="D9" i="8"/>
  <c r="AC9" i="8"/>
  <c r="D8" i="8"/>
  <c r="AC8" i="8"/>
  <c r="D7" i="8"/>
  <c r="D6" i="8"/>
  <c r="AC6" i="8"/>
  <c r="D5" i="8"/>
  <c r="AC5" i="8"/>
  <c r="D4" i="8"/>
  <c r="D3" i="8"/>
  <c r="AC3" i="8"/>
  <c r="C33" i="8"/>
  <c r="C32" i="8"/>
  <c r="C31" i="8"/>
  <c r="AB31" i="8"/>
  <c r="C30" i="8"/>
  <c r="C29" i="8"/>
  <c r="C28" i="8"/>
  <c r="AB28" i="8"/>
  <c r="C27" i="8"/>
  <c r="C26" i="8"/>
  <c r="C25" i="8"/>
  <c r="AB25" i="8"/>
  <c r="C24" i="8"/>
  <c r="C23" i="8"/>
  <c r="C22" i="8"/>
  <c r="AB22" i="8"/>
  <c r="C21" i="8"/>
  <c r="C20" i="8"/>
  <c r="C19" i="8"/>
  <c r="AB19" i="8"/>
  <c r="C18" i="8"/>
  <c r="C17" i="8"/>
  <c r="C16" i="8"/>
  <c r="AB16" i="8"/>
  <c r="C15" i="8"/>
  <c r="C14" i="8"/>
  <c r="C13" i="8"/>
  <c r="AB13" i="8"/>
  <c r="C12" i="8"/>
  <c r="C11" i="8"/>
  <c r="C10" i="8"/>
  <c r="AB10" i="8"/>
  <c r="C9" i="8"/>
  <c r="C8" i="8"/>
  <c r="C7" i="8"/>
  <c r="AB7" i="8"/>
  <c r="C6" i="8"/>
  <c r="C5" i="8"/>
  <c r="C4" i="8"/>
  <c r="AB4" i="8"/>
  <c r="C3" i="8"/>
  <c r="N4" i="2"/>
  <c r="N5" i="2"/>
  <c r="N6" i="2"/>
  <c r="N7" i="2"/>
  <c r="N8" i="2"/>
  <c r="N9" i="2"/>
  <c r="N10" i="2"/>
  <c r="N11" i="2"/>
  <c r="N12" i="2"/>
  <c r="N13" i="2"/>
  <c r="N14" i="2"/>
  <c r="N15" i="2"/>
  <c r="N16" i="2"/>
  <c r="N17" i="2"/>
  <c r="N18" i="2"/>
  <c r="N19" i="2"/>
  <c r="N20" i="2"/>
  <c r="N21" i="2"/>
  <c r="N22" i="2"/>
  <c r="N23" i="2"/>
  <c r="N24" i="2"/>
  <c r="N25" i="2"/>
  <c r="N26" i="2"/>
  <c r="N27" i="2"/>
  <c r="N28" i="2"/>
  <c r="N29" i="2"/>
  <c r="N30" i="2"/>
  <c r="N31" i="2"/>
  <c r="N32" i="2"/>
  <c r="N33" i="2"/>
  <c r="N3" i="2"/>
  <c r="AE3" i="8" l="1"/>
  <c r="AD5" i="8"/>
  <c r="AD8" i="8"/>
  <c r="AD11" i="8"/>
  <c r="AD14" i="8"/>
  <c r="AC4" i="8"/>
  <c r="AC7" i="8"/>
  <c r="AC10" i="8"/>
  <c r="AC13" i="8"/>
  <c r="AC16" i="8"/>
  <c r="AC19" i="8"/>
  <c r="AC22" i="8"/>
  <c r="AC25" i="8"/>
  <c r="AC28" i="8"/>
  <c r="AC31" i="8"/>
  <c r="AB3" i="8"/>
  <c r="AB6" i="8"/>
  <c r="AB9" i="8"/>
  <c r="AB12" i="8"/>
  <c r="AB15" i="8"/>
  <c r="AB18" i="8"/>
  <c r="AB21" i="8"/>
  <c r="AB24" i="8"/>
  <c r="AB27" i="8"/>
  <c r="AB30" i="8"/>
  <c r="AB33" i="8"/>
  <c r="AD32" i="8"/>
  <c r="AD21" i="8"/>
  <c r="AD27" i="8"/>
  <c r="AD30" i="8"/>
  <c r="AD33" i="8"/>
  <c r="AD17" i="8"/>
  <c r="AD20" i="8"/>
  <c r="AD23" i="8"/>
  <c r="AC11" i="8"/>
  <c r="AC14" i="8"/>
  <c r="AC17" i="8"/>
  <c r="AC20" i="8"/>
  <c r="AC23" i="8"/>
  <c r="AC26" i="8"/>
  <c r="AC29" i="8"/>
  <c r="AC32" i="8"/>
  <c r="AB5" i="8"/>
  <c r="AB8" i="8"/>
  <c r="AB11" i="8"/>
  <c r="AB14" i="8"/>
  <c r="AB17" i="8"/>
  <c r="AB20" i="8"/>
  <c r="AB23" i="8"/>
  <c r="AB26" i="8"/>
  <c r="AB29" i="8"/>
  <c r="AB32" i="8"/>
  <c r="V14" i="43"/>
  <c r="W14" i="43" l="1"/>
  <c r="X14" i="43" l="1"/>
  <c r="Y14" i="43" l="1"/>
  <c r="Z14" i="43" l="1"/>
  <c r="AA14" i="43" l="1"/>
  <c r="AB14" i="43" l="1"/>
  <c r="AC14" i="43" l="1"/>
  <c r="AD14" i="43" l="1"/>
  <c r="AE14" i="43" l="1"/>
  <c r="AF14" i="43" l="1"/>
  <c r="AG14" i="43" l="1"/>
  <c r="AH14" i="43" l="1"/>
  <c r="A75" i="39"/>
  <c r="A76" i="39" s="1"/>
  <c r="A77" i="39" s="1"/>
  <c r="A78" i="39" s="1"/>
  <c r="A79" i="39" s="1"/>
  <c r="A80" i="39" s="1"/>
  <c r="A81" i="39" s="1"/>
  <c r="A82" i="39" s="1"/>
  <c r="A83" i="39" l="1"/>
  <c r="D82" i="39"/>
  <c r="AI14" i="43"/>
  <c r="O6" i="37"/>
  <c r="B26" i="39" s="1"/>
  <c r="N7" i="37"/>
  <c r="N8" i="37"/>
  <c r="B22" i="39" s="1"/>
  <c r="N9" i="37"/>
  <c r="B23" i="39" s="1"/>
  <c r="N6" i="37"/>
  <c r="B21" i="39" s="1"/>
  <c r="N5" i="37"/>
  <c r="B20" i="39" s="1"/>
  <c r="D83" i="39" l="1"/>
  <c r="A84" i="39"/>
  <c r="AJ14" i="43"/>
  <c r="O8" i="37"/>
  <c r="B27" i="39" s="1"/>
  <c r="O5" i="37"/>
  <c r="B25" i="39" s="1"/>
  <c r="O9" i="37"/>
  <c r="B28" i="39" s="1"/>
  <c r="O7" i="37"/>
  <c r="A85" i="39" l="1"/>
  <c r="D84" i="39"/>
  <c r="AG570" i="43"/>
  <c r="A86" i="39" l="1"/>
  <c r="D85" i="39"/>
  <c r="AH570" i="43"/>
  <c r="AG571" i="43"/>
  <c r="AG585" i="43"/>
  <c r="A87" i="39" l="1"/>
  <c r="D86" i="39"/>
  <c r="AH585" i="43"/>
  <c r="AG586" i="43"/>
  <c r="AG579" i="43"/>
  <c r="AG575" i="43"/>
  <c r="AG580" i="43"/>
  <c r="AG576" i="43"/>
  <c r="AG577" i="43"/>
  <c r="AG578" i="43"/>
  <c r="AG574" i="43"/>
  <c r="AG572" i="43"/>
  <c r="AG573" i="43"/>
  <c r="AI570" i="43"/>
  <c r="AH571" i="43"/>
  <c r="A88" i="39" l="1"/>
  <c r="D87" i="39"/>
  <c r="AH580" i="43"/>
  <c r="AH576" i="43"/>
  <c r="AH577" i="43"/>
  <c r="AH578" i="43"/>
  <c r="AH574" i="43"/>
  <c r="AH575" i="43"/>
  <c r="AH572" i="43"/>
  <c r="AH573" i="43"/>
  <c r="AH579" i="43"/>
  <c r="AG581" i="43"/>
  <c r="AI571" i="43"/>
  <c r="AJ570" i="43"/>
  <c r="AH586" i="43"/>
  <c r="AI585" i="43"/>
  <c r="A89" i="39" l="1"/>
  <c r="D88" i="39"/>
  <c r="AH581" i="43"/>
  <c r="AK570" i="43"/>
  <c r="AJ571" i="43"/>
  <c r="AI580" i="43"/>
  <c r="AI577" i="43"/>
  <c r="AI578" i="43"/>
  <c r="AI579" i="43"/>
  <c r="AI575" i="43"/>
  <c r="AI572" i="43"/>
  <c r="AI576" i="43"/>
  <c r="AI573" i="43"/>
  <c r="AI574" i="43"/>
  <c r="AJ585" i="43"/>
  <c r="AI586" i="43"/>
  <c r="A90" i="39" l="1"/>
  <c r="D89" i="39"/>
  <c r="AJ586" i="43"/>
  <c r="AK585" i="43"/>
  <c r="AJ579" i="43"/>
  <c r="AJ578" i="43"/>
  <c r="AJ577" i="43"/>
  <c r="AJ576" i="43"/>
  <c r="AJ575" i="43"/>
  <c r="AJ574" i="43"/>
  <c r="AJ573" i="43"/>
  <c r="AJ572" i="43"/>
  <c r="AJ580" i="43"/>
  <c r="AL570" i="43"/>
  <c r="AK571" i="43"/>
  <c r="AI581" i="43"/>
  <c r="A91" i="39" l="1"/>
  <c r="D90" i="39"/>
  <c r="AK586" i="43"/>
  <c r="AL585" i="43"/>
  <c r="AK580" i="43"/>
  <c r="AK578" i="43"/>
  <c r="AK579" i="43"/>
  <c r="AK576" i="43"/>
  <c r="AK573" i="43"/>
  <c r="AK577" i="43"/>
  <c r="AK572" i="43"/>
  <c r="AK574" i="43"/>
  <c r="AK575" i="43"/>
  <c r="AL571" i="43"/>
  <c r="AM570" i="43"/>
  <c r="AJ581" i="43"/>
  <c r="A92" i="39" l="1"/>
  <c r="D91" i="39"/>
  <c r="AN570" i="43"/>
  <c r="AM571" i="43"/>
  <c r="AL579" i="43"/>
  <c r="AL574" i="43"/>
  <c r="AL576" i="43"/>
  <c r="AL580" i="43"/>
  <c r="AL577" i="43"/>
  <c r="AL578" i="43"/>
  <c r="AL572" i="43"/>
  <c r="AL573" i="43"/>
  <c r="AL575" i="43"/>
  <c r="AK581" i="43"/>
  <c r="AM585" i="43"/>
  <c r="AL586" i="43"/>
  <c r="A93" i="39" l="1"/>
  <c r="D92" i="39"/>
  <c r="AM579" i="43"/>
  <c r="AM578" i="43"/>
  <c r="AM574" i="43"/>
  <c r="AM575" i="43"/>
  <c r="AM576" i="43"/>
  <c r="AM580" i="43"/>
  <c r="AM577" i="43"/>
  <c r="AM572" i="43"/>
  <c r="AM573" i="43"/>
  <c r="AN585" i="43"/>
  <c r="AM586" i="43"/>
  <c r="AL581" i="43"/>
  <c r="AN571" i="43"/>
  <c r="AO570" i="43"/>
  <c r="A94" i="39" l="1"/>
  <c r="D93" i="39"/>
  <c r="AO571" i="43"/>
  <c r="AP570" i="43"/>
  <c r="AN580" i="43"/>
  <c r="AN579" i="43"/>
  <c r="AN575" i="43"/>
  <c r="AN576" i="43"/>
  <c r="AN577" i="43"/>
  <c r="AN578" i="43"/>
  <c r="AN572" i="43"/>
  <c r="AN574" i="43"/>
  <c r="AN573" i="43"/>
  <c r="AM581" i="43"/>
  <c r="AN586" i="43"/>
  <c r="AO585" i="43"/>
  <c r="A95" i="39" l="1"/>
  <c r="D94" i="39"/>
  <c r="AQ570" i="43"/>
  <c r="AQ571" i="43" s="1"/>
  <c r="AP571" i="43"/>
  <c r="AN581" i="43"/>
  <c r="AP585" i="43"/>
  <c r="AO586" i="43"/>
  <c r="AO576" i="43"/>
  <c r="AO577" i="43"/>
  <c r="AO580" i="43"/>
  <c r="AO578" i="43"/>
  <c r="AO572" i="43"/>
  <c r="AO574" i="43"/>
  <c r="AO573" i="43"/>
  <c r="AO579" i="43"/>
  <c r="AO575" i="43"/>
  <c r="A96" i="39" l="1"/>
  <c r="D95" i="39"/>
  <c r="AQ585" i="43"/>
  <c r="AQ586" i="43" s="1"/>
  <c r="AP586" i="43"/>
  <c r="AO581" i="43"/>
  <c r="AP579" i="43"/>
  <c r="AP578" i="43"/>
  <c r="AP577" i="43"/>
  <c r="AP576" i="43"/>
  <c r="AP575" i="43"/>
  <c r="AP574" i="43"/>
  <c r="AP573" i="43"/>
  <c r="AP572" i="43"/>
  <c r="AP580" i="43"/>
  <c r="AQ580" i="43"/>
  <c r="AQ577" i="43"/>
  <c r="AQ578" i="43"/>
  <c r="AQ572" i="43"/>
  <c r="AQ574" i="43"/>
  <c r="AQ573" i="43"/>
  <c r="AQ579" i="43"/>
  <c r="AQ575" i="43"/>
  <c r="AQ576" i="43"/>
  <c r="A97" i="39" l="1"/>
  <c r="D96" i="39"/>
  <c r="AP581" i="43"/>
  <c r="AQ581" i="43"/>
  <c r="A98" i="39" l="1"/>
  <c r="D97" i="39"/>
  <c r="AZ2" i="8"/>
  <c r="BA2" i="8"/>
  <c r="BB2" i="8"/>
  <c r="BC2" i="8"/>
  <c r="BD2" i="8"/>
  <c r="BE2" i="8"/>
  <c r="AY2" i="8"/>
  <c r="AN2" i="8"/>
  <c r="AO2" i="8"/>
  <c r="AP2" i="8"/>
  <c r="AQ2" i="8"/>
  <c r="AR2" i="8"/>
  <c r="AS2" i="8"/>
  <c r="AM2" i="8"/>
  <c r="AB2" i="8"/>
  <c r="AC2" i="8"/>
  <c r="AD2" i="8"/>
  <c r="AE2" i="8"/>
  <c r="AF2" i="8"/>
  <c r="AG2" i="8"/>
  <c r="AA2" i="8"/>
  <c r="T2" i="8"/>
  <c r="U2" i="8"/>
  <c r="P2" i="8"/>
  <c r="Q2" i="8"/>
  <c r="R2" i="8"/>
  <c r="S2" i="8"/>
  <c r="O2" i="8"/>
  <c r="A99" i="39" l="1"/>
  <c r="D98" i="39"/>
  <c r="U4" i="8"/>
  <c r="U5" i="8"/>
  <c r="U6" i="8"/>
  <c r="U7" i="8"/>
  <c r="U8" i="8"/>
  <c r="U9" i="8"/>
  <c r="U10" i="8"/>
  <c r="U11" i="8"/>
  <c r="U12" i="8"/>
  <c r="U13" i="8"/>
  <c r="U14" i="8"/>
  <c r="U15" i="8"/>
  <c r="U16" i="8"/>
  <c r="U17" i="8"/>
  <c r="U18" i="8"/>
  <c r="U19" i="8"/>
  <c r="U20" i="8"/>
  <c r="U21" i="8"/>
  <c r="U22" i="8"/>
  <c r="U23" i="8"/>
  <c r="U24" i="8"/>
  <c r="U25" i="8"/>
  <c r="U26" i="8"/>
  <c r="U27" i="8"/>
  <c r="U28" i="8"/>
  <c r="U29" i="8"/>
  <c r="U30" i="8"/>
  <c r="U31" i="8"/>
  <c r="U32" i="8"/>
  <c r="U33" i="8"/>
  <c r="U3" i="8"/>
  <c r="N32" i="8"/>
  <c r="A100" i="39" l="1"/>
  <c r="D99" i="39"/>
  <c r="BE33" i="8"/>
  <c r="AS32" i="8"/>
  <c r="P433" i="43" s="1"/>
  <c r="BE31" i="8"/>
  <c r="BE30" i="8"/>
  <c r="AS29" i="8"/>
  <c r="P430" i="43" s="1"/>
  <c r="BE28" i="8"/>
  <c r="BE27" i="8"/>
  <c r="AS26" i="8"/>
  <c r="P427" i="43" s="1"/>
  <c r="BE25" i="8"/>
  <c r="BE24" i="8"/>
  <c r="BE23" i="8"/>
  <c r="BE22" i="8"/>
  <c r="BE21" i="8"/>
  <c r="AS20" i="8"/>
  <c r="P421" i="43" s="1"/>
  <c r="BE19" i="8"/>
  <c r="BE18" i="8"/>
  <c r="AS17" i="8"/>
  <c r="P418" i="43" s="1"/>
  <c r="BE16" i="8"/>
  <c r="BE15" i="8"/>
  <c r="AS14" i="8"/>
  <c r="P415" i="43" s="1"/>
  <c r="BE13" i="8"/>
  <c r="BE12" i="8"/>
  <c r="AS11" i="8"/>
  <c r="P412" i="43" s="1"/>
  <c r="BE10" i="8"/>
  <c r="BE9" i="8"/>
  <c r="AS8" i="8"/>
  <c r="P409" i="43" s="1"/>
  <c r="BE7" i="8"/>
  <c r="BE6" i="8"/>
  <c r="BE5" i="8"/>
  <c r="BE4" i="8"/>
  <c r="BE3" i="8"/>
  <c r="T33" i="8"/>
  <c r="T31" i="8"/>
  <c r="T30" i="8"/>
  <c r="T28" i="8"/>
  <c r="T27" i="8"/>
  <c r="T25" i="8"/>
  <c r="T24" i="8"/>
  <c r="T22" i="8"/>
  <c r="T21" i="8"/>
  <c r="T19" i="8"/>
  <c r="T18" i="8"/>
  <c r="T16" i="8"/>
  <c r="T15" i="8"/>
  <c r="T13" i="8"/>
  <c r="T12" i="8"/>
  <c r="T10" i="8"/>
  <c r="T9" i="8"/>
  <c r="T7" i="8"/>
  <c r="T6" i="8"/>
  <c r="T4" i="8"/>
  <c r="T3" i="8"/>
  <c r="S33" i="8"/>
  <c r="AQ33" i="8" s="1"/>
  <c r="N434" i="43" s="1"/>
  <c r="S32" i="8"/>
  <c r="AQ32" i="8" s="1"/>
  <c r="N433" i="43" s="1"/>
  <c r="S31" i="8"/>
  <c r="AQ31" i="8" s="1"/>
  <c r="N432" i="43" s="1"/>
  <c r="S30" i="8"/>
  <c r="AQ30" i="8" s="1"/>
  <c r="N431" i="43" s="1"/>
  <c r="S29" i="8"/>
  <c r="AQ29" i="8" s="1"/>
  <c r="N430" i="43" s="1"/>
  <c r="S28" i="8"/>
  <c r="AQ28" i="8" s="1"/>
  <c r="N429" i="43" s="1"/>
  <c r="S27" i="8"/>
  <c r="AQ27" i="8" s="1"/>
  <c r="N428" i="43" s="1"/>
  <c r="S26" i="8"/>
  <c r="AQ26" i="8" s="1"/>
  <c r="N427" i="43" s="1"/>
  <c r="S25" i="8"/>
  <c r="AQ25" i="8" s="1"/>
  <c r="N426" i="43" s="1"/>
  <c r="S24" i="8"/>
  <c r="AQ24" i="8" s="1"/>
  <c r="N425" i="43" s="1"/>
  <c r="S23" i="8"/>
  <c r="AQ23" i="8" s="1"/>
  <c r="N424" i="43" s="1"/>
  <c r="S22" i="8"/>
  <c r="AQ22" i="8" s="1"/>
  <c r="N423" i="43" s="1"/>
  <c r="S21" i="8"/>
  <c r="AQ21" i="8" s="1"/>
  <c r="N422" i="43" s="1"/>
  <c r="S20" i="8"/>
  <c r="AQ20" i="8" s="1"/>
  <c r="N421" i="43" s="1"/>
  <c r="S19" i="8"/>
  <c r="AQ19" i="8" s="1"/>
  <c r="N420" i="43" s="1"/>
  <c r="S18" i="8"/>
  <c r="AQ18" i="8" s="1"/>
  <c r="N419" i="43" s="1"/>
  <c r="S17" i="8"/>
  <c r="AQ17" i="8" s="1"/>
  <c r="N418" i="43" s="1"/>
  <c r="S16" i="8"/>
  <c r="AQ16" i="8" s="1"/>
  <c r="N417" i="43" s="1"/>
  <c r="S15" i="8"/>
  <c r="AQ15" i="8" s="1"/>
  <c r="N416" i="43" s="1"/>
  <c r="S14" i="8"/>
  <c r="AQ14" i="8" s="1"/>
  <c r="N415" i="43" s="1"/>
  <c r="S13" i="8"/>
  <c r="AQ13" i="8" s="1"/>
  <c r="N414" i="43" s="1"/>
  <c r="S12" i="8"/>
  <c r="AQ12" i="8" s="1"/>
  <c r="N413" i="43" s="1"/>
  <c r="S11" i="8"/>
  <c r="AQ11" i="8" s="1"/>
  <c r="N412" i="43" s="1"/>
  <c r="S10" i="8"/>
  <c r="AQ10" i="8" s="1"/>
  <c r="N411" i="43" s="1"/>
  <c r="S9" i="8"/>
  <c r="AQ9" i="8" s="1"/>
  <c r="N410" i="43" s="1"/>
  <c r="S8" i="8"/>
  <c r="AQ8" i="8" s="1"/>
  <c r="N409" i="43" s="1"/>
  <c r="S7" i="8"/>
  <c r="AQ7" i="8" s="1"/>
  <c r="N408" i="43" s="1"/>
  <c r="S6" i="8"/>
  <c r="AQ6" i="8" s="1"/>
  <c r="N407" i="43" s="1"/>
  <c r="S5" i="8"/>
  <c r="AQ5" i="8" s="1"/>
  <c r="N406" i="43" s="1"/>
  <c r="S4" i="8"/>
  <c r="AQ4" i="8" s="1"/>
  <c r="N405" i="43" s="1"/>
  <c r="S3" i="8"/>
  <c r="R33" i="8"/>
  <c r="R32" i="8"/>
  <c r="R31" i="8"/>
  <c r="R30" i="8"/>
  <c r="R29" i="8"/>
  <c r="R28" i="8"/>
  <c r="R27" i="8"/>
  <c r="R26" i="8"/>
  <c r="R25" i="8"/>
  <c r="R24" i="8"/>
  <c r="R23" i="8"/>
  <c r="R22" i="8"/>
  <c r="R21" i="8"/>
  <c r="R20" i="8"/>
  <c r="R19" i="8"/>
  <c r="R18" i="8"/>
  <c r="R17" i="8"/>
  <c r="R16" i="8"/>
  <c r="R15" i="8"/>
  <c r="R14" i="8"/>
  <c r="R13" i="8"/>
  <c r="R12" i="8"/>
  <c r="R11" i="8"/>
  <c r="R10" i="8"/>
  <c r="R9" i="8"/>
  <c r="R8" i="8"/>
  <c r="R7" i="8"/>
  <c r="R6" i="8"/>
  <c r="R5" i="8"/>
  <c r="R4" i="8"/>
  <c r="R3" i="8"/>
  <c r="Q33" i="8"/>
  <c r="Q31" i="8"/>
  <c r="Q30" i="8"/>
  <c r="Q29" i="8"/>
  <c r="Q28" i="8"/>
  <c r="Q27" i="8"/>
  <c r="Q26" i="8"/>
  <c r="Q25" i="8"/>
  <c r="Q24" i="8"/>
  <c r="Q22" i="8"/>
  <c r="Q21" i="8"/>
  <c r="Q20" i="8"/>
  <c r="Q19" i="8"/>
  <c r="Q18" i="8"/>
  <c r="Q17" i="8"/>
  <c r="Q16" i="8"/>
  <c r="Q15" i="8"/>
  <c r="Q13" i="8"/>
  <c r="Q12" i="8"/>
  <c r="Q11" i="8"/>
  <c r="Q10" i="8"/>
  <c r="Q9" i="8"/>
  <c r="Q8" i="8"/>
  <c r="Q7" i="8"/>
  <c r="Q6" i="8"/>
  <c r="Q4" i="8"/>
  <c r="Q3" i="8"/>
  <c r="P33" i="8"/>
  <c r="P32" i="8"/>
  <c r="P31" i="8"/>
  <c r="P30" i="8"/>
  <c r="P29" i="8"/>
  <c r="P28" i="8"/>
  <c r="P27" i="8"/>
  <c r="P26" i="8"/>
  <c r="P25" i="8"/>
  <c r="P24" i="8"/>
  <c r="P23" i="8"/>
  <c r="P22" i="8"/>
  <c r="P21" i="8"/>
  <c r="P20" i="8"/>
  <c r="P19" i="8"/>
  <c r="P18" i="8"/>
  <c r="P17" i="8"/>
  <c r="P16" i="8"/>
  <c r="P15" i="8"/>
  <c r="P14" i="8"/>
  <c r="P13" i="8"/>
  <c r="P12" i="8"/>
  <c r="P11" i="8"/>
  <c r="P10" i="8"/>
  <c r="P9" i="8"/>
  <c r="P8" i="8"/>
  <c r="P7" i="8"/>
  <c r="P6" i="8"/>
  <c r="P5" i="8"/>
  <c r="P4" i="8"/>
  <c r="P3" i="8"/>
  <c r="A101" i="39" l="1"/>
  <c r="D100" i="39"/>
  <c r="O17" i="8"/>
  <c r="P17" i="2"/>
  <c r="AA17" i="8" s="1"/>
  <c r="O30" i="8"/>
  <c r="P30" i="2"/>
  <c r="AA30" i="8" s="1"/>
  <c r="O24" i="8"/>
  <c r="P24" i="2"/>
  <c r="AA24" i="8" s="1"/>
  <c r="O18" i="8"/>
  <c r="P18" i="2"/>
  <c r="AA18" i="8" s="1"/>
  <c r="O12" i="8"/>
  <c r="P12" i="2"/>
  <c r="AA12" i="8" s="1"/>
  <c r="O6" i="8"/>
  <c r="P6" i="2"/>
  <c r="AA6" i="8" s="1"/>
  <c r="O23" i="8"/>
  <c r="P23" i="2"/>
  <c r="AA23" i="8" s="1"/>
  <c r="O5" i="8"/>
  <c r="P5" i="2"/>
  <c r="AA5" i="8" s="1"/>
  <c r="O28" i="8"/>
  <c r="P28" i="2"/>
  <c r="AA28" i="8" s="1"/>
  <c r="O22" i="8"/>
  <c r="P22" i="2"/>
  <c r="AA22" i="8" s="1"/>
  <c r="O16" i="8"/>
  <c r="P16" i="2"/>
  <c r="AA16" i="8" s="1"/>
  <c r="O10" i="8"/>
  <c r="P10" i="2"/>
  <c r="AA10" i="8" s="1"/>
  <c r="O4" i="8"/>
  <c r="P4" i="2"/>
  <c r="AA4" i="8" s="1"/>
  <c r="O29" i="8"/>
  <c r="P29" i="2"/>
  <c r="AA29" i="8" s="1"/>
  <c r="O3" i="8"/>
  <c r="P3" i="2"/>
  <c r="AA3" i="8" s="1"/>
  <c r="O27" i="8"/>
  <c r="P27" i="2"/>
  <c r="AA27" i="8" s="1"/>
  <c r="O21" i="8"/>
  <c r="P21" i="2"/>
  <c r="AA21" i="8" s="1"/>
  <c r="O15" i="8"/>
  <c r="P15" i="2"/>
  <c r="AA15" i="8" s="1"/>
  <c r="O9" i="8"/>
  <c r="P9" i="2"/>
  <c r="AA9" i="8" s="1"/>
  <c r="O33" i="8"/>
  <c r="P33" i="2"/>
  <c r="AA33" i="8" s="1"/>
  <c r="O11" i="8"/>
  <c r="P11" i="2"/>
  <c r="AA11" i="8" s="1"/>
  <c r="O32" i="8"/>
  <c r="P32" i="2"/>
  <c r="AA32" i="8" s="1"/>
  <c r="O20" i="8"/>
  <c r="P20" i="2"/>
  <c r="AA20" i="8" s="1"/>
  <c r="O14" i="8"/>
  <c r="P14" i="2"/>
  <c r="AA14" i="8" s="1"/>
  <c r="O8" i="8"/>
  <c r="P8" i="2"/>
  <c r="AA8" i="8" s="1"/>
  <c r="O26" i="8"/>
  <c r="P26" i="2"/>
  <c r="AA26" i="8" s="1"/>
  <c r="O31" i="8"/>
  <c r="P31" i="2"/>
  <c r="AA31" i="8" s="1"/>
  <c r="O25" i="8"/>
  <c r="P25" i="2"/>
  <c r="AA25" i="8" s="1"/>
  <c r="O19" i="8"/>
  <c r="P19" i="2"/>
  <c r="AA19" i="8" s="1"/>
  <c r="O13" i="8"/>
  <c r="P13" i="2"/>
  <c r="AA13" i="8" s="1"/>
  <c r="O7" i="8"/>
  <c r="P7" i="2"/>
  <c r="AA7" i="8" s="1"/>
  <c r="AS3" i="8"/>
  <c r="P404" i="43" s="1"/>
  <c r="AS22" i="8"/>
  <c r="P423" i="43" s="1"/>
  <c r="AS23" i="8"/>
  <c r="P424" i="43" s="1"/>
  <c r="AO4" i="8"/>
  <c r="L405" i="43" s="1"/>
  <c r="AO6" i="8"/>
  <c r="L407" i="43" s="1"/>
  <c r="AO10" i="8"/>
  <c r="L411" i="43" s="1"/>
  <c r="AO30" i="8"/>
  <c r="L431" i="43" s="1"/>
  <c r="BA13" i="8"/>
  <c r="BA15" i="8"/>
  <c r="BA19" i="8"/>
  <c r="AS28" i="8"/>
  <c r="P429" i="43" s="1"/>
  <c r="AS9" i="8"/>
  <c r="P410" i="43" s="1"/>
  <c r="AS5" i="8"/>
  <c r="P406" i="43" s="1"/>
  <c r="BE32" i="8"/>
  <c r="AS18" i="8"/>
  <c r="P419" i="43" s="1"/>
  <c r="AS7" i="8"/>
  <c r="P408" i="43" s="1"/>
  <c r="BA12" i="8"/>
  <c r="BA16" i="8"/>
  <c r="BA18" i="8"/>
  <c r="BA22" i="8"/>
  <c r="BA24" i="8"/>
  <c r="BA28" i="8"/>
  <c r="AO7" i="8"/>
  <c r="L408" i="43" s="1"/>
  <c r="AO9" i="8"/>
  <c r="L410" i="43" s="1"/>
  <c r="AO21" i="8"/>
  <c r="L422" i="43" s="1"/>
  <c r="AO25" i="8"/>
  <c r="L426" i="43" s="1"/>
  <c r="AO27" i="8"/>
  <c r="L428" i="43" s="1"/>
  <c r="AO31" i="8"/>
  <c r="L432" i="43" s="1"/>
  <c r="AO33" i="8"/>
  <c r="L434" i="43" s="1"/>
  <c r="AS15" i="8"/>
  <c r="P416" i="43" s="1"/>
  <c r="BE11" i="8"/>
  <c r="BE29" i="8"/>
  <c r="AS24" i="8"/>
  <c r="P425" i="43" s="1"/>
  <c r="AS13" i="8"/>
  <c r="P414" i="43" s="1"/>
  <c r="AS21" i="8"/>
  <c r="P422" i="43" s="1"/>
  <c r="AS30" i="8"/>
  <c r="P431" i="43" s="1"/>
  <c r="BE8" i="8"/>
  <c r="AS19" i="8"/>
  <c r="P420" i="43" s="1"/>
  <c r="AS27" i="8"/>
  <c r="P428" i="43" s="1"/>
  <c r="AS4" i="8"/>
  <c r="P405" i="43" s="1"/>
  <c r="BE20" i="8"/>
  <c r="BE17" i="8"/>
  <c r="AS31" i="8"/>
  <c r="P432" i="43" s="1"/>
  <c r="AS25" i="8"/>
  <c r="P426" i="43" s="1"/>
  <c r="AS33" i="8"/>
  <c r="P434" i="43" s="1"/>
  <c r="AS10" i="8"/>
  <c r="P411" i="43" s="1"/>
  <c r="AS6" i="8"/>
  <c r="P407" i="43" s="1"/>
  <c r="BE26" i="8"/>
  <c r="BE14" i="8"/>
  <c r="AS16" i="8"/>
  <c r="P417" i="43" s="1"/>
  <c r="AS12" i="8"/>
  <c r="P413" i="43" s="1"/>
  <c r="AR3" i="8"/>
  <c r="O404" i="43" s="1"/>
  <c r="BD3" i="8"/>
  <c r="T5" i="8"/>
  <c r="AR7" i="8"/>
  <c r="O408" i="43" s="1"/>
  <c r="BD7" i="8"/>
  <c r="AR9" i="8"/>
  <c r="O410" i="43" s="1"/>
  <c r="BD9" i="8"/>
  <c r="T11" i="8"/>
  <c r="AR13" i="8"/>
  <c r="O414" i="43" s="1"/>
  <c r="BD13" i="8"/>
  <c r="AR15" i="8"/>
  <c r="O416" i="43" s="1"/>
  <c r="BD15" i="8"/>
  <c r="T17" i="8"/>
  <c r="AR19" i="8"/>
  <c r="O420" i="43" s="1"/>
  <c r="BD19" i="8"/>
  <c r="AR21" i="8"/>
  <c r="O422" i="43" s="1"/>
  <c r="BD21" i="8"/>
  <c r="T23" i="8"/>
  <c r="AR25" i="8"/>
  <c r="O426" i="43" s="1"/>
  <c r="BD25" i="8"/>
  <c r="AR27" i="8"/>
  <c r="O428" i="43" s="1"/>
  <c r="BD27" i="8"/>
  <c r="T29" i="8"/>
  <c r="AR31" i="8"/>
  <c r="O432" i="43" s="1"/>
  <c r="BD31" i="8"/>
  <c r="AR33" i="8"/>
  <c r="O434" i="43" s="1"/>
  <c r="BD33" i="8"/>
  <c r="AR4" i="8"/>
  <c r="O405" i="43" s="1"/>
  <c r="BD4" i="8"/>
  <c r="AR6" i="8"/>
  <c r="O407" i="43" s="1"/>
  <c r="BD6" i="8"/>
  <c r="T8" i="8"/>
  <c r="AR10" i="8"/>
  <c r="O411" i="43" s="1"/>
  <c r="BD10" i="8"/>
  <c r="AR12" i="8"/>
  <c r="O413" i="43" s="1"/>
  <c r="BD12" i="8"/>
  <c r="T14" i="8"/>
  <c r="AR16" i="8"/>
  <c r="O417" i="43" s="1"/>
  <c r="BD16" i="8"/>
  <c r="AR18" i="8"/>
  <c r="O419" i="43" s="1"/>
  <c r="BD18" i="8"/>
  <c r="T20" i="8"/>
  <c r="AR22" i="8"/>
  <c r="O423" i="43" s="1"/>
  <c r="BD22" i="8"/>
  <c r="AR24" i="8"/>
  <c r="O425" i="43" s="1"/>
  <c r="BD24" i="8"/>
  <c r="T26" i="8"/>
  <c r="AR28" i="8"/>
  <c r="O429" i="43" s="1"/>
  <c r="BD28" i="8"/>
  <c r="AR30" i="8"/>
  <c r="O431" i="43" s="1"/>
  <c r="BD30" i="8"/>
  <c r="T32" i="8"/>
  <c r="BC6" i="8"/>
  <c r="BC12" i="8"/>
  <c r="BC18" i="8"/>
  <c r="BC24" i="8"/>
  <c r="BC30" i="8"/>
  <c r="BC5" i="8"/>
  <c r="BC7" i="8"/>
  <c r="BC11" i="8"/>
  <c r="BC13" i="8"/>
  <c r="BC17" i="8"/>
  <c r="BC19" i="8"/>
  <c r="BC23" i="8"/>
  <c r="BC25" i="8"/>
  <c r="BC29" i="8"/>
  <c r="BC31" i="8"/>
  <c r="AQ3" i="8"/>
  <c r="N404" i="43" s="1"/>
  <c r="BC3" i="8"/>
  <c r="BC9" i="8"/>
  <c r="BC15" i="8"/>
  <c r="BC21" i="8"/>
  <c r="BC27" i="8"/>
  <c r="BC33" i="8"/>
  <c r="BC4" i="8"/>
  <c r="BC8" i="8"/>
  <c r="BC10" i="8"/>
  <c r="BC14" i="8"/>
  <c r="BC16" i="8"/>
  <c r="BC20" i="8"/>
  <c r="BC22" i="8"/>
  <c r="BC26" i="8"/>
  <c r="BC28" i="8"/>
  <c r="BC32" i="8"/>
  <c r="AP21" i="8"/>
  <c r="M422" i="43" s="1"/>
  <c r="BB21" i="8"/>
  <c r="AP4" i="8"/>
  <c r="M405" i="43" s="1"/>
  <c r="BB4" i="8"/>
  <c r="AP6" i="8"/>
  <c r="M407" i="43" s="1"/>
  <c r="BB6" i="8"/>
  <c r="AP8" i="8"/>
  <c r="M409" i="43" s="1"/>
  <c r="BB8" i="8"/>
  <c r="AP29" i="8"/>
  <c r="M430" i="43" s="1"/>
  <c r="BB29" i="8"/>
  <c r="AP31" i="8"/>
  <c r="M432" i="43" s="1"/>
  <c r="BB31" i="8"/>
  <c r="AP33" i="8"/>
  <c r="BB33" i="8"/>
  <c r="AP23" i="8"/>
  <c r="M424" i="43" s="1"/>
  <c r="BB23" i="8"/>
  <c r="AP10" i="8"/>
  <c r="M411" i="43" s="1"/>
  <c r="BB10" i="8"/>
  <c r="AP12" i="8"/>
  <c r="M413" i="43" s="1"/>
  <c r="BB12" i="8"/>
  <c r="AP14" i="8"/>
  <c r="M415" i="43" s="1"/>
  <c r="BB14" i="8"/>
  <c r="AP16" i="8"/>
  <c r="M417" i="43" s="1"/>
  <c r="BB16" i="8"/>
  <c r="AP18" i="8"/>
  <c r="M419" i="43" s="1"/>
  <c r="BB18" i="8"/>
  <c r="AP25" i="8"/>
  <c r="M426" i="43" s="1"/>
  <c r="BB25" i="8"/>
  <c r="AP20" i="8"/>
  <c r="M421" i="43" s="1"/>
  <c r="BB20" i="8"/>
  <c r="AP22" i="8"/>
  <c r="M423" i="43" s="1"/>
  <c r="BB22" i="8"/>
  <c r="AP24" i="8"/>
  <c r="M425" i="43" s="1"/>
  <c r="BB24" i="8"/>
  <c r="AP26" i="8"/>
  <c r="BB26" i="8"/>
  <c r="AP27" i="8"/>
  <c r="M428" i="43" s="1"/>
  <c r="BB27" i="8"/>
  <c r="AP3" i="8"/>
  <c r="M404" i="43" s="1"/>
  <c r="BB3" i="8"/>
  <c r="AP5" i="8"/>
  <c r="M406" i="43" s="1"/>
  <c r="BB5" i="8"/>
  <c r="AP7" i="8"/>
  <c r="M408" i="43" s="1"/>
  <c r="BB7" i="8"/>
  <c r="AP9" i="8"/>
  <c r="M410" i="43" s="1"/>
  <c r="BB9" i="8"/>
  <c r="AP28" i="8"/>
  <c r="M429" i="43" s="1"/>
  <c r="BB28" i="8"/>
  <c r="AP30" i="8"/>
  <c r="M431" i="43" s="1"/>
  <c r="BB30" i="8"/>
  <c r="AP32" i="8"/>
  <c r="M433" i="43" s="1"/>
  <c r="BB32" i="8"/>
  <c r="AP19" i="8"/>
  <c r="BB19" i="8"/>
  <c r="AP11" i="8"/>
  <c r="M412" i="43" s="1"/>
  <c r="BB11" i="8"/>
  <c r="AP13" i="8"/>
  <c r="M414" i="43" s="1"/>
  <c r="BB13" i="8"/>
  <c r="AP15" i="8"/>
  <c r="M416" i="43" s="1"/>
  <c r="BB15" i="8"/>
  <c r="AP17" i="8"/>
  <c r="M418" i="43" s="1"/>
  <c r="BB17" i="8"/>
  <c r="AO8" i="8"/>
  <c r="L409" i="43" s="1"/>
  <c r="BA8" i="8"/>
  <c r="BA7" i="8"/>
  <c r="BA9" i="8"/>
  <c r="AO12" i="8"/>
  <c r="L413" i="43" s="1"/>
  <c r="Q14" i="8"/>
  <c r="AO16" i="8"/>
  <c r="L417" i="43" s="1"/>
  <c r="AO18" i="8"/>
  <c r="L419" i="43" s="1"/>
  <c r="AO20" i="8"/>
  <c r="L421" i="43" s="1"/>
  <c r="BA20" i="8"/>
  <c r="BA30" i="8"/>
  <c r="Q23" i="8"/>
  <c r="AO22" i="8"/>
  <c r="L423" i="43" s="1"/>
  <c r="AO24" i="8"/>
  <c r="L425" i="43" s="1"/>
  <c r="AO26" i="8"/>
  <c r="BA26" i="8"/>
  <c r="AO28" i="8"/>
  <c r="L429" i="43" s="1"/>
  <c r="AO3" i="8"/>
  <c r="L404" i="43" s="1"/>
  <c r="BA3" i="8"/>
  <c r="AO11" i="8"/>
  <c r="L412" i="43" s="1"/>
  <c r="BA11" i="8"/>
  <c r="BA21" i="8"/>
  <c r="BA25" i="8"/>
  <c r="BA27" i="8"/>
  <c r="Q32" i="8"/>
  <c r="AO29" i="8"/>
  <c r="L430" i="43" s="1"/>
  <c r="BA29" i="8"/>
  <c r="Q5" i="8"/>
  <c r="BA4" i="8"/>
  <c r="BA6" i="8"/>
  <c r="BA10" i="8"/>
  <c r="AO13" i="8"/>
  <c r="L414" i="43" s="1"/>
  <c r="AO15" i="8"/>
  <c r="AO17" i="8"/>
  <c r="L418" i="43" s="1"/>
  <c r="BA17" i="8"/>
  <c r="AO19" i="8"/>
  <c r="L420" i="43" s="1"/>
  <c r="BA31" i="8"/>
  <c r="BA33" i="8"/>
  <c r="AN3" i="8"/>
  <c r="K404" i="43" s="1"/>
  <c r="AZ3" i="8"/>
  <c r="AN7" i="8"/>
  <c r="AZ7" i="8"/>
  <c r="AN9" i="8"/>
  <c r="AZ9" i="8"/>
  <c r="AN11" i="8"/>
  <c r="K412" i="43" s="1"/>
  <c r="AZ11" i="8"/>
  <c r="AN13" i="8"/>
  <c r="AZ13" i="8"/>
  <c r="AN15" i="8"/>
  <c r="AZ15" i="8"/>
  <c r="AN17" i="8"/>
  <c r="K418" i="43" s="1"/>
  <c r="AZ17" i="8"/>
  <c r="AN19" i="8"/>
  <c r="AZ19" i="8"/>
  <c r="AN21" i="8"/>
  <c r="K422" i="43" s="1"/>
  <c r="AZ21" i="8"/>
  <c r="AN23" i="8"/>
  <c r="K424" i="43" s="1"/>
  <c r="AZ23" i="8"/>
  <c r="AN25" i="8"/>
  <c r="K426" i="43" s="1"/>
  <c r="AZ25" i="8"/>
  <c r="AN27" i="8"/>
  <c r="AZ27" i="8"/>
  <c r="AN29" i="8"/>
  <c r="K430" i="43" s="1"/>
  <c r="AZ29" i="8"/>
  <c r="AN31" i="8"/>
  <c r="AZ31" i="8"/>
  <c r="AN33" i="8"/>
  <c r="K434" i="43" s="1"/>
  <c r="AZ33" i="8"/>
  <c r="AN5" i="8"/>
  <c r="AZ5" i="8"/>
  <c r="AN4" i="8"/>
  <c r="K405" i="43" s="1"/>
  <c r="AZ4" i="8"/>
  <c r="AN8" i="8"/>
  <c r="AZ8" i="8"/>
  <c r="AN10" i="8"/>
  <c r="K411" i="43" s="1"/>
  <c r="AZ10" i="8"/>
  <c r="AN12" i="8"/>
  <c r="AZ12" i="8"/>
  <c r="AN14" i="8"/>
  <c r="K415" i="43" s="1"/>
  <c r="AZ14" i="8"/>
  <c r="AN16" i="8"/>
  <c r="K417" i="43" s="1"/>
  <c r="AZ16" i="8"/>
  <c r="AN18" i="8"/>
  <c r="K419" i="43" s="1"/>
  <c r="AZ18" i="8"/>
  <c r="AN20" i="8"/>
  <c r="K421" i="43" s="1"/>
  <c r="AZ20" i="8"/>
  <c r="AN22" i="8"/>
  <c r="K423" i="43" s="1"/>
  <c r="AZ22" i="8"/>
  <c r="AN24" i="8"/>
  <c r="K425" i="43" s="1"/>
  <c r="AZ24" i="8"/>
  <c r="AN26" i="8"/>
  <c r="AZ26" i="8"/>
  <c r="AN28" i="8"/>
  <c r="K429" i="43" s="1"/>
  <c r="AZ28" i="8"/>
  <c r="AN30" i="8"/>
  <c r="K431" i="43" s="1"/>
  <c r="AZ30" i="8"/>
  <c r="AN32" i="8"/>
  <c r="K433" i="43" s="1"/>
  <c r="AZ32" i="8"/>
  <c r="AN6" i="8"/>
  <c r="K407" i="43" s="1"/>
  <c r="AZ6" i="8"/>
  <c r="C169" i="43"/>
  <c r="R286" i="43" l="1"/>
  <c r="M420" i="43"/>
  <c r="Y286" i="43"/>
  <c r="M427" i="43"/>
  <c r="AF286" i="43"/>
  <c r="M434" i="43"/>
  <c r="N247" i="43"/>
  <c r="L416" i="43"/>
  <c r="Y247" i="43"/>
  <c r="L427" i="43"/>
  <c r="Y169" i="43"/>
  <c r="K427" i="43"/>
  <c r="G208" i="43"/>
  <c r="K409" i="43"/>
  <c r="Z169" i="43"/>
  <c r="K428" i="43"/>
  <c r="N169" i="43"/>
  <c r="K416" i="43"/>
  <c r="H169" i="43"/>
  <c r="K410" i="43"/>
  <c r="D169" i="43"/>
  <c r="K406" i="43"/>
  <c r="R169" i="43"/>
  <c r="K420" i="43"/>
  <c r="L169" i="43"/>
  <c r="K414" i="43"/>
  <c r="F169" i="43"/>
  <c r="K408" i="43"/>
  <c r="K208" i="43"/>
  <c r="K413" i="43"/>
  <c r="AD169" i="43"/>
  <c r="K432" i="43"/>
  <c r="B286" i="43"/>
  <c r="A102" i="39"/>
  <c r="D101" i="39"/>
  <c r="AC208" i="43"/>
  <c r="G286" i="43"/>
  <c r="X208" i="43"/>
  <c r="S247" i="43"/>
  <c r="K247" i="43"/>
  <c r="Q247" i="43"/>
  <c r="F286" i="43"/>
  <c r="E208" i="43"/>
  <c r="S286" i="43"/>
  <c r="AD286" i="43"/>
  <c r="AA208" i="43"/>
  <c r="N286" i="43"/>
  <c r="I208" i="43"/>
  <c r="E286" i="43"/>
  <c r="X169" i="43"/>
  <c r="AF208" i="43"/>
  <c r="T208" i="43"/>
  <c r="U247" i="43"/>
  <c r="G247" i="43"/>
  <c r="W286" i="43"/>
  <c r="AB286" i="43"/>
  <c r="C286" i="43"/>
  <c r="W208" i="43"/>
  <c r="F208" i="43"/>
  <c r="P286" i="43"/>
  <c r="U286" i="43"/>
  <c r="Q208" i="43"/>
  <c r="L208" i="43"/>
  <c r="P247" i="43"/>
  <c r="AB208" i="43"/>
  <c r="J208" i="43"/>
  <c r="B208" i="43"/>
  <c r="D286" i="43"/>
  <c r="O286" i="43"/>
  <c r="AE286" i="43"/>
  <c r="X286" i="43"/>
  <c r="M286" i="43"/>
  <c r="AD208" i="43"/>
  <c r="P208" i="43"/>
  <c r="AA286" i="43"/>
  <c r="I286" i="43"/>
  <c r="U208" i="43"/>
  <c r="O208" i="43"/>
  <c r="O169" i="43"/>
  <c r="AB247" i="43"/>
  <c r="AC169" i="43"/>
  <c r="V286" i="43"/>
  <c r="G169" i="43"/>
  <c r="H247" i="43"/>
  <c r="Z208" i="43"/>
  <c r="AF169" i="43"/>
  <c r="T169" i="43"/>
  <c r="B247" i="43"/>
  <c r="C208" i="43"/>
  <c r="J286" i="43"/>
  <c r="AC286" i="43"/>
  <c r="K286" i="43"/>
  <c r="E169" i="43"/>
  <c r="E247" i="43"/>
  <c r="B169" i="43"/>
  <c r="P169" i="43"/>
  <c r="L247" i="43"/>
  <c r="J247" i="43"/>
  <c r="W247" i="43"/>
  <c r="AF247" i="43"/>
  <c r="F247" i="43"/>
  <c r="C247" i="43"/>
  <c r="AA169" i="43"/>
  <c r="I169" i="43"/>
  <c r="Y208" i="43"/>
  <c r="S208" i="43"/>
  <c r="N208" i="43"/>
  <c r="H208" i="43"/>
  <c r="O247" i="43"/>
  <c r="L286" i="43"/>
  <c r="H286" i="43"/>
  <c r="K325" i="43"/>
  <c r="W169" i="43"/>
  <c r="AD247" i="43"/>
  <c r="R247" i="43"/>
  <c r="S169" i="43"/>
  <c r="Z247" i="43"/>
  <c r="AA325" i="43"/>
  <c r="V169" i="43"/>
  <c r="U169" i="43"/>
  <c r="R208" i="43"/>
  <c r="AA247" i="43"/>
  <c r="Z286" i="43"/>
  <c r="Q286" i="43"/>
  <c r="T286" i="43"/>
  <c r="N325" i="43"/>
  <c r="K169" i="43"/>
  <c r="Q169" i="43"/>
  <c r="X247" i="43"/>
  <c r="AC247" i="43"/>
  <c r="J169" i="43"/>
  <c r="AB169" i="43"/>
  <c r="AE169" i="43"/>
  <c r="M169" i="43"/>
  <c r="T247" i="43"/>
  <c r="I247" i="43"/>
  <c r="AM33" i="8"/>
  <c r="AY33" i="8"/>
  <c r="AY5" i="8"/>
  <c r="AM25" i="8"/>
  <c r="AY26" i="8"/>
  <c r="AM26" i="8"/>
  <c r="AY29" i="8"/>
  <c r="AM29" i="8"/>
  <c r="AM30" i="8"/>
  <c r="AY18" i="8"/>
  <c r="AY30" i="8"/>
  <c r="S364" i="43"/>
  <c r="AY6" i="8"/>
  <c r="AM6" i="8"/>
  <c r="AM32" i="8"/>
  <c r="AY32" i="8"/>
  <c r="AY13" i="8"/>
  <c r="AM13" i="8"/>
  <c r="AY27" i="8"/>
  <c r="AM27" i="8"/>
  <c r="AM14" i="8"/>
  <c r="AY14" i="8"/>
  <c r="AM22" i="8"/>
  <c r="AY22" i="8"/>
  <c r="AY15" i="8"/>
  <c r="AM15" i="8"/>
  <c r="AY10" i="8"/>
  <c r="AM10" i="8"/>
  <c r="AY25" i="8"/>
  <c r="AM18" i="8"/>
  <c r="AM5" i="8"/>
  <c r="AY31" i="8"/>
  <c r="AM31" i="8"/>
  <c r="AM3" i="8"/>
  <c r="J404" i="43" s="1"/>
  <c r="AY3" i="8"/>
  <c r="AY24" i="8"/>
  <c r="AM24" i="8"/>
  <c r="AM19" i="8"/>
  <c r="AY19" i="8"/>
  <c r="AM21" i="8"/>
  <c r="AY21" i="8"/>
  <c r="AM12" i="8"/>
  <c r="AY12" i="8"/>
  <c r="AM7" i="8"/>
  <c r="AY7" i="8"/>
  <c r="AY9" i="8"/>
  <c r="AM9" i="8"/>
  <c r="AM23" i="8"/>
  <c r="AY23" i="8"/>
  <c r="AY11" i="8"/>
  <c r="AM11" i="8"/>
  <c r="AY28" i="8"/>
  <c r="AM28" i="8"/>
  <c r="AY20" i="8"/>
  <c r="AM20" i="8"/>
  <c r="AM16" i="8"/>
  <c r="AY16" i="8"/>
  <c r="AM8" i="8"/>
  <c r="AY8" i="8"/>
  <c r="AM4" i="8"/>
  <c r="AY4" i="8"/>
  <c r="AM17" i="8"/>
  <c r="AY17" i="8"/>
  <c r="AD325" i="43"/>
  <c r="AC325" i="43"/>
  <c r="I325" i="43"/>
  <c r="Q325" i="43"/>
  <c r="B325" i="43"/>
  <c r="O325" i="43"/>
  <c r="W325" i="43"/>
  <c r="E325" i="43"/>
  <c r="H325" i="43"/>
  <c r="U325" i="43"/>
  <c r="C364" i="43"/>
  <c r="X325" i="43"/>
  <c r="R325" i="43"/>
  <c r="L325" i="43"/>
  <c r="F325" i="43"/>
  <c r="AF325" i="43"/>
  <c r="Z325" i="43"/>
  <c r="T325" i="43"/>
  <c r="AR29" i="8"/>
  <c r="O430" i="43" s="1"/>
  <c r="BD29" i="8"/>
  <c r="AR23" i="8"/>
  <c r="O424" i="43" s="1"/>
  <c r="BD23" i="8"/>
  <c r="AR17" i="8"/>
  <c r="O418" i="43" s="1"/>
  <c r="BD17" i="8"/>
  <c r="AR11" i="8"/>
  <c r="O412" i="43" s="1"/>
  <c r="BD11" i="8"/>
  <c r="AR5" i="8"/>
  <c r="O406" i="43" s="1"/>
  <c r="BD5" i="8"/>
  <c r="AR32" i="8"/>
  <c r="O433" i="43" s="1"/>
  <c r="BD32" i="8"/>
  <c r="AR26" i="8"/>
  <c r="O427" i="43" s="1"/>
  <c r="BD26" i="8"/>
  <c r="AR20" i="8"/>
  <c r="BD20" i="8"/>
  <c r="AR14" i="8"/>
  <c r="O415" i="43" s="1"/>
  <c r="BD14" i="8"/>
  <c r="AR8" i="8"/>
  <c r="O409" i="43" s="1"/>
  <c r="BD8" i="8"/>
  <c r="AO5" i="8"/>
  <c r="BA5" i="8"/>
  <c r="AO23" i="8"/>
  <c r="BA23" i="8"/>
  <c r="AO32" i="8"/>
  <c r="BA32" i="8"/>
  <c r="AO14" i="8"/>
  <c r="BA14" i="8"/>
  <c r="W16" i="43" l="1"/>
  <c r="O421" i="43"/>
  <c r="V247" i="43"/>
  <c r="L424" i="43"/>
  <c r="M247" i="43"/>
  <c r="L415" i="43"/>
  <c r="D247" i="43"/>
  <c r="L406" i="43"/>
  <c r="AE247" i="43"/>
  <c r="L433" i="43"/>
  <c r="G130" i="43"/>
  <c r="J409" i="43"/>
  <c r="T130" i="43"/>
  <c r="J422" i="43"/>
  <c r="I130" i="43"/>
  <c r="J411" i="43"/>
  <c r="X130" i="43"/>
  <c r="J426" i="43"/>
  <c r="M130" i="43"/>
  <c r="J415" i="43"/>
  <c r="AE130" i="43"/>
  <c r="J433" i="43"/>
  <c r="AC130" i="43"/>
  <c r="J431" i="43"/>
  <c r="J130" i="43"/>
  <c r="J412" i="43"/>
  <c r="AB130" i="43"/>
  <c r="J430" i="43"/>
  <c r="P130" i="43"/>
  <c r="J418" i="43"/>
  <c r="O130" i="43"/>
  <c r="J417" i="43"/>
  <c r="F130" i="43"/>
  <c r="J408" i="43"/>
  <c r="R130" i="43"/>
  <c r="J420" i="43"/>
  <c r="N130" i="43"/>
  <c r="J416" i="43"/>
  <c r="Z130" i="43"/>
  <c r="J428" i="43"/>
  <c r="E130" i="43"/>
  <c r="J407" i="43"/>
  <c r="S130" i="43"/>
  <c r="J421" i="43"/>
  <c r="W130" i="43"/>
  <c r="J425" i="43"/>
  <c r="D130" i="43"/>
  <c r="J406" i="43"/>
  <c r="AF130" i="43"/>
  <c r="J434" i="43"/>
  <c r="AD130" i="43"/>
  <c r="J432" i="43"/>
  <c r="V130" i="43"/>
  <c r="J424" i="43"/>
  <c r="C130" i="43"/>
  <c r="J405" i="43"/>
  <c r="K130" i="43"/>
  <c r="J413" i="43"/>
  <c r="Q130" i="43"/>
  <c r="J419" i="43"/>
  <c r="L130" i="43"/>
  <c r="J414" i="43"/>
  <c r="Y130" i="43"/>
  <c r="J427" i="43"/>
  <c r="AA130" i="43"/>
  <c r="J429" i="43"/>
  <c r="H130" i="43"/>
  <c r="J410" i="43"/>
  <c r="U130" i="43"/>
  <c r="J423" i="43"/>
  <c r="A103" i="39"/>
  <c r="D102" i="39"/>
  <c r="Y325" i="43"/>
  <c r="S325" i="43"/>
  <c r="AB325" i="43"/>
  <c r="G325" i="43"/>
  <c r="D325" i="43"/>
  <c r="P325" i="43"/>
  <c r="V325" i="43"/>
  <c r="M325" i="43"/>
  <c r="AE325" i="43"/>
  <c r="AE208" i="43"/>
  <c r="J325" i="43"/>
  <c r="V208" i="43"/>
  <c r="M208" i="43"/>
  <c r="D208" i="43"/>
  <c r="C325" i="43"/>
  <c r="AB16" i="43"/>
  <c r="X364" i="43"/>
  <c r="AI16" i="43"/>
  <c r="AE364" i="43"/>
  <c r="AJ16" i="43"/>
  <c r="AF364" i="43"/>
  <c r="Y16" i="43"/>
  <c r="U364" i="43"/>
  <c r="AA16" i="43"/>
  <c r="W364" i="43"/>
  <c r="F16" i="43"/>
  <c r="B364" i="43"/>
  <c r="AF16" i="43"/>
  <c r="AB364" i="43"/>
  <c r="R16" i="43"/>
  <c r="N364" i="43"/>
  <c r="AG16" i="43"/>
  <c r="AC364" i="43"/>
  <c r="AD16" i="43"/>
  <c r="Z364" i="43"/>
  <c r="K16" i="43"/>
  <c r="G364" i="43"/>
  <c r="J16" i="43"/>
  <c r="F364" i="43"/>
  <c r="L16" i="43"/>
  <c r="H364" i="43"/>
  <c r="N16" i="43"/>
  <c r="J364" i="43"/>
  <c r="U16" i="43"/>
  <c r="Q364" i="43"/>
  <c r="M16" i="43"/>
  <c r="I364" i="43"/>
  <c r="Z16" i="43"/>
  <c r="V364" i="43"/>
  <c r="T16" i="43"/>
  <c r="P364" i="43"/>
  <c r="AH16" i="43"/>
  <c r="AD364" i="43"/>
  <c r="AC16" i="43"/>
  <c r="Y364" i="43"/>
  <c r="P16" i="43"/>
  <c r="L364" i="43"/>
  <c r="X16" i="43"/>
  <c r="T364" i="43"/>
  <c r="V16" i="43"/>
  <c r="R364" i="43"/>
  <c r="I16" i="43"/>
  <c r="E364" i="43"/>
  <c r="S16" i="43"/>
  <c r="O364" i="43"/>
  <c r="H16" i="43"/>
  <c r="D364" i="43"/>
  <c r="AE16" i="43"/>
  <c r="AA364" i="43"/>
  <c r="O16" i="43"/>
  <c r="K364" i="43"/>
  <c r="Q16" i="43"/>
  <c r="M364" i="43"/>
  <c r="B130" i="43"/>
  <c r="G16" i="43"/>
  <c r="A104" i="39" l="1"/>
  <c r="D103" i="39"/>
  <c r="AL4" i="8"/>
  <c r="AL5" i="8"/>
  <c r="AL6" i="8"/>
  <c r="AL7" i="8"/>
  <c r="AL8" i="8"/>
  <c r="AL9" i="8"/>
  <c r="AL10" i="8"/>
  <c r="AL11" i="8"/>
  <c r="AL12" i="8"/>
  <c r="AL13" i="8"/>
  <c r="AL14" i="8"/>
  <c r="AL15" i="8"/>
  <c r="AL16" i="8"/>
  <c r="AL17" i="8"/>
  <c r="AL18" i="8"/>
  <c r="AL19" i="8"/>
  <c r="AL20" i="8"/>
  <c r="AL21" i="8"/>
  <c r="AL22" i="8"/>
  <c r="AL23" i="8"/>
  <c r="AL24" i="8"/>
  <c r="AL25" i="8"/>
  <c r="AL26" i="8"/>
  <c r="AL27" i="8"/>
  <c r="AL28" i="8"/>
  <c r="AL29" i="8"/>
  <c r="AL30" i="8"/>
  <c r="AL31" i="8"/>
  <c r="AL32" i="8"/>
  <c r="AL33" i="8"/>
  <c r="AL3" i="8"/>
  <c r="B73" i="39" l="1"/>
  <c r="D104" i="39"/>
  <c r="Z324" i="43"/>
  <c r="Z168" i="43"/>
  <c r="Z207" i="43"/>
  <c r="Z246" i="43"/>
  <c r="Z129" i="43"/>
  <c r="Z285" i="43"/>
  <c r="AD15" i="43"/>
  <c r="Z363" i="43"/>
  <c r="N324" i="43"/>
  <c r="N168" i="43"/>
  <c r="N246" i="43"/>
  <c r="N207" i="43"/>
  <c r="N129" i="43"/>
  <c r="N285" i="43"/>
  <c r="R15" i="43"/>
  <c r="N363" i="43"/>
  <c r="Y324" i="43"/>
  <c r="Y168" i="43"/>
  <c r="AC15" i="43"/>
  <c r="Y207" i="43"/>
  <c r="Y129" i="43"/>
  <c r="Y246" i="43"/>
  <c r="Y285" i="43"/>
  <c r="Y363" i="43"/>
  <c r="M324" i="43"/>
  <c r="M363" i="43"/>
  <c r="M168" i="43"/>
  <c r="Q15" i="43"/>
  <c r="M285" i="43"/>
  <c r="M207" i="43"/>
  <c r="M129" i="43"/>
  <c r="M246" i="43"/>
  <c r="AD324" i="43"/>
  <c r="AD363" i="43"/>
  <c r="AD285" i="43"/>
  <c r="AD168" i="43"/>
  <c r="AD129" i="43"/>
  <c r="AD207" i="43"/>
  <c r="AH15" i="43"/>
  <c r="AD246" i="43"/>
  <c r="X324" i="43"/>
  <c r="X363" i="43"/>
  <c r="X285" i="43"/>
  <c r="X168" i="43"/>
  <c r="X129" i="43"/>
  <c r="AB15" i="43"/>
  <c r="X207" i="43"/>
  <c r="X246" i="43"/>
  <c r="W324" i="43"/>
  <c r="W285" i="43"/>
  <c r="AA15" i="43"/>
  <c r="W363" i="43"/>
  <c r="W129" i="43"/>
  <c r="W207" i="43"/>
  <c r="W168" i="43"/>
  <c r="W246" i="43"/>
  <c r="E324" i="43"/>
  <c r="E246" i="43"/>
  <c r="I15" i="43"/>
  <c r="E168" i="43"/>
  <c r="E285" i="43"/>
  <c r="E129" i="43"/>
  <c r="E363" i="43"/>
  <c r="E207" i="43"/>
  <c r="T324" i="43"/>
  <c r="T168" i="43"/>
  <c r="T207" i="43"/>
  <c r="T246" i="43"/>
  <c r="T129" i="43"/>
  <c r="T363" i="43"/>
  <c r="X15" i="43"/>
  <c r="T285" i="43"/>
  <c r="AE324" i="43"/>
  <c r="AE168" i="43"/>
  <c r="AE207" i="43"/>
  <c r="AE129" i="43"/>
  <c r="AE246" i="43"/>
  <c r="AE363" i="43"/>
  <c r="AE285" i="43"/>
  <c r="AI15" i="43"/>
  <c r="L324" i="43"/>
  <c r="L363" i="43"/>
  <c r="L207" i="43"/>
  <c r="L168" i="43"/>
  <c r="L129" i="43"/>
  <c r="L246" i="43"/>
  <c r="P15" i="43"/>
  <c r="L285" i="43"/>
  <c r="AC324" i="43"/>
  <c r="AC285" i="43"/>
  <c r="AG15" i="43"/>
  <c r="AC363" i="43"/>
  <c r="AC207" i="43"/>
  <c r="AC246" i="43"/>
  <c r="AC129" i="43"/>
  <c r="AC168" i="43"/>
  <c r="V324" i="43"/>
  <c r="V246" i="43"/>
  <c r="V168" i="43"/>
  <c r="V207" i="43"/>
  <c r="V285" i="43"/>
  <c r="Z15" i="43"/>
  <c r="V363" i="43"/>
  <c r="V129" i="43"/>
  <c r="P324" i="43"/>
  <c r="P246" i="43"/>
  <c r="P168" i="43"/>
  <c r="T15" i="43"/>
  <c r="P285" i="43"/>
  <c r="P129" i="43"/>
  <c r="P363" i="43"/>
  <c r="P207" i="43"/>
  <c r="J324" i="43"/>
  <c r="J246" i="43"/>
  <c r="N15" i="43"/>
  <c r="J129" i="43"/>
  <c r="J285" i="43"/>
  <c r="J363" i="43"/>
  <c r="J207" i="43"/>
  <c r="J168" i="43"/>
  <c r="D324" i="43"/>
  <c r="D285" i="43"/>
  <c r="D129" i="43"/>
  <c r="H15" i="43"/>
  <c r="D363" i="43"/>
  <c r="D168" i="43"/>
  <c r="D207" i="43"/>
  <c r="D246" i="43"/>
  <c r="AF324" i="43"/>
  <c r="AF168" i="43"/>
  <c r="AF207" i="43"/>
  <c r="AJ15" i="43"/>
  <c r="AF363" i="43"/>
  <c r="AF246" i="43"/>
  <c r="AF129" i="43"/>
  <c r="AF285" i="43"/>
  <c r="H324" i="43"/>
  <c r="H168" i="43"/>
  <c r="H207" i="43"/>
  <c r="L15" i="43"/>
  <c r="H285" i="43"/>
  <c r="H363" i="43"/>
  <c r="H129" i="43"/>
  <c r="H246" i="43"/>
  <c r="S324" i="43"/>
  <c r="S168" i="43"/>
  <c r="S207" i="43"/>
  <c r="S129" i="43"/>
  <c r="S246" i="43"/>
  <c r="W15" i="43"/>
  <c r="S285" i="43"/>
  <c r="S363" i="43"/>
  <c r="G324" i="43"/>
  <c r="G168" i="43"/>
  <c r="G207" i="43"/>
  <c r="G246" i="43"/>
  <c r="G129" i="43"/>
  <c r="G363" i="43"/>
  <c r="G285" i="43"/>
  <c r="K15" i="43"/>
  <c r="R324" i="43"/>
  <c r="R363" i="43"/>
  <c r="R285" i="43"/>
  <c r="R168" i="43"/>
  <c r="R129" i="43"/>
  <c r="V15" i="43"/>
  <c r="R246" i="43"/>
  <c r="R207" i="43"/>
  <c r="F324" i="43"/>
  <c r="J15" i="43"/>
  <c r="F285" i="43"/>
  <c r="F129" i="43"/>
  <c r="F246" i="43"/>
  <c r="F363" i="43"/>
  <c r="F168" i="43"/>
  <c r="F207" i="43"/>
  <c r="Q324" i="43"/>
  <c r="Q363" i="43"/>
  <c r="Q129" i="43"/>
  <c r="Q207" i="43"/>
  <c r="U15" i="43"/>
  <c r="Q168" i="43"/>
  <c r="Q246" i="43"/>
  <c r="Q285" i="43"/>
  <c r="K324" i="43"/>
  <c r="K285" i="43"/>
  <c r="K363" i="43"/>
  <c r="O15" i="43"/>
  <c r="K207" i="43"/>
  <c r="K129" i="43"/>
  <c r="K168" i="43"/>
  <c r="K246" i="43"/>
  <c r="AB324" i="43"/>
  <c r="AB246" i="43"/>
  <c r="AB285" i="43"/>
  <c r="AB363" i="43"/>
  <c r="AB129" i="43"/>
  <c r="AB168" i="43"/>
  <c r="AB207" i="43"/>
  <c r="AF15" i="43"/>
  <c r="B324" i="43"/>
  <c r="B363" i="43"/>
  <c r="B168" i="43"/>
  <c r="B285" i="43"/>
  <c r="B207" i="43"/>
  <c r="B246" i="43"/>
  <c r="B129" i="43"/>
  <c r="F15" i="43"/>
  <c r="AA324" i="43"/>
  <c r="AA207" i="43"/>
  <c r="AE15" i="43"/>
  <c r="AA168" i="43"/>
  <c r="AA246" i="43"/>
  <c r="AA129" i="43"/>
  <c r="AA285" i="43"/>
  <c r="AA363" i="43"/>
  <c r="U324" i="43"/>
  <c r="U207" i="43"/>
  <c r="Y15" i="43"/>
  <c r="U246" i="43"/>
  <c r="U285" i="43"/>
  <c r="U129" i="43"/>
  <c r="U363" i="43"/>
  <c r="U168" i="43"/>
  <c r="O324" i="43"/>
  <c r="O207" i="43"/>
  <c r="O246" i="43"/>
  <c r="S15" i="43"/>
  <c r="O168" i="43"/>
  <c r="O285" i="43"/>
  <c r="O129" i="43"/>
  <c r="O363" i="43"/>
  <c r="I324" i="43"/>
  <c r="I207" i="43"/>
  <c r="I285" i="43"/>
  <c r="I246" i="43"/>
  <c r="I129" i="43"/>
  <c r="I363" i="43"/>
  <c r="M15" i="43"/>
  <c r="I168" i="43"/>
  <c r="C324" i="43"/>
  <c r="C168" i="43"/>
  <c r="C285" i="43"/>
  <c r="C207" i="43"/>
  <c r="C246" i="43"/>
  <c r="C363" i="43"/>
  <c r="C129" i="43"/>
  <c r="G15" i="43"/>
  <c r="AX11" i="8"/>
  <c r="AX10" i="8"/>
  <c r="AX3" i="8"/>
  <c r="AX28" i="8"/>
  <c r="AX19" i="8"/>
  <c r="AX16" i="8"/>
  <c r="AX20" i="8"/>
  <c r="AX27" i="8"/>
  <c r="AX32" i="8"/>
  <c r="AX26" i="8"/>
  <c r="AX17" i="8"/>
  <c r="AX9" i="8"/>
  <c r="AX8" i="8"/>
  <c r="AX24" i="8"/>
  <c r="AX18" i="8"/>
  <c r="AX12" i="8"/>
  <c r="AX6" i="8"/>
  <c r="AX31" i="8"/>
  <c r="AX25" i="8"/>
  <c r="AX7" i="8"/>
  <c r="AX14" i="8"/>
  <c r="AX30" i="8"/>
  <c r="AX23" i="8"/>
  <c r="AX15" i="8"/>
  <c r="AX5" i="8"/>
  <c r="AX21" i="8"/>
  <c r="AX33" i="8"/>
  <c r="AX29" i="8"/>
  <c r="AX22" i="8"/>
  <c r="AX13" i="8"/>
  <c r="AX4" i="8"/>
  <c r="M4" i="8"/>
  <c r="M5" i="8" s="1"/>
  <c r="M6" i="8" s="1"/>
  <c r="M7" i="8" s="1"/>
  <c r="M8" i="8" s="1"/>
  <c r="M9" i="8" s="1"/>
  <c r="M10" i="8" s="1"/>
  <c r="M11" i="8" s="1"/>
  <c r="M12" i="8" s="1"/>
  <c r="M13" i="8" s="1"/>
  <c r="M14" i="8" s="1"/>
  <c r="M15" i="8" s="1"/>
  <c r="M16" i="8" s="1"/>
  <c r="M17" i="8" s="1"/>
  <c r="M18" i="8" s="1"/>
  <c r="M19" i="8" s="1"/>
  <c r="M20" i="8" s="1"/>
  <c r="M21" i="8" s="1"/>
  <c r="M22" i="8" s="1"/>
  <c r="M23" i="8" s="1"/>
  <c r="M24" i="8" s="1"/>
  <c r="M25" i="8" s="1"/>
  <c r="M26" i="8" s="1"/>
  <c r="M27" i="8" s="1"/>
  <c r="M28" i="8" s="1"/>
  <c r="M29" i="8" s="1"/>
  <c r="M30" i="8" s="1"/>
  <c r="M31" i="8" s="1"/>
  <c r="M33" i="8" s="1"/>
  <c r="N3" i="8"/>
  <c r="N4" i="8"/>
  <c r="N5" i="8"/>
  <c r="N6" i="8"/>
  <c r="N7" i="8"/>
  <c r="N8" i="8"/>
  <c r="N9" i="8"/>
  <c r="N10" i="8"/>
  <c r="N11" i="8"/>
  <c r="N12" i="8"/>
  <c r="N13" i="8"/>
  <c r="N14" i="8"/>
  <c r="N15" i="8"/>
  <c r="N16" i="8"/>
  <c r="N17" i="8"/>
  <c r="N18" i="8"/>
  <c r="N19" i="8"/>
  <c r="N20" i="8"/>
  <c r="N21" i="8"/>
  <c r="N22" i="8"/>
  <c r="N23" i="8"/>
  <c r="N24" i="8"/>
  <c r="N25" i="8"/>
  <c r="N26" i="8"/>
  <c r="N27" i="8"/>
  <c r="N28" i="8"/>
  <c r="N29" i="8"/>
  <c r="N30" i="8"/>
  <c r="N31" i="8"/>
  <c r="N33" i="8"/>
  <c r="AE282" i="43" l="1"/>
  <c r="AE280" i="43"/>
  <c r="Z280" i="43"/>
  <c r="Z282" i="43"/>
  <c r="A61" i="43"/>
  <c r="AF280" i="43"/>
  <c r="AF282" i="43"/>
  <c r="AC280" i="43"/>
  <c r="AC282" i="43"/>
  <c r="AB280" i="43"/>
  <c r="AB282" i="43"/>
  <c r="B61" i="43"/>
  <c r="AA280" i="43"/>
  <c r="AA282" i="43"/>
  <c r="AD282" i="43"/>
  <c r="AD280" i="43"/>
  <c r="AO589" i="43" l="1"/>
  <c r="AP589" i="43"/>
  <c r="AQ589" i="43"/>
  <c r="AG589" i="43"/>
  <c r="AJ589" i="43"/>
  <c r="AM589" i="43"/>
  <c r="AH589" i="43"/>
  <c r="AK589" i="43"/>
  <c r="AL589" i="43"/>
  <c r="AI589" i="43"/>
  <c r="AN589" i="43"/>
  <c r="AK588" i="43"/>
  <c r="AG588" i="43"/>
  <c r="AO588" i="43"/>
  <c r="AM588" i="43"/>
  <c r="AH588" i="43"/>
  <c r="AP588" i="43"/>
  <c r="AQ588" i="43"/>
  <c r="AL588" i="43"/>
  <c r="AN588" i="43"/>
  <c r="AI588" i="43"/>
  <c r="AJ588" i="43"/>
  <c r="AL591" i="43"/>
  <c r="AM591" i="43"/>
  <c r="AO591" i="43"/>
  <c r="AJ591" i="43"/>
  <c r="AG591" i="43"/>
  <c r="AH591" i="43"/>
  <c r="AK591" i="43"/>
  <c r="AP591" i="43"/>
  <c r="AQ591" i="43"/>
  <c r="AI591" i="43"/>
  <c r="AN591" i="43"/>
  <c r="AO594" i="43"/>
  <c r="AN594" i="43"/>
  <c r="AP594" i="43"/>
  <c r="AQ594" i="43"/>
  <c r="AI594" i="43"/>
  <c r="AK594" i="43"/>
  <c r="AM594" i="43"/>
  <c r="AH594" i="43"/>
  <c r="AG594" i="43"/>
  <c r="AL594" i="43"/>
  <c r="AJ594" i="43"/>
  <c r="AP595" i="43"/>
  <c r="AK595" i="43"/>
  <c r="AM595" i="43"/>
  <c r="AN595" i="43"/>
  <c r="AJ595" i="43"/>
  <c r="AH595" i="43"/>
  <c r="AQ595" i="43"/>
  <c r="AG595" i="43"/>
  <c r="AL595" i="43"/>
  <c r="AI595" i="43"/>
  <c r="AO595" i="43"/>
  <c r="AK592" i="43"/>
  <c r="AN592" i="43"/>
  <c r="AG592" i="43"/>
  <c r="AI592" i="43"/>
  <c r="AJ592" i="43"/>
  <c r="AP592" i="43"/>
  <c r="AO592" i="43"/>
  <c r="AL592" i="43"/>
  <c r="AQ592" i="43"/>
  <c r="AH592" i="43"/>
  <c r="AM592" i="43"/>
  <c r="AN593" i="43"/>
  <c r="AI593" i="43"/>
  <c r="AK593" i="43"/>
  <c r="AM593" i="43"/>
  <c r="AO593" i="43"/>
  <c r="AQ593" i="43"/>
  <c r="AH593" i="43"/>
  <c r="AP593" i="43"/>
  <c r="AG593" i="43"/>
  <c r="AL593" i="43"/>
  <c r="AJ593" i="43"/>
  <c r="AO590" i="43"/>
  <c r="AJ590" i="43"/>
  <c r="AQ590" i="43"/>
  <c r="AG590" i="43"/>
  <c r="AM590" i="43"/>
  <c r="AP590" i="43"/>
  <c r="AN590" i="43"/>
  <c r="AH590" i="43"/>
  <c r="AI590" i="43"/>
  <c r="AL590" i="43"/>
  <c r="AK590" i="43"/>
  <c r="AN587" i="43"/>
  <c r="AH587" i="43"/>
  <c r="AP587" i="43"/>
  <c r="AG587" i="43"/>
  <c r="AI587" i="43"/>
  <c r="AK587" i="43"/>
  <c r="AM587" i="43"/>
  <c r="AL587" i="43"/>
  <c r="AQ587" i="43"/>
  <c r="AJ587" i="43"/>
  <c r="AO587" i="43"/>
  <c r="AI596" i="43" l="1"/>
  <c r="AI597" i="43" s="1"/>
  <c r="AH596" i="43"/>
  <c r="AH597" i="43" s="1"/>
  <c r="AJ596" i="43"/>
  <c r="AJ597" i="43" s="1"/>
  <c r="AM596" i="43"/>
  <c r="AM597" i="43" s="1"/>
  <c r="AL596" i="43"/>
  <c r="AL597" i="43" s="1"/>
  <c r="AK596" i="43"/>
  <c r="AK597" i="43" s="1"/>
  <c r="AG596" i="43"/>
  <c r="AG597" i="43" s="1"/>
  <c r="AO596" i="43"/>
  <c r="AO597" i="43" s="1"/>
  <c r="AP596" i="43"/>
  <c r="AP597" i="43" s="1"/>
  <c r="AN596" i="43"/>
  <c r="AN597" i="43" s="1"/>
  <c r="AQ596" i="43"/>
  <c r="AQ597" i="43" s="1"/>
  <c r="B49" i="43"/>
  <c r="C42" i="43" l="1"/>
  <c r="C37" i="43"/>
  <c r="C44" i="43"/>
  <c r="C21" i="43"/>
  <c r="C35" i="43"/>
  <c r="C33" i="43"/>
  <c r="C23" i="43"/>
  <c r="C31" i="43"/>
  <c r="C46" i="43"/>
  <c r="C43" i="43"/>
  <c r="C19" i="43"/>
  <c r="C40" i="43"/>
  <c r="C47" i="43"/>
  <c r="C29" i="43"/>
  <c r="C25" i="43"/>
  <c r="C32" i="43"/>
  <c r="C39" i="43"/>
  <c r="C36" i="43"/>
  <c r="C26" i="43"/>
  <c r="C28" i="43"/>
  <c r="C20" i="43"/>
  <c r="C24" i="43"/>
  <c r="C18" i="43"/>
  <c r="C30" i="43"/>
  <c r="C27" i="43"/>
  <c r="C41" i="43"/>
  <c r="C45" i="43"/>
  <c r="C22" i="43"/>
  <c r="C48" i="43"/>
  <c r="C34" i="43"/>
  <c r="C38" i="43"/>
  <c r="C17" i="43"/>
  <c r="G222" i="43" l="1"/>
  <c r="P339" i="43"/>
  <c r="B183" i="43"/>
  <c r="AB261" i="43"/>
  <c r="L261" i="43"/>
  <c r="AD144" i="43"/>
  <c r="C378" i="43"/>
  <c r="J222" i="43"/>
  <c r="V339" i="43"/>
  <c r="Q300" i="43"/>
  <c r="G378" i="43"/>
  <c r="N261" i="43"/>
  <c r="T30" i="43"/>
  <c r="W222" i="43"/>
  <c r="I300" i="43"/>
  <c r="I30" i="43"/>
  <c r="D339" i="43"/>
  <c r="AE339" i="43"/>
  <c r="Z339" i="43"/>
  <c r="K183" i="43"/>
  <c r="Z144" i="43"/>
  <c r="AC144" i="43"/>
  <c r="AI30" i="43"/>
  <c r="S339" i="43"/>
  <c r="N183" i="43"/>
  <c r="AC183" i="43"/>
  <c r="I144" i="43"/>
  <c r="O144" i="43"/>
  <c r="AC30" i="43"/>
  <c r="AF339" i="43"/>
  <c r="E183" i="43"/>
  <c r="F30" i="43"/>
  <c r="Y222" i="43"/>
  <c r="B300" i="43"/>
  <c r="P378" i="43"/>
  <c r="K144" i="43"/>
  <c r="M222" i="43"/>
  <c r="S222" i="43"/>
  <c r="S261" i="43"/>
  <c r="P144" i="43"/>
  <c r="Q222" i="43"/>
  <c r="Y183" i="43"/>
  <c r="O300" i="43"/>
  <c r="AE261" i="43"/>
  <c r="V261" i="43"/>
  <c r="I222" i="43"/>
  <c r="I183" i="43"/>
  <c r="N222" i="43"/>
  <c r="B222" i="43"/>
  <c r="M30" i="43"/>
  <c r="K339" i="43"/>
  <c r="O339" i="43"/>
  <c r="D261" i="43"/>
  <c r="J261" i="43"/>
  <c r="F378" i="43"/>
  <c r="K300" i="43"/>
  <c r="S144" i="43"/>
  <c r="T339" i="43"/>
  <c r="W261" i="43"/>
  <c r="D183" i="43"/>
  <c r="S183" i="43"/>
  <c r="I339" i="43"/>
  <c r="AA183" i="43"/>
  <c r="AF222" i="43"/>
  <c r="V183" i="43"/>
  <c r="AB378" i="43"/>
  <c r="AA378" i="43"/>
  <c r="V30" i="43"/>
  <c r="V300" i="43"/>
  <c r="Q339" i="43"/>
  <c r="AD183" i="43"/>
  <c r="J144" i="43"/>
  <c r="P222" i="43"/>
  <c r="AA300" i="43"/>
  <c r="N378" i="43"/>
  <c r="R261" i="43"/>
  <c r="F339" i="43"/>
  <c r="F261" i="43"/>
  <c r="Y261" i="43"/>
  <c r="P261" i="43"/>
  <c r="AB30" i="43"/>
  <c r="T222" i="43"/>
  <c r="AD30" i="43"/>
  <c r="AB222" i="43"/>
  <c r="H339" i="43"/>
  <c r="Q30" i="43"/>
  <c r="L222" i="43"/>
  <c r="Y300" i="43"/>
  <c r="U261" i="43"/>
  <c r="T378" i="43"/>
  <c r="U144" i="43"/>
  <c r="AA339" i="43"/>
  <c r="X378" i="43"/>
  <c r="AE300" i="43"/>
  <c r="N144" i="43"/>
  <c r="H300" i="43"/>
  <c r="Y144" i="43"/>
  <c r="J183" i="43"/>
  <c r="T144" i="43"/>
  <c r="W339" i="43"/>
  <c r="E378" i="43"/>
  <c r="P183" i="43"/>
  <c r="AB183" i="43"/>
  <c r="U300" i="43"/>
  <c r="R30" i="43"/>
  <c r="L183" i="43"/>
  <c r="AC300" i="43"/>
  <c r="D144" i="43"/>
  <c r="AA261" i="43"/>
  <c r="F222" i="43"/>
  <c r="T183" i="43"/>
  <c r="Q378" i="43"/>
  <c r="B86" i="39"/>
  <c r="C339" i="43"/>
  <c r="G300" i="43"/>
  <c r="R183" i="43"/>
  <c r="AD300" i="43"/>
  <c r="AG30" i="43"/>
  <c r="L339" i="43"/>
  <c r="AA30" i="43"/>
  <c r="N339" i="43"/>
  <c r="W300" i="43"/>
  <c r="Z30" i="43"/>
  <c r="X222" i="43"/>
  <c r="C183" i="43"/>
  <c r="G183" i="43"/>
  <c r="F144" i="43"/>
  <c r="W378" i="43"/>
  <c r="U183" i="43"/>
  <c r="R378" i="43"/>
  <c r="Z300" i="43"/>
  <c r="AF144" i="43"/>
  <c r="AC339" i="43"/>
  <c r="Z378" i="43"/>
  <c r="AD339" i="43"/>
  <c r="H378" i="43"/>
  <c r="T300" i="43"/>
  <c r="AE378" i="43"/>
  <c r="P30" i="43"/>
  <c r="AB339" i="43"/>
  <c r="O222" i="43"/>
  <c r="D300" i="43"/>
  <c r="AB300" i="43"/>
  <c r="O261" i="43"/>
  <c r="AH30" i="43"/>
  <c r="U339" i="43"/>
  <c r="E261" i="43"/>
  <c r="W183" i="43"/>
  <c r="K30" i="43"/>
  <c r="H183" i="43"/>
  <c r="G261" i="43"/>
  <c r="S378" i="43"/>
  <c r="C144" i="43"/>
  <c r="AJ30" i="43"/>
  <c r="E222" i="43"/>
  <c r="L30" i="43"/>
  <c r="H222" i="43"/>
  <c r="M300" i="43"/>
  <c r="N30" i="43"/>
  <c r="Z222" i="43"/>
  <c r="P300" i="43"/>
  <c r="AF378" i="43"/>
  <c r="Q183" i="43"/>
  <c r="R144" i="43"/>
  <c r="R300" i="43"/>
  <c r="Y378" i="43"/>
  <c r="M339" i="43"/>
  <c r="D378" i="43"/>
  <c r="Z183" i="43"/>
  <c r="B144" i="43"/>
  <c r="AF183" i="43"/>
  <c r="L144" i="43"/>
  <c r="O183" i="43"/>
  <c r="T261" i="43"/>
  <c r="O378" i="43"/>
  <c r="AD222" i="43"/>
  <c r="AA222" i="43"/>
  <c r="AF300" i="43"/>
  <c r="Q261" i="43"/>
  <c r="AB144" i="43"/>
  <c r="U30" i="43"/>
  <c r="F183" i="43"/>
  <c r="U378" i="43"/>
  <c r="C261" i="43"/>
  <c r="X30" i="43"/>
  <c r="X339" i="43"/>
  <c r="I378" i="43"/>
  <c r="L378" i="43"/>
  <c r="H144" i="43"/>
  <c r="J30" i="43"/>
  <c r="R339" i="43"/>
  <c r="H30" i="43"/>
  <c r="V222" i="43"/>
  <c r="E339" i="43"/>
  <c r="D222" i="43"/>
  <c r="X300" i="43"/>
  <c r="N300" i="43"/>
  <c r="H261" i="43"/>
  <c r="E144" i="43"/>
  <c r="AE30" i="43"/>
  <c r="AE183" i="43"/>
  <c r="M144" i="43"/>
  <c r="M183" i="43"/>
  <c r="B378" i="43"/>
  <c r="K261" i="43"/>
  <c r="V144" i="43"/>
  <c r="V378" i="43"/>
  <c r="AD261" i="43"/>
  <c r="J378" i="43"/>
  <c r="AA144" i="43"/>
  <c r="AE144" i="43"/>
  <c r="K378" i="43"/>
  <c r="O30" i="43"/>
  <c r="B339" i="43"/>
  <c r="C300" i="43"/>
  <c r="X261" i="43"/>
  <c r="M378" i="43"/>
  <c r="G30" i="43"/>
  <c r="Y339" i="43"/>
  <c r="AC378" i="43"/>
  <c r="Q144" i="43"/>
  <c r="R222" i="43"/>
  <c r="J339" i="43"/>
  <c r="B261" i="43"/>
  <c r="X144" i="43"/>
  <c r="G144" i="43"/>
  <c r="S30" i="43"/>
  <c r="L300" i="43"/>
  <c r="Y30" i="43"/>
  <c r="S300" i="43"/>
  <c r="F300" i="43"/>
  <c r="U222" i="43"/>
  <c r="G339" i="43"/>
  <c r="E300" i="43"/>
  <c r="AF261" i="43"/>
  <c r="W144" i="43"/>
  <c r="AE222" i="43"/>
  <c r="I261" i="43"/>
  <c r="W30" i="43"/>
  <c r="M261" i="43"/>
  <c r="K222" i="43"/>
  <c r="Z261" i="43"/>
  <c r="AC222" i="43"/>
  <c r="AC261" i="43"/>
  <c r="AF30" i="43"/>
  <c r="X183" i="43"/>
  <c r="AD378" i="43"/>
  <c r="C222" i="43"/>
  <c r="J300" i="43"/>
  <c r="W232" i="43"/>
  <c r="AB349" i="43"/>
  <c r="U310" i="43"/>
  <c r="X271" i="43"/>
  <c r="W388" i="43"/>
  <c r="E310" i="43"/>
  <c r="B96" i="39"/>
  <c r="AD232" i="43"/>
  <c r="F310" i="43"/>
  <c r="Y310" i="43"/>
  <c r="AF271" i="43"/>
  <c r="M388" i="43"/>
  <c r="G271" i="43"/>
  <c r="G40" i="43"/>
  <c r="C232" i="43"/>
  <c r="D310" i="43"/>
  <c r="Q232" i="43"/>
  <c r="AC388" i="43"/>
  <c r="AE388" i="43"/>
  <c r="O271" i="43"/>
  <c r="AB40" i="43"/>
  <c r="V349" i="43"/>
  <c r="R271" i="43"/>
  <c r="N154" i="43"/>
  <c r="U232" i="43"/>
  <c r="E271" i="43"/>
  <c r="P388" i="43"/>
  <c r="L40" i="43"/>
  <c r="W349" i="43"/>
  <c r="R388" i="43"/>
  <c r="AD310" i="43"/>
  <c r="L232" i="43"/>
  <c r="E193" i="43"/>
  <c r="Z154" i="43"/>
  <c r="AJ40" i="43"/>
  <c r="AA349" i="43"/>
  <c r="K310" i="43"/>
  <c r="X193" i="43"/>
  <c r="H40" i="43"/>
  <c r="X388" i="43"/>
  <c r="O349" i="43"/>
  <c r="AD40" i="43"/>
  <c r="Z232" i="43"/>
  <c r="AD349" i="43"/>
  <c r="T193" i="43"/>
  <c r="AA310" i="43"/>
  <c r="V154" i="43"/>
  <c r="P271" i="43"/>
  <c r="R40" i="43"/>
  <c r="AF232" i="43"/>
  <c r="AF349" i="43"/>
  <c r="AD193" i="43"/>
  <c r="B193" i="43"/>
  <c r="AA154" i="43"/>
  <c r="L154" i="43"/>
  <c r="AE40" i="43"/>
  <c r="M349" i="43"/>
  <c r="C310" i="43"/>
  <c r="B271" i="43"/>
  <c r="M193" i="43"/>
  <c r="Q193" i="43"/>
  <c r="AF154" i="43"/>
  <c r="O232" i="43"/>
  <c r="Y193" i="43"/>
  <c r="V388" i="43"/>
  <c r="W40" i="43"/>
  <c r="E349" i="43"/>
  <c r="S271" i="43"/>
  <c r="Y154" i="43"/>
  <c r="B232" i="43"/>
  <c r="H310" i="43"/>
  <c r="E154" i="43"/>
  <c r="S40" i="43"/>
  <c r="Z349" i="43"/>
  <c r="I388" i="43"/>
  <c r="L193" i="43"/>
  <c r="T232" i="43"/>
  <c r="R193" i="43"/>
  <c r="AC154" i="43"/>
  <c r="T349" i="43"/>
  <c r="D388" i="43"/>
  <c r="AD271" i="43"/>
  <c r="I40" i="43"/>
  <c r="D349" i="43"/>
  <c r="AE310" i="43"/>
  <c r="AA193" i="43"/>
  <c r="Y271" i="43"/>
  <c r="D154" i="43"/>
  <c r="AE154" i="43"/>
  <c r="P40" i="43"/>
  <c r="K40" i="43"/>
  <c r="Z310" i="43"/>
  <c r="AC193" i="43"/>
  <c r="J388" i="43"/>
  <c r="X232" i="43"/>
  <c r="F193" i="43"/>
  <c r="F271" i="43"/>
  <c r="B154" i="43"/>
  <c r="AH40" i="43"/>
  <c r="P232" i="43"/>
  <c r="F40" i="43"/>
  <c r="H349" i="43"/>
  <c r="U271" i="43"/>
  <c r="R154" i="43"/>
  <c r="B349" i="43"/>
  <c r="G193" i="43"/>
  <c r="Z271" i="43"/>
  <c r="V271" i="43"/>
  <c r="AC40" i="43"/>
  <c r="AE232" i="43"/>
  <c r="X310" i="43"/>
  <c r="D271" i="43"/>
  <c r="G310" i="43"/>
  <c r="P349" i="43"/>
  <c r="AE271" i="43"/>
  <c r="M232" i="43"/>
  <c r="T271" i="43"/>
  <c r="M40" i="43"/>
  <c r="AE349" i="43"/>
  <c r="W271" i="43"/>
  <c r="P310" i="43"/>
  <c r="AA388" i="43"/>
  <c r="S232" i="43"/>
  <c r="V193" i="43"/>
  <c r="O40" i="43"/>
  <c r="O310" i="43"/>
  <c r="U193" i="43"/>
  <c r="Y40" i="43"/>
  <c r="R310" i="43"/>
  <c r="S193" i="43"/>
  <c r="S154" i="43"/>
  <c r="K232" i="43"/>
  <c r="J193" i="43"/>
  <c r="AC271" i="43"/>
  <c r="C388" i="43"/>
  <c r="J40" i="43"/>
  <c r="H193" i="43"/>
  <c r="K271" i="43"/>
  <c r="N388" i="43"/>
  <c r="K388" i="43"/>
  <c r="T310" i="43"/>
  <c r="AF388" i="43"/>
  <c r="H232" i="43"/>
  <c r="N271" i="43"/>
  <c r="N40" i="43"/>
  <c r="X349" i="43"/>
  <c r="K154" i="43"/>
  <c r="R349" i="43"/>
  <c r="Q154" i="43"/>
  <c r="I232" i="43"/>
  <c r="L349" i="43"/>
  <c r="Q271" i="43"/>
  <c r="I271" i="43"/>
  <c r="Q349" i="43"/>
  <c r="V232" i="43"/>
  <c r="AF310" i="43"/>
  <c r="L388" i="43"/>
  <c r="AA40" i="43"/>
  <c r="Y232" i="43"/>
  <c r="J310" i="43"/>
  <c r="AF193" i="43"/>
  <c r="W154" i="43"/>
  <c r="Z40" i="43"/>
  <c r="U349" i="43"/>
  <c r="AE193" i="43"/>
  <c r="U154" i="43"/>
  <c r="B388" i="43"/>
  <c r="S349" i="43"/>
  <c r="AB154" i="43"/>
  <c r="F349" i="43"/>
  <c r="Y388" i="43"/>
  <c r="J232" i="43"/>
  <c r="S310" i="43"/>
  <c r="AG40" i="43"/>
  <c r="N310" i="43"/>
  <c r="Z388" i="43"/>
  <c r="V310" i="43"/>
  <c r="O388" i="43"/>
  <c r="F154" i="43"/>
  <c r="E232" i="43"/>
  <c r="C349" i="43"/>
  <c r="H271" i="43"/>
  <c r="S388" i="43"/>
  <c r="Q40" i="43"/>
  <c r="D193" i="43"/>
  <c r="J271" i="43"/>
  <c r="H388" i="43"/>
  <c r="X154" i="43"/>
  <c r="AA232" i="43"/>
  <c r="K193" i="43"/>
  <c r="L271" i="43"/>
  <c r="O154" i="43"/>
  <c r="V40" i="43"/>
  <c r="AB310" i="43"/>
  <c r="M154" i="43"/>
  <c r="AC310" i="43"/>
  <c r="AD154" i="43"/>
  <c r="AB232" i="43"/>
  <c r="Q388" i="43"/>
  <c r="X40" i="43"/>
  <c r="AC349" i="43"/>
  <c r="T154" i="43"/>
  <c r="Y349" i="43"/>
  <c r="J349" i="43"/>
  <c r="M310" i="43"/>
  <c r="N232" i="43"/>
  <c r="G232" i="43"/>
  <c r="I193" i="43"/>
  <c r="I310" i="43"/>
  <c r="AF40" i="43"/>
  <c r="K349" i="43"/>
  <c r="P193" i="43"/>
  <c r="T388" i="43"/>
  <c r="E388" i="43"/>
  <c r="H154" i="43"/>
  <c r="L310" i="43"/>
  <c r="O193" i="43"/>
  <c r="G388" i="43"/>
  <c r="G349" i="43"/>
  <c r="J154" i="43"/>
  <c r="T40" i="43"/>
  <c r="I349" i="43"/>
  <c r="AB388" i="43"/>
  <c r="I154" i="43"/>
  <c r="AB193" i="43"/>
  <c r="F232" i="43"/>
  <c r="B310" i="43"/>
  <c r="AD388" i="43"/>
  <c r="U40" i="43"/>
  <c r="W193" i="43"/>
  <c r="N193" i="43"/>
  <c r="D232" i="43"/>
  <c r="C193" i="43"/>
  <c r="P154" i="43"/>
  <c r="AI40" i="43"/>
  <c r="N349" i="43"/>
  <c r="AB271" i="43"/>
  <c r="M271" i="43"/>
  <c r="C271" i="43"/>
  <c r="R232" i="43"/>
  <c r="Q310" i="43"/>
  <c r="AA271" i="43"/>
  <c r="U388" i="43"/>
  <c r="Z193" i="43"/>
  <c r="G154" i="43"/>
  <c r="AC232" i="43"/>
  <c r="W310" i="43"/>
  <c r="F388" i="43"/>
  <c r="C154" i="43"/>
  <c r="AH48" i="43"/>
  <c r="I240" i="43"/>
  <c r="W357" i="43"/>
  <c r="C318" i="43"/>
  <c r="P396" i="43"/>
  <c r="W279" i="43"/>
  <c r="J162" i="43"/>
  <c r="O48" i="43"/>
  <c r="AE240" i="43"/>
  <c r="AD357" i="43"/>
  <c r="O318" i="43"/>
  <c r="L396" i="43"/>
  <c r="AF279" i="43"/>
  <c r="I318" i="43"/>
  <c r="U48" i="43"/>
  <c r="G240" i="43"/>
  <c r="M318" i="43"/>
  <c r="T201" i="43"/>
  <c r="AA357" i="43"/>
  <c r="M396" i="43"/>
  <c r="L201" i="43"/>
  <c r="V48" i="43"/>
  <c r="P318" i="43"/>
  <c r="W201" i="43"/>
  <c r="AC396" i="43"/>
  <c r="F240" i="43"/>
  <c r="I201" i="43"/>
  <c r="K396" i="43"/>
  <c r="V240" i="43"/>
  <c r="N318" i="43"/>
  <c r="T396" i="43"/>
  <c r="B104" i="39"/>
  <c r="B357" i="43"/>
  <c r="M279" i="43"/>
  <c r="Q162" i="43"/>
  <c r="AF240" i="43"/>
  <c r="W318" i="43"/>
  <c r="O396" i="43"/>
  <c r="AB48" i="43"/>
  <c r="Y279" i="43"/>
  <c r="AC240" i="43"/>
  <c r="U357" i="43"/>
  <c r="AJ48" i="43"/>
  <c r="P240" i="43"/>
  <c r="AC318" i="43"/>
  <c r="G279" i="43"/>
  <c r="X201" i="43"/>
  <c r="H162" i="43"/>
  <c r="S396" i="43"/>
  <c r="AA48" i="43"/>
  <c r="AD240" i="43"/>
  <c r="C201" i="43"/>
  <c r="H279" i="43"/>
  <c r="Z201" i="43"/>
  <c r="E162" i="43"/>
  <c r="E396" i="43"/>
  <c r="F48" i="43"/>
  <c r="O240" i="43"/>
  <c r="Z357" i="43"/>
  <c r="R357" i="43"/>
  <c r="U318" i="43"/>
  <c r="H318" i="43"/>
  <c r="F162" i="43"/>
  <c r="Z48" i="43"/>
  <c r="AD201" i="43"/>
  <c r="U396" i="43"/>
  <c r="O162" i="43"/>
  <c r="Q357" i="43"/>
  <c r="X279" i="43"/>
  <c r="H396" i="43"/>
  <c r="C240" i="43"/>
  <c r="J279" i="43"/>
  <c r="V162" i="43"/>
  <c r="P48" i="43"/>
  <c r="Y357" i="43"/>
  <c r="Q279" i="43"/>
  <c r="M162" i="43"/>
  <c r="U240" i="43"/>
  <c r="E318" i="43"/>
  <c r="Z279" i="43"/>
  <c r="AE357" i="43"/>
  <c r="D162" i="43"/>
  <c r="F279" i="43"/>
  <c r="AB396" i="43"/>
  <c r="W48" i="43"/>
  <c r="H240" i="43"/>
  <c r="F318" i="43"/>
  <c r="S318" i="43"/>
  <c r="AD318" i="43"/>
  <c r="U201" i="43"/>
  <c r="I162" i="43"/>
  <c r="S48" i="43"/>
  <c r="L240" i="43"/>
  <c r="D318" i="43"/>
  <c r="E201" i="43"/>
  <c r="K201" i="43"/>
  <c r="V201" i="43"/>
  <c r="AB162" i="43"/>
  <c r="G48" i="43"/>
  <c r="C357" i="43"/>
  <c r="AA318" i="43"/>
  <c r="AF318" i="43"/>
  <c r="AC201" i="43"/>
  <c r="W396" i="43"/>
  <c r="D396" i="43"/>
  <c r="E240" i="43"/>
  <c r="Q201" i="43"/>
  <c r="N396" i="43"/>
  <c r="I48" i="43"/>
  <c r="Z318" i="43"/>
  <c r="G201" i="43"/>
  <c r="O279" i="43"/>
  <c r="F357" i="43"/>
  <c r="B279" i="43"/>
  <c r="Y162" i="43"/>
  <c r="K48" i="43"/>
  <c r="N357" i="43"/>
  <c r="S279" i="43"/>
  <c r="B396" i="43"/>
  <c r="I357" i="43"/>
  <c r="AE318" i="43"/>
  <c r="AA279" i="43"/>
  <c r="AB318" i="43"/>
  <c r="AA240" i="43"/>
  <c r="AB240" i="43"/>
  <c r="R48" i="43"/>
  <c r="X240" i="43"/>
  <c r="D201" i="43"/>
  <c r="N201" i="43"/>
  <c r="L279" i="43"/>
  <c r="S162" i="43"/>
  <c r="AA162" i="43"/>
  <c r="AI48" i="43"/>
  <c r="D357" i="43"/>
  <c r="J201" i="43"/>
  <c r="O201" i="43"/>
  <c r="P279" i="43"/>
  <c r="T162" i="43"/>
  <c r="K162" i="43"/>
  <c r="AC48" i="43"/>
  <c r="B240" i="43"/>
  <c r="AC357" i="43"/>
  <c r="Y201" i="43"/>
  <c r="V279" i="43"/>
  <c r="AE162" i="43"/>
  <c r="AF162" i="43"/>
  <c r="W240" i="43"/>
  <c r="R318" i="43"/>
  <c r="AD396" i="43"/>
  <c r="H48" i="43"/>
  <c r="B201" i="43"/>
  <c r="AE201" i="43"/>
  <c r="C162" i="43"/>
  <c r="L357" i="43"/>
  <c r="P201" i="43"/>
  <c r="L162" i="43"/>
  <c r="Y240" i="43"/>
  <c r="T318" i="43"/>
  <c r="R396" i="43"/>
  <c r="AF48" i="43"/>
  <c r="G318" i="43"/>
  <c r="Q396" i="43"/>
  <c r="AF357" i="43"/>
  <c r="Z162" i="43"/>
  <c r="B318" i="43"/>
  <c r="AB357" i="43"/>
  <c r="AC162" i="43"/>
  <c r="L48" i="43"/>
  <c r="R240" i="43"/>
  <c r="V318" i="43"/>
  <c r="M357" i="43"/>
  <c r="AB279" i="43"/>
  <c r="AA201" i="43"/>
  <c r="N162" i="43"/>
  <c r="J48" i="43"/>
  <c r="G357" i="43"/>
  <c r="X318" i="43"/>
  <c r="Y318" i="43"/>
  <c r="AC279" i="43"/>
  <c r="K279" i="43"/>
  <c r="X162" i="43"/>
  <c r="T48" i="43"/>
  <c r="P357" i="43"/>
  <c r="AF201" i="43"/>
  <c r="C279" i="43"/>
  <c r="AE396" i="43"/>
  <c r="X396" i="43"/>
  <c r="G396" i="43"/>
  <c r="J357" i="43"/>
  <c r="S201" i="43"/>
  <c r="AA396" i="43"/>
  <c r="D240" i="43"/>
  <c r="I279" i="43"/>
  <c r="V396" i="43"/>
  <c r="AE48" i="43"/>
  <c r="E357" i="43"/>
  <c r="N279" i="43"/>
  <c r="P162" i="43"/>
  <c r="J240" i="43"/>
  <c r="Q240" i="43"/>
  <c r="U162" i="43"/>
  <c r="Y48" i="43"/>
  <c r="L318" i="43"/>
  <c r="R201" i="43"/>
  <c r="T279" i="43"/>
  <c r="AD48" i="43"/>
  <c r="D279" i="43"/>
  <c r="F201" i="43"/>
  <c r="N240" i="43"/>
  <c r="S357" i="43"/>
  <c r="V357" i="43"/>
  <c r="AD279" i="43"/>
  <c r="Z396" i="43"/>
  <c r="C396" i="43"/>
  <c r="B162" i="43"/>
  <c r="T240" i="43"/>
  <c r="K357" i="43"/>
  <c r="J318" i="43"/>
  <c r="J396" i="43"/>
  <c r="Y396" i="43"/>
  <c r="F396" i="43"/>
  <c r="Q48" i="43"/>
  <c r="Z240" i="43"/>
  <c r="T357" i="43"/>
  <c r="K240" i="43"/>
  <c r="U279" i="43"/>
  <c r="I396" i="43"/>
  <c r="G162" i="43"/>
  <c r="AG48" i="43"/>
  <c r="K318" i="43"/>
  <c r="O357" i="43"/>
  <c r="H201" i="43"/>
  <c r="M240" i="43"/>
  <c r="AB201" i="43"/>
  <c r="R162" i="43"/>
  <c r="X48" i="43"/>
  <c r="H357" i="43"/>
  <c r="R279" i="43"/>
  <c r="AD162" i="43"/>
  <c r="S240" i="43"/>
  <c r="E279" i="43"/>
  <c r="W162" i="43"/>
  <c r="N48" i="43"/>
  <c r="M201" i="43"/>
  <c r="AE279" i="43"/>
  <c r="AF396" i="43"/>
  <c r="X357" i="43"/>
  <c r="Q318" i="43"/>
  <c r="M48" i="43"/>
  <c r="AE18" i="43"/>
  <c r="M18" i="43"/>
  <c r="AJ18" i="43"/>
  <c r="M327" i="43"/>
  <c r="AA327" i="43"/>
  <c r="K171" i="43"/>
  <c r="AA249" i="43"/>
  <c r="L249" i="43"/>
  <c r="W132" i="43"/>
  <c r="B132" i="43"/>
  <c r="AF288" i="43"/>
  <c r="I171" i="43"/>
  <c r="AA366" i="43"/>
  <c r="D366" i="43"/>
  <c r="F18" i="43"/>
  <c r="I210" i="43"/>
  <c r="R171" i="43"/>
  <c r="N366" i="43"/>
  <c r="Y171" i="43"/>
  <c r="U132" i="43"/>
  <c r="X210" i="43"/>
  <c r="X327" i="43"/>
  <c r="B249" i="43"/>
  <c r="N249" i="43"/>
  <c r="P249" i="43"/>
  <c r="S18" i="43"/>
  <c r="C327" i="43"/>
  <c r="G249" i="43"/>
  <c r="T171" i="43"/>
  <c r="Y366" i="43"/>
  <c r="U249" i="43"/>
  <c r="AC210" i="43"/>
  <c r="W210" i="43"/>
  <c r="D249" i="43"/>
  <c r="Z366" i="43"/>
  <c r="N132" i="43"/>
  <c r="AD366" i="43"/>
  <c r="AC132" i="43"/>
  <c r="H327" i="43"/>
  <c r="M210" i="43"/>
  <c r="R327" i="43"/>
  <c r="AE210" i="43"/>
  <c r="W18" i="43"/>
  <c r="AF18" i="43"/>
  <c r="B210" i="43"/>
  <c r="O288" i="43"/>
  <c r="Z171" i="43"/>
  <c r="AC366" i="43"/>
  <c r="AE132" i="43"/>
  <c r="L366" i="43"/>
  <c r="L210" i="43"/>
  <c r="V327" i="43"/>
  <c r="AA171" i="43"/>
  <c r="N171" i="43"/>
  <c r="V132" i="43"/>
  <c r="X18" i="43"/>
  <c r="U327" i="43"/>
  <c r="F288" i="43"/>
  <c r="AF249" i="43"/>
  <c r="J132" i="43"/>
  <c r="F132" i="43"/>
  <c r="E210" i="43"/>
  <c r="G171" i="43"/>
  <c r="I249" i="43"/>
  <c r="Y249" i="43"/>
  <c r="Z327" i="43"/>
  <c r="AA18" i="43"/>
  <c r="H288" i="43"/>
  <c r="K288" i="43"/>
  <c r="V366" i="43"/>
  <c r="U288" i="43"/>
  <c r="U18" i="43"/>
  <c r="D210" i="43"/>
  <c r="AD288" i="43"/>
  <c r="AB249" i="43"/>
  <c r="O132" i="43"/>
  <c r="J366" i="43"/>
  <c r="M366" i="43"/>
  <c r="N210" i="43"/>
  <c r="W327" i="43"/>
  <c r="AE288" i="43"/>
  <c r="K327" i="43"/>
  <c r="G18" i="43"/>
  <c r="K18" i="43"/>
  <c r="P210" i="43"/>
  <c r="O210" i="43"/>
  <c r="P327" i="43"/>
  <c r="L288" i="43"/>
  <c r="E171" i="43"/>
  <c r="W249" i="43"/>
  <c r="AF132" i="43"/>
  <c r="D132" i="43"/>
  <c r="Q210" i="43"/>
  <c r="AD327" i="43"/>
  <c r="U171" i="43"/>
  <c r="O366" i="43"/>
  <c r="H132" i="43"/>
  <c r="S210" i="43"/>
  <c r="AE327" i="43"/>
  <c r="AC18" i="43"/>
  <c r="Y18" i="43"/>
  <c r="AH18" i="43"/>
  <c r="G210" i="43"/>
  <c r="D288" i="43"/>
  <c r="E249" i="43"/>
  <c r="F249" i="43"/>
  <c r="Z249" i="43"/>
  <c r="C366" i="43"/>
  <c r="AD18" i="43"/>
  <c r="E327" i="43"/>
  <c r="J171" i="43"/>
  <c r="AE366" i="43"/>
  <c r="J249" i="43"/>
  <c r="E366" i="43"/>
  <c r="N327" i="43"/>
  <c r="AB288" i="43"/>
  <c r="AF171" i="43"/>
  <c r="X249" i="43"/>
  <c r="C132" i="43"/>
  <c r="Q18" i="43"/>
  <c r="AF327" i="43"/>
  <c r="I288" i="43"/>
  <c r="X366" i="43"/>
  <c r="K249" i="43"/>
  <c r="I366" i="43"/>
  <c r="AA210" i="43"/>
  <c r="H171" i="43"/>
  <c r="Q288" i="43"/>
  <c r="AF366" i="43"/>
  <c r="S171" i="43"/>
  <c r="H210" i="43"/>
  <c r="O327" i="43"/>
  <c r="P171" i="43"/>
  <c r="W288" i="43"/>
  <c r="AB132" i="43"/>
  <c r="R288" i="43"/>
  <c r="Q171" i="43"/>
  <c r="AB366" i="43"/>
  <c r="Y132" i="43"/>
  <c r="W366" i="43"/>
  <c r="V18" i="43"/>
  <c r="B171" i="43"/>
  <c r="F366" i="43"/>
  <c r="S327" i="43"/>
  <c r="AA132" i="43"/>
  <c r="B288" i="43"/>
  <c r="K366" i="43"/>
  <c r="AF210" i="43"/>
  <c r="M171" i="43"/>
  <c r="L132" i="43"/>
  <c r="V210" i="43"/>
  <c r="S249" i="43"/>
  <c r="M249" i="43"/>
  <c r="AC327" i="43"/>
  <c r="P366" i="43"/>
  <c r="AA288" i="43"/>
  <c r="P132" i="43"/>
  <c r="R18" i="43"/>
  <c r="B327" i="43"/>
  <c r="G327" i="43"/>
  <c r="Q249" i="43"/>
  <c r="S288" i="43"/>
  <c r="R132" i="43"/>
  <c r="L171" i="43"/>
  <c r="B366" i="43"/>
  <c r="K210" i="43"/>
  <c r="AE171" i="43"/>
  <c r="Z132" i="43"/>
  <c r="AB210" i="43"/>
  <c r="N288" i="43"/>
  <c r="H18" i="43"/>
  <c r="H249" i="43"/>
  <c r="T366" i="43"/>
  <c r="J210" i="43"/>
  <c r="T288" i="43"/>
  <c r="O249" i="43"/>
  <c r="I18" i="43"/>
  <c r="Y327" i="43"/>
  <c r="M132" i="43"/>
  <c r="L327" i="43"/>
  <c r="G132" i="43"/>
  <c r="C249" i="43"/>
  <c r="V171" i="43"/>
  <c r="T210" i="43"/>
  <c r="F171" i="43"/>
  <c r="Q132" i="43"/>
  <c r="AB327" i="43"/>
  <c r="T249" i="43"/>
  <c r="J18" i="43"/>
  <c r="X288" i="43"/>
  <c r="AC171" i="43"/>
  <c r="Q327" i="43"/>
  <c r="S366" i="43"/>
  <c r="H366" i="43"/>
  <c r="AB18" i="43"/>
  <c r="Z18" i="43"/>
  <c r="AC288" i="43"/>
  <c r="AD249" i="43"/>
  <c r="V288" i="43"/>
  <c r="AD210" i="43"/>
  <c r="AB171" i="43"/>
  <c r="S132" i="43"/>
  <c r="Z210" i="43"/>
  <c r="J288" i="43"/>
  <c r="P18" i="43"/>
  <c r="T327" i="43"/>
  <c r="E132" i="43"/>
  <c r="F210" i="43"/>
  <c r="Z288" i="43"/>
  <c r="T132" i="43"/>
  <c r="C171" i="43"/>
  <c r="O18" i="43"/>
  <c r="G366" i="43"/>
  <c r="T18" i="43"/>
  <c r="U210" i="43"/>
  <c r="P288" i="43"/>
  <c r="N18" i="43"/>
  <c r="V249" i="43"/>
  <c r="F327" i="43"/>
  <c r="R366" i="43"/>
  <c r="B74" i="39"/>
  <c r="E288" i="43"/>
  <c r="AD132" i="43"/>
  <c r="C210" i="43"/>
  <c r="O171" i="43"/>
  <c r="K132" i="43"/>
  <c r="I327" i="43"/>
  <c r="AD171" i="43"/>
  <c r="AC249" i="43"/>
  <c r="C288" i="43"/>
  <c r="AE249" i="43"/>
  <c r="AG18" i="43"/>
  <c r="R210" i="43"/>
  <c r="Y288" i="43"/>
  <c r="J327" i="43"/>
  <c r="Q366" i="43"/>
  <c r="D171" i="43"/>
  <c r="W171" i="43"/>
  <c r="L18" i="43"/>
  <c r="X171" i="43"/>
  <c r="R249" i="43"/>
  <c r="D327" i="43"/>
  <c r="G288" i="43"/>
  <c r="I132" i="43"/>
  <c r="M288" i="43"/>
  <c r="U366" i="43"/>
  <c r="AI18" i="43"/>
  <c r="Y210" i="43"/>
  <c r="X132" i="43"/>
  <c r="Q39" i="43"/>
  <c r="O231" i="43"/>
  <c r="AE348" i="43"/>
  <c r="F39" i="43"/>
  <c r="N231" i="43"/>
  <c r="AA309" i="43"/>
  <c r="Z309" i="43"/>
  <c r="S270" i="43"/>
  <c r="S387" i="43"/>
  <c r="J309" i="43"/>
  <c r="AJ39" i="43"/>
  <c r="Y231" i="43"/>
  <c r="AB309" i="43"/>
  <c r="AE309" i="43"/>
  <c r="Z270" i="43"/>
  <c r="H270" i="43"/>
  <c r="V270" i="43"/>
  <c r="S39" i="43"/>
  <c r="I231" i="43"/>
  <c r="W348" i="43"/>
  <c r="B192" i="43"/>
  <c r="M309" i="43"/>
  <c r="R153" i="43"/>
  <c r="R39" i="43"/>
  <c r="R231" i="43"/>
  <c r="L192" i="43"/>
  <c r="U309" i="43"/>
  <c r="Q387" i="43"/>
  <c r="E387" i="43"/>
  <c r="L153" i="43"/>
  <c r="AE39" i="43"/>
  <c r="C231" i="43"/>
  <c r="Q348" i="43"/>
  <c r="AC309" i="43"/>
  <c r="AB39" i="43"/>
  <c r="B231" i="43"/>
  <c r="AA348" i="43"/>
  <c r="W192" i="43"/>
  <c r="AD270" i="43"/>
  <c r="N192" i="43"/>
  <c r="AA153" i="43"/>
  <c r="Z39" i="43"/>
  <c r="X231" i="43"/>
  <c r="E309" i="43"/>
  <c r="Y192" i="43"/>
  <c r="AE270" i="43"/>
  <c r="AD192" i="43"/>
  <c r="Q153" i="43"/>
  <c r="V39" i="43"/>
  <c r="E348" i="43"/>
  <c r="M192" i="43"/>
  <c r="K270" i="43"/>
  <c r="V387" i="43"/>
  <c r="H153" i="43"/>
  <c r="C348" i="43"/>
  <c r="AA192" i="43"/>
  <c r="F387" i="43"/>
  <c r="Q231" i="43"/>
  <c r="AB192" i="43"/>
  <c r="C309" i="43"/>
  <c r="E192" i="43"/>
  <c r="AA231" i="43"/>
  <c r="F309" i="43"/>
  <c r="M270" i="43"/>
  <c r="AB270" i="43"/>
  <c r="J153" i="43"/>
  <c r="N39" i="43"/>
  <c r="W39" i="43"/>
  <c r="L39" i="43"/>
  <c r="J270" i="43"/>
  <c r="N387" i="43"/>
  <c r="G39" i="43"/>
  <c r="X348" i="43"/>
  <c r="T348" i="43"/>
  <c r="AA39" i="43"/>
  <c r="T309" i="43"/>
  <c r="D192" i="43"/>
  <c r="AC39" i="43"/>
  <c r="H192" i="43"/>
  <c r="U192" i="43"/>
  <c r="AG39" i="43"/>
  <c r="P192" i="43"/>
  <c r="P270" i="43"/>
  <c r="I39" i="43"/>
  <c r="M231" i="43"/>
  <c r="N270" i="43"/>
  <c r="W153" i="43"/>
  <c r="X39" i="43"/>
  <c r="R192" i="43"/>
  <c r="AD387" i="43"/>
  <c r="O39" i="43"/>
  <c r="AF348" i="43"/>
  <c r="AC192" i="43"/>
  <c r="K153" i="43"/>
  <c r="U39" i="43"/>
  <c r="O348" i="43"/>
  <c r="C192" i="43"/>
  <c r="O309" i="43"/>
  <c r="W270" i="43"/>
  <c r="K39" i="43"/>
  <c r="K348" i="43"/>
  <c r="P231" i="43"/>
  <c r="S309" i="43"/>
  <c r="Q270" i="43"/>
  <c r="S153" i="43"/>
  <c r="J231" i="43"/>
  <c r="K192" i="43"/>
  <c r="Y153" i="43"/>
  <c r="R348" i="43"/>
  <c r="F270" i="43"/>
  <c r="AC270" i="43"/>
  <c r="H348" i="43"/>
  <c r="Z348" i="43"/>
  <c r="AC387" i="43"/>
  <c r="V348" i="43"/>
  <c r="B309" i="43"/>
  <c r="R387" i="43"/>
  <c r="K231" i="43"/>
  <c r="P348" i="43"/>
  <c r="C153" i="43"/>
  <c r="U231" i="43"/>
  <c r="AF192" i="43"/>
  <c r="F153" i="43"/>
  <c r="AD39" i="43"/>
  <c r="W309" i="43"/>
  <c r="P387" i="43"/>
  <c r="G270" i="43"/>
  <c r="AI39" i="43"/>
  <c r="P309" i="43"/>
  <c r="B270" i="43"/>
  <c r="O387" i="43"/>
  <c r="AE153" i="43"/>
  <c r="H39" i="43"/>
  <c r="AF39" i="43"/>
  <c r="H231" i="43"/>
  <c r="G348" i="43"/>
  <c r="U270" i="43"/>
  <c r="U153" i="43"/>
  <c r="V309" i="43"/>
  <c r="R270" i="43"/>
  <c r="L348" i="43"/>
  <c r="AF309" i="43"/>
  <c r="AE387" i="43"/>
  <c r="J387" i="43"/>
  <c r="G192" i="43"/>
  <c r="AA387" i="43"/>
  <c r="B387" i="43"/>
  <c r="J192" i="43"/>
  <c r="X387" i="43"/>
  <c r="M153" i="43"/>
  <c r="I192" i="43"/>
  <c r="M387" i="43"/>
  <c r="I348" i="43"/>
  <c r="L309" i="43"/>
  <c r="V153" i="43"/>
  <c r="C270" i="43"/>
  <c r="T153" i="43"/>
  <c r="N309" i="43"/>
  <c r="O270" i="43"/>
  <c r="B348" i="43"/>
  <c r="AD231" i="43"/>
  <c r="AF153" i="43"/>
  <c r="K309" i="43"/>
  <c r="AC231" i="43"/>
  <c r="U387" i="43"/>
  <c r="AD348" i="43"/>
  <c r="D231" i="43"/>
  <c r="D387" i="43"/>
  <c r="Q192" i="43"/>
  <c r="AC348" i="43"/>
  <c r="AC153" i="43"/>
  <c r="Z192" i="43"/>
  <c r="AH39" i="43"/>
  <c r="AE192" i="43"/>
  <c r="I153" i="43"/>
  <c r="AB231" i="43"/>
  <c r="S348" i="43"/>
  <c r="O153" i="43"/>
  <c r="V192" i="43"/>
  <c r="V231" i="43"/>
  <c r="K387" i="43"/>
  <c r="Y309" i="43"/>
  <c r="T231" i="43"/>
  <c r="G153" i="43"/>
  <c r="X153" i="43"/>
  <c r="X192" i="43"/>
  <c r="AE231" i="43"/>
  <c r="AA270" i="43"/>
  <c r="AF231" i="43"/>
  <c r="E270" i="43"/>
  <c r="D153" i="43"/>
  <c r="T39" i="43"/>
  <c r="U348" i="43"/>
  <c r="N153" i="43"/>
  <c r="Y270" i="43"/>
  <c r="G309" i="43"/>
  <c r="AD153" i="43"/>
  <c r="O192" i="43"/>
  <c r="I309" i="43"/>
  <c r="B153" i="43"/>
  <c r="X309" i="43"/>
  <c r="X270" i="43"/>
  <c r="W231" i="43"/>
  <c r="Y387" i="43"/>
  <c r="F348" i="43"/>
  <c r="AF387" i="43"/>
  <c r="B95" i="39"/>
  <c r="P39" i="43"/>
  <c r="S192" i="43"/>
  <c r="G231" i="43"/>
  <c r="C387" i="43"/>
  <c r="J348" i="43"/>
  <c r="E231" i="43"/>
  <c r="H387" i="43"/>
  <c r="R309" i="43"/>
  <c r="D270" i="43"/>
  <c r="T387" i="43"/>
  <c r="AB348" i="43"/>
  <c r="M348" i="43"/>
  <c r="P153" i="43"/>
  <c r="F231" i="43"/>
  <c r="AB387" i="43"/>
  <c r="M39" i="43"/>
  <c r="J39" i="43"/>
  <c r="F192" i="43"/>
  <c r="D348" i="43"/>
  <c r="AB153" i="43"/>
  <c r="I270" i="43"/>
  <c r="S231" i="43"/>
  <c r="I387" i="43"/>
  <c r="N348" i="43"/>
  <c r="W387" i="43"/>
  <c r="Q309" i="43"/>
  <c r="Z231" i="43"/>
  <c r="T192" i="43"/>
  <c r="D309" i="43"/>
  <c r="E153" i="43"/>
  <c r="AD309" i="43"/>
  <c r="AF270" i="43"/>
  <c r="Y39" i="43"/>
  <c r="L231" i="43"/>
  <c r="L387" i="43"/>
  <c r="Y348" i="43"/>
  <c r="G387" i="43"/>
  <c r="Z387" i="43"/>
  <c r="H309" i="43"/>
  <c r="T270" i="43"/>
  <c r="L270" i="43"/>
  <c r="Z153" i="43"/>
  <c r="T19" i="43"/>
  <c r="F328" i="43"/>
  <c r="G172" i="43"/>
  <c r="B172" i="43"/>
  <c r="AB367" i="43"/>
  <c r="C367" i="43"/>
  <c r="R133" i="43"/>
  <c r="AJ19" i="43"/>
  <c r="G211" i="43"/>
  <c r="V328" i="43"/>
  <c r="AD172" i="43"/>
  <c r="AC19" i="43"/>
  <c r="L19" i="43"/>
  <c r="C328" i="43"/>
  <c r="L250" i="43"/>
  <c r="Z250" i="43"/>
  <c r="AA133" i="43"/>
  <c r="I133" i="43"/>
  <c r="P211" i="43"/>
  <c r="D289" i="43"/>
  <c r="Z328" i="43"/>
  <c r="AD250" i="43"/>
  <c r="F133" i="43"/>
  <c r="Z133" i="43"/>
  <c r="W211" i="43"/>
  <c r="M211" i="43"/>
  <c r="V172" i="43"/>
  <c r="X133" i="43"/>
  <c r="O19" i="43"/>
  <c r="L328" i="43"/>
  <c r="K250" i="43"/>
  <c r="W367" i="43"/>
  <c r="R250" i="43"/>
  <c r="Y19" i="43"/>
  <c r="AB328" i="43"/>
  <c r="P289" i="43"/>
  <c r="R367" i="43"/>
  <c r="K367" i="43"/>
  <c r="E211" i="43"/>
  <c r="C172" i="43"/>
  <c r="N289" i="43"/>
  <c r="H133" i="43"/>
  <c r="R19" i="43"/>
  <c r="AA250" i="43"/>
  <c r="M172" i="43"/>
  <c r="B75" i="39"/>
  <c r="AB250" i="43"/>
  <c r="U211" i="43"/>
  <c r="F367" i="43"/>
  <c r="O250" i="43"/>
  <c r="Q19" i="43"/>
  <c r="AF211" i="43"/>
  <c r="AA328" i="43"/>
  <c r="J250" i="43"/>
  <c r="S367" i="43"/>
  <c r="U367" i="43"/>
  <c r="M19" i="43"/>
  <c r="AC211" i="43"/>
  <c r="I172" i="43"/>
  <c r="AC289" i="43"/>
  <c r="Q250" i="43"/>
  <c r="Y289" i="43"/>
  <c r="C133" i="43"/>
  <c r="H328" i="43"/>
  <c r="G289" i="43"/>
  <c r="AE289" i="43"/>
  <c r="D367" i="43"/>
  <c r="F19" i="43"/>
  <c r="D328" i="43"/>
  <c r="AB172" i="43"/>
  <c r="J172" i="43"/>
  <c r="U133" i="43"/>
  <c r="C211" i="43"/>
  <c r="W328" i="43"/>
  <c r="E172" i="43"/>
  <c r="F250" i="43"/>
  <c r="O367" i="43"/>
  <c r="G328" i="43"/>
  <c r="E289" i="43"/>
  <c r="Z367" i="43"/>
  <c r="U250" i="43"/>
  <c r="AD211" i="43"/>
  <c r="P172" i="43"/>
  <c r="Z289" i="43"/>
  <c r="Z19" i="43"/>
  <c r="W172" i="43"/>
  <c r="B289" i="43"/>
  <c r="AA19" i="43"/>
  <c r="M250" i="43"/>
  <c r="T250" i="43"/>
  <c r="U289" i="43"/>
  <c r="Y211" i="43"/>
  <c r="O289" i="43"/>
  <c r="M289" i="43"/>
  <c r="Y367" i="43"/>
  <c r="J133" i="43"/>
  <c r="G19" i="43"/>
  <c r="AE211" i="43"/>
  <c r="AE328" i="43"/>
  <c r="X289" i="43"/>
  <c r="K172" i="43"/>
  <c r="P133" i="43"/>
  <c r="K19" i="43"/>
  <c r="B328" i="43"/>
  <c r="G250" i="43"/>
  <c r="X367" i="43"/>
  <c r="N172" i="43"/>
  <c r="V19" i="43"/>
  <c r="X328" i="43"/>
  <c r="K289" i="43"/>
  <c r="AE367" i="43"/>
  <c r="L133" i="43"/>
  <c r="E328" i="43"/>
  <c r="R328" i="43"/>
  <c r="T172" i="43"/>
  <c r="T133" i="43"/>
  <c r="AH19" i="43"/>
  <c r="V211" i="43"/>
  <c r="Z172" i="43"/>
  <c r="AC250" i="43"/>
  <c r="AF133" i="43"/>
  <c r="J328" i="43"/>
  <c r="AC133" i="43"/>
  <c r="W250" i="43"/>
  <c r="S211" i="43"/>
  <c r="D133" i="43"/>
  <c r="Q289" i="43"/>
  <c r="D211" i="43"/>
  <c r="AB133" i="43"/>
  <c r="B211" i="43"/>
  <c r="N211" i="43"/>
  <c r="P328" i="43"/>
  <c r="D172" i="43"/>
  <c r="N250" i="43"/>
  <c r="Y250" i="43"/>
  <c r="J19" i="43"/>
  <c r="I211" i="43"/>
  <c r="H172" i="43"/>
  <c r="S289" i="43"/>
  <c r="AA367" i="43"/>
  <c r="AF172" i="43"/>
  <c r="AG19" i="43"/>
  <c r="T211" i="43"/>
  <c r="R172" i="43"/>
  <c r="M367" i="43"/>
  <c r="AE133" i="43"/>
  <c r="X19" i="43"/>
  <c r="I328" i="43"/>
  <c r="I289" i="43"/>
  <c r="AC172" i="43"/>
  <c r="Q367" i="43"/>
  <c r="H211" i="43"/>
  <c r="L172" i="43"/>
  <c r="C250" i="43"/>
  <c r="Q133" i="43"/>
  <c r="I19" i="43"/>
  <c r="Q211" i="43"/>
  <c r="AA289" i="43"/>
  <c r="AD367" i="43"/>
  <c r="S133" i="43"/>
  <c r="AF328" i="43"/>
  <c r="AB19" i="43"/>
  <c r="I367" i="43"/>
  <c r="T289" i="43"/>
  <c r="Y133" i="43"/>
  <c r="S172" i="43"/>
  <c r="O328" i="43"/>
  <c r="S250" i="43"/>
  <c r="M133" i="43"/>
  <c r="Q172" i="43"/>
  <c r="P250" i="43"/>
  <c r="R289" i="43"/>
  <c r="AD133" i="43"/>
  <c r="T328" i="43"/>
  <c r="K328" i="43"/>
  <c r="N133" i="43"/>
  <c r="D250" i="43"/>
  <c r="N19" i="43"/>
  <c r="V367" i="43"/>
  <c r="AC328" i="43"/>
  <c r="Z211" i="43"/>
  <c r="H250" i="43"/>
  <c r="P19" i="43"/>
  <c r="Y172" i="43"/>
  <c r="W19" i="43"/>
  <c r="J289" i="43"/>
  <c r="E367" i="43"/>
  <c r="U172" i="43"/>
  <c r="AI19" i="43"/>
  <c r="G133" i="43"/>
  <c r="AB289" i="43"/>
  <c r="AF19" i="43"/>
  <c r="AA172" i="43"/>
  <c r="F172" i="43"/>
  <c r="J367" i="43"/>
  <c r="B367" i="43"/>
  <c r="H367" i="43"/>
  <c r="E133" i="43"/>
  <c r="F211" i="43"/>
  <c r="AC367" i="43"/>
  <c r="K211" i="43"/>
  <c r="N367" i="43"/>
  <c r="U328" i="43"/>
  <c r="B133" i="43"/>
  <c r="B250" i="43"/>
  <c r="L211" i="43"/>
  <c r="T367" i="43"/>
  <c r="S328" i="43"/>
  <c r="M328" i="43"/>
  <c r="X172" i="43"/>
  <c r="AD328" i="43"/>
  <c r="R211" i="43"/>
  <c r="G367" i="43"/>
  <c r="Q328" i="43"/>
  <c r="L289" i="43"/>
  <c r="C289" i="43"/>
  <c r="V250" i="43"/>
  <c r="O172" i="43"/>
  <c r="N328" i="43"/>
  <c r="W289" i="43"/>
  <c r="AF289" i="43"/>
  <c r="AF250" i="43"/>
  <c r="AD289" i="43"/>
  <c r="I250" i="43"/>
  <c r="Y328" i="43"/>
  <c r="AE19" i="43"/>
  <c r="U19" i="43"/>
  <c r="V133" i="43"/>
  <c r="O211" i="43"/>
  <c r="L367" i="43"/>
  <c r="H289" i="43"/>
  <c r="F289" i="43"/>
  <c r="J211" i="43"/>
  <c r="S19" i="43"/>
  <c r="AF367" i="43"/>
  <c r="P367" i="43"/>
  <c r="W133" i="43"/>
  <c r="AE172" i="43"/>
  <c r="X211" i="43"/>
  <c r="H19" i="43"/>
  <c r="AD19" i="43"/>
  <c r="X250" i="43"/>
  <c r="AA211" i="43"/>
  <c r="AB211" i="43"/>
  <c r="E250" i="43"/>
  <c r="K133" i="43"/>
  <c r="O133" i="43"/>
  <c r="AE250" i="43"/>
  <c r="V289" i="43"/>
  <c r="K227" i="43"/>
  <c r="L344" i="43"/>
  <c r="I305" i="43"/>
  <c r="W344" i="43"/>
  <c r="J266" i="43"/>
  <c r="AB149" i="43"/>
  <c r="B91" i="39"/>
  <c r="O227" i="43"/>
  <c r="R344" i="43"/>
  <c r="L305" i="43"/>
  <c r="Y305" i="43"/>
  <c r="X266" i="43"/>
  <c r="Z149" i="43"/>
  <c r="R35" i="43"/>
  <c r="Y227" i="43"/>
  <c r="AA188" i="43"/>
  <c r="S266" i="43"/>
  <c r="P227" i="43"/>
  <c r="AF344" i="43"/>
  <c r="AE305" i="43"/>
  <c r="I149" i="43"/>
  <c r="F35" i="43"/>
  <c r="Q227" i="43"/>
  <c r="Z305" i="43"/>
  <c r="N344" i="43"/>
  <c r="W35" i="43"/>
  <c r="S305" i="43"/>
  <c r="AJ35" i="43"/>
  <c r="AA266" i="43"/>
  <c r="U149" i="43"/>
  <c r="P344" i="43"/>
  <c r="Y149" i="43"/>
  <c r="AF305" i="43"/>
  <c r="G35" i="43"/>
  <c r="X227" i="43"/>
  <c r="X344" i="43"/>
  <c r="C266" i="43"/>
  <c r="O266" i="43"/>
  <c r="W266" i="43"/>
  <c r="V149" i="43"/>
  <c r="U35" i="43"/>
  <c r="D344" i="43"/>
  <c r="D305" i="43"/>
  <c r="H266" i="43"/>
  <c r="Q266" i="43"/>
  <c r="AB266" i="43"/>
  <c r="X149" i="43"/>
  <c r="Y35" i="43"/>
  <c r="T344" i="43"/>
  <c r="H188" i="43"/>
  <c r="O35" i="43"/>
  <c r="N227" i="43"/>
  <c r="O305" i="43"/>
  <c r="M227" i="43"/>
  <c r="AC383" i="43"/>
  <c r="AD35" i="43"/>
  <c r="Y344" i="43"/>
  <c r="X305" i="43"/>
  <c r="AE266" i="43"/>
  <c r="AB227" i="43"/>
  <c r="AC305" i="43"/>
  <c r="I227" i="43"/>
  <c r="I383" i="43"/>
  <c r="H35" i="43"/>
  <c r="AC266" i="43"/>
  <c r="P149" i="43"/>
  <c r="V188" i="43"/>
  <c r="K35" i="43"/>
  <c r="Z344" i="43"/>
  <c r="Q188" i="43"/>
  <c r="AB383" i="43"/>
  <c r="L149" i="43"/>
  <c r="G344" i="43"/>
  <c r="P305" i="43"/>
  <c r="AF383" i="43"/>
  <c r="AF149" i="43"/>
  <c r="L227" i="43"/>
  <c r="J305" i="43"/>
  <c r="AE35" i="43"/>
  <c r="V344" i="43"/>
  <c r="Z266" i="43"/>
  <c r="W149" i="43"/>
  <c r="AA344" i="43"/>
  <c r="P266" i="43"/>
  <c r="AF227" i="43"/>
  <c r="W227" i="43"/>
  <c r="AD149" i="43"/>
  <c r="L188" i="43"/>
  <c r="M35" i="43"/>
  <c r="R188" i="43"/>
  <c r="AH35" i="43"/>
  <c r="F266" i="43"/>
  <c r="R383" i="43"/>
  <c r="AG35" i="43"/>
  <c r="F305" i="43"/>
  <c r="AE344" i="43"/>
  <c r="G227" i="43"/>
  <c r="AC227" i="43"/>
  <c r="B188" i="43"/>
  <c r="AE188" i="43"/>
  <c r="O149" i="43"/>
  <c r="AF35" i="43"/>
  <c r="D227" i="43"/>
  <c r="S188" i="43"/>
  <c r="AF188" i="43"/>
  <c r="C149" i="43"/>
  <c r="F227" i="43"/>
  <c r="H305" i="43"/>
  <c r="V35" i="43"/>
  <c r="T188" i="43"/>
  <c r="AD266" i="43"/>
  <c r="Q35" i="43"/>
  <c r="AD344" i="43"/>
  <c r="Y383" i="43"/>
  <c r="H227" i="43"/>
  <c r="AD227" i="43"/>
  <c r="J149" i="43"/>
  <c r="U344" i="43"/>
  <c r="J344" i="43"/>
  <c r="M383" i="43"/>
  <c r="E227" i="43"/>
  <c r="E266" i="43"/>
  <c r="L383" i="43"/>
  <c r="B344" i="43"/>
  <c r="U188" i="43"/>
  <c r="V383" i="43"/>
  <c r="S149" i="43"/>
  <c r="P35" i="43"/>
  <c r="S227" i="43"/>
  <c r="G188" i="43"/>
  <c r="P188" i="43"/>
  <c r="P383" i="43"/>
  <c r="L35" i="43"/>
  <c r="K188" i="43"/>
  <c r="C188" i="43"/>
  <c r="X35" i="43"/>
  <c r="T305" i="43"/>
  <c r="W305" i="43"/>
  <c r="Q383" i="43"/>
  <c r="R149" i="43"/>
  <c r="AE227" i="43"/>
  <c r="J188" i="43"/>
  <c r="L266" i="43"/>
  <c r="V266" i="43"/>
  <c r="Z35" i="43"/>
  <c r="O188" i="43"/>
  <c r="M266" i="43"/>
  <c r="H344" i="43"/>
  <c r="N266" i="43"/>
  <c r="AE149" i="43"/>
  <c r="K344" i="43"/>
  <c r="I188" i="43"/>
  <c r="S35" i="43"/>
  <c r="D188" i="43"/>
  <c r="S383" i="43"/>
  <c r="F344" i="43"/>
  <c r="AC149" i="43"/>
  <c r="Z383" i="43"/>
  <c r="M149" i="43"/>
  <c r="F188" i="43"/>
  <c r="H383" i="43"/>
  <c r="AE383" i="43"/>
  <c r="AI35" i="43"/>
  <c r="AA305" i="43"/>
  <c r="AD383" i="43"/>
  <c r="G149" i="43"/>
  <c r="AA35" i="43"/>
  <c r="AF266" i="43"/>
  <c r="AC344" i="43"/>
  <c r="E149" i="43"/>
  <c r="C305" i="43"/>
  <c r="B266" i="43"/>
  <c r="N35" i="43"/>
  <c r="Y266" i="43"/>
  <c r="E188" i="43"/>
  <c r="AD305" i="43"/>
  <c r="X383" i="43"/>
  <c r="G266" i="43"/>
  <c r="R266" i="43"/>
  <c r="X188" i="43"/>
  <c r="AA227" i="43"/>
  <c r="D383" i="43"/>
  <c r="Z188" i="43"/>
  <c r="N149" i="43"/>
  <c r="W383" i="43"/>
  <c r="N188" i="43"/>
  <c r="Z227" i="43"/>
  <c r="I35" i="43"/>
  <c r="AD188" i="43"/>
  <c r="T383" i="43"/>
  <c r="G383" i="43"/>
  <c r="K149" i="43"/>
  <c r="B149" i="43"/>
  <c r="AC188" i="43"/>
  <c r="G305" i="43"/>
  <c r="J35" i="43"/>
  <c r="U383" i="43"/>
  <c r="E344" i="43"/>
  <c r="T35" i="43"/>
  <c r="U266" i="43"/>
  <c r="M305" i="43"/>
  <c r="S344" i="43"/>
  <c r="Q149" i="43"/>
  <c r="V305" i="43"/>
  <c r="U227" i="43"/>
  <c r="M344" i="43"/>
  <c r="E383" i="43"/>
  <c r="V227" i="43"/>
  <c r="O383" i="43"/>
  <c r="O344" i="43"/>
  <c r="J383" i="43"/>
  <c r="AB344" i="43"/>
  <c r="C227" i="43"/>
  <c r="H149" i="43"/>
  <c r="W188" i="43"/>
  <c r="AB305" i="43"/>
  <c r="B227" i="43"/>
  <c r="K305" i="43"/>
  <c r="M188" i="43"/>
  <c r="N383" i="43"/>
  <c r="T227" i="43"/>
  <c r="B305" i="43"/>
  <c r="Q344" i="43"/>
  <c r="D266" i="43"/>
  <c r="E305" i="43"/>
  <c r="F149" i="43"/>
  <c r="AB35" i="43"/>
  <c r="J227" i="43"/>
  <c r="N305" i="43"/>
  <c r="Q305" i="43"/>
  <c r="T266" i="43"/>
  <c r="R305" i="43"/>
  <c r="U305" i="43"/>
  <c r="I344" i="43"/>
  <c r="D149" i="43"/>
  <c r="AB188" i="43"/>
  <c r="F383" i="43"/>
  <c r="AA383" i="43"/>
  <c r="I266" i="43"/>
  <c r="K266" i="43"/>
  <c r="AA149" i="43"/>
  <c r="R227" i="43"/>
  <c r="AC35" i="43"/>
  <c r="C383" i="43"/>
  <c r="Y188" i="43"/>
  <c r="C344" i="43"/>
  <c r="B383" i="43"/>
  <c r="K383" i="43"/>
  <c r="T149" i="43"/>
  <c r="H24" i="43"/>
  <c r="R216" i="43"/>
  <c r="Q294" i="43"/>
  <c r="T294" i="43"/>
  <c r="G177" i="43"/>
  <c r="P138" i="43"/>
  <c r="O138" i="43"/>
  <c r="AD24" i="43"/>
  <c r="F216" i="43"/>
  <c r="AA177" i="43"/>
  <c r="AG24" i="43"/>
  <c r="M216" i="43"/>
  <c r="I333" i="43"/>
  <c r="G255" i="43"/>
  <c r="AC372" i="43"/>
  <c r="M294" i="43"/>
  <c r="AC24" i="43"/>
  <c r="N294" i="43"/>
  <c r="AB294" i="43"/>
  <c r="M372" i="43"/>
  <c r="B255" i="43"/>
  <c r="G24" i="43"/>
  <c r="S216" i="43"/>
  <c r="B177" i="43"/>
  <c r="Z294" i="43"/>
  <c r="AD255" i="43"/>
  <c r="S138" i="43"/>
  <c r="AJ24" i="43"/>
  <c r="P216" i="43"/>
  <c r="AD294" i="43"/>
  <c r="V255" i="43"/>
  <c r="K372" i="43"/>
  <c r="E138" i="43"/>
  <c r="I24" i="43"/>
  <c r="AE333" i="43"/>
  <c r="B216" i="43"/>
  <c r="R372" i="43"/>
  <c r="Q255" i="43"/>
  <c r="AC138" i="43"/>
  <c r="C216" i="43"/>
  <c r="AC333" i="43"/>
  <c r="E294" i="43"/>
  <c r="AB372" i="43"/>
  <c r="AE177" i="43"/>
  <c r="N24" i="43"/>
  <c r="Y216" i="43"/>
  <c r="AB216" i="43"/>
  <c r="F333" i="43"/>
  <c r="N216" i="43"/>
  <c r="M333" i="43"/>
  <c r="AF24" i="43"/>
  <c r="Q216" i="43"/>
  <c r="AD333" i="43"/>
  <c r="K294" i="43"/>
  <c r="Y372" i="43"/>
  <c r="W177" i="43"/>
  <c r="U24" i="43"/>
  <c r="B294" i="43"/>
  <c r="P333" i="43"/>
  <c r="AC255" i="43"/>
  <c r="AD138" i="43"/>
  <c r="AA24" i="43"/>
  <c r="K333" i="43"/>
  <c r="X333" i="43"/>
  <c r="R333" i="43"/>
  <c r="R255" i="43"/>
  <c r="AA255" i="43"/>
  <c r="W24" i="43"/>
  <c r="J216" i="43"/>
  <c r="F255" i="43"/>
  <c r="T372" i="43"/>
  <c r="K177" i="43"/>
  <c r="L138" i="43"/>
  <c r="V216" i="43"/>
  <c r="N333" i="43"/>
  <c r="T177" i="43"/>
  <c r="M255" i="43"/>
  <c r="Y138" i="43"/>
  <c r="T24" i="43"/>
  <c r="AC216" i="43"/>
  <c r="J294" i="43"/>
  <c r="C255" i="43"/>
  <c r="U255" i="43"/>
  <c r="B138" i="43"/>
  <c r="AF333" i="43"/>
  <c r="T333" i="43"/>
  <c r="I294" i="43"/>
  <c r="AD216" i="43"/>
  <c r="H294" i="43"/>
  <c r="P177" i="43"/>
  <c r="AI24" i="43"/>
  <c r="J333" i="43"/>
  <c r="AF294" i="43"/>
  <c r="E255" i="43"/>
  <c r="T255" i="43"/>
  <c r="C138" i="43"/>
  <c r="G216" i="43"/>
  <c r="E177" i="43"/>
  <c r="L255" i="43"/>
  <c r="P255" i="43"/>
  <c r="J138" i="43"/>
  <c r="S24" i="43"/>
  <c r="E216" i="43"/>
  <c r="Y294" i="43"/>
  <c r="O177" i="43"/>
  <c r="AB255" i="43"/>
  <c r="D138" i="43"/>
  <c r="H216" i="43"/>
  <c r="L333" i="43"/>
  <c r="Q177" i="43"/>
  <c r="J255" i="43"/>
  <c r="N138" i="43"/>
  <c r="I138" i="43"/>
  <c r="Z216" i="43"/>
  <c r="G294" i="43"/>
  <c r="D177" i="43"/>
  <c r="V177" i="43"/>
  <c r="V138" i="43"/>
  <c r="P24" i="43"/>
  <c r="K216" i="43"/>
  <c r="O333" i="43"/>
  <c r="I255" i="43"/>
  <c r="U177" i="43"/>
  <c r="F138" i="43"/>
  <c r="S294" i="43"/>
  <c r="AD177" i="43"/>
  <c r="L294" i="43"/>
  <c r="H255" i="43"/>
  <c r="H177" i="43"/>
  <c r="AE372" i="43"/>
  <c r="AE24" i="43"/>
  <c r="D333" i="43"/>
  <c r="D255" i="43"/>
  <c r="P372" i="43"/>
  <c r="AE255" i="43"/>
  <c r="H372" i="43"/>
  <c r="AF216" i="43"/>
  <c r="W333" i="43"/>
  <c r="N177" i="43"/>
  <c r="P294" i="43"/>
  <c r="U138" i="43"/>
  <c r="F24" i="43"/>
  <c r="S333" i="43"/>
  <c r="AC177" i="43"/>
  <c r="U372" i="43"/>
  <c r="R138" i="43"/>
  <c r="M138" i="43"/>
  <c r="W216" i="43"/>
  <c r="AB333" i="43"/>
  <c r="AE294" i="43"/>
  <c r="S177" i="43"/>
  <c r="G138" i="43"/>
  <c r="AB24" i="43"/>
  <c r="E333" i="43"/>
  <c r="O216" i="43"/>
  <c r="AF177" i="43"/>
  <c r="N372" i="43"/>
  <c r="Z255" i="43"/>
  <c r="Q24" i="43"/>
  <c r="U216" i="43"/>
  <c r="O294" i="43"/>
  <c r="M177" i="43"/>
  <c r="AA333" i="43"/>
  <c r="AB138" i="43"/>
  <c r="O372" i="43"/>
  <c r="W255" i="43"/>
  <c r="O255" i="43"/>
  <c r="S372" i="43"/>
  <c r="X372" i="43"/>
  <c r="C372" i="43"/>
  <c r="I216" i="43"/>
  <c r="I177" i="43"/>
  <c r="D294" i="43"/>
  <c r="AF372" i="43"/>
  <c r="Q138" i="43"/>
  <c r="AH24" i="43"/>
  <c r="H333" i="43"/>
  <c r="W294" i="43"/>
  <c r="V372" i="43"/>
  <c r="T138" i="43"/>
  <c r="D372" i="43"/>
  <c r="D216" i="43"/>
  <c r="R294" i="43"/>
  <c r="X294" i="43"/>
  <c r="Y177" i="43"/>
  <c r="G372" i="43"/>
  <c r="K24" i="43"/>
  <c r="AA216" i="43"/>
  <c r="L177" i="43"/>
  <c r="J177" i="43"/>
  <c r="AF255" i="43"/>
  <c r="C177" i="43"/>
  <c r="L24" i="43"/>
  <c r="C333" i="43"/>
  <c r="G333" i="43"/>
  <c r="V294" i="43"/>
  <c r="AD372" i="43"/>
  <c r="E372" i="43"/>
  <c r="Y24" i="43"/>
  <c r="Q333" i="43"/>
  <c r="X177" i="43"/>
  <c r="W372" i="43"/>
  <c r="H138" i="43"/>
  <c r="AE138" i="43"/>
  <c r="X255" i="43"/>
  <c r="Z177" i="43"/>
  <c r="AA138" i="43"/>
  <c r="W138" i="43"/>
  <c r="AF138" i="43"/>
  <c r="V333" i="43"/>
  <c r="U333" i="43"/>
  <c r="AC294" i="43"/>
  <c r="C294" i="43"/>
  <c r="Y255" i="43"/>
  <c r="AA294" i="43"/>
  <c r="Z24" i="43"/>
  <c r="AB177" i="43"/>
  <c r="R177" i="43"/>
  <c r="Q372" i="43"/>
  <c r="L372" i="43"/>
  <c r="B372" i="43"/>
  <c r="AA372" i="43"/>
  <c r="V24" i="43"/>
  <c r="K255" i="43"/>
  <c r="Z372" i="43"/>
  <c r="F372" i="43"/>
  <c r="I372" i="43"/>
  <c r="Z138" i="43"/>
  <c r="S255" i="43"/>
  <c r="N255" i="43"/>
  <c r="K138" i="43"/>
  <c r="J372" i="43"/>
  <c r="R24" i="43"/>
  <c r="J24" i="43"/>
  <c r="X24" i="43"/>
  <c r="X138" i="43"/>
  <c r="M24" i="43"/>
  <c r="L216" i="43"/>
  <c r="B333" i="43"/>
  <c r="X216" i="43"/>
  <c r="F294" i="43"/>
  <c r="B80" i="39"/>
  <c r="T216" i="43"/>
  <c r="AE216" i="43"/>
  <c r="Z333" i="43"/>
  <c r="Y333" i="43"/>
  <c r="F177" i="43"/>
  <c r="U294" i="43"/>
  <c r="O24" i="43"/>
  <c r="B77" i="39"/>
  <c r="X213" i="43"/>
  <c r="K21" i="43"/>
  <c r="Q213" i="43"/>
  <c r="Z213" i="43"/>
  <c r="N330" i="43"/>
  <c r="H174" i="43"/>
  <c r="AE252" i="43"/>
  <c r="Y252" i="43"/>
  <c r="S135" i="43"/>
  <c r="AF213" i="43"/>
  <c r="D291" i="43"/>
  <c r="E174" i="43"/>
  <c r="T369" i="43"/>
  <c r="N291" i="43"/>
  <c r="H21" i="43"/>
  <c r="F174" i="43"/>
  <c r="U174" i="43"/>
  <c r="AD252" i="43"/>
  <c r="C135" i="43"/>
  <c r="U21" i="43"/>
  <c r="L330" i="43"/>
  <c r="B252" i="43"/>
  <c r="AD369" i="43"/>
  <c r="W213" i="43"/>
  <c r="C291" i="43"/>
  <c r="J252" i="43"/>
  <c r="AA369" i="43"/>
  <c r="AC291" i="43"/>
  <c r="S213" i="43"/>
  <c r="G291" i="43"/>
  <c r="AJ21" i="43"/>
  <c r="U369" i="43"/>
  <c r="I135" i="43"/>
  <c r="Z174" i="43"/>
  <c r="B135" i="43"/>
  <c r="G21" i="43"/>
  <c r="U213" i="43"/>
  <c r="R21" i="43"/>
  <c r="Q21" i="43"/>
  <c r="Y213" i="43"/>
  <c r="U330" i="43"/>
  <c r="S330" i="43"/>
  <c r="N21" i="43"/>
  <c r="P21" i="43"/>
  <c r="C330" i="43"/>
  <c r="D213" i="43"/>
  <c r="AD291" i="43"/>
  <c r="Y330" i="43"/>
  <c r="W252" i="43"/>
  <c r="T291" i="43"/>
  <c r="H252" i="43"/>
  <c r="G213" i="43"/>
  <c r="W330" i="43"/>
  <c r="U291" i="43"/>
  <c r="P291" i="43"/>
  <c r="V135" i="43"/>
  <c r="V21" i="43"/>
  <c r="AB330" i="43"/>
  <c r="AB291" i="43"/>
  <c r="H369" i="43"/>
  <c r="AA252" i="43"/>
  <c r="G369" i="43"/>
  <c r="E213" i="43"/>
  <c r="I291" i="43"/>
  <c r="S174" i="43"/>
  <c r="T213" i="43"/>
  <c r="P213" i="43"/>
  <c r="L291" i="43"/>
  <c r="M369" i="43"/>
  <c r="AA135" i="43"/>
  <c r="W21" i="43"/>
  <c r="L369" i="43"/>
  <c r="O135" i="43"/>
  <c r="J291" i="43"/>
  <c r="Z135" i="43"/>
  <c r="X291" i="43"/>
  <c r="AF135" i="43"/>
  <c r="AD21" i="43"/>
  <c r="AF21" i="43"/>
  <c r="O213" i="43"/>
  <c r="M291" i="43"/>
  <c r="P369" i="43"/>
  <c r="F21" i="43"/>
  <c r="B174" i="43"/>
  <c r="AF252" i="43"/>
  <c r="K135" i="43"/>
  <c r="M330" i="43"/>
  <c r="AF174" i="43"/>
  <c r="K369" i="43"/>
  <c r="U135" i="43"/>
  <c r="K174" i="43"/>
  <c r="T174" i="43"/>
  <c r="V213" i="43"/>
  <c r="AE291" i="43"/>
  <c r="N252" i="43"/>
  <c r="P135" i="43"/>
  <c r="AE135" i="43"/>
  <c r="T330" i="43"/>
  <c r="M213" i="43"/>
  <c r="AC369" i="43"/>
  <c r="L252" i="43"/>
  <c r="F369" i="43"/>
  <c r="AH21" i="43"/>
  <c r="K330" i="43"/>
  <c r="R174" i="43"/>
  <c r="T135" i="43"/>
  <c r="Y21" i="43"/>
  <c r="H213" i="43"/>
  <c r="Q330" i="43"/>
  <c r="C252" i="43"/>
  <c r="S369" i="43"/>
  <c r="AE21" i="43"/>
  <c r="N174" i="43"/>
  <c r="Z252" i="43"/>
  <c r="X369" i="43"/>
  <c r="J213" i="43"/>
  <c r="P174" i="43"/>
  <c r="J369" i="43"/>
  <c r="I213" i="43"/>
  <c r="S291" i="43"/>
  <c r="AC21" i="43"/>
  <c r="W291" i="43"/>
  <c r="M252" i="43"/>
  <c r="I369" i="43"/>
  <c r="AA330" i="43"/>
  <c r="Q135" i="43"/>
  <c r="X174" i="43"/>
  <c r="AF291" i="43"/>
  <c r="N213" i="43"/>
  <c r="AF369" i="43"/>
  <c r="Z291" i="43"/>
  <c r="S252" i="43"/>
  <c r="C369" i="43"/>
  <c r="O291" i="43"/>
  <c r="AC213" i="43"/>
  <c r="AA21" i="43"/>
  <c r="AA291" i="43"/>
  <c r="O252" i="43"/>
  <c r="F135" i="43"/>
  <c r="G330" i="43"/>
  <c r="V291" i="43"/>
  <c r="I174" i="43"/>
  <c r="Y135" i="43"/>
  <c r="X330" i="43"/>
  <c r="K252" i="43"/>
  <c r="G174" i="43"/>
  <c r="AD213" i="43"/>
  <c r="AC330" i="43"/>
  <c r="S21" i="43"/>
  <c r="L174" i="43"/>
  <c r="AB252" i="43"/>
  <c r="M135" i="43"/>
  <c r="F252" i="43"/>
  <c r="AE213" i="43"/>
  <c r="AC252" i="43"/>
  <c r="H291" i="43"/>
  <c r="F213" i="43"/>
  <c r="W369" i="43"/>
  <c r="AB174" i="43"/>
  <c r="L135" i="43"/>
  <c r="D330" i="43"/>
  <c r="R369" i="43"/>
  <c r="X135" i="43"/>
  <c r="J330" i="43"/>
  <c r="T21" i="43"/>
  <c r="W174" i="43"/>
  <c r="Q252" i="43"/>
  <c r="N135" i="43"/>
  <c r="I330" i="43"/>
  <c r="AD174" i="43"/>
  <c r="O174" i="43"/>
  <c r="K213" i="43"/>
  <c r="B291" i="43"/>
  <c r="P252" i="43"/>
  <c r="E135" i="43"/>
  <c r="AE330" i="43"/>
  <c r="E291" i="43"/>
  <c r="B330" i="43"/>
  <c r="I252" i="43"/>
  <c r="D369" i="43"/>
  <c r="G135" i="43"/>
  <c r="O369" i="43"/>
  <c r="F291" i="43"/>
  <c r="AI21" i="43"/>
  <c r="AE174" i="43"/>
  <c r="K291" i="43"/>
  <c r="D135" i="43"/>
  <c r="AD135" i="43"/>
  <c r="X21" i="43"/>
  <c r="AB369" i="43"/>
  <c r="AB213" i="43"/>
  <c r="I21" i="43"/>
  <c r="G252" i="43"/>
  <c r="N369" i="43"/>
  <c r="AE369" i="43"/>
  <c r="D252" i="43"/>
  <c r="U252" i="43"/>
  <c r="L213" i="43"/>
  <c r="C213" i="43"/>
  <c r="R252" i="43"/>
  <c r="V330" i="43"/>
  <c r="E330" i="43"/>
  <c r="M21" i="43"/>
  <c r="E369" i="43"/>
  <c r="AG21" i="43"/>
  <c r="R135" i="43"/>
  <c r="AC135" i="43"/>
  <c r="B369" i="43"/>
  <c r="J174" i="43"/>
  <c r="AB21" i="43"/>
  <c r="Q174" i="43"/>
  <c r="AF330" i="43"/>
  <c r="F330" i="43"/>
  <c r="L21" i="43"/>
  <c r="O330" i="43"/>
  <c r="R330" i="43"/>
  <c r="R291" i="43"/>
  <c r="AB135" i="43"/>
  <c r="C174" i="43"/>
  <c r="R213" i="43"/>
  <c r="Y369" i="43"/>
  <c r="M174" i="43"/>
  <c r="Q291" i="43"/>
  <c r="B213" i="43"/>
  <c r="D174" i="43"/>
  <c r="E252" i="43"/>
  <c r="X252" i="43"/>
  <c r="Z369" i="43"/>
  <c r="V369" i="43"/>
  <c r="Y174" i="43"/>
  <c r="H135" i="43"/>
  <c r="V252" i="43"/>
  <c r="Z21" i="43"/>
  <c r="Y291" i="43"/>
  <c r="W135" i="43"/>
  <c r="AA213" i="43"/>
  <c r="H330" i="43"/>
  <c r="V174" i="43"/>
  <c r="T252" i="43"/>
  <c r="J21" i="43"/>
  <c r="AD330" i="43"/>
  <c r="AC174" i="43"/>
  <c r="Z330" i="43"/>
  <c r="AA174" i="43"/>
  <c r="O21" i="43"/>
  <c r="P330" i="43"/>
  <c r="J135" i="43"/>
  <c r="Q369" i="43"/>
  <c r="V20" i="43"/>
  <c r="T212" i="43"/>
  <c r="E212" i="43"/>
  <c r="M329" i="43"/>
  <c r="F290" i="43"/>
  <c r="R20" i="43"/>
  <c r="F20" i="43"/>
  <c r="L212" i="43"/>
  <c r="O290" i="43"/>
  <c r="AE173" i="43"/>
  <c r="AF20" i="43"/>
  <c r="I212" i="43"/>
  <c r="L20" i="43"/>
  <c r="J329" i="43"/>
  <c r="AB329" i="43"/>
  <c r="T329" i="43"/>
  <c r="W368" i="43"/>
  <c r="Q20" i="43"/>
  <c r="U212" i="43"/>
  <c r="L290" i="43"/>
  <c r="W290" i="43"/>
  <c r="Y212" i="43"/>
  <c r="E173" i="43"/>
  <c r="AH20" i="43"/>
  <c r="N290" i="43"/>
  <c r="X173" i="43"/>
  <c r="O212" i="43"/>
  <c r="N329" i="43"/>
  <c r="AC368" i="43"/>
  <c r="B134" i="43"/>
  <c r="F368" i="43"/>
  <c r="Y290" i="43"/>
  <c r="W251" i="43"/>
  <c r="O368" i="43"/>
  <c r="V212" i="43"/>
  <c r="G173" i="43"/>
  <c r="Z134" i="43"/>
  <c r="L368" i="43"/>
  <c r="Z329" i="43"/>
  <c r="AB251" i="43"/>
  <c r="AE134" i="43"/>
  <c r="N20" i="43"/>
  <c r="U173" i="43"/>
  <c r="I368" i="43"/>
  <c r="AD251" i="43"/>
  <c r="Q290" i="43"/>
  <c r="H368" i="43"/>
  <c r="D134" i="43"/>
  <c r="H212" i="43"/>
  <c r="G368" i="43"/>
  <c r="P251" i="43"/>
  <c r="Y173" i="43"/>
  <c r="G20" i="43"/>
  <c r="AE20" i="43"/>
  <c r="O329" i="43"/>
  <c r="Z173" i="43"/>
  <c r="T368" i="43"/>
  <c r="AA212" i="43"/>
  <c r="S329" i="43"/>
  <c r="AD20" i="43"/>
  <c r="L329" i="43"/>
  <c r="V173" i="43"/>
  <c r="R329" i="43"/>
  <c r="AC20" i="43"/>
  <c r="AD329" i="43"/>
  <c r="E251" i="43"/>
  <c r="N134" i="43"/>
  <c r="V134" i="43"/>
  <c r="C290" i="43"/>
  <c r="E134" i="43"/>
  <c r="D368" i="43"/>
  <c r="AE290" i="43"/>
  <c r="T134" i="43"/>
  <c r="X20" i="43"/>
  <c r="AD173" i="43"/>
  <c r="L173" i="43"/>
  <c r="B76" i="39"/>
  <c r="X368" i="43"/>
  <c r="J251" i="43"/>
  <c r="AA20" i="43"/>
  <c r="AC173" i="43"/>
  <c r="AF134" i="43"/>
  <c r="E290" i="43"/>
  <c r="P290" i="43"/>
  <c r="AE368" i="43"/>
  <c r="I20" i="43"/>
  <c r="Z20" i="43"/>
  <c r="Z290" i="43"/>
  <c r="W173" i="43"/>
  <c r="P20" i="43"/>
  <c r="H329" i="43"/>
  <c r="Z212" i="43"/>
  <c r="U20" i="43"/>
  <c r="I329" i="43"/>
  <c r="Y20" i="43"/>
  <c r="K329" i="43"/>
  <c r="W20" i="43"/>
  <c r="H290" i="43"/>
  <c r="M173" i="43"/>
  <c r="K368" i="43"/>
  <c r="AJ20" i="43"/>
  <c r="AF173" i="43"/>
  <c r="AD134" i="43"/>
  <c r="H20" i="43"/>
  <c r="I251" i="43"/>
  <c r="V290" i="43"/>
  <c r="F329" i="43"/>
  <c r="N251" i="43"/>
  <c r="AB173" i="43"/>
  <c r="F212" i="43"/>
  <c r="O251" i="43"/>
  <c r="M368" i="43"/>
  <c r="N212" i="43"/>
  <c r="Q368" i="43"/>
  <c r="Y368" i="43"/>
  <c r="E368" i="43"/>
  <c r="V251" i="43"/>
  <c r="O134" i="43"/>
  <c r="AG20" i="43"/>
  <c r="S212" i="43"/>
  <c r="K290" i="43"/>
  <c r="R173" i="43"/>
  <c r="AB20" i="43"/>
  <c r="P212" i="43"/>
  <c r="AC329" i="43"/>
  <c r="J20" i="43"/>
  <c r="O173" i="43"/>
  <c r="AI20" i="43"/>
  <c r="C173" i="43"/>
  <c r="B212" i="43"/>
  <c r="G290" i="43"/>
  <c r="M251" i="43"/>
  <c r="D251" i="43"/>
  <c r="Q212" i="43"/>
  <c r="C251" i="43"/>
  <c r="G134" i="43"/>
  <c r="Q329" i="43"/>
  <c r="X329" i="43"/>
  <c r="B368" i="43"/>
  <c r="G329" i="43"/>
  <c r="P173" i="43"/>
  <c r="AA290" i="43"/>
  <c r="AE329" i="43"/>
  <c r="B251" i="43"/>
  <c r="AA134" i="43"/>
  <c r="J212" i="43"/>
  <c r="U251" i="43"/>
  <c r="U134" i="43"/>
  <c r="R368" i="43"/>
  <c r="J134" i="43"/>
  <c r="T20" i="43"/>
  <c r="D212" i="43"/>
  <c r="AB212" i="43"/>
  <c r="AA173" i="43"/>
  <c r="Z251" i="43"/>
  <c r="S20" i="43"/>
  <c r="M212" i="43"/>
  <c r="K173" i="43"/>
  <c r="K212" i="43"/>
  <c r="R290" i="43"/>
  <c r="AE212" i="43"/>
  <c r="S173" i="43"/>
  <c r="W212" i="43"/>
  <c r="I290" i="43"/>
  <c r="AC251" i="43"/>
  <c r="I134" i="43"/>
  <c r="X212" i="43"/>
  <c r="J368" i="43"/>
  <c r="H134" i="43"/>
  <c r="U329" i="43"/>
  <c r="AA251" i="43"/>
  <c r="AB134" i="43"/>
  <c r="V329" i="43"/>
  <c r="J173" i="43"/>
  <c r="L251" i="43"/>
  <c r="D290" i="43"/>
  <c r="S368" i="43"/>
  <c r="T173" i="43"/>
  <c r="AA329" i="43"/>
  <c r="U368" i="43"/>
  <c r="C368" i="43"/>
  <c r="AF212" i="43"/>
  <c r="P329" i="43"/>
  <c r="X251" i="43"/>
  <c r="B329" i="43"/>
  <c r="AD212" i="43"/>
  <c r="B173" i="43"/>
  <c r="V368" i="43"/>
  <c r="M20" i="43"/>
  <c r="G212" i="43"/>
  <c r="E329" i="43"/>
  <c r="C329" i="43"/>
  <c r="F173" i="43"/>
  <c r="R212" i="43"/>
  <c r="U290" i="43"/>
  <c r="Y329" i="43"/>
  <c r="AC212" i="43"/>
  <c r="H173" i="43"/>
  <c r="Q134" i="43"/>
  <c r="I173" i="43"/>
  <c r="N368" i="43"/>
  <c r="AC134" i="43"/>
  <c r="W329" i="43"/>
  <c r="B290" i="43"/>
  <c r="R134" i="43"/>
  <c r="D173" i="43"/>
  <c r="Q251" i="43"/>
  <c r="M134" i="43"/>
  <c r="J290" i="43"/>
  <c r="T251" i="43"/>
  <c r="S134" i="43"/>
  <c r="K251" i="43"/>
  <c r="AA368" i="43"/>
  <c r="L134" i="43"/>
  <c r="Z368" i="43"/>
  <c r="AF368" i="43"/>
  <c r="K20" i="43"/>
  <c r="AF290" i="43"/>
  <c r="AD368" i="43"/>
  <c r="Y251" i="43"/>
  <c r="C134" i="43"/>
  <c r="T290" i="43"/>
  <c r="AD290" i="43"/>
  <c r="R251" i="43"/>
  <c r="Y134" i="43"/>
  <c r="X134" i="43"/>
  <c r="O20" i="43"/>
  <c r="X290" i="43"/>
  <c r="Q173" i="43"/>
  <c r="AC290" i="43"/>
  <c r="S290" i="43"/>
  <c r="K134" i="43"/>
  <c r="D329" i="43"/>
  <c r="M290" i="43"/>
  <c r="AB368" i="43"/>
  <c r="P368" i="43"/>
  <c r="AF251" i="43"/>
  <c r="H251" i="43"/>
  <c r="G251" i="43"/>
  <c r="AB290" i="43"/>
  <c r="F134" i="43"/>
  <c r="W134" i="43"/>
  <c r="P134" i="43"/>
  <c r="AE251" i="43"/>
  <c r="S251" i="43"/>
  <c r="C212" i="43"/>
  <c r="AF329" i="43"/>
  <c r="N173" i="43"/>
  <c r="F251" i="43"/>
  <c r="G238" i="43"/>
  <c r="Q355" i="43"/>
  <c r="N199" i="43"/>
  <c r="AE355" i="43"/>
  <c r="R316" i="43"/>
  <c r="X160" i="43"/>
  <c r="I160" i="43"/>
  <c r="AC238" i="43"/>
  <c r="D316" i="43"/>
  <c r="V199" i="43"/>
  <c r="B277" i="43"/>
  <c r="AA46" i="43"/>
  <c r="H355" i="43"/>
  <c r="E316" i="43"/>
  <c r="G355" i="43"/>
  <c r="AA394" i="43"/>
  <c r="N394" i="43"/>
  <c r="E160" i="43"/>
  <c r="AB238" i="43"/>
  <c r="Z316" i="43"/>
  <c r="F160" i="43"/>
  <c r="J394" i="43"/>
  <c r="Q238" i="43"/>
  <c r="AA316" i="43"/>
  <c r="W160" i="43"/>
  <c r="AA277" i="43"/>
  <c r="E355" i="43"/>
  <c r="D199" i="43"/>
  <c r="Z160" i="43"/>
  <c r="AD160" i="43"/>
  <c r="S355" i="43"/>
  <c r="I199" i="43"/>
  <c r="U394" i="43"/>
  <c r="AG46" i="43"/>
  <c r="N160" i="43"/>
  <c r="N277" i="43"/>
  <c r="Z355" i="43"/>
  <c r="Y355" i="43"/>
  <c r="AI46" i="43"/>
  <c r="O160" i="43"/>
  <c r="AD355" i="43"/>
  <c r="AJ46" i="43"/>
  <c r="F238" i="43"/>
  <c r="C316" i="43"/>
  <c r="S199" i="43"/>
  <c r="AF199" i="43"/>
  <c r="H277" i="43"/>
  <c r="AE160" i="43"/>
  <c r="AF46" i="43"/>
  <c r="T238" i="43"/>
  <c r="K316" i="43"/>
  <c r="X199" i="43"/>
  <c r="R46" i="43"/>
  <c r="N355" i="43"/>
  <c r="R355" i="43"/>
  <c r="P316" i="43"/>
  <c r="R199" i="43"/>
  <c r="M160" i="43"/>
  <c r="D394" i="43"/>
  <c r="X46" i="43"/>
  <c r="X355" i="43"/>
  <c r="Z394" i="43"/>
  <c r="S160" i="43"/>
  <c r="F46" i="43"/>
  <c r="AB355" i="43"/>
  <c r="T394" i="43"/>
  <c r="F277" i="43"/>
  <c r="J46" i="43"/>
  <c r="U355" i="43"/>
  <c r="AD199" i="43"/>
  <c r="V277" i="43"/>
  <c r="L238" i="43"/>
  <c r="O199" i="43"/>
  <c r="T277" i="43"/>
  <c r="S394" i="43"/>
  <c r="AE199" i="43"/>
  <c r="J355" i="43"/>
  <c r="B238" i="43"/>
  <c r="Y394" i="43"/>
  <c r="M316" i="43"/>
  <c r="AC199" i="43"/>
  <c r="C160" i="43"/>
  <c r="AD46" i="43"/>
  <c r="V238" i="43"/>
  <c r="Y316" i="43"/>
  <c r="W277" i="43"/>
  <c r="H394" i="43"/>
  <c r="P46" i="43"/>
  <c r="M355" i="43"/>
  <c r="Y238" i="43"/>
  <c r="R238" i="43"/>
  <c r="T355" i="43"/>
  <c r="AB394" i="43"/>
  <c r="H160" i="43"/>
  <c r="L46" i="43"/>
  <c r="S316" i="43"/>
  <c r="P199" i="43"/>
  <c r="D238" i="43"/>
  <c r="N316" i="43"/>
  <c r="AD394" i="43"/>
  <c r="J316" i="43"/>
  <c r="AC394" i="43"/>
  <c r="Q46" i="43"/>
  <c r="F316" i="43"/>
  <c r="AC160" i="43"/>
  <c r="G199" i="43"/>
  <c r="Z277" i="43"/>
  <c r="W238" i="43"/>
  <c r="AF316" i="43"/>
  <c r="E277" i="43"/>
  <c r="K46" i="43"/>
  <c r="X316" i="43"/>
  <c r="K277" i="43"/>
  <c r="AD277" i="43"/>
  <c r="W394" i="43"/>
  <c r="M238" i="43"/>
  <c r="L355" i="43"/>
  <c r="B102" i="39"/>
  <c r="AD238" i="43"/>
  <c r="D277" i="43"/>
  <c r="AB277" i="43"/>
  <c r="AA160" i="43"/>
  <c r="E238" i="43"/>
  <c r="W199" i="43"/>
  <c r="I394" i="43"/>
  <c r="W316" i="43"/>
  <c r="X394" i="43"/>
  <c r="O46" i="43"/>
  <c r="P355" i="43"/>
  <c r="Q160" i="43"/>
  <c r="J238" i="43"/>
  <c r="AF394" i="43"/>
  <c r="AE394" i="43"/>
  <c r="AB160" i="43"/>
  <c r="K355" i="43"/>
  <c r="L316" i="43"/>
  <c r="AB199" i="43"/>
  <c r="V316" i="43"/>
  <c r="V46" i="43"/>
  <c r="AF355" i="43"/>
  <c r="E199" i="43"/>
  <c r="L160" i="43"/>
  <c r="P394" i="43"/>
  <c r="I355" i="43"/>
  <c r="AA355" i="43"/>
  <c r="U46" i="43"/>
  <c r="U238" i="43"/>
  <c r="AC355" i="43"/>
  <c r="Q277" i="43"/>
  <c r="Q394" i="43"/>
  <c r="X238" i="43"/>
  <c r="M394" i="43"/>
  <c r="G160" i="43"/>
  <c r="B316" i="43"/>
  <c r="AC277" i="43"/>
  <c r="Y46" i="43"/>
  <c r="U199" i="43"/>
  <c r="K394" i="43"/>
  <c r="K238" i="43"/>
  <c r="P277" i="43"/>
  <c r="R160" i="43"/>
  <c r="Z46" i="43"/>
  <c r="F199" i="43"/>
  <c r="AE277" i="43"/>
  <c r="AE238" i="43"/>
  <c r="L394" i="43"/>
  <c r="Z238" i="43"/>
  <c r="H199" i="43"/>
  <c r="U277" i="43"/>
  <c r="D160" i="43"/>
  <c r="M46" i="43"/>
  <c r="N238" i="43"/>
  <c r="V355" i="43"/>
  <c r="H46" i="43"/>
  <c r="G316" i="43"/>
  <c r="AA199" i="43"/>
  <c r="O277" i="43"/>
  <c r="B160" i="43"/>
  <c r="U316" i="43"/>
  <c r="AF277" i="43"/>
  <c r="G46" i="43"/>
  <c r="J277" i="43"/>
  <c r="B394" i="43"/>
  <c r="C238" i="43"/>
  <c r="Y277" i="43"/>
  <c r="T160" i="43"/>
  <c r="F355" i="43"/>
  <c r="C277" i="43"/>
  <c r="D355" i="43"/>
  <c r="I316" i="43"/>
  <c r="S277" i="43"/>
  <c r="P160" i="43"/>
  <c r="U160" i="43"/>
  <c r="T199" i="43"/>
  <c r="AC46" i="43"/>
  <c r="Q199" i="43"/>
  <c r="B199" i="43"/>
  <c r="AC316" i="43"/>
  <c r="AH46" i="43"/>
  <c r="S238" i="43"/>
  <c r="AD316" i="43"/>
  <c r="AB316" i="43"/>
  <c r="V160" i="43"/>
  <c r="AA238" i="43"/>
  <c r="H238" i="43"/>
  <c r="Y160" i="43"/>
  <c r="H316" i="43"/>
  <c r="Q316" i="43"/>
  <c r="W355" i="43"/>
  <c r="K199" i="43"/>
  <c r="Z199" i="43"/>
  <c r="F394" i="43"/>
  <c r="R277" i="43"/>
  <c r="I238" i="43"/>
  <c r="M277" i="43"/>
  <c r="O316" i="43"/>
  <c r="L199" i="43"/>
  <c r="I277" i="43"/>
  <c r="Y199" i="43"/>
  <c r="V394" i="43"/>
  <c r="K160" i="43"/>
  <c r="T46" i="43"/>
  <c r="O238" i="43"/>
  <c r="I46" i="43"/>
  <c r="N46" i="43"/>
  <c r="AE316" i="43"/>
  <c r="X277" i="43"/>
  <c r="M199" i="43"/>
  <c r="C394" i="43"/>
  <c r="C199" i="43"/>
  <c r="J160" i="43"/>
  <c r="L277" i="43"/>
  <c r="S46" i="43"/>
  <c r="AF238" i="43"/>
  <c r="O394" i="43"/>
  <c r="E394" i="43"/>
  <c r="G394" i="43"/>
  <c r="W46" i="43"/>
  <c r="G277" i="43"/>
  <c r="B355" i="43"/>
  <c r="AF160" i="43"/>
  <c r="AE46" i="43"/>
  <c r="P238" i="43"/>
  <c r="R394" i="43"/>
  <c r="J199" i="43"/>
  <c r="C355" i="43"/>
  <c r="T316" i="43"/>
  <c r="O355" i="43"/>
  <c r="AB46" i="43"/>
  <c r="AB34" i="43"/>
  <c r="F226" i="43"/>
  <c r="J343" i="43"/>
  <c r="G187" i="43"/>
  <c r="AA382" i="43"/>
  <c r="AD382" i="43"/>
  <c r="N382" i="43"/>
  <c r="AA34" i="43"/>
  <c r="P226" i="43"/>
  <c r="X304" i="43"/>
  <c r="AA304" i="43"/>
  <c r="S187" i="43"/>
  <c r="Y382" i="43"/>
  <c r="L34" i="43"/>
  <c r="I343" i="43"/>
  <c r="Z343" i="43"/>
  <c r="Z304" i="43"/>
  <c r="X265" i="43"/>
  <c r="AB187" i="43"/>
  <c r="V148" i="43"/>
  <c r="R34" i="43"/>
  <c r="I226" i="43"/>
  <c r="C187" i="43"/>
  <c r="X187" i="43"/>
  <c r="U382" i="43"/>
  <c r="AF148" i="43"/>
  <c r="G343" i="43"/>
  <c r="AC304" i="43"/>
  <c r="P265" i="43"/>
  <c r="X34" i="43"/>
  <c r="J226" i="43"/>
  <c r="Q226" i="43"/>
  <c r="AC187" i="43"/>
  <c r="W382" i="43"/>
  <c r="AB148" i="43"/>
  <c r="C382" i="43"/>
  <c r="AE226" i="43"/>
  <c r="W226" i="43"/>
  <c r="Q304" i="43"/>
  <c r="D265" i="43"/>
  <c r="U265" i="43"/>
  <c r="T148" i="43"/>
  <c r="T34" i="43"/>
  <c r="AD343" i="43"/>
  <c r="W304" i="43"/>
  <c r="C148" i="43"/>
  <c r="D226" i="43"/>
  <c r="J304" i="43"/>
  <c r="AE265" i="43"/>
  <c r="AE34" i="43"/>
  <c r="O343" i="43"/>
  <c r="I265" i="43"/>
  <c r="D304" i="43"/>
  <c r="AB226" i="43"/>
  <c r="AE343" i="43"/>
  <c r="AA148" i="43"/>
  <c r="I34" i="43"/>
  <c r="AB343" i="43"/>
  <c r="AC265" i="43"/>
  <c r="S265" i="43"/>
  <c r="U187" i="43"/>
  <c r="S34" i="43"/>
  <c r="V265" i="43"/>
  <c r="L343" i="43"/>
  <c r="N187" i="43"/>
  <c r="G382" i="43"/>
  <c r="E226" i="43"/>
  <c r="R343" i="43"/>
  <c r="W343" i="43"/>
  <c r="O304" i="43"/>
  <c r="G265" i="43"/>
  <c r="R148" i="43"/>
  <c r="F34" i="43"/>
  <c r="C343" i="43"/>
  <c r="H304" i="43"/>
  <c r="AF343" i="43"/>
  <c r="B187" i="43"/>
  <c r="B265" i="43"/>
  <c r="E148" i="43"/>
  <c r="AI34" i="43"/>
  <c r="AC343" i="43"/>
  <c r="AB382" i="43"/>
  <c r="E382" i="43"/>
  <c r="AF226" i="43"/>
  <c r="K304" i="43"/>
  <c r="O382" i="43"/>
  <c r="Z34" i="43"/>
  <c r="G304" i="43"/>
  <c r="F187" i="43"/>
  <c r="Z148" i="43"/>
  <c r="AC226" i="43"/>
  <c r="H187" i="43"/>
  <c r="I148" i="43"/>
  <c r="AF34" i="43"/>
  <c r="M343" i="43"/>
  <c r="L382" i="43"/>
  <c r="AD148" i="43"/>
  <c r="W148" i="43"/>
  <c r="AB304" i="43"/>
  <c r="AF382" i="43"/>
  <c r="F304" i="43"/>
  <c r="P382" i="43"/>
  <c r="O34" i="43"/>
  <c r="G226" i="43"/>
  <c r="N343" i="43"/>
  <c r="Q187" i="43"/>
  <c r="X382" i="43"/>
  <c r="AC382" i="43"/>
  <c r="M382" i="43"/>
  <c r="G34" i="43"/>
  <c r="AD226" i="43"/>
  <c r="U343" i="43"/>
  <c r="N304" i="43"/>
  <c r="O265" i="43"/>
  <c r="AC148" i="43"/>
  <c r="Z265" i="43"/>
  <c r="Y34" i="43"/>
  <c r="P343" i="43"/>
  <c r="R382" i="43"/>
  <c r="G148" i="43"/>
  <c r="K343" i="43"/>
  <c r="AE187" i="43"/>
  <c r="I382" i="43"/>
  <c r="H226" i="43"/>
  <c r="I304" i="43"/>
  <c r="R265" i="43"/>
  <c r="X148" i="43"/>
  <c r="T226" i="43"/>
  <c r="P187" i="43"/>
  <c r="O148" i="43"/>
  <c r="M226" i="43"/>
  <c r="W187" i="43"/>
  <c r="V382" i="43"/>
  <c r="E343" i="43"/>
  <c r="B90" i="39"/>
  <c r="AD265" i="43"/>
  <c r="C226" i="43"/>
  <c r="V343" i="43"/>
  <c r="D382" i="43"/>
  <c r="W34" i="43"/>
  <c r="V226" i="43"/>
  <c r="J187" i="43"/>
  <c r="AF304" i="43"/>
  <c r="F265" i="43"/>
  <c r="B382" i="43"/>
  <c r="P148" i="43"/>
  <c r="J34" i="43"/>
  <c r="Y226" i="43"/>
  <c r="E304" i="43"/>
  <c r="C265" i="43"/>
  <c r="Z382" i="43"/>
  <c r="Q382" i="43"/>
  <c r="K148" i="43"/>
  <c r="AA226" i="43"/>
  <c r="AA187" i="43"/>
  <c r="Z187" i="43"/>
  <c r="AG34" i="43"/>
  <c r="U304" i="43"/>
  <c r="I187" i="43"/>
  <c r="J148" i="43"/>
  <c r="X226" i="43"/>
  <c r="E187" i="43"/>
  <c r="H148" i="43"/>
  <c r="AJ34" i="43"/>
  <c r="T343" i="43"/>
  <c r="N265" i="43"/>
  <c r="K265" i="43"/>
  <c r="S226" i="43"/>
  <c r="V187" i="43"/>
  <c r="M265" i="43"/>
  <c r="P304" i="43"/>
  <c r="H343" i="43"/>
  <c r="AF265" i="43"/>
  <c r="Y304" i="43"/>
  <c r="AC34" i="43"/>
  <c r="V304" i="43"/>
  <c r="AE148" i="43"/>
  <c r="AH34" i="43"/>
  <c r="B226" i="43"/>
  <c r="AA343" i="43"/>
  <c r="T187" i="43"/>
  <c r="AA265" i="43"/>
  <c r="E265" i="43"/>
  <c r="L148" i="43"/>
  <c r="U34" i="43"/>
  <c r="D343" i="43"/>
  <c r="T304" i="43"/>
  <c r="R187" i="43"/>
  <c r="AB265" i="43"/>
  <c r="F148" i="43"/>
  <c r="Y265" i="43"/>
  <c r="U226" i="43"/>
  <c r="AF187" i="43"/>
  <c r="H382" i="43"/>
  <c r="Q34" i="43"/>
  <c r="B304" i="43"/>
  <c r="S304" i="43"/>
  <c r="N148" i="43"/>
  <c r="K226" i="43"/>
  <c r="D187" i="43"/>
  <c r="M148" i="43"/>
  <c r="M34" i="43"/>
  <c r="M304" i="43"/>
  <c r="O187" i="43"/>
  <c r="S148" i="43"/>
  <c r="R226" i="43"/>
  <c r="AD187" i="43"/>
  <c r="U148" i="43"/>
  <c r="Y187" i="43"/>
  <c r="AE382" i="43"/>
  <c r="AD34" i="43"/>
  <c r="K34" i="43"/>
  <c r="L265" i="43"/>
  <c r="B148" i="43"/>
  <c r="H34" i="43"/>
  <c r="F343" i="43"/>
  <c r="C304" i="43"/>
  <c r="AD304" i="43"/>
  <c r="AE304" i="43"/>
  <c r="F382" i="43"/>
  <c r="D148" i="43"/>
  <c r="V34" i="43"/>
  <c r="O226" i="43"/>
  <c r="Q343" i="43"/>
  <c r="R304" i="43"/>
  <c r="L187" i="43"/>
  <c r="S382" i="43"/>
  <c r="Y148" i="43"/>
  <c r="Z226" i="43"/>
  <c r="J265" i="43"/>
  <c r="Q265" i="43"/>
  <c r="N34" i="43"/>
  <c r="S343" i="43"/>
  <c r="M187" i="43"/>
  <c r="J382" i="43"/>
  <c r="N226" i="43"/>
  <c r="K187" i="43"/>
  <c r="Q148" i="43"/>
  <c r="L226" i="43"/>
  <c r="L304" i="43"/>
  <c r="T265" i="43"/>
  <c r="P34" i="43"/>
  <c r="Y343" i="43"/>
  <c r="T382" i="43"/>
  <c r="K382" i="43"/>
  <c r="B343" i="43"/>
  <c r="H265" i="43"/>
  <c r="X343" i="43"/>
  <c r="W265" i="43"/>
  <c r="M33" i="43"/>
  <c r="AA225" i="43"/>
  <c r="V342" i="43"/>
  <c r="U303" i="43"/>
  <c r="AA264" i="43"/>
  <c r="R381" i="43"/>
  <c r="N147" i="43"/>
  <c r="I33" i="43"/>
  <c r="AD225" i="43"/>
  <c r="AC342" i="43"/>
  <c r="AD303" i="43"/>
  <c r="Z381" i="43"/>
  <c r="K381" i="43"/>
  <c r="AI33" i="43"/>
  <c r="H225" i="43"/>
  <c r="K303" i="43"/>
  <c r="S186" i="43"/>
  <c r="W381" i="43"/>
  <c r="O147" i="43"/>
  <c r="AE147" i="43"/>
  <c r="U225" i="43"/>
  <c r="O225" i="43"/>
  <c r="J381" i="43"/>
  <c r="AA147" i="43"/>
  <c r="I342" i="43"/>
  <c r="S342" i="43"/>
  <c r="B89" i="39"/>
  <c r="AB225" i="43"/>
  <c r="P342" i="43"/>
  <c r="U186" i="43"/>
  <c r="N186" i="43"/>
  <c r="P264" i="43"/>
  <c r="C147" i="43"/>
  <c r="P33" i="43"/>
  <c r="D225" i="43"/>
  <c r="AD342" i="43"/>
  <c r="V186" i="43"/>
  <c r="E264" i="43"/>
  <c r="S264" i="43"/>
  <c r="AD33" i="43"/>
  <c r="B225" i="43"/>
  <c r="J303" i="43"/>
  <c r="B264" i="43"/>
  <c r="AB303" i="43"/>
  <c r="L225" i="43"/>
  <c r="AF342" i="43"/>
  <c r="E381" i="43"/>
  <c r="AE264" i="43"/>
  <c r="W33" i="43"/>
  <c r="G342" i="43"/>
  <c r="J342" i="43"/>
  <c r="T186" i="43"/>
  <c r="K33" i="43"/>
  <c r="X225" i="43"/>
  <c r="S303" i="43"/>
  <c r="N264" i="43"/>
  <c r="D381" i="43"/>
  <c r="V33" i="43"/>
  <c r="J264" i="43"/>
  <c r="X264" i="43"/>
  <c r="F225" i="43"/>
  <c r="W303" i="43"/>
  <c r="M186" i="43"/>
  <c r="I225" i="43"/>
  <c r="C303" i="43"/>
  <c r="B147" i="43"/>
  <c r="I186" i="43"/>
  <c r="E147" i="43"/>
  <c r="AE225" i="43"/>
  <c r="M264" i="43"/>
  <c r="AG33" i="43"/>
  <c r="AD186" i="43"/>
  <c r="AB381" i="43"/>
  <c r="U381" i="43"/>
  <c r="P147" i="43"/>
  <c r="V225" i="43"/>
  <c r="AE33" i="43"/>
  <c r="D303" i="43"/>
  <c r="AF33" i="43"/>
  <c r="Q225" i="43"/>
  <c r="U342" i="43"/>
  <c r="AD381" i="43"/>
  <c r="B381" i="43"/>
  <c r="U33" i="43"/>
  <c r="Z303" i="43"/>
  <c r="AC303" i="43"/>
  <c r="Z186" i="43"/>
  <c r="Z33" i="43"/>
  <c r="K186" i="43"/>
  <c r="AE186" i="43"/>
  <c r="T381" i="43"/>
  <c r="V147" i="43"/>
  <c r="J225" i="43"/>
  <c r="AF186" i="43"/>
  <c r="AA381" i="43"/>
  <c r="S225" i="43"/>
  <c r="W342" i="43"/>
  <c r="U147" i="43"/>
  <c r="F342" i="43"/>
  <c r="Y381" i="43"/>
  <c r="H33" i="43"/>
  <c r="R186" i="43"/>
  <c r="F147" i="43"/>
  <c r="E303" i="43"/>
  <c r="U264" i="43"/>
  <c r="G33" i="43"/>
  <c r="T303" i="43"/>
  <c r="P381" i="43"/>
  <c r="L147" i="43"/>
  <c r="AA33" i="43"/>
  <c r="T342" i="43"/>
  <c r="O381" i="43"/>
  <c r="F33" i="43"/>
  <c r="M225" i="43"/>
  <c r="L264" i="43"/>
  <c r="Q186" i="43"/>
  <c r="AD147" i="43"/>
  <c r="Q33" i="43"/>
  <c r="V303" i="43"/>
  <c r="F264" i="43"/>
  <c r="Z147" i="43"/>
  <c r="K225" i="43"/>
  <c r="AF225" i="43"/>
  <c r="AF303" i="43"/>
  <c r="AC381" i="43"/>
  <c r="AB186" i="43"/>
  <c r="O342" i="43"/>
  <c r="F186" i="43"/>
  <c r="T147" i="43"/>
  <c r="T225" i="43"/>
  <c r="AC186" i="43"/>
  <c r="H381" i="43"/>
  <c r="N342" i="43"/>
  <c r="C264" i="43"/>
  <c r="P225" i="43"/>
  <c r="G186" i="43"/>
  <c r="M381" i="43"/>
  <c r="D186" i="43"/>
  <c r="Q264" i="43"/>
  <c r="Y225" i="43"/>
  <c r="H264" i="43"/>
  <c r="AC264" i="43"/>
  <c r="R33" i="43"/>
  <c r="X342" i="43"/>
  <c r="R264" i="43"/>
  <c r="C342" i="43"/>
  <c r="Y342" i="43"/>
  <c r="X33" i="43"/>
  <c r="R303" i="43"/>
  <c r="G264" i="43"/>
  <c r="I147" i="43"/>
  <c r="AF264" i="43"/>
  <c r="R225" i="43"/>
  <c r="F303" i="43"/>
  <c r="H186" i="43"/>
  <c r="G381" i="43"/>
  <c r="E342" i="43"/>
  <c r="X303" i="43"/>
  <c r="Y264" i="43"/>
  <c r="B303" i="43"/>
  <c r="O33" i="43"/>
  <c r="L303" i="43"/>
  <c r="L186" i="43"/>
  <c r="AC33" i="43"/>
  <c r="AE303" i="43"/>
  <c r="AA186" i="43"/>
  <c r="C381" i="43"/>
  <c r="O303" i="43"/>
  <c r="X147" i="43"/>
  <c r="L342" i="43"/>
  <c r="O264" i="43"/>
  <c r="Y33" i="43"/>
  <c r="M303" i="43"/>
  <c r="AC147" i="43"/>
  <c r="I303" i="43"/>
  <c r="AF381" i="43"/>
  <c r="D342" i="43"/>
  <c r="C186" i="43"/>
  <c r="V381" i="43"/>
  <c r="R147" i="43"/>
  <c r="K342" i="43"/>
  <c r="AB342" i="43"/>
  <c r="N225" i="43"/>
  <c r="L381" i="43"/>
  <c r="T264" i="43"/>
  <c r="N303" i="43"/>
  <c r="AA303" i="43"/>
  <c r="AE342" i="43"/>
  <c r="Q381" i="43"/>
  <c r="I264" i="43"/>
  <c r="T33" i="43"/>
  <c r="K147" i="43"/>
  <c r="J186" i="43"/>
  <c r="Z225" i="43"/>
  <c r="S33" i="43"/>
  <c r="B186" i="43"/>
  <c r="Q342" i="43"/>
  <c r="G303" i="43"/>
  <c r="P186" i="43"/>
  <c r="G147" i="43"/>
  <c r="F381" i="43"/>
  <c r="Y303" i="43"/>
  <c r="W264" i="43"/>
  <c r="N33" i="43"/>
  <c r="O186" i="43"/>
  <c r="R342" i="43"/>
  <c r="AC225" i="43"/>
  <c r="Z264" i="43"/>
  <c r="I381" i="43"/>
  <c r="K264" i="43"/>
  <c r="AB147" i="43"/>
  <c r="AH33" i="43"/>
  <c r="C225" i="43"/>
  <c r="E186" i="43"/>
  <c r="M147" i="43"/>
  <c r="G225" i="43"/>
  <c r="S381" i="43"/>
  <c r="Q303" i="43"/>
  <c r="M342" i="43"/>
  <c r="W147" i="43"/>
  <c r="Q147" i="43"/>
  <c r="V264" i="43"/>
  <c r="J147" i="43"/>
  <c r="W225" i="43"/>
  <c r="B342" i="43"/>
  <c r="AD264" i="43"/>
  <c r="D147" i="43"/>
  <c r="P303" i="43"/>
  <c r="H147" i="43"/>
  <c r="X186" i="43"/>
  <c r="AA342" i="43"/>
  <c r="S147" i="43"/>
  <c r="N381" i="43"/>
  <c r="Y147" i="43"/>
  <c r="E225" i="43"/>
  <c r="W186" i="43"/>
  <c r="AB264" i="43"/>
  <c r="Y186" i="43"/>
  <c r="AB33" i="43"/>
  <c r="H303" i="43"/>
  <c r="AE381" i="43"/>
  <c r="D264" i="43"/>
  <c r="Z342" i="43"/>
  <c r="X381" i="43"/>
  <c r="J33" i="43"/>
  <c r="AF147" i="43"/>
  <c r="L33" i="43"/>
  <c r="H342" i="43"/>
  <c r="AJ33" i="43"/>
  <c r="AB43" i="43"/>
  <c r="F235" i="43"/>
  <c r="I235" i="43"/>
  <c r="W313" i="43"/>
  <c r="AD391" i="43"/>
  <c r="AC391" i="43"/>
  <c r="L157" i="43"/>
  <c r="AE43" i="43"/>
  <c r="I352" i="43"/>
  <c r="Q313" i="43"/>
  <c r="F274" i="43"/>
  <c r="R274" i="43"/>
  <c r="AF157" i="43"/>
  <c r="V157" i="43"/>
  <c r="J43" i="43"/>
  <c r="AG43" i="43"/>
  <c r="E235" i="43"/>
  <c r="I196" i="43"/>
  <c r="N313" i="43"/>
  <c r="H391" i="43"/>
  <c r="L274" i="43"/>
  <c r="H157" i="43"/>
  <c r="X43" i="43"/>
  <c r="Q352" i="43"/>
  <c r="AA352" i="43"/>
  <c r="K313" i="43"/>
  <c r="K274" i="43"/>
  <c r="T196" i="43"/>
  <c r="I157" i="43"/>
  <c r="P235" i="43"/>
  <c r="K196" i="43"/>
  <c r="O274" i="43"/>
  <c r="AA391" i="43"/>
  <c r="G43" i="43"/>
  <c r="AF235" i="43"/>
  <c r="AC235" i="43"/>
  <c r="U196" i="43"/>
  <c r="Q157" i="43"/>
  <c r="F43" i="43"/>
  <c r="AD352" i="43"/>
  <c r="C196" i="43"/>
  <c r="Y43" i="43"/>
  <c r="AC313" i="43"/>
  <c r="D235" i="43"/>
  <c r="E196" i="43"/>
  <c r="J391" i="43"/>
  <c r="V352" i="43"/>
  <c r="B99" i="39"/>
  <c r="M391" i="43"/>
  <c r="V43" i="43"/>
  <c r="Q274" i="43"/>
  <c r="M352" i="43"/>
  <c r="N274" i="43"/>
  <c r="V235" i="43"/>
  <c r="Z157" i="43"/>
  <c r="F391" i="43"/>
  <c r="V196" i="43"/>
  <c r="O235" i="43"/>
  <c r="Z352" i="43"/>
  <c r="S196" i="43"/>
  <c r="AA157" i="43"/>
  <c r="W43" i="43"/>
  <c r="J313" i="43"/>
  <c r="AB313" i="43"/>
  <c r="X391" i="43"/>
  <c r="AB157" i="43"/>
  <c r="D352" i="43"/>
  <c r="Y313" i="43"/>
  <c r="V274" i="43"/>
  <c r="D157" i="43"/>
  <c r="G352" i="43"/>
  <c r="D274" i="43"/>
  <c r="S391" i="43"/>
  <c r="V391" i="43"/>
  <c r="R352" i="43"/>
  <c r="H274" i="43"/>
  <c r="Q43" i="43"/>
  <c r="S313" i="43"/>
  <c r="AD274" i="43"/>
  <c r="E391" i="43"/>
  <c r="K352" i="43"/>
  <c r="U43" i="43"/>
  <c r="B274" i="43"/>
  <c r="AA196" i="43"/>
  <c r="S43" i="43"/>
  <c r="F157" i="43"/>
  <c r="Y196" i="43"/>
  <c r="I313" i="43"/>
  <c r="AC352" i="43"/>
  <c r="H352" i="43"/>
  <c r="AE313" i="43"/>
  <c r="M274" i="43"/>
  <c r="AE391" i="43"/>
  <c r="I43" i="43"/>
  <c r="F352" i="43"/>
  <c r="O313" i="43"/>
  <c r="U391" i="43"/>
  <c r="B157" i="43"/>
  <c r="W235" i="43"/>
  <c r="AF196" i="43"/>
  <c r="P391" i="43"/>
  <c r="R391" i="43"/>
  <c r="B313" i="43"/>
  <c r="Z313" i="43"/>
  <c r="AE157" i="43"/>
  <c r="K43" i="43"/>
  <c r="U313" i="43"/>
  <c r="AD196" i="43"/>
  <c r="T235" i="43"/>
  <c r="X352" i="43"/>
  <c r="AF274" i="43"/>
  <c r="W157" i="43"/>
  <c r="G313" i="43"/>
  <c r="C352" i="43"/>
  <c r="U157" i="43"/>
  <c r="T313" i="43"/>
  <c r="B235" i="43"/>
  <c r="T157" i="43"/>
  <c r="E157" i="43"/>
  <c r="D196" i="43"/>
  <c r="F196" i="43"/>
  <c r="R43" i="43"/>
  <c r="H313" i="43"/>
  <c r="G274" i="43"/>
  <c r="O391" i="43"/>
  <c r="C391" i="43"/>
  <c r="J235" i="43"/>
  <c r="J196" i="43"/>
  <c r="X196" i="43"/>
  <c r="Y391" i="43"/>
  <c r="M43" i="43"/>
  <c r="O352" i="43"/>
  <c r="G196" i="43"/>
  <c r="X274" i="43"/>
  <c r="AH43" i="43"/>
  <c r="AF352" i="43"/>
  <c r="W274" i="43"/>
  <c r="AE274" i="43"/>
  <c r="Q235" i="43"/>
  <c r="P352" i="43"/>
  <c r="Y274" i="43"/>
  <c r="AA235" i="43"/>
  <c r="C313" i="43"/>
  <c r="W391" i="43"/>
  <c r="AI43" i="43"/>
  <c r="T352" i="43"/>
  <c r="P196" i="43"/>
  <c r="P43" i="43"/>
  <c r="D391" i="43"/>
  <c r="R196" i="43"/>
  <c r="W352" i="43"/>
  <c r="AF313" i="43"/>
  <c r="H43" i="43"/>
  <c r="L43" i="43"/>
  <c r="AD235" i="43"/>
  <c r="I274" i="43"/>
  <c r="AA274" i="43"/>
  <c r="AB391" i="43"/>
  <c r="U235" i="43"/>
  <c r="B196" i="43"/>
  <c r="L391" i="43"/>
  <c r="Z391" i="43"/>
  <c r="O43" i="43"/>
  <c r="Y352" i="43"/>
  <c r="Z196" i="43"/>
  <c r="G391" i="43"/>
  <c r="N43" i="43"/>
  <c r="K235" i="43"/>
  <c r="C274" i="43"/>
  <c r="B391" i="43"/>
  <c r="Y235" i="43"/>
  <c r="H196" i="43"/>
  <c r="AC196" i="43"/>
  <c r="Z235" i="43"/>
  <c r="G235" i="43"/>
  <c r="X313" i="43"/>
  <c r="X235" i="43"/>
  <c r="Q391" i="43"/>
  <c r="L313" i="43"/>
  <c r="E352" i="43"/>
  <c r="X157" i="43"/>
  <c r="AA313" i="43"/>
  <c r="O196" i="43"/>
  <c r="U274" i="43"/>
  <c r="C235" i="43"/>
  <c r="M313" i="43"/>
  <c r="AD43" i="43"/>
  <c r="S235" i="43"/>
  <c r="D313" i="43"/>
  <c r="R235" i="43"/>
  <c r="M157" i="43"/>
  <c r="AF43" i="43"/>
  <c r="P157" i="43"/>
  <c r="Z274" i="43"/>
  <c r="S274" i="43"/>
  <c r="J157" i="43"/>
  <c r="AB196" i="43"/>
  <c r="N235" i="43"/>
  <c r="I391" i="43"/>
  <c r="P313" i="43"/>
  <c r="S352" i="43"/>
  <c r="AJ43" i="43"/>
  <c r="B352" i="43"/>
  <c r="P274" i="43"/>
  <c r="R157" i="43"/>
  <c r="G157" i="43"/>
  <c r="M196" i="43"/>
  <c r="L235" i="43"/>
  <c r="AC274" i="43"/>
  <c r="Q196" i="43"/>
  <c r="V313" i="43"/>
  <c r="N352" i="43"/>
  <c r="AE352" i="43"/>
  <c r="H235" i="43"/>
  <c r="U352" i="43"/>
  <c r="T274" i="43"/>
  <c r="T43" i="43"/>
  <c r="J274" i="43"/>
  <c r="J352" i="43"/>
  <c r="K157" i="43"/>
  <c r="AD157" i="43"/>
  <c r="L196" i="43"/>
  <c r="R313" i="43"/>
  <c r="N196" i="43"/>
  <c r="K391" i="43"/>
  <c r="AF391" i="43"/>
  <c r="AC43" i="43"/>
  <c r="M235" i="43"/>
  <c r="S157" i="43"/>
  <c r="E274" i="43"/>
  <c r="Z43" i="43"/>
  <c r="AC157" i="43"/>
  <c r="T391" i="43"/>
  <c r="AB352" i="43"/>
  <c r="E313" i="43"/>
  <c r="O157" i="43"/>
  <c r="N157" i="43"/>
  <c r="AB235" i="43"/>
  <c r="W196" i="43"/>
  <c r="L352" i="43"/>
  <c r="F313" i="43"/>
  <c r="AD313" i="43"/>
  <c r="AA43" i="43"/>
  <c r="C157" i="43"/>
  <c r="N391" i="43"/>
  <c r="AE235" i="43"/>
  <c r="AB274" i="43"/>
  <c r="Y157" i="43"/>
  <c r="AE196" i="43"/>
  <c r="AJ29" i="43"/>
  <c r="N221" i="43"/>
  <c r="Q338" i="43"/>
  <c r="L299" i="43"/>
  <c r="AB377" i="43"/>
  <c r="I260" i="43"/>
  <c r="U143" i="43"/>
  <c r="O29" i="43"/>
  <c r="Z221" i="43"/>
  <c r="U338" i="43"/>
  <c r="W299" i="43"/>
  <c r="AD377" i="43"/>
  <c r="AC260" i="43"/>
  <c r="B143" i="43"/>
  <c r="M29" i="43"/>
  <c r="AB221" i="43"/>
  <c r="Z338" i="43"/>
  <c r="D338" i="43"/>
  <c r="X377" i="43"/>
  <c r="M143" i="43"/>
  <c r="D143" i="43"/>
  <c r="F29" i="43"/>
  <c r="E338" i="43"/>
  <c r="AF338" i="43"/>
  <c r="X338" i="43"/>
  <c r="H377" i="43"/>
  <c r="T143" i="43"/>
  <c r="Y143" i="43"/>
  <c r="AE221" i="43"/>
  <c r="J260" i="43"/>
  <c r="Q29" i="43"/>
  <c r="V182" i="43"/>
  <c r="G143" i="43"/>
  <c r="AE338" i="43"/>
  <c r="O143" i="43"/>
  <c r="C299" i="43"/>
  <c r="F182" i="43"/>
  <c r="M221" i="43"/>
  <c r="J221" i="43"/>
  <c r="R29" i="43"/>
  <c r="AC143" i="43"/>
  <c r="Q260" i="43"/>
  <c r="S29" i="43"/>
  <c r="B221" i="43"/>
  <c r="Y338" i="43"/>
  <c r="S299" i="43"/>
  <c r="AD182" i="43"/>
  <c r="Z143" i="43"/>
  <c r="O260" i="43"/>
  <c r="N29" i="43"/>
  <c r="T221" i="43"/>
  <c r="AB338" i="43"/>
  <c r="Z299" i="43"/>
  <c r="N260" i="43"/>
  <c r="H182" i="43"/>
  <c r="AA143" i="43"/>
  <c r="T29" i="43"/>
  <c r="V221" i="43"/>
  <c r="N299" i="43"/>
  <c r="C182" i="43"/>
  <c r="Z260" i="43"/>
  <c r="P260" i="43"/>
  <c r="D377" i="43"/>
  <c r="V29" i="43"/>
  <c r="AC221" i="43"/>
  <c r="T299" i="43"/>
  <c r="AC182" i="43"/>
  <c r="W377" i="43"/>
  <c r="J377" i="43"/>
  <c r="L143" i="43"/>
  <c r="Y221" i="43"/>
  <c r="AE260" i="43"/>
  <c r="K29" i="43"/>
  <c r="AE182" i="43"/>
  <c r="X143" i="43"/>
  <c r="AC338" i="43"/>
  <c r="W260" i="43"/>
  <c r="Z182" i="43"/>
  <c r="Q299" i="43"/>
  <c r="U221" i="43"/>
  <c r="R338" i="43"/>
  <c r="J338" i="43"/>
  <c r="H338" i="43"/>
  <c r="AD29" i="43"/>
  <c r="P221" i="43"/>
  <c r="AB299" i="43"/>
  <c r="T338" i="43"/>
  <c r="V377" i="43"/>
  <c r="C377" i="43"/>
  <c r="K143" i="43"/>
  <c r="H29" i="43"/>
  <c r="W221" i="43"/>
  <c r="D182" i="43"/>
  <c r="G299" i="43"/>
  <c r="P377" i="43"/>
  <c r="F377" i="43"/>
  <c r="V143" i="43"/>
  <c r="Z29" i="43"/>
  <c r="AA221" i="43"/>
  <c r="E182" i="43"/>
  <c r="J299" i="43"/>
  <c r="R377" i="43"/>
  <c r="C143" i="43"/>
  <c r="S143" i="43"/>
  <c r="X29" i="43"/>
  <c r="K221" i="43"/>
  <c r="L182" i="43"/>
  <c r="K182" i="43"/>
  <c r="M299" i="43"/>
  <c r="R143" i="43"/>
  <c r="I143" i="43"/>
  <c r="Y299" i="43"/>
  <c r="AB182" i="43"/>
  <c r="AI29" i="43"/>
  <c r="M338" i="43"/>
  <c r="G338" i="43"/>
  <c r="AA182" i="43"/>
  <c r="R260" i="43"/>
  <c r="M260" i="43"/>
  <c r="H143" i="43"/>
  <c r="AE29" i="43"/>
  <c r="S338" i="43"/>
  <c r="O338" i="43"/>
  <c r="B260" i="43"/>
  <c r="X260" i="43"/>
  <c r="AC299" i="43"/>
  <c r="AC377" i="43"/>
  <c r="Y29" i="43"/>
  <c r="D221" i="43"/>
  <c r="AA338" i="43"/>
  <c r="F299" i="43"/>
  <c r="Y377" i="43"/>
  <c r="I182" i="43"/>
  <c r="O377" i="43"/>
  <c r="G221" i="43"/>
  <c r="L338" i="43"/>
  <c r="AD338" i="43"/>
  <c r="I299" i="43"/>
  <c r="S377" i="43"/>
  <c r="AB260" i="43"/>
  <c r="E143" i="43"/>
  <c r="P299" i="43"/>
  <c r="AD260" i="43"/>
  <c r="F221" i="43"/>
  <c r="T377" i="43"/>
  <c r="E221" i="43"/>
  <c r="H299" i="43"/>
  <c r="AB29" i="43"/>
  <c r="AB143" i="43"/>
  <c r="J143" i="43"/>
  <c r="F260" i="43"/>
  <c r="O182" i="43"/>
  <c r="D299" i="43"/>
  <c r="Y260" i="43"/>
  <c r="U299" i="43"/>
  <c r="I377" i="43"/>
  <c r="O299" i="43"/>
  <c r="G182" i="43"/>
  <c r="X221" i="43"/>
  <c r="G260" i="43"/>
  <c r="G29" i="43"/>
  <c r="U182" i="43"/>
  <c r="Q143" i="43"/>
  <c r="B377" i="43"/>
  <c r="U260" i="43"/>
  <c r="N377" i="43"/>
  <c r="I29" i="43"/>
  <c r="AE143" i="43"/>
  <c r="AE377" i="43"/>
  <c r="AC29" i="43"/>
  <c r="W182" i="43"/>
  <c r="N143" i="43"/>
  <c r="AF299" i="43"/>
  <c r="Z377" i="43"/>
  <c r="I221" i="43"/>
  <c r="V260" i="43"/>
  <c r="U29" i="43"/>
  <c r="W338" i="43"/>
  <c r="M377" i="43"/>
  <c r="P143" i="43"/>
  <c r="K377" i="43"/>
  <c r="U377" i="43"/>
  <c r="AD221" i="43"/>
  <c r="W143" i="43"/>
  <c r="E260" i="43"/>
  <c r="O221" i="43"/>
  <c r="T182" i="43"/>
  <c r="B85" i="39"/>
  <c r="Q182" i="43"/>
  <c r="G377" i="43"/>
  <c r="X299" i="43"/>
  <c r="P182" i="43"/>
  <c r="C221" i="43"/>
  <c r="J182" i="43"/>
  <c r="W29" i="43"/>
  <c r="H221" i="43"/>
  <c r="J29" i="43"/>
  <c r="AD143" i="43"/>
  <c r="B299" i="43"/>
  <c r="R299" i="43"/>
  <c r="H260" i="43"/>
  <c r="L221" i="43"/>
  <c r="S260" i="43"/>
  <c r="L29" i="43"/>
  <c r="Y182" i="43"/>
  <c r="C260" i="43"/>
  <c r="F338" i="43"/>
  <c r="AF377" i="43"/>
  <c r="B338" i="43"/>
  <c r="AA260" i="43"/>
  <c r="AA29" i="43"/>
  <c r="AD299" i="43"/>
  <c r="AF221" i="43"/>
  <c r="K338" i="43"/>
  <c r="F143" i="43"/>
  <c r="L377" i="43"/>
  <c r="Q377" i="43"/>
  <c r="K299" i="43"/>
  <c r="B182" i="43"/>
  <c r="S221" i="43"/>
  <c r="X182" i="43"/>
  <c r="AF29" i="43"/>
  <c r="R182" i="43"/>
  <c r="E377" i="43"/>
  <c r="AA299" i="43"/>
  <c r="AF182" i="43"/>
  <c r="S182" i="43"/>
  <c r="V299" i="43"/>
  <c r="C338" i="43"/>
  <c r="N338" i="43"/>
  <c r="AH29" i="43"/>
  <c r="AA377" i="43"/>
  <c r="AG29" i="43"/>
  <c r="R221" i="43"/>
  <c r="E299" i="43"/>
  <c r="P338" i="43"/>
  <c r="T260" i="43"/>
  <c r="N182" i="43"/>
  <c r="Q221" i="43"/>
  <c r="P29" i="43"/>
  <c r="L260" i="43"/>
  <c r="D260" i="43"/>
  <c r="V338" i="43"/>
  <c r="AE299" i="43"/>
  <c r="K260" i="43"/>
  <c r="AF143" i="43"/>
  <c r="AF260" i="43"/>
  <c r="I338" i="43"/>
  <c r="M182" i="43"/>
  <c r="O36" i="43"/>
  <c r="J345" i="43"/>
  <c r="Z306" i="43"/>
  <c r="K306" i="43"/>
  <c r="O228" i="43"/>
  <c r="Y306" i="43"/>
  <c r="N306" i="43"/>
  <c r="S384" i="43"/>
  <c r="M36" i="43"/>
  <c r="L345" i="43"/>
  <c r="AF345" i="43"/>
  <c r="Y189" i="43"/>
  <c r="AB384" i="43"/>
  <c r="AC150" i="43"/>
  <c r="AF267" i="43"/>
  <c r="J36" i="43"/>
  <c r="AE345" i="43"/>
  <c r="X189" i="43"/>
  <c r="T267" i="43"/>
  <c r="X36" i="43"/>
  <c r="AB306" i="43"/>
  <c r="AC189" i="43"/>
  <c r="V267" i="43"/>
  <c r="U267" i="43"/>
  <c r="X150" i="43"/>
  <c r="AB36" i="43"/>
  <c r="Z228" i="43"/>
  <c r="I228" i="43"/>
  <c r="L189" i="43"/>
  <c r="AA267" i="43"/>
  <c r="I150" i="43"/>
  <c r="Q36" i="43"/>
  <c r="U150" i="43"/>
  <c r="D345" i="43"/>
  <c r="E189" i="43"/>
  <c r="E267" i="43"/>
  <c r="Q150" i="43"/>
  <c r="AD267" i="43"/>
  <c r="H189" i="43"/>
  <c r="O150" i="43"/>
  <c r="H150" i="43"/>
  <c r="S36" i="43"/>
  <c r="X228" i="43"/>
  <c r="Y345" i="43"/>
  <c r="G36" i="43"/>
  <c r="C345" i="43"/>
  <c r="AA345" i="43"/>
  <c r="P189" i="43"/>
  <c r="Z267" i="43"/>
  <c r="I36" i="43"/>
  <c r="Q228" i="43"/>
  <c r="AF306" i="43"/>
  <c r="M189" i="43"/>
  <c r="N189" i="43"/>
  <c r="H267" i="43"/>
  <c r="Z150" i="43"/>
  <c r="AA228" i="43"/>
  <c r="R345" i="43"/>
  <c r="V306" i="43"/>
  <c r="P267" i="43"/>
  <c r="AC228" i="43"/>
  <c r="G306" i="43"/>
  <c r="AE306" i="43"/>
  <c r="AE267" i="43"/>
  <c r="G150" i="43"/>
  <c r="L150" i="43"/>
  <c r="N36" i="43"/>
  <c r="W345" i="43"/>
  <c r="X345" i="43"/>
  <c r="F267" i="43"/>
  <c r="L306" i="43"/>
  <c r="R267" i="43"/>
  <c r="B228" i="43"/>
  <c r="B150" i="43"/>
  <c r="D306" i="43"/>
  <c r="D384" i="43"/>
  <c r="AC384" i="43"/>
  <c r="L36" i="43"/>
  <c r="G384" i="43"/>
  <c r="B267" i="43"/>
  <c r="X267" i="43"/>
  <c r="G345" i="43"/>
  <c r="E384" i="43"/>
  <c r="H36" i="43"/>
  <c r="B345" i="43"/>
  <c r="B306" i="43"/>
  <c r="AE36" i="43"/>
  <c r="Y228" i="43"/>
  <c r="J306" i="43"/>
  <c r="B189" i="43"/>
  <c r="K384" i="43"/>
  <c r="AJ36" i="43"/>
  <c r="H345" i="43"/>
  <c r="E306" i="43"/>
  <c r="U189" i="43"/>
  <c r="Q384" i="43"/>
  <c r="J150" i="43"/>
  <c r="T36" i="43"/>
  <c r="AD228" i="43"/>
  <c r="F345" i="43"/>
  <c r="U306" i="43"/>
  <c r="AA36" i="43"/>
  <c r="AF228" i="43"/>
  <c r="O345" i="43"/>
  <c r="F189" i="43"/>
  <c r="D267" i="43"/>
  <c r="N384" i="43"/>
  <c r="F150" i="43"/>
  <c r="K228" i="43"/>
  <c r="J189" i="43"/>
  <c r="K267" i="43"/>
  <c r="AA384" i="43"/>
  <c r="Y384" i="43"/>
  <c r="AB150" i="43"/>
  <c r="T345" i="43"/>
  <c r="M267" i="43"/>
  <c r="X306" i="43"/>
  <c r="D228" i="43"/>
  <c r="T228" i="43"/>
  <c r="AD189" i="43"/>
  <c r="AC36" i="43"/>
  <c r="AE228" i="43"/>
  <c r="U228" i="43"/>
  <c r="T189" i="43"/>
  <c r="U384" i="43"/>
  <c r="V36" i="43"/>
  <c r="AC345" i="43"/>
  <c r="AC306" i="43"/>
  <c r="Q267" i="43"/>
  <c r="K189" i="43"/>
  <c r="R150" i="43"/>
  <c r="K36" i="43"/>
  <c r="H228" i="43"/>
  <c r="M345" i="43"/>
  <c r="J267" i="43"/>
  <c r="AD36" i="43"/>
  <c r="V228" i="43"/>
  <c r="AB345" i="43"/>
  <c r="I345" i="43"/>
  <c r="AE384" i="43"/>
  <c r="AE150" i="43"/>
  <c r="D150" i="43"/>
  <c r="N228" i="43"/>
  <c r="W306" i="43"/>
  <c r="AD345" i="43"/>
  <c r="AD384" i="43"/>
  <c r="AA150" i="43"/>
  <c r="W267" i="43"/>
  <c r="G189" i="43"/>
  <c r="AD150" i="43"/>
  <c r="I267" i="43"/>
  <c r="W36" i="43"/>
  <c r="V384" i="43"/>
  <c r="V345" i="43"/>
  <c r="V150" i="43"/>
  <c r="Q189" i="43"/>
  <c r="J228" i="43"/>
  <c r="X384" i="43"/>
  <c r="U36" i="43"/>
  <c r="AB228" i="43"/>
  <c r="I306" i="43"/>
  <c r="R306" i="43"/>
  <c r="Z36" i="43"/>
  <c r="Z345" i="43"/>
  <c r="S306" i="43"/>
  <c r="L267" i="43"/>
  <c r="C189" i="43"/>
  <c r="W228" i="43"/>
  <c r="S345" i="43"/>
  <c r="O306" i="43"/>
  <c r="N267" i="43"/>
  <c r="C384" i="43"/>
  <c r="W150" i="43"/>
  <c r="AG36" i="43"/>
  <c r="E228" i="43"/>
  <c r="D189" i="43"/>
  <c r="W189" i="43"/>
  <c r="AI36" i="43"/>
  <c r="F228" i="43"/>
  <c r="Z189" i="43"/>
  <c r="AB189" i="43"/>
  <c r="AE189" i="43"/>
  <c r="B384" i="43"/>
  <c r="P36" i="43"/>
  <c r="S228" i="43"/>
  <c r="U345" i="43"/>
  <c r="I189" i="43"/>
  <c r="Y267" i="43"/>
  <c r="J384" i="43"/>
  <c r="M150" i="43"/>
  <c r="Q306" i="43"/>
  <c r="AF150" i="43"/>
  <c r="F384" i="43"/>
  <c r="M228" i="43"/>
  <c r="W384" i="43"/>
  <c r="C267" i="43"/>
  <c r="S150" i="43"/>
  <c r="I384" i="43"/>
  <c r="P150" i="43"/>
  <c r="N150" i="43"/>
  <c r="L228" i="43"/>
  <c r="AD306" i="43"/>
  <c r="N345" i="43"/>
  <c r="AA189" i="43"/>
  <c r="AA306" i="43"/>
  <c r="R189" i="43"/>
  <c r="AF384" i="43"/>
  <c r="H306" i="43"/>
  <c r="K345" i="43"/>
  <c r="P306" i="43"/>
  <c r="M306" i="43"/>
  <c r="L384" i="43"/>
  <c r="Z384" i="43"/>
  <c r="AB267" i="43"/>
  <c r="H384" i="43"/>
  <c r="P384" i="43"/>
  <c r="AH36" i="43"/>
  <c r="F306" i="43"/>
  <c r="O384" i="43"/>
  <c r="V189" i="43"/>
  <c r="AF189" i="43"/>
  <c r="K150" i="43"/>
  <c r="G267" i="43"/>
  <c r="G228" i="43"/>
  <c r="O267" i="43"/>
  <c r="R228" i="43"/>
  <c r="R384" i="43"/>
  <c r="S189" i="43"/>
  <c r="Y36" i="43"/>
  <c r="F36" i="43"/>
  <c r="T150" i="43"/>
  <c r="S267" i="43"/>
  <c r="AC267" i="43"/>
  <c r="Q345" i="43"/>
  <c r="B92" i="39"/>
  <c r="M384" i="43"/>
  <c r="P345" i="43"/>
  <c r="C228" i="43"/>
  <c r="T384" i="43"/>
  <c r="E150" i="43"/>
  <c r="C150" i="43"/>
  <c r="O189" i="43"/>
  <c r="P228" i="43"/>
  <c r="R36" i="43"/>
  <c r="T306" i="43"/>
  <c r="C306" i="43"/>
  <c r="AF36" i="43"/>
  <c r="E345" i="43"/>
  <c r="Y150" i="43"/>
  <c r="U22" i="43"/>
  <c r="Q214" i="43"/>
  <c r="F175" i="43"/>
  <c r="X331" i="43"/>
  <c r="AC253" i="43"/>
  <c r="E136" i="43"/>
  <c r="W136" i="43"/>
  <c r="AJ22" i="43"/>
  <c r="X214" i="43"/>
  <c r="I175" i="43"/>
  <c r="Y331" i="43"/>
  <c r="W370" i="43"/>
  <c r="N136" i="43"/>
  <c r="F253" i="43"/>
  <c r="AH22" i="43"/>
  <c r="AC214" i="43"/>
  <c r="S331" i="43"/>
  <c r="V292" i="43"/>
  <c r="AA22" i="43"/>
  <c r="AD331" i="43"/>
  <c r="U331" i="43"/>
  <c r="V136" i="43"/>
  <c r="AB22" i="43"/>
  <c r="AE331" i="43"/>
  <c r="AD175" i="43"/>
  <c r="AC136" i="43"/>
  <c r="F22" i="43"/>
  <c r="K292" i="43"/>
  <c r="O253" i="43"/>
  <c r="X136" i="43"/>
  <c r="W214" i="43"/>
  <c r="AC292" i="43"/>
  <c r="G370" i="43"/>
  <c r="V253" i="43"/>
  <c r="U214" i="43"/>
  <c r="P292" i="43"/>
  <c r="W331" i="43"/>
  <c r="J370" i="43"/>
  <c r="P214" i="43"/>
  <c r="R370" i="43"/>
  <c r="D175" i="43"/>
  <c r="V22" i="43"/>
  <c r="O214" i="43"/>
  <c r="C292" i="43"/>
  <c r="E175" i="43"/>
  <c r="R253" i="43"/>
  <c r="K253" i="43"/>
  <c r="U253" i="43"/>
  <c r="M22" i="43"/>
  <c r="S214" i="43"/>
  <c r="E292" i="43"/>
  <c r="AD292" i="43"/>
  <c r="S253" i="43"/>
  <c r="Y253" i="43"/>
  <c r="L370" i="43"/>
  <c r="Q22" i="43"/>
  <c r="H214" i="43"/>
  <c r="AA292" i="43"/>
  <c r="U175" i="43"/>
  <c r="X22" i="43"/>
  <c r="L331" i="43"/>
  <c r="AB175" i="43"/>
  <c r="AB136" i="43"/>
  <c r="G214" i="43"/>
  <c r="B292" i="43"/>
  <c r="Q370" i="43"/>
  <c r="H136" i="43"/>
  <c r="R214" i="43"/>
  <c r="W292" i="43"/>
  <c r="I370" i="43"/>
  <c r="U136" i="43"/>
  <c r="B331" i="43"/>
  <c r="L253" i="43"/>
  <c r="AB253" i="43"/>
  <c r="M370" i="43"/>
  <c r="M331" i="43"/>
  <c r="G292" i="43"/>
  <c r="K370" i="43"/>
  <c r="F370" i="43"/>
  <c r="Y175" i="43"/>
  <c r="B175" i="43"/>
  <c r="W253" i="43"/>
  <c r="Z136" i="43"/>
  <c r="I22" i="43"/>
  <c r="V214" i="43"/>
  <c r="T175" i="43"/>
  <c r="Q175" i="43"/>
  <c r="P370" i="43"/>
  <c r="R136" i="43"/>
  <c r="X253" i="43"/>
  <c r="AF22" i="43"/>
  <c r="AD214" i="43"/>
  <c r="AA175" i="43"/>
  <c r="R175" i="43"/>
  <c r="O370" i="43"/>
  <c r="M136" i="43"/>
  <c r="D370" i="43"/>
  <c r="C214" i="43"/>
  <c r="F331" i="43"/>
  <c r="T331" i="43"/>
  <c r="AF175" i="43"/>
  <c r="D214" i="43"/>
  <c r="R331" i="43"/>
  <c r="AC370" i="43"/>
  <c r="N370" i="43"/>
  <c r="C331" i="43"/>
  <c r="C175" i="43"/>
  <c r="Z292" i="43"/>
  <c r="I136" i="43"/>
  <c r="AF214" i="43"/>
  <c r="I253" i="43"/>
  <c r="AC175" i="43"/>
  <c r="C370" i="43"/>
  <c r="D331" i="43"/>
  <c r="S175" i="43"/>
  <c r="P136" i="43"/>
  <c r="S136" i="43"/>
  <c r="N331" i="43"/>
  <c r="Z175" i="43"/>
  <c r="K136" i="43"/>
  <c r="M214" i="43"/>
  <c r="G136" i="43"/>
  <c r="AF370" i="43"/>
  <c r="J136" i="43"/>
  <c r="J214" i="43"/>
  <c r="AA331" i="43"/>
  <c r="M292" i="43"/>
  <c r="C253" i="43"/>
  <c r="AE214" i="43"/>
  <c r="AD136" i="43"/>
  <c r="B78" i="39"/>
  <c r="L214" i="43"/>
  <c r="D292" i="43"/>
  <c r="R292" i="43"/>
  <c r="H253" i="43"/>
  <c r="P331" i="43"/>
  <c r="AA136" i="43"/>
  <c r="AG22" i="43"/>
  <c r="Z214" i="43"/>
  <c r="H175" i="43"/>
  <c r="G331" i="43"/>
  <c r="Z253" i="43"/>
  <c r="AB214" i="43"/>
  <c r="X292" i="43"/>
  <c r="I292" i="43"/>
  <c r="X370" i="43"/>
  <c r="K214" i="43"/>
  <c r="AF292" i="43"/>
  <c r="O136" i="43"/>
  <c r="C136" i="43"/>
  <c r="I214" i="43"/>
  <c r="O175" i="43"/>
  <c r="L136" i="43"/>
  <c r="G22" i="43"/>
  <c r="G175" i="43"/>
  <c r="Q253" i="43"/>
  <c r="AF253" i="43"/>
  <c r="K22" i="43"/>
  <c r="AC331" i="43"/>
  <c r="H370" i="43"/>
  <c r="B370" i="43"/>
  <c r="V331" i="43"/>
  <c r="AC22" i="43"/>
  <c r="Y22" i="43"/>
  <c r="B214" i="43"/>
  <c r="L22" i="43"/>
  <c r="F214" i="43"/>
  <c r="L175" i="43"/>
  <c r="Z331" i="43"/>
  <c r="Y370" i="43"/>
  <c r="G253" i="43"/>
  <c r="J175" i="43"/>
  <c r="O22" i="43"/>
  <c r="T214" i="43"/>
  <c r="N214" i="43"/>
  <c r="F292" i="43"/>
  <c r="V370" i="43"/>
  <c r="J253" i="43"/>
  <c r="AA253" i="43"/>
  <c r="S22" i="43"/>
  <c r="E331" i="43"/>
  <c r="AB331" i="43"/>
  <c r="AB292" i="43"/>
  <c r="J292" i="43"/>
  <c r="AA214" i="43"/>
  <c r="T292" i="43"/>
  <c r="H292" i="43"/>
  <c r="D136" i="43"/>
  <c r="I331" i="43"/>
  <c r="D253" i="43"/>
  <c r="AE136" i="43"/>
  <c r="W22" i="43"/>
  <c r="AE292" i="43"/>
  <c r="N253" i="43"/>
  <c r="M175" i="43"/>
  <c r="AI22" i="43"/>
  <c r="U292" i="43"/>
  <c r="M253" i="43"/>
  <c r="B136" i="43"/>
  <c r="N22" i="43"/>
  <c r="J331" i="43"/>
  <c r="V175" i="43"/>
  <c r="AF136" i="43"/>
  <c r="AD370" i="43"/>
  <c r="K175" i="43"/>
  <c r="Z370" i="43"/>
  <c r="Q331" i="43"/>
  <c r="P22" i="43"/>
  <c r="E214" i="43"/>
  <c r="L292" i="43"/>
  <c r="P175" i="43"/>
  <c r="W175" i="43"/>
  <c r="AB370" i="43"/>
  <c r="F136" i="43"/>
  <c r="Y214" i="43"/>
  <c r="J22" i="43"/>
  <c r="N292" i="43"/>
  <c r="Z22" i="43"/>
  <c r="T253" i="43"/>
  <c r="E370" i="43"/>
  <c r="O292" i="43"/>
  <c r="H331" i="43"/>
  <c r="Q136" i="43"/>
  <c r="S292" i="43"/>
  <c r="AD253" i="43"/>
  <c r="AE253" i="43"/>
  <c r="AE175" i="43"/>
  <c r="Y292" i="43"/>
  <c r="H22" i="43"/>
  <c r="B253" i="43"/>
  <c r="AE22" i="43"/>
  <c r="T22" i="43"/>
  <c r="X175" i="43"/>
  <c r="K331" i="43"/>
  <c r="AF331" i="43"/>
  <c r="S370" i="43"/>
  <c r="E253" i="43"/>
  <c r="T370" i="43"/>
  <c r="AA370" i="43"/>
  <c r="P253" i="43"/>
  <c r="N175" i="43"/>
  <c r="R22" i="43"/>
  <c r="AE370" i="43"/>
  <c r="AD22" i="43"/>
  <c r="Y136" i="43"/>
  <c r="O331" i="43"/>
  <c r="T136" i="43"/>
  <c r="Q292" i="43"/>
  <c r="U370" i="43"/>
  <c r="S32" i="43"/>
  <c r="T224" i="43"/>
  <c r="E302" i="43"/>
  <c r="L185" i="43"/>
  <c r="S341" i="43"/>
  <c r="J380" i="43"/>
  <c r="N263" i="43"/>
  <c r="J32" i="43"/>
  <c r="AE224" i="43"/>
  <c r="F32" i="43"/>
  <c r="B224" i="43"/>
  <c r="L341" i="43"/>
  <c r="Q185" i="43"/>
  <c r="O263" i="43"/>
  <c r="I263" i="43"/>
  <c r="AC146" i="43"/>
  <c r="O32" i="43"/>
  <c r="K224" i="43"/>
  <c r="C224" i="43"/>
  <c r="D302" i="43"/>
  <c r="Y380" i="43"/>
  <c r="G380" i="43"/>
  <c r="Q32" i="43"/>
  <c r="P341" i="43"/>
  <c r="AC341" i="43"/>
  <c r="N380" i="43"/>
  <c r="I146" i="43"/>
  <c r="K32" i="43"/>
  <c r="B341" i="43"/>
  <c r="G341" i="43"/>
  <c r="R302" i="43"/>
  <c r="O185" i="43"/>
  <c r="Y341" i="43"/>
  <c r="AE32" i="43"/>
  <c r="Y224" i="43"/>
  <c r="S302" i="43"/>
  <c r="AD263" i="43"/>
  <c r="B146" i="43"/>
  <c r="C380" i="43"/>
  <c r="V224" i="43"/>
  <c r="AA341" i="43"/>
  <c r="AC32" i="43"/>
  <c r="G224" i="43"/>
  <c r="X302" i="43"/>
  <c r="D263" i="43"/>
  <c r="Y185" i="43"/>
  <c r="AE146" i="43"/>
  <c r="AF341" i="43"/>
  <c r="AC380" i="43"/>
  <c r="R263" i="43"/>
  <c r="AE185" i="43"/>
  <c r="J263" i="43"/>
  <c r="AE341" i="43"/>
  <c r="W185" i="43"/>
  <c r="S146" i="43"/>
  <c r="K341" i="43"/>
  <c r="AD32" i="43"/>
  <c r="D341" i="43"/>
  <c r="B263" i="43"/>
  <c r="AD380" i="43"/>
  <c r="N146" i="43"/>
  <c r="AA32" i="43"/>
  <c r="W302" i="43"/>
  <c r="K302" i="43"/>
  <c r="AB263" i="43"/>
  <c r="Q380" i="43"/>
  <c r="AI32" i="43"/>
  <c r="M224" i="43"/>
  <c r="E185" i="43"/>
  <c r="N185" i="43"/>
  <c r="W263" i="43"/>
  <c r="AF146" i="43"/>
  <c r="AB32" i="43"/>
  <c r="R341" i="43"/>
  <c r="AC185" i="43"/>
  <c r="V380" i="43"/>
  <c r="V263" i="43"/>
  <c r="H146" i="43"/>
  <c r="W224" i="43"/>
  <c r="B185" i="43"/>
  <c r="I32" i="43"/>
  <c r="I341" i="43"/>
  <c r="T341" i="43"/>
  <c r="V185" i="43"/>
  <c r="K380" i="43"/>
  <c r="AD146" i="43"/>
  <c r="N302" i="43"/>
  <c r="W32" i="43"/>
  <c r="Z263" i="43"/>
  <c r="X185" i="43"/>
  <c r="J302" i="43"/>
  <c r="AF263" i="43"/>
  <c r="C263" i="43"/>
  <c r="F146" i="43"/>
  <c r="U185" i="43"/>
  <c r="U32" i="43"/>
  <c r="AD224" i="43"/>
  <c r="Z302" i="43"/>
  <c r="V302" i="43"/>
  <c r="G146" i="43"/>
  <c r="D224" i="43"/>
  <c r="C302" i="43"/>
  <c r="AD185" i="43"/>
  <c r="Q302" i="43"/>
  <c r="Y146" i="43"/>
  <c r="AH32" i="43"/>
  <c r="E224" i="43"/>
  <c r="P302" i="43"/>
  <c r="AA263" i="43"/>
  <c r="E380" i="43"/>
  <c r="D380" i="43"/>
  <c r="S224" i="43"/>
  <c r="X341" i="43"/>
  <c r="L302" i="43"/>
  <c r="M380" i="43"/>
  <c r="AD341" i="43"/>
  <c r="M32" i="43"/>
  <c r="O341" i="43"/>
  <c r="O302" i="43"/>
  <c r="AG32" i="43"/>
  <c r="E341" i="43"/>
  <c r="G185" i="43"/>
  <c r="J185" i="43"/>
  <c r="M146" i="43"/>
  <c r="O380" i="43"/>
  <c r="I302" i="43"/>
  <c r="F224" i="43"/>
  <c r="Y263" i="43"/>
  <c r="I380" i="43"/>
  <c r="H263" i="43"/>
  <c r="P146" i="43"/>
  <c r="O146" i="43"/>
  <c r="O224" i="43"/>
  <c r="S380" i="43"/>
  <c r="N32" i="43"/>
  <c r="F302" i="43"/>
  <c r="AE302" i="43"/>
  <c r="X263" i="43"/>
  <c r="C146" i="43"/>
  <c r="J224" i="43"/>
  <c r="AD302" i="43"/>
  <c r="M302" i="43"/>
  <c r="S263" i="43"/>
  <c r="Z380" i="43"/>
  <c r="R32" i="43"/>
  <c r="F341" i="43"/>
  <c r="T185" i="43"/>
  <c r="P263" i="43"/>
  <c r="T263" i="43"/>
  <c r="R146" i="43"/>
  <c r="R224" i="43"/>
  <c r="AA302" i="43"/>
  <c r="AF302" i="43"/>
  <c r="U380" i="43"/>
  <c r="K146" i="43"/>
  <c r="T32" i="43"/>
  <c r="H341" i="43"/>
  <c r="I185" i="43"/>
  <c r="Y32" i="43"/>
  <c r="U224" i="43"/>
  <c r="AF185" i="43"/>
  <c r="X380" i="43"/>
  <c r="V146" i="43"/>
  <c r="AE263" i="43"/>
  <c r="L263" i="43"/>
  <c r="AB302" i="43"/>
  <c r="Q146" i="43"/>
  <c r="R185" i="43"/>
  <c r="G263" i="43"/>
  <c r="R380" i="43"/>
  <c r="C341" i="43"/>
  <c r="AB185" i="43"/>
  <c r="F185" i="43"/>
  <c r="I224" i="43"/>
  <c r="AF380" i="43"/>
  <c r="U341" i="43"/>
  <c r="T146" i="43"/>
  <c r="Q341" i="43"/>
  <c r="B380" i="43"/>
  <c r="U302" i="43"/>
  <c r="N341" i="43"/>
  <c r="G32" i="43"/>
  <c r="H32" i="43"/>
  <c r="X32" i="43"/>
  <c r="L146" i="43"/>
  <c r="K185" i="43"/>
  <c r="AB224" i="43"/>
  <c r="T302" i="43"/>
  <c r="Y302" i="43"/>
  <c r="E146" i="43"/>
  <c r="H185" i="43"/>
  <c r="T380" i="43"/>
  <c r="B88" i="39"/>
  <c r="Z185" i="43"/>
  <c r="AF224" i="43"/>
  <c r="J341" i="43"/>
  <c r="M185" i="43"/>
  <c r="H224" i="43"/>
  <c r="Z146" i="43"/>
  <c r="B302" i="43"/>
  <c r="AB380" i="43"/>
  <c r="H302" i="43"/>
  <c r="P32" i="43"/>
  <c r="W341" i="43"/>
  <c r="AJ32" i="43"/>
  <c r="Z224" i="43"/>
  <c r="Q263" i="43"/>
  <c r="AA380" i="43"/>
  <c r="H380" i="43"/>
  <c r="K263" i="43"/>
  <c r="AC224" i="43"/>
  <c r="W146" i="43"/>
  <c r="S185" i="43"/>
  <c r="U146" i="43"/>
  <c r="AC302" i="43"/>
  <c r="V32" i="43"/>
  <c r="E263" i="43"/>
  <c r="L32" i="43"/>
  <c r="X224" i="43"/>
  <c r="AE380" i="43"/>
  <c r="C185" i="43"/>
  <c r="J146" i="43"/>
  <c r="F380" i="43"/>
  <c r="V341" i="43"/>
  <c r="X146" i="43"/>
  <c r="U263" i="43"/>
  <c r="N224" i="43"/>
  <c r="P380" i="43"/>
  <c r="M341" i="43"/>
  <c r="P185" i="43"/>
  <c r="AA224" i="43"/>
  <c r="AB341" i="43"/>
  <c r="M263" i="43"/>
  <c r="G302" i="43"/>
  <c r="AA146" i="43"/>
  <c r="L380" i="43"/>
  <c r="P224" i="43"/>
  <c r="D146" i="43"/>
  <c r="W380" i="43"/>
  <c r="F263" i="43"/>
  <c r="Q224" i="43"/>
  <c r="Z32" i="43"/>
  <c r="D185" i="43"/>
  <c r="AC263" i="43"/>
  <c r="AB146" i="43"/>
  <c r="AF32" i="43"/>
  <c r="L224" i="43"/>
  <c r="AA185" i="43"/>
  <c r="Z341" i="43"/>
  <c r="T45" i="43"/>
  <c r="AB237" i="43"/>
  <c r="Z354" i="43"/>
  <c r="C276" i="43"/>
  <c r="W393" i="43"/>
  <c r="R276" i="43"/>
  <c r="AB393" i="43"/>
  <c r="I45" i="43"/>
  <c r="L354" i="43"/>
  <c r="AD354" i="43"/>
  <c r="H276" i="43"/>
  <c r="S393" i="43"/>
  <c r="B393" i="43"/>
  <c r="AB45" i="43"/>
  <c r="J354" i="43"/>
  <c r="Q354" i="43"/>
  <c r="W276" i="43"/>
  <c r="L159" i="43"/>
  <c r="Y159" i="43"/>
  <c r="X237" i="43"/>
  <c r="X354" i="43"/>
  <c r="D315" i="43"/>
  <c r="R315" i="43"/>
  <c r="N393" i="43"/>
  <c r="W159" i="43"/>
  <c r="AC237" i="43"/>
  <c r="D198" i="43"/>
  <c r="F276" i="43"/>
  <c r="P393" i="43"/>
  <c r="S159" i="43"/>
  <c r="Q45" i="43"/>
  <c r="D354" i="43"/>
  <c r="E315" i="43"/>
  <c r="W198" i="43"/>
  <c r="Y393" i="43"/>
  <c r="H393" i="43"/>
  <c r="G237" i="43"/>
  <c r="P354" i="43"/>
  <c r="L45" i="43"/>
  <c r="K237" i="43"/>
  <c r="Z315" i="43"/>
  <c r="AF354" i="43"/>
  <c r="V276" i="43"/>
  <c r="U159" i="43"/>
  <c r="Z159" i="43"/>
  <c r="M45" i="43"/>
  <c r="G354" i="43"/>
  <c r="AB315" i="43"/>
  <c r="P276" i="43"/>
  <c r="B159" i="43"/>
  <c r="I159" i="43"/>
  <c r="W45" i="43"/>
  <c r="E237" i="43"/>
  <c r="AC315" i="43"/>
  <c r="T276" i="43"/>
  <c r="F159" i="43"/>
  <c r="T159" i="43"/>
  <c r="P237" i="43"/>
  <c r="AF315" i="43"/>
  <c r="E276" i="43"/>
  <c r="Z393" i="43"/>
  <c r="AE159" i="43"/>
  <c r="AG45" i="43"/>
  <c r="W237" i="43"/>
  <c r="AC354" i="43"/>
  <c r="L198" i="43"/>
  <c r="Z276" i="43"/>
  <c r="K393" i="43"/>
  <c r="AF45" i="43"/>
  <c r="Q237" i="43"/>
  <c r="M315" i="43"/>
  <c r="L315" i="43"/>
  <c r="E393" i="43"/>
  <c r="H198" i="43"/>
  <c r="B315" i="43"/>
  <c r="B276" i="43"/>
  <c r="R198" i="43"/>
  <c r="K276" i="43"/>
  <c r="O393" i="43"/>
  <c r="AC159" i="43"/>
  <c r="H45" i="43"/>
  <c r="AE237" i="43"/>
  <c r="P315" i="43"/>
  <c r="AE198" i="43"/>
  <c r="I198" i="43"/>
  <c r="I393" i="43"/>
  <c r="N159" i="43"/>
  <c r="B237" i="43"/>
  <c r="S315" i="43"/>
  <c r="G198" i="43"/>
  <c r="AC393" i="43"/>
  <c r="R159" i="43"/>
  <c r="AH45" i="43"/>
  <c r="J237" i="43"/>
  <c r="W354" i="43"/>
  <c r="F198" i="43"/>
  <c r="S276" i="43"/>
  <c r="X276" i="43"/>
  <c r="S45" i="43"/>
  <c r="K354" i="43"/>
  <c r="U237" i="43"/>
  <c r="AE276" i="43"/>
  <c r="N276" i="43"/>
  <c r="P159" i="43"/>
  <c r="O45" i="43"/>
  <c r="N237" i="43"/>
  <c r="I276" i="43"/>
  <c r="AD276" i="43"/>
  <c r="D159" i="43"/>
  <c r="AA159" i="43"/>
  <c r="AF237" i="43"/>
  <c r="F315" i="43"/>
  <c r="AE315" i="43"/>
  <c r="Y198" i="43"/>
  <c r="X393" i="43"/>
  <c r="F45" i="43"/>
  <c r="U45" i="43"/>
  <c r="K45" i="43"/>
  <c r="AI45" i="43"/>
  <c r="Z45" i="43"/>
  <c r="B198" i="43"/>
  <c r="AD237" i="43"/>
  <c r="O315" i="43"/>
  <c r="AF393" i="43"/>
  <c r="AA45" i="43"/>
  <c r="T354" i="43"/>
  <c r="D276" i="43"/>
  <c r="R45" i="43"/>
  <c r="AE354" i="43"/>
  <c r="M393" i="43"/>
  <c r="V45" i="43"/>
  <c r="P198" i="43"/>
  <c r="AD159" i="43"/>
  <c r="Y237" i="43"/>
  <c r="T315" i="43"/>
  <c r="Q393" i="43"/>
  <c r="C354" i="43"/>
  <c r="O354" i="43"/>
  <c r="M276" i="43"/>
  <c r="I354" i="43"/>
  <c r="V198" i="43"/>
  <c r="Q315" i="43"/>
  <c r="Z198" i="43"/>
  <c r="N354" i="43"/>
  <c r="N198" i="43"/>
  <c r="O159" i="43"/>
  <c r="X45" i="43"/>
  <c r="AA315" i="43"/>
  <c r="M159" i="43"/>
  <c r="V237" i="43"/>
  <c r="C198" i="43"/>
  <c r="AF276" i="43"/>
  <c r="T237" i="43"/>
  <c r="K198" i="43"/>
  <c r="AB276" i="43"/>
  <c r="O237" i="43"/>
  <c r="G276" i="43"/>
  <c r="V159" i="43"/>
  <c r="C237" i="43"/>
  <c r="J276" i="43"/>
  <c r="G393" i="43"/>
  <c r="U393" i="43"/>
  <c r="S237" i="43"/>
  <c r="E354" i="43"/>
  <c r="AA237" i="43"/>
  <c r="K315" i="43"/>
  <c r="Q198" i="43"/>
  <c r="J45" i="43"/>
  <c r="AD315" i="43"/>
  <c r="X198" i="43"/>
  <c r="M237" i="43"/>
  <c r="AC198" i="43"/>
  <c r="J159" i="43"/>
  <c r="L237" i="43"/>
  <c r="AA198" i="43"/>
  <c r="C159" i="43"/>
  <c r="M354" i="43"/>
  <c r="R393" i="43"/>
  <c r="Q159" i="43"/>
  <c r="H354" i="43"/>
  <c r="AA393" i="43"/>
  <c r="AF198" i="43"/>
  <c r="D393" i="43"/>
  <c r="V315" i="43"/>
  <c r="N315" i="43"/>
  <c r="R237" i="43"/>
  <c r="G315" i="43"/>
  <c r="O198" i="43"/>
  <c r="I237" i="43"/>
  <c r="Y315" i="43"/>
  <c r="U276" i="43"/>
  <c r="H237" i="43"/>
  <c r="U198" i="43"/>
  <c r="G159" i="43"/>
  <c r="F237" i="43"/>
  <c r="AC276" i="43"/>
  <c r="AF159" i="43"/>
  <c r="AB354" i="43"/>
  <c r="J198" i="43"/>
  <c r="B101" i="39"/>
  <c r="M198" i="43"/>
  <c r="H315" i="43"/>
  <c r="B354" i="43"/>
  <c r="Z237" i="43"/>
  <c r="AB159" i="43"/>
  <c r="AD198" i="43"/>
  <c r="AC45" i="43"/>
  <c r="U354" i="43"/>
  <c r="L393" i="43"/>
  <c r="K159" i="43"/>
  <c r="F354" i="43"/>
  <c r="Q276" i="43"/>
  <c r="H159" i="43"/>
  <c r="V354" i="43"/>
  <c r="I315" i="43"/>
  <c r="G45" i="43"/>
  <c r="AA354" i="43"/>
  <c r="Y276" i="43"/>
  <c r="P45" i="43"/>
  <c r="J315" i="43"/>
  <c r="J393" i="43"/>
  <c r="AD45" i="43"/>
  <c r="U315" i="43"/>
  <c r="E159" i="43"/>
  <c r="S198" i="43"/>
  <c r="W315" i="43"/>
  <c r="V393" i="43"/>
  <c r="C393" i="43"/>
  <c r="N45" i="43"/>
  <c r="R354" i="43"/>
  <c r="AA276" i="43"/>
  <c r="F393" i="43"/>
  <c r="D237" i="43"/>
  <c r="T393" i="43"/>
  <c r="O276" i="43"/>
  <c r="X315" i="43"/>
  <c r="AD393" i="43"/>
  <c r="AE45" i="43"/>
  <c r="C315" i="43"/>
  <c r="AB198" i="43"/>
  <c r="Y45" i="43"/>
  <c r="Y354" i="43"/>
  <c r="AE393" i="43"/>
  <c r="AJ45" i="43"/>
  <c r="L276" i="43"/>
  <c r="E198" i="43"/>
  <c r="T198" i="43"/>
  <c r="X159" i="43"/>
  <c r="S354" i="43"/>
  <c r="N25" i="43"/>
  <c r="E334" i="43"/>
  <c r="W334" i="43"/>
  <c r="H295" i="43"/>
  <c r="Z25" i="43"/>
  <c r="S217" i="43"/>
  <c r="W295" i="43"/>
  <c r="D295" i="43"/>
  <c r="W373" i="43"/>
  <c r="Q25" i="43"/>
  <c r="Y295" i="43"/>
  <c r="U334" i="43"/>
  <c r="V178" i="43"/>
  <c r="H25" i="43"/>
  <c r="AC295" i="43"/>
  <c r="AI25" i="43"/>
  <c r="Y334" i="43"/>
  <c r="M295" i="43"/>
  <c r="AF373" i="43"/>
  <c r="I25" i="43"/>
  <c r="E217" i="43"/>
  <c r="T25" i="43"/>
  <c r="Y178" i="43"/>
  <c r="M139" i="43"/>
  <c r="F373" i="43"/>
  <c r="G334" i="43"/>
  <c r="L256" i="43"/>
  <c r="R373" i="43"/>
  <c r="AA295" i="43"/>
  <c r="S256" i="43"/>
  <c r="M373" i="43"/>
  <c r="AE25" i="43"/>
  <c r="E256" i="43"/>
  <c r="AA139" i="43"/>
  <c r="AA373" i="43"/>
  <c r="AB178" i="43"/>
  <c r="P139" i="43"/>
  <c r="AE139" i="43"/>
  <c r="I373" i="43"/>
  <c r="R295" i="43"/>
  <c r="H373" i="43"/>
  <c r="J25" i="43"/>
  <c r="J334" i="43"/>
  <c r="H178" i="43"/>
  <c r="J256" i="43"/>
  <c r="Q217" i="43"/>
  <c r="V334" i="43"/>
  <c r="U178" i="43"/>
  <c r="P178" i="43"/>
  <c r="N256" i="43"/>
  <c r="C217" i="43"/>
  <c r="R334" i="43"/>
  <c r="K178" i="43"/>
  <c r="AC256" i="43"/>
  <c r="O217" i="43"/>
  <c r="Z334" i="43"/>
  <c r="W25" i="43"/>
  <c r="X217" i="43"/>
  <c r="I295" i="43"/>
  <c r="Q256" i="43"/>
  <c r="Y25" i="43"/>
  <c r="B295" i="43"/>
  <c r="H217" i="43"/>
  <c r="AB256" i="43"/>
  <c r="W139" i="43"/>
  <c r="E139" i="43"/>
  <c r="V295" i="43"/>
  <c r="P295" i="43"/>
  <c r="Z256" i="43"/>
  <c r="K295" i="43"/>
  <c r="B373" i="43"/>
  <c r="E373" i="43"/>
  <c r="P217" i="43"/>
  <c r="I256" i="43"/>
  <c r="F139" i="43"/>
  <c r="R25" i="43"/>
  <c r="S178" i="43"/>
  <c r="G139" i="43"/>
  <c r="Y256" i="43"/>
  <c r="I217" i="43"/>
  <c r="F256" i="43"/>
  <c r="Q373" i="43"/>
  <c r="AH25" i="43"/>
  <c r="D334" i="43"/>
  <c r="C295" i="43"/>
  <c r="D256" i="43"/>
  <c r="AD25" i="43"/>
  <c r="U217" i="43"/>
  <c r="T295" i="43"/>
  <c r="X334" i="43"/>
  <c r="H256" i="43"/>
  <c r="Z373" i="43"/>
  <c r="V217" i="43"/>
  <c r="AE334" i="43"/>
  <c r="B256" i="43"/>
  <c r="AD256" i="43"/>
  <c r="Z217" i="43"/>
  <c r="T334" i="43"/>
  <c r="W217" i="43"/>
  <c r="I334" i="43"/>
  <c r="Q178" i="43"/>
  <c r="U373" i="43"/>
  <c r="AJ25" i="43"/>
  <c r="P334" i="43"/>
  <c r="O334" i="43"/>
  <c r="J373" i="43"/>
  <c r="D139" i="43"/>
  <c r="F25" i="43"/>
  <c r="AE178" i="43"/>
  <c r="T139" i="43"/>
  <c r="V139" i="43"/>
  <c r="J178" i="43"/>
  <c r="AF295" i="43"/>
  <c r="I139" i="43"/>
  <c r="AF217" i="43"/>
  <c r="X373" i="43"/>
  <c r="U139" i="43"/>
  <c r="Y217" i="43"/>
  <c r="T256" i="43"/>
  <c r="AD139" i="43"/>
  <c r="G373" i="43"/>
  <c r="K373" i="43"/>
  <c r="T373" i="43"/>
  <c r="M25" i="43"/>
  <c r="P25" i="43"/>
  <c r="AD217" i="43"/>
  <c r="F178" i="43"/>
  <c r="U295" i="43"/>
  <c r="S25" i="43"/>
  <c r="F217" i="43"/>
  <c r="F334" i="43"/>
  <c r="AD295" i="43"/>
  <c r="U256" i="43"/>
  <c r="O256" i="43"/>
  <c r="L334" i="43"/>
  <c r="L178" i="43"/>
  <c r="W256" i="43"/>
  <c r="Q139" i="43"/>
  <c r="K217" i="43"/>
  <c r="M178" i="43"/>
  <c r="AE217" i="43"/>
  <c r="N295" i="43"/>
  <c r="E178" i="43"/>
  <c r="C373" i="43"/>
  <c r="M217" i="43"/>
  <c r="AB334" i="43"/>
  <c r="G178" i="43"/>
  <c r="X178" i="43"/>
  <c r="X256" i="43"/>
  <c r="B217" i="43"/>
  <c r="P373" i="43"/>
  <c r="Z139" i="43"/>
  <c r="AC25" i="43"/>
  <c r="S295" i="43"/>
  <c r="AF139" i="43"/>
  <c r="J139" i="43"/>
  <c r="AD178" i="43"/>
  <c r="V256" i="43"/>
  <c r="L139" i="43"/>
  <c r="N217" i="43"/>
  <c r="O373" i="43"/>
  <c r="V373" i="43"/>
  <c r="AB25" i="43"/>
  <c r="M256" i="43"/>
  <c r="R178" i="43"/>
  <c r="O178" i="43"/>
  <c r="D217" i="43"/>
  <c r="V25" i="43"/>
  <c r="C256" i="43"/>
  <c r="K334" i="43"/>
  <c r="U25" i="43"/>
  <c r="L217" i="43"/>
  <c r="AA25" i="43"/>
  <c r="F295" i="43"/>
  <c r="Q295" i="43"/>
  <c r="E295" i="43"/>
  <c r="B81" i="39"/>
  <c r="K139" i="43"/>
  <c r="X139" i="43"/>
  <c r="S139" i="43"/>
  <c r="AE295" i="43"/>
  <c r="AC217" i="43"/>
  <c r="L25" i="43"/>
  <c r="G295" i="43"/>
  <c r="C334" i="43"/>
  <c r="O25" i="43"/>
  <c r="P256" i="43"/>
  <c r="O295" i="43"/>
  <c r="AD373" i="43"/>
  <c r="B178" i="43"/>
  <c r="AE373" i="43"/>
  <c r="B139" i="43"/>
  <c r="AC139" i="43"/>
  <c r="D373" i="43"/>
  <c r="AB373" i="43"/>
  <c r="M334" i="43"/>
  <c r="X25" i="43"/>
  <c r="C178" i="43"/>
  <c r="AD334" i="43"/>
  <c r="AG25" i="43"/>
  <c r="AE256" i="43"/>
  <c r="AF25" i="43"/>
  <c r="N373" i="43"/>
  <c r="G256" i="43"/>
  <c r="AC178" i="43"/>
  <c r="AA256" i="43"/>
  <c r="H139" i="43"/>
  <c r="I178" i="43"/>
  <c r="S373" i="43"/>
  <c r="AC373" i="43"/>
  <c r="T178" i="43"/>
  <c r="T217" i="43"/>
  <c r="AB217" i="43"/>
  <c r="W178" i="43"/>
  <c r="AB295" i="43"/>
  <c r="K256" i="43"/>
  <c r="H334" i="43"/>
  <c r="L373" i="43"/>
  <c r="S334" i="43"/>
  <c r="AA217" i="43"/>
  <c r="R256" i="43"/>
  <c r="AF178" i="43"/>
  <c r="AB139" i="43"/>
  <c r="Q334" i="43"/>
  <c r="G217" i="43"/>
  <c r="J217" i="43"/>
  <c r="D178" i="43"/>
  <c r="R217" i="43"/>
  <c r="R139" i="43"/>
  <c r="N178" i="43"/>
  <c r="K25" i="43"/>
  <c r="AA334" i="43"/>
  <c r="Z178" i="43"/>
  <c r="Y373" i="43"/>
  <c r="AF334" i="43"/>
  <c r="N334" i="43"/>
  <c r="B334" i="43"/>
  <c r="J295" i="43"/>
  <c r="X295" i="43"/>
  <c r="O139" i="43"/>
  <c r="AF256" i="43"/>
  <c r="Z295" i="43"/>
  <c r="Y139" i="43"/>
  <c r="L295" i="43"/>
  <c r="G25" i="43"/>
  <c r="N139" i="43"/>
  <c r="AC334" i="43"/>
  <c r="C139" i="43"/>
  <c r="AA178" i="43"/>
  <c r="I44" i="43"/>
  <c r="N353" i="43"/>
  <c r="E314" i="43"/>
  <c r="N197" i="43"/>
  <c r="AF314" i="43"/>
  <c r="Q158" i="43"/>
  <c r="I392" i="43"/>
  <c r="R44" i="43"/>
  <c r="E236" i="43"/>
  <c r="Q44" i="43"/>
  <c r="C353" i="43"/>
  <c r="AE353" i="43"/>
  <c r="E197" i="43"/>
  <c r="Q392" i="43"/>
  <c r="C392" i="43"/>
  <c r="I353" i="43"/>
  <c r="V197" i="43"/>
  <c r="AC275" i="43"/>
  <c r="B158" i="43"/>
  <c r="F236" i="43"/>
  <c r="H314" i="43"/>
  <c r="AF275" i="43"/>
  <c r="F158" i="43"/>
  <c r="D275" i="43"/>
  <c r="AD44" i="43"/>
  <c r="X353" i="43"/>
  <c r="K275" i="43"/>
  <c r="P392" i="43"/>
  <c r="Y392" i="43"/>
  <c r="I314" i="43"/>
  <c r="H392" i="43"/>
  <c r="P353" i="43"/>
  <c r="L392" i="43"/>
  <c r="S314" i="43"/>
  <c r="X197" i="43"/>
  <c r="M353" i="43"/>
  <c r="AD392" i="43"/>
  <c r="U314" i="43"/>
  <c r="W197" i="43"/>
  <c r="R275" i="43"/>
  <c r="U353" i="43"/>
  <c r="AI44" i="43"/>
  <c r="U236" i="43"/>
  <c r="L353" i="43"/>
  <c r="R314" i="43"/>
  <c r="AE392" i="43"/>
  <c r="AD158" i="43"/>
  <c r="F392" i="43"/>
  <c r="G44" i="43"/>
  <c r="AB236" i="43"/>
  <c r="S44" i="43"/>
  <c r="B236" i="43"/>
  <c r="B314" i="43"/>
  <c r="M314" i="43"/>
  <c r="AE275" i="43"/>
  <c r="J44" i="43"/>
  <c r="X314" i="43"/>
  <c r="V314" i="43"/>
  <c r="Y158" i="43"/>
  <c r="S158" i="43"/>
  <c r="D236" i="43"/>
  <c r="AE314" i="43"/>
  <c r="Z314" i="43"/>
  <c r="E392" i="43"/>
  <c r="AJ44" i="43"/>
  <c r="O236" i="43"/>
  <c r="AB353" i="43"/>
  <c r="Y275" i="43"/>
  <c r="H158" i="43"/>
  <c r="W236" i="43"/>
  <c r="AA275" i="43"/>
  <c r="X44" i="43"/>
  <c r="AB392" i="43"/>
  <c r="B100" i="39"/>
  <c r="Q197" i="43"/>
  <c r="M392" i="43"/>
  <c r="J275" i="43"/>
  <c r="D158" i="43"/>
  <c r="O158" i="43"/>
  <c r="W275" i="43"/>
  <c r="Y353" i="43"/>
  <c r="AC392" i="43"/>
  <c r="H44" i="43"/>
  <c r="R353" i="43"/>
  <c r="J197" i="43"/>
  <c r="G314" i="43"/>
  <c r="H275" i="43"/>
  <c r="L158" i="43"/>
  <c r="W392" i="43"/>
  <c r="C236" i="43"/>
  <c r="S353" i="43"/>
  <c r="K44" i="43"/>
  <c r="E353" i="43"/>
  <c r="T314" i="43"/>
  <c r="AB197" i="43"/>
  <c r="AA197" i="43"/>
  <c r="T44" i="43"/>
  <c r="AA236" i="43"/>
  <c r="C197" i="43"/>
  <c r="P158" i="43"/>
  <c r="E158" i="43"/>
  <c r="AF236" i="43"/>
  <c r="Z197" i="43"/>
  <c r="T392" i="43"/>
  <c r="W158" i="43"/>
  <c r="I236" i="43"/>
  <c r="D353" i="43"/>
  <c r="H197" i="43"/>
  <c r="AC197" i="43"/>
  <c r="N158" i="43"/>
  <c r="N314" i="43"/>
  <c r="C275" i="43"/>
  <c r="Z236" i="43"/>
  <c r="S197" i="43"/>
  <c r="V236" i="43"/>
  <c r="Z392" i="43"/>
  <c r="AF158" i="43"/>
  <c r="P44" i="43"/>
  <c r="H236" i="43"/>
  <c r="D314" i="43"/>
  <c r="W314" i="43"/>
  <c r="S275" i="43"/>
  <c r="V392" i="43"/>
  <c r="AB158" i="43"/>
  <c r="AH44" i="43"/>
  <c r="L236" i="43"/>
  <c r="U44" i="43"/>
  <c r="Y236" i="43"/>
  <c r="D197" i="43"/>
  <c r="J314" i="43"/>
  <c r="AC314" i="43"/>
  <c r="AD275" i="43"/>
  <c r="G353" i="43"/>
  <c r="O314" i="43"/>
  <c r="R392" i="43"/>
  <c r="V158" i="43"/>
  <c r="L44" i="43"/>
  <c r="Y314" i="43"/>
  <c r="AD314" i="43"/>
  <c r="R158" i="43"/>
  <c r="U158" i="43"/>
  <c r="Y44" i="43"/>
  <c r="F314" i="43"/>
  <c r="F275" i="43"/>
  <c r="J158" i="43"/>
  <c r="C158" i="43"/>
  <c r="AD353" i="43"/>
  <c r="AA158" i="43"/>
  <c r="L314" i="43"/>
  <c r="AE158" i="43"/>
  <c r="T236" i="43"/>
  <c r="AF392" i="43"/>
  <c r="AD236" i="43"/>
  <c r="P275" i="43"/>
  <c r="F44" i="43"/>
  <c r="Q353" i="43"/>
  <c r="L197" i="43"/>
  <c r="T353" i="43"/>
  <c r="Q275" i="43"/>
  <c r="W353" i="43"/>
  <c r="AA392" i="43"/>
  <c r="K236" i="43"/>
  <c r="O353" i="43"/>
  <c r="D392" i="43"/>
  <c r="P197" i="43"/>
  <c r="C314" i="43"/>
  <c r="Z275" i="43"/>
  <c r="AF353" i="43"/>
  <c r="AC353" i="43"/>
  <c r="V275" i="43"/>
  <c r="W44" i="43"/>
  <c r="Z158" i="43"/>
  <c r="K197" i="43"/>
  <c r="O197" i="43"/>
  <c r="O44" i="43"/>
  <c r="H353" i="43"/>
  <c r="U197" i="43"/>
  <c r="Z353" i="43"/>
  <c r="G275" i="43"/>
  <c r="B353" i="43"/>
  <c r="AB275" i="43"/>
  <c r="AA314" i="43"/>
  <c r="AG44" i="43"/>
  <c r="N392" i="43"/>
  <c r="B392" i="43"/>
  <c r="J236" i="43"/>
  <c r="AF197" i="43"/>
  <c r="K158" i="43"/>
  <c r="X275" i="43"/>
  <c r="Z44" i="43"/>
  <c r="L275" i="43"/>
  <c r="G158" i="43"/>
  <c r="AF44" i="43"/>
  <c r="AD197" i="43"/>
  <c r="K353" i="43"/>
  <c r="U275" i="43"/>
  <c r="N275" i="43"/>
  <c r="N236" i="43"/>
  <c r="V353" i="43"/>
  <c r="I158" i="43"/>
  <c r="Q314" i="43"/>
  <c r="R197" i="43"/>
  <c r="V44" i="43"/>
  <c r="M158" i="43"/>
  <c r="G236" i="43"/>
  <c r="T197" i="43"/>
  <c r="M44" i="43"/>
  <c r="P236" i="43"/>
  <c r="M197" i="43"/>
  <c r="B275" i="43"/>
  <c r="AA44" i="43"/>
  <c r="G392" i="43"/>
  <c r="AA353" i="43"/>
  <c r="U392" i="43"/>
  <c r="R236" i="43"/>
  <c r="Y197" i="43"/>
  <c r="AE197" i="43"/>
  <c r="I275" i="43"/>
  <c r="S392" i="43"/>
  <c r="M275" i="43"/>
  <c r="AC44" i="43"/>
  <c r="AB44" i="43"/>
  <c r="O392" i="43"/>
  <c r="F353" i="43"/>
  <c r="N44" i="43"/>
  <c r="P314" i="43"/>
  <c r="AB314" i="43"/>
  <c r="X158" i="43"/>
  <c r="AC236" i="43"/>
  <c r="Q236" i="43"/>
  <c r="X392" i="43"/>
  <c r="J392" i="43"/>
  <c r="F197" i="43"/>
  <c r="AC158" i="43"/>
  <c r="I197" i="43"/>
  <c r="G197" i="43"/>
  <c r="E275" i="43"/>
  <c r="M236" i="43"/>
  <c r="K314" i="43"/>
  <c r="AE236" i="43"/>
  <c r="T158" i="43"/>
  <c r="O275" i="43"/>
  <c r="S236" i="43"/>
  <c r="X236" i="43"/>
  <c r="K392" i="43"/>
  <c r="J353" i="43"/>
  <c r="AE44" i="43"/>
  <c r="T275" i="43"/>
  <c r="B197" i="43"/>
  <c r="C49" i="43"/>
  <c r="N41" i="43"/>
  <c r="P233" i="43"/>
  <c r="AD350" i="43"/>
  <c r="AB350" i="43"/>
  <c r="AB41" i="43"/>
  <c r="K350" i="43"/>
  <c r="AE350" i="43"/>
  <c r="K233" i="43"/>
  <c r="AB389" i="43"/>
  <c r="AC155" i="43"/>
  <c r="AB155" i="43"/>
  <c r="V233" i="43"/>
  <c r="L233" i="43"/>
  <c r="W194" i="43"/>
  <c r="W272" i="43"/>
  <c r="AE389" i="43"/>
  <c r="E389" i="43"/>
  <c r="U233" i="43"/>
  <c r="W311" i="43"/>
  <c r="E194" i="43"/>
  <c r="AF311" i="43"/>
  <c r="AA194" i="43"/>
  <c r="AD389" i="43"/>
  <c r="W233" i="43"/>
  <c r="I272" i="43"/>
  <c r="G155" i="43"/>
  <c r="J350" i="43"/>
  <c r="H272" i="43"/>
  <c r="J155" i="43"/>
  <c r="S233" i="43"/>
  <c r="R350" i="43"/>
  <c r="S155" i="43"/>
  <c r="Q41" i="43"/>
  <c r="Z311" i="43"/>
  <c r="Z389" i="43"/>
  <c r="AH41" i="43"/>
  <c r="B272" i="43"/>
  <c r="L389" i="43"/>
  <c r="E311" i="43"/>
  <c r="B194" i="43"/>
  <c r="Y194" i="43"/>
  <c r="AB233" i="43"/>
  <c r="B311" i="43"/>
  <c r="V194" i="43"/>
  <c r="M194" i="43"/>
  <c r="AD41" i="43"/>
  <c r="M350" i="43"/>
  <c r="G194" i="43"/>
  <c r="C311" i="43"/>
  <c r="X194" i="43"/>
  <c r="C389" i="43"/>
  <c r="O41" i="43"/>
  <c r="L350" i="43"/>
  <c r="P311" i="43"/>
  <c r="D311" i="43"/>
  <c r="Y389" i="43"/>
  <c r="U155" i="43"/>
  <c r="Y155" i="43"/>
  <c r="I350" i="43"/>
  <c r="S350" i="43"/>
  <c r="G272" i="43"/>
  <c r="AE272" i="43"/>
  <c r="P155" i="43"/>
  <c r="U389" i="43"/>
  <c r="H233" i="43"/>
  <c r="X272" i="43"/>
  <c r="W155" i="43"/>
  <c r="AF233" i="43"/>
  <c r="K272" i="43"/>
  <c r="O155" i="43"/>
  <c r="Q233" i="43"/>
  <c r="M311" i="43"/>
  <c r="Z155" i="43"/>
  <c r="T233" i="43"/>
  <c r="AA311" i="43"/>
  <c r="Y311" i="43"/>
  <c r="B233" i="43"/>
  <c r="AE194" i="43"/>
  <c r="M389" i="43"/>
  <c r="E155" i="43"/>
  <c r="Q194" i="43"/>
  <c r="I389" i="43"/>
  <c r="AF41" i="43"/>
  <c r="G350" i="43"/>
  <c r="U311" i="43"/>
  <c r="AA350" i="43"/>
  <c r="X350" i="43"/>
  <c r="W41" i="43"/>
  <c r="I233" i="43"/>
  <c r="D350" i="43"/>
  <c r="T389" i="43"/>
  <c r="O272" i="43"/>
  <c r="O194" i="43"/>
  <c r="G41" i="43"/>
  <c r="J233" i="43"/>
  <c r="L194" i="43"/>
  <c r="R194" i="43"/>
  <c r="AB194" i="43"/>
  <c r="B389" i="43"/>
  <c r="F41" i="43"/>
  <c r="B350" i="43"/>
  <c r="AD311" i="43"/>
  <c r="AF350" i="43"/>
  <c r="AE311" i="43"/>
  <c r="S272" i="43"/>
  <c r="D389" i="43"/>
  <c r="G233" i="43"/>
  <c r="AA272" i="43"/>
  <c r="AD272" i="43"/>
  <c r="H311" i="43"/>
  <c r="AA389" i="43"/>
  <c r="K311" i="43"/>
  <c r="E233" i="43"/>
  <c r="R389" i="43"/>
  <c r="F389" i="43"/>
  <c r="Y233" i="43"/>
  <c r="X311" i="43"/>
  <c r="C194" i="43"/>
  <c r="R233" i="43"/>
  <c r="AC194" i="43"/>
  <c r="M155" i="43"/>
  <c r="H194" i="43"/>
  <c r="U272" i="43"/>
  <c r="F350" i="43"/>
  <c r="AJ41" i="43"/>
  <c r="X233" i="43"/>
  <c r="D233" i="43"/>
  <c r="L311" i="43"/>
  <c r="V272" i="43"/>
  <c r="H41" i="43"/>
  <c r="P350" i="43"/>
  <c r="Z194" i="43"/>
  <c r="S194" i="43"/>
  <c r="M272" i="43"/>
  <c r="R155" i="43"/>
  <c r="R41" i="43"/>
  <c r="AE233" i="43"/>
  <c r="J311" i="43"/>
  <c r="V389" i="43"/>
  <c r="P272" i="43"/>
  <c r="AC389" i="43"/>
  <c r="U41" i="43"/>
  <c r="Z233" i="43"/>
  <c r="W350" i="43"/>
  <c r="U350" i="43"/>
  <c r="L272" i="43"/>
  <c r="C155" i="43"/>
  <c r="AG41" i="43"/>
  <c r="F233" i="43"/>
  <c r="J272" i="43"/>
  <c r="B97" i="39"/>
  <c r="V350" i="43"/>
  <c r="X389" i="43"/>
  <c r="D155" i="43"/>
  <c r="S41" i="43"/>
  <c r="M233" i="43"/>
  <c r="V311" i="43"/>
  <c r="AD194" i="43"/>
  <c r="O389" i="43"/>
  <c r="V41" i="43"/>
  <c r="I311" i="43"/>
  <c r="N311" i="43"/>
  <c r="W389" i="43"/>
  <c r="AD155" i="43"/>
  <c r="N194" i="43"/>
  <c r="J41" i="43"/>
  <c r="T350" i="43"/>
  <c r="AF194" i="43"/>
  <c r="Q272" i="43"/>
  <c r="AC272" i="43"/>
  <c r="K155" i="43"/>
  <c r="T41" i="43"/>
  <c r="AC233" i="43"/>
  <c r="F194" i="43"/>
  <c r="AC350" i="43"/>
  <c r="AF389" i="43"/>
  <c r="T155" i="43"/>
  <c r="Z41" i="43"/>
  <c r="E272" i="43"/>
  <c r="H389" i="43"/>
  <c r="K41" i="43"/>
  <c r="Z350" i="43"/>
  <c r="N272" i="43"/>
  <c r="P41" i="43"/>
  <c r="AB311" i="43"/>
  <c r="N389" i="43"/>
  <c r="T272" i="43"/>
  <c r="T311" i="43"/>
  <c r="G389" i="43"/>
  <c r="AA155" i="43"/>
  <c r="H350" i="43"/>
  <c r="Y272" i="43"/>
  <c r="V155" i="43"/>
  <c r="K389" i="43"/>
  <c r="D194" i="43"/>
  <c r="Y41" i="43"/>
  <c r="AD233" i="43"/>
  <c r="J194" i="43"/>
  <c r="Q350" i="43"/>
  <c r="C272" i="43"/>
  <c r="O233" i="43"/>
  <c r="I194" i="43"/>
  <c r="U194" i="43"/>
  <c r="P194" i="43"/>
  <c r="AB272" i="43"/>
  <c r="Q155" i="43"/>
  <c r="X41" i="43"/>
  <c r="O311" i="43"/>
  <c r="S311" i="43"/>
  <c r="Q389" i="43"/>
  <c r="AF155" i="43"/>
  <c r="L155" i="43"/>
  <c r="AI41" i="43"/>
  <c r="O350" i="43"/>
  <c r="F311" i="43"/>
  <c r="Z272" i="43"/>
  <c r="F155" i="43"/>
  <c r="N155" i="43"/>
  <c r="E350" i="43"/>
  <c r="F272" i="43"/>
  <c r="I155" i="43"/>
  <c r="AE41" i="43"/>
  <c r="G311" i="43"/>
  <c r="X155" i="43"/>
  <c r="AA41" i="43"/>
  <c r="R311" i="43"/>
  <c r="P389" i="43"/>
  <c r="S389" i="43"/>
  <c r="R272" i="43"/>
  <c r="N233" i="43"/>
  <c r="AF272" i="43"/>
  <c r="Y350" i="43"/>
  <c r="D272" i="43"/>
  <c r="I41" i="43"/>
  <c r="AE155" i="43"/>
  <c r="B155" i="43"/>
  <c r="H155" i="43"/>
  <c r="T194" i="43"/>
  <c r="M41" i="43"/>
  <c r="L41" i="43"/>
  <c r="C350" i="43"/>
  <c r="J389" i="43"/>
  <c r="AA233" i="43"/>
  <c r="N350" i="43"/>
  <c r="K194" i="43"/>
  <c r="Q311" i="43"/>
  <c r="AC311" i="43"/>
  <c r="C233" i="43"/>
  <c r="AC41" i="43"/>
  <c r="B84" i="39"/>
  <c r="E220" i="43"/>
  <c r="E337" i="43"/>
  <c r="AB298" i="43"/>
  <c r="I259" i="43"/>
  <c r="U259" i="43"/>
  <c r="AD376" i="43"/>
  <c r="O28" i="43"/>
  <c r="P220" i="43"/>
  <c r="AF337" i="43"/>
  <c r="AA337" i="43"/>
  <c r="W181" i="43"/>
  <c r="C376" i="43"/>
  <c r="G28" i="43"/>
  <c r="S220" i="43"/>
  <c r="W298" i="43"/>
  <c r="D259" i="43"/>
  <c r="U376" i="43"/>
  <c r="H142" i="43"/>
  <c r="Q28" i="43"/>
  <c r="N220" i="43"/>
  <c r="AF181" i="43"/>
  <c r="L181" i="43"/>
  <c r="F142" i="43"/>
  <c r="Q376" i="43"/>
  <c r="M220" i="43"/>
  <c r="T220" i="43"/>
  <c r="X298" i="43"/>
  <c r="L376" i="43"/>
  <c r="B376" i="43"/>
  <c r="M28" i="43"/>
  <c r="L337" i="43"/>
  <c r="AB337" i="43"/>
  <c r="K259" i="43"/>
  <c r="H181" i="43"/>
  <c r="G376" i="43"/>
  <c r="AF298" i="43"/>
  <c r="E259" i="43"/>
  <c r="N181" i="43"/>
  <c r="Q181" i="43"/>
  <c r="W376" i="43"/>
  <c r="H259" i="43"/>
  <c r="AD28" i="43"/>
  <c r="X220" i="43"/>
  <c r="G181" i="43"/>
  <c r="AE181" i="43"/>
  <c r="N259" i="43"/>
  <c r="N376" i="43"/>
  <c r="O142" i="43"/>
  <c r="AE28" i="43"/>
  <c r="Q220" i="43"/>
  <c r="V298" i="43"/>
  <c r="AC181" i="43"/>
  <c r="X376" i="43"/>
  <c r="C142" i="43"/>
  <c r="F28" i="43"/>
  <c r="AA220" i="43"/>
  <c r="F298" i="43"/>
  <c r="M259" i="43"/>
  <c r="X142" i="43"/>
  <c r="Q142" i="43"/>
  <c r="W220" i="43"/>
  <c r="J181" i="43"/>
  <c r="I298" i="43"/>
  <c r="V376" i="43"/>
  <c r="F376" i="43"/>
  <c r="T28" i="43"/>
  <c r="B337" i="43"/>
  <c r="X337" i="43"/>
  <c r="Y181" i="43"/>
  <c r="W259" i="43"/>
  <c r="P376" i="43"/>
  <c r="S28" i="43"/>
  <c r="J220" i="43"/>
  <c r="U298" i="43"/>
  <c r="X181" i="43"/>
  <c r="AE259" i="43"/>
  <c r="AA142" i="43"/>
  <c r="I181" i="43"/>
  <c r="Y298" i="43"/>
  <c r="AD259" i="43"/>
  <c r="P259" i="43"/>
  <c r="E298" i="43"/>
  <c r="R142" i="43"/>
  <c r="Y28" i="43"/>
  <c r="AD220" i="43"/>
  <c r="Y337" i="43"/>
  <c r="D298" i="43"/>
  <c r="H337" i="43"/>
  <c r="U142" i="43"/>
  <c r="AB142" i="43"/>
  <c r="Z28" i="43"/>
  <c r="L220" i="43"/>
  <c r="D220" i="43"/>
  <c r="AD181" i="43"/>
  <c r="I376" i="43"/>
  <c r="AD142" i="43"/>
  <c r="X28" i="43"/>
  <c r="Q337" i="43"/>
  <c r="AB181" i="43"/>
  <c r="F181" i="43"/>
  <c r="AC142" i="43"/>
  <c r="P142" i="43"/>
  <c r="Y220" i="43"/>
  <c r="R337" i="43"/>
  <c r="K181" i="43"/>
  <c r="V259" i="43"/>
  <c r="L259" i="43"/>
  <c r="AJ28" i="43"/>
  <c r="M337" i="43"/>
  <c r="N298" i="43"/>
  <c r="S298" i="43"/>
  <c r="X259" i="43"/>
  <c r="M142" i="43"/>
  <c r="AA28" i="43"/>
  <c r="C220" i="43"/>
  <c r="V337" i="43"/>
  <c r="V181" i="43"/>
  <c r="R376" i="43"/>
  <c r="V142" i="43"/>
  <c r="W142" i="43"/>
  <c r="J376" i="43"/>
  <c r="D142" i="43"/>
  <c r="K142" i="43"/>
  <c r="Y376" i="43"/>
  <c r="R28" i="43"/>
  <c r="O220" i="43"/>
  <c r="AD337" i="43"/>
  <c r="L298" i="43"/>
  <c r="AC259" i="43"/>
  <c r="S376" i="43"/>
  <c r="S142" i="43"/>
  <c r="H28" i="43"/>
  <c r="T337" i="43"/>
  <c r="S181" i="43"/>
  <c r="T376" i="43"/>
  <c r="D376" i="43"/>
  <c r="Q259" i="43"/>
  <c r="R220" i="43"/>
  <c r="O298" i="43"/>
  <c r="H298" i="43"/>
  <c r="AB376" i="43"/>
  <c r="M376" i="43"/>
  <c r="AH28" i="43"/>
  <c r="K337" i="43"/>
  <c r="G298" i="43"/>
  <c r="E181" i="43"/>
  <c r="C259" i="43"/>
  <c r="G142" i="43"/>
  <c r="K28" i="43"/>
  <c r="AB220" i="43"/>
  <c r="AA298" i="43"/>
  <c r="AE337" i="43"/>
  <c r="K376" i="43"/>
  <c r="H376" i="43"/>
  <c r="AC28" i="43"/>
  <c r="N337" i="43"/>
  <c r="R181" i="43"/>
  <c r="AC376" i="43"/>
  <c r="AA376" i="43"/>
  <c r="Z376" i="43"/>
  <c r="AB28" i="43"/>
  <c r="AF28" i="43"/>
  <c r="J28" i="43"/>
  <c r="I28" i="43"/>
  <c r="N28" i="43"/>
  <c r="Z142" i="43"/>
  <c r="V28" i="43"/>
  <c r="H220" i="43"/>
  <c r="T298" i="43"/>
  <c r="J259" i="43"/>
  <c r="M181" i="43"/>
  <c r="AF142" i="43"/>
  <c r="AE376" i="43"/>
  <c r="K220" i="43"/>
  <c r="K298" i="43"/>
  <c r="B298" i="43"/>
  <c r="AF259" i="43"/>
  <c r="AA259" i="43"/>
  <c r="B142" i="43"/>
  <c r="I220" i="43"/>
  <c r="P337" i="43"/>
  <c r="D181" i="43"/>
  <c r="R259" i="43"/>
  <c r="N142" i="43"/>
  <c r="AG28" i="43"/>
  <c r="U220" i="43"/>
  <c r="Z298" i="43"/>
  <c r="G259" i="43"/>
  <c r="O376" i="43"/>
  <c r="O181" i="43"/>
  <c r="W28" i="43"/>
  <c r="AF220" i="43"/>
  <c r="AD298" i="43"/>
  <c r="Z259" i="43"/>
  <c r="Q298" i="43"/>
  <c r="AB259" i="43"/>
  <c r="B220" i="43"/>
  <c r="J298" i="43"/>
  <c r="F337" i="43"/>
  <c r="S259" i="43"/>
  <c r="O259" i="43"/>
  <c r="V220" i="43"/>
  <c r="I337" i="43"/>
  <c r="F220" i="43"/>
  <c r="AE220" i="43"/>
  <c r="C337" i="43"/>
  <c r="AC337" i="43"/>
  <c r="P181" i="43"/>
  <c r="M298" i="43"/>
  <c r="B181" i="43"/>
  <c r="Y259" i="43"/>
  <c r="AA181" i="43"/>
  <c r="T181" i="43"/>
  <c r="AE298" i="43"/>
  <c r="AF376" i="43"/>
  <c r="U181" i="43"/>
  <c r="Z181" i="43"/>
  <c r="T142" i="43"/>
  <c r="E142" i="43"/>
  <c r="J142" i="43"/>
  <c r="F259" i="43"/>
  <c r="AE142" i="43"/>
  <c r="I142" i="43"/>
  <c r="E376" i="43"/>
  <c r="L142" i="43"/>
  <c r="Y142" i="43"/>
  <c r="J337" i="43"/>
  <c r="AI28" i="43"/>
  <c r="T259" i="43"/>
  <c r="P28" i="43"/>
  <c r="U28" i="43"/>
  <c r="L28" i="43"/>
  <c r="Z220" i="43"/>
  <c r="Z337" i="43"/>
  <c r="D337" i="43"/>
  <c r="G220" i="43"/>
  <c r="G337" i="43"/>
  <c r="AC220" i="43"/>
  <c r="U337" i="43"/>
  <c r="S337" i="43"/>
  <c r="R298" i="43"/>
  <c r="AC298" i="43"/>
  <c r="W337" i="43"/>
  <c r="C298" i="43"/>
  <c r="P298" i="43"/>
  <c r="B259" i="43"/>
  <c r="O337" i="43"/>
  <c r="C181" i="43"/>
  <c r="AJ31" i="43"/>
  <c r="AI31" i="43"/>
  <c r="M223" i="43"/>
  <c r="M340" i="43"/>
  <c r="J340" i="43"/>
  <c r="X379" i="43"/>
  <c r="X262" i="43"/>
  <c r="AD145" i="43"/>
  <c r="O223" i="43"/>
  <c r="K340" i="43"/>
  <c r="D262" i="43"/>
  <c r="Z184" i="43"/>
  <c r="AB379" i="43"/>
  <c r="AG31" i="43"/>
  <c r="G223" i="43"/>
  <c r="AD31" i="43"/>
  <c r="P223" i="43"/>
  <c r="C262" i="43"/>
  <c r="X184" i="43"/>
  <c r="AF262" i="43"/>
  <c r="AD379" i="43"/>
  <c r="AA31" i="43"/>
  <c r="H340" i="43"/>
  <c r="Y340" i="43"/>
  <c r="E184" i="43"/>
  <c r="U379" i="43"/>
  <c r="I145" i="43"/>
  <c r="H31" i="43"/>
  <c r="W31" i="43"/>
  <c r="AA223" i="43"/>
  <c r="Z340" i="43"/>
  <c r="J262" i="43"/>
  <c r="T31" i="43"/>
  <c r="W340" i="43"/>
  <c r="T262" i="43"/>
  <c r="B145" i="43"/>
  <c r="Y31" i="43"/>
  <c r="M301" i="43"/>
  <c r="R184" i="43"/>
  <c r="Y262" i="43"/>
  <c r="V379" i="43"/>
  <c r="R31" i="43"/>
  <c r="G340" i="43"/>
  <c r="C184" i="43"/>
  <c r="U301" i="43"/>
  <c r="W262" i="43"/>
  <c r="AF184" i="43"/>
  <c r="AF145" i="43"/>
  <c r="Z223" i="43"/>
  <c r="C340" i="43"/>
  <c r="S145" i="43"/>
  <c r="L223" i="43"/>
  <c r="Q301" i="43"/>
  <c r="M379" i="43"/>
  <c r="AB31" i="43"/>
  <c r="AC340" i="43"/>
  <c r="M145" i="43"/>
  <c r="R340" i="43"/>
  <c r="AA262" i="43"/>
  <c r="F223" i="43"/>
  <c r="L262" i="43"/>
  <c r="G31" i="43"/>
  <c r="X301" i="43"/>
  <c r="AA145" i="43"/>
  <c r="AD301" i="43"/>
  <c r="AF223" i="43"/>
  <c r="U340" i="43"/>
  <c r="AA340" i="43"/>
  <c r="AC31" i="43"/>
  <c r="B223" i="43"/>
  <c r="B184" i="43"/>
  <c r="Z31" i="43"/>
  <c r="D223" i="43"/>
  <c r="Q223" i="43"/>
  <c r="X340" i="43"/>
  <c r="H379" i="43"/>
  <c r="O145" i="43"/>
  <c r="Y223" i="43"/>
  <c r="D184" i="43"/>
  <c r="F379" i="43"/>
  <c r="N145" i="43"/>
  <c r="B87" i="39"/>
  <c r="V223" i="43"/>
  <c r="AF301" i="43"/>
  <c r="V301" i="43"/>
  <c r="AE184" i="43"/>
  <c r="P379" i="43"/>
  <c r="P262" i="43"/>
  <c r="X223" i="43"/>
  <c r="P301" i="43"/>
  <c r="T184" i="43"/>
  <c r="AH31" i="43"/>
  <c r="K301" i="43"/>
  <c r="M262" i="43"/>
  <c r="L145" i="43"/>
  <c r="C223" i="43"/>
  <c r="R379" i="43"/>
  <c r="S31" i="43"/>
  <c r="S184" i="43"/>
  <c r="Y145" i="43"/>
  <c r="F262" i="43"/>
  <c r="W145" i="43"/>
  <c r="K184" i="43"/>
  <c r="E262" i="43"/>
  <c r="G184" i="43"/>
  <c r="W184" i="43"/>
  <c r="L301" i="43"/>
  <c r="U223" i="43"/>
  <c r="G301" i="43"/>
  <c r="R262" i="43"/>
  <c r="X31" i="43"/>
  <c r="Z301" i="43"/>
  <c r="AB145" i="43"/>
  <c r="T145" i="43"/>
  <c r="R223" i="43"/>
  <c r="I301" i="43"/>
  <c r="T301" i="43"/>
  <c r="Z145" i="43"/>
  <c r="E301" i="43"/>
  <c r="Y184" i="43"/>
  <c r="I340" i="43"/>
  <c r="L379" i="43"/>
  <c r="P31" i="43"/>
  <c r="L184" i="43"/>
  <c r="AB223" i="43"/>
  <c r="Q379" i="43"/>
  <c r="Q262" i="43"/>
  <c r="AD340" i="43"/>
  <c r="AE31" i="43"/>
  <c r="AF31" i="43"/>
  <c r="S379" i="43"/>
  <c r="N379" i="43"/>
  <c r="W301" i="43"/>
  <c r="H145" i="43"/>
  <c r="K223" i="43"/>
  <c r="AB340" i="43"/>
  <c r="AC262" i="43"/>
  <c r="M31" i="43"/>
  <c r="P340" i="43"/>
  <c r="AC184" i="43"/>
  <c r="Z262" i="43"/>
  <c r="G379" i="43"/>
  <c r="T340" i="43"/>
  <c r="V145" i="43"/>
  <c r="L340" i="43"/>
  <c r="U262" i="43"/>
  <c r="I31" i="43"/>
  <c r="V262" i="43"/>
  <c r="O184" i="43"/>
  <c r="O31" i="43"/>
  <c r="J379" i="43"/>
  <c r="H301" i="43"/>
  <c r="W223" i="43"/>
  <c r="I379" i="43"/>
  <c r="S262" i="43"/>
  <c r="AE301" i="43"/>
  <c r="R145" i="43"/>
  <c r="AD223" i="43"/>
  <c r="H184" i="43"/>
  <c r="Q145" i="43"/>
  <c r="J31" i="43"/>
  <c r="C301" i="43"/>
  <c r="I262" i="43"/>
  <c r="Q184" i="43"/>
  <c r="D379" i="43"/>
  <c r="S301" i="43"/>
  <c r="AC145" i="43"/>
  <c r="Y301" i="43"/>
  <c r="X145" i="43"/>
  <c r="N31" i="43"/>
  <c r="U184" i="43"/>
  <c r="AB184" i="43"/>
  <c r="T223" i="43"/>
  <c r="D340" i="43"/>
  <c r="O262" i="43"/>
  <c r="E223" i="43"/>
  <c r="B301" i="43"/>
  <c r="C379" i="43"/>
  <c r="V31" i="43"/>
  <c r="F301" i="43"/>
  <c r="O301" i="43"/>
  <c r="J301" i="43"/>
  <c r="M184" i="43"/>
  <c r="Z379" i="43"/>
  <c r="N223" i="43"/>
  <c r="AF340" i="43"/>
  <c r="AB262" i="43"/>
  <c r="E379" i="43"/>
  <c r="K31" i="43"/>
  <c r="AF379" i="43"/>
  <c r="E145" i="43"/>
  <c r="AE340" i="43"/>
  <c r="O340" i="43"/>
  <c r="AC301" i="43"/>
  <c r="F145" i="43"/>
  <c r="C145" i="43"/>
  <c r="N301" i="43"/>
  <c r="H223" i="43"/>
  <c r="N184" i="43"/>
  <c r="AA184" i="43"/>
  <c r="AB301" i="43"/>
  <c r="B379" i="43"/>
  <c r="W379" i="43"/>
  <c r="AE145" i="43"/>
  <c r="P184" i="43"/>
  <c r="B262" i="43"/>
  <c r="G145" i="43"/>
  <c r="Y379" i="43"/>
  <c r="AE262" i="43"/>
  <c r="R301" i="43"/>
  <c r="U31" i="43"/>
  <c r="U145" i="43"/>
  <c r="AE379" i="43"/>
  <c r="AA379" i="43"/>
  <c r="D145" i="43"/>
  <c r="G262" i="43"/>
  <c r="J145" i="43"/>
  <c r="AE223" i="43"/>
  <c r="F340" i="43"/>
  <c r="F31" i="43"/>
  <c r="P145" i="43"/>
  <c r="K145" i="43"/>
  <c r="AC223" i="43"/>
  <c r="S340" i="43"/>
  <c r="V340" i="43"/>
  <c r="B340" i="43"/>
  <c r="N340" i="43"/>
  <c r="J223" i="43"/>
  <c r="V184" i="43"/>
  <c r="L31" i="43"/>
  <c r="F184" i="43"/>
  <c r="D301" i="43"/>
  <c r="H262" i="43"/>
  <c r="AC379" i="43"/>
  <c r="O379" i="43"/>
  <c r="Q340" i="43"/>
  <c r="Q31" i="43"/>
  <c r="AA301" i="43"/>
  <c r="T379" i="43"/>
  <c r="K379" i="43"/>
  <c r="N262" i="43"/>
  <c r="S223" i="43"/>
  <c r="J184" i="43"/>
  <c r="I223" i="43"/>
  <c r="AD184" i="43"/>
  <c r="E340" i="43"/>
  <c r="K262" i="43"/>
  <c r="AD262" i="43"/>
  <c r="I184" i="43"/>
  <c r="T37" i="43"/>
  <c r="W229" i="43"/>
  <c r="AA346" i="43"/>
  <c r="AE190" i="43"/>
  <c r="Y190" i="43"/>
  <c r="V268" i="43"/>
  <c r="AA151" i="43"/>
  <c r="AC37" i="43"/>
  <c r="AD229" i="43"/>
  <c r="F307" i="43"/>
  <c r="C268" i="43"/>
  <c r="N190" i="43"/>
  <c r="Y268" i="43"/>
  <c r="O151" i="43"/>
  <c r="M37" i="43"/>
  <c r="Z229" i="43"/>
  <c r="AF307" i="43"/>
  <c r="V307" i="43"/>
  <c r="Z268" i="43"/>
  <c r="F385" i="43"/>
  <c r="B151" i="43"/>
  <c r="AJ37" i="43"/>
  <c r="F346" i="43"/>
  <c r="F190" i="43"/>
  <c r="I346" i="43"/>
  <c r="AE385" i="43"/>
  <c r="E151" i="43"/>
  <c r="J190" i="43"/>
  <c r="H229" i="43"/>
  <c r="AB190" i="43"/>
  <c r="L37" i="43"/>
  <c r="AB307" i="43"/>
  <c r="S307" i="43"/>
  <c r="G190" i="43"/>
  <c r="C151" i="43"/>
  <c r="AA307" i="43"/>
  <c r="L346" i="43"/>
  <c r="T229" i="43"/>
  <c r="K37" i="43"/>
  <c r="T268" i="43"/>
  <c r="V151" i="43"/>
  <c r="S346" i="43"/>
  <c r="AD37" i="43"/>
  <c r="O229" i="43"/>
  <c r="Z307" i="43"/>
  <c r="K307" i="43"/>
  <c r="R268" i="43"/>
  <c r="W307" i="43"/>
  <c r="Q385" i="43"/>
  <c r="S37" i="43"/>
  <c r="V229" i="43"/>
  <c r="AE307" i="43"/>
  <c r="N307" i="43"/>
  <c r="X268" i="43"/>
  <c r="T385" i="43"/>
  <c r="O385" i="43"/>
  <c r="AH37" i="43"/>
  <c r="N229" i="43"/>
  <c r="AB346" i="43"/>
  <c r="C307" i="43"/>
  <c r="AB268" i="43"/>
  <c r="Z151" i="43"/>
  <c r="AD151" i="43"/>
  <c r="F37" i="43"/>
  <c r="B346" i="43"/>
  <c r="AF229" i="43"/>
  <c r="Y307" i="43"/>
  <c r="Y385" i="43"/>
  <c r="U268" i="43"/>
  <c r="J151" i="43"/>
  <c r="G229" i="43"/>
  <c r="E268" i="43"/>
  <c r="X37" i="43"/>
  <c r="P190" i="43"/>
  <c r="AF385" i="43"/>
  <c r="R346" i="43"/>
  <c r="G385" i="43"/>
  <c r="G268" i="43"/>
  <c r="K190" i="43"/>
  <c r="Z346" i="43"/>
  <c r="N346" i="43"/>
  <c r="AG37" i="43"/>
  <c r="S229" i="43"/>
  <c r="Z385" i="43"/>
  <c r="Z37" i="43"/>
  <c r="F229" i="43"/>
  <c r="H346" i="43"/>
  <c r="Y346" i="43"/>
  <c r="L268" i="43"/>
  <c r="AC151" i="43"/>
  <c r="N385" i="43"/>
  <c r="AI37" i="43"/>
  <c r="M229" i="43"/>
  <c r="X346" i="43"/>
  <c r="AF346" i="43"/>
  <c r="AA268" i="43"/>
  <c r="F151" i="43"/>
  <c r="M151" i="43"/>
  <c r="Y37" i="43"/>
  <c r="Y229" i="43"/>
  <c r="J307" i="43"/>
  <c r="S190" i="43"/>
  <c r="J385" i="43"/>
  <c r="N151" i="43"/>
  <c r="R151" i="43"/>
  <c r="V37" i="43"/>
  <c r="AB229" i="43"/>
  <c r="U307" i="43"/>
  <c r="B268" i="43"/>
  <c r="D268" i="43"/>
  <c r="D151" i="43"/>
  <c r="S151" i="43"/>
  <c r="B307" i="43"/>
  <c r="AA385" i="43"/>
  <c r="AE229" i="43"/>
  <c r="AD385" i="43"/>
  <c r="R37" i="43"/>
  <c r="K346" i="43"/>
  <c r="AC268" i="43"/>
  <c r="W151" i="43"/>
  <c r="P307" i="43"/>
  <c r="AA190" i="43"/>
  <c r="Q307" i="43"/>
  <c r="H307" i="43"/>
  <c r="AF268" i="43"/>
  <c r="W268" i="43"/>
  <c r="U37" i="43"/>
  <c r="J37" i="43"/>
  <c r="H190" i="43"/>
  <c r="I268" i="43"/>
  <c r="H385" i="43"/>
  <c r="P229" i="43"/>
  <c r="T307" i="43"/>
  <c r="AD268" i="43"/>
  <c r="J229" i="43"/>
  <c r="E190" i="43"/>
  <c r="X190" i="43"/>
  <c r="O37" i="43"/>
  <c r="P346" i="43"/>
  <c r="R307" i="43"/>
  <c r="I151" i="43"/>
  <c r="J268" i="43"/>
  <c r="C190" i="43"/>
  <c r="J346" i="43"/>
  <c r="D346" i="43"/>
  <c r="L151" i="43"/>
  <c r="P268" i="43"/>
  <c r="AB151" i="43"/>
  <c r="R229" i="43"/>
  <c r="I190" i="43"/>
  <c r="M385" i="43"/>
  <c r="AE37" i="43"/>
  <c r="AC346" i="43"/>
  <c r="L385" i="43"/>
  <c r="Q151" i="43"/>
  <c r="Q346" i="43"/>
  <c r="M190" i="43"/>
  <c r="W385" i="43"/>
  <c r="I37" i="43"/>
  <c r="O346" i="43"/>
  <c r="AC385" i="43"/>
  <c r="I385" i="43"/>
  <c r="U151" i="43"/>
  <c r="V385" i="43"/>
  <c r="Z190" i="43"/>
  <c r="P151" i="43"/>
  <c r="O190" i="43"/>
  <c r="Y151" i="43"/>
  <c r="B229" i="43"/>
  <c r="AD307" i="43"/>
  <c r="AD190" i="43"/>
  <c r="W37" i="43"/>
  <c r="U346" i="43"/>
  <c r="K268" i="43"/>
  <c r="T151" i="43"/>
  <c r="T346" i="43"/>
  <c r="AD346" i="43"/>
  <c r="G151" i="43"/>
  <c r="L229" i="43"/>
  <c r="U190" i="43"/>
  <c r="O268" i="43"/>
  <c r="AA37" i="43"/>
  <c r="W190" i="43"/>
  <c r="AE151" i="43"/>
  <c r="U385" i="43"/>
  <c r="B93" i="39"/>
  <c r="Q268" i="43"/>
  <c r="Q37" i="43"/>
  <c r="W346" i="43"/>
  <c r="R385" i="43"/>
  <c r="B385" i="43"/>
  <c r="X229" i="43"/>
  <c r="L190" i="43"/>
  <c r="C385" i="43"/>
  <c r="H37" i="43"/>
  <c r="V346" i="43"/>
  <c r="AB385" i="43"/>
  <c r="X151" i="43"/>
  <c r="Q229" i="43"/>
  <c r="V190" i="43"/>
  <c r="P385" i="43"/>
  <c r="O307" i="43"/>
  <c r="C229" i="43"/>
  <c r="AC229" i="43"/>
  <c r="N37" i="43"/>
  <c r="M268" i="43"/>
  <c r="G307" i="43"/>
  <c r="AE346" i="43"/>
  <c r="G346" i="43"/>
  <c r="I229" i="43"/>
  <c r="G37" i="43"/>
  <c r="Q190" i="43"/>
  <c r="X385" i="43"/>
  <c r="K385" i="43"/>
  <c r="AF151" i="43"/>
  <c r="L307" i="43"/>
  <c r="M346" i="43"/>
  <c r="E229" i="43"/>
  <c r="P37" i="43"/>
  <c r="S268" i="43"/>
  <c r="AA229" i="43"/>
  <c r="S385" i="43"/>
  <c r="D190" i="43"/>
  <c r="F268" i="43"/>
  <c r="H268" i="43"/>
  <c r="I307" i="43"/>
  <c r="AF190" i="43"/>
  <c r="AC307" i="43"/>
  <c r="D229" i="43"/>
  <c r="E346" i="43"/>
  <c r="H151" i="43"/>
  <c r="D385" i="43"/>
  <c r="AE268" i="43"/>
  <c r="N268" i="43"/>
  <c r="C346" i="43"/>
  <c r="AF37" i="43"/>
  <c r="E385" i="43"/>
  <c r="D307" i="43"/>
  <c r="T190" i="43"/>
  <c r="K151" i="43"/>
  <c r="E307" i="43"/>
  <c r="X307" i="43"/>
  <c r="AC190" i="43"/>
  <c r="U229" i="43"/>
  <c r="B190" i="43"/>
  <c r="R190" i="43"/>
  <c r="K229" i="43"/>
  <c r="AB37" i="43"/>
  <c r="M307" i="43"/>
  <c r="J38" i="43"/>
  <c r="U230" i="43"/>
  <c r="F38" i="43"/>
  <c r="T230" i="43"/>
  <c r="W347" i="43"/>
  <c r="AA191" i="43"/>
  <c r="X269" i="43"/>
  <c r="Y191" i="43"/>
  <c r="AF152" i="43"/>
  <c r="I230" i="43"/>
  <c r="AC308" i="43"/>
  <c r="X191" i="43"/>
  <c r="I269" i="43"/>
  <c r="Y386" i="43"/>
  <c r="X152" i="43"/>
  <c r="L38" i="43"/>
  <c r="W230" i="43"/>
  <c r="B230" i="43"/>
  <c r="T191" i="43"/>
  <c r="M386" i="43"/>
  <c r="Q152" i="43"/>
  <c r="Y269" i="43"/>
  <c r="Q230" i="43"/>
  <c r="J191" i="43"/>
  <c r="H269" i="43"/>
  <c r="Z269" i="43"/>
  <c r="K386" i="43"/>
  <c r="Z308" i="43"/>
  <c r="W38" i="43"/>
  <c r="Z230" i="43"/>
  <c r="X308" i="43"/>
  <c r="M191" i="43"/>
  <c r="AA386" i="43"/>
  <c r="Y152" i="43"/>
  <c r="B152" i="43"/>
  <c r="AA308" i="43"/>
  <c r="O386" i="43"/>
  <c r="E191" i="43"/>
  <c r="H230" i="43"/>
  <c r="T347" i="43"/>
  <c r="S347" i="43"/>
  <c r="X38" i="43"/>
  <c r="F347" i="43"/>
  <c r="R38" i="43"/>
  <c r="H347" i="43"/>
  <c r="N308" i="43"/>
  <c r="W308" i="43"/>
  <c r="P386" i="43"/>
  <c r="U152" i="43"/>
  <c r="I152" i="43"/>
  <c r="K230" i="43"/>
  <c r="AB347" i="43"/>
  <c r="J308" i="43"/>
  <c r="Z386" i="43"/>
  <c r="F386" i="43"/>
  <c r="N152" i="43"/>
  <c r="Z38" i="43"/>
  <c r="V230" i="43"/>
  <c r="C308" i="43"/>
  <c r="G269" i="43"/>
  <c r="AB269" i="43"/>
  <c r="T269" i="43"/>
  <c r="Q386" i="43"/>
  <c r="AA230" i="43"/>
  <c r="P230" i="43"/>
  <c r="D191" i="43"/>
  <c r="N386" i="43"/>
  <c r="AA152" i="43"/>
  <c r="Z152" i="43"/>
  <c r="AG38" i="43"/>
  <c r="J230" i="43"/>
  <c r="V347" i="43"/>
  <c r="Z191" i="43"/>
  <c r="V269" i="43"/>
  <c r="K191" i="43"/>
  <c r="D386" i="43"/>
  <c r="S191" i="43"/>
  <c r="P152" i="43"/>
  <c r="U269" i="43"/>
  <c r="J386" i="43"/>
  <c r="W191" i="43"/>
  <c r="F191" i="43"/>
  <c r="O38" i="43"/>
  <c r="AD230" i="43"/>
  <c r="X347" i="43"/>
  <c r="F230" i="43"/>
  <c r="L308" i="43"/>
  <c r="R191" i="43"/>
  <c r="C269" i="43"/>
  <c r="AF269" i="43"/>
  <c r="V152" i="43"/>
  <c r="M38" i="43"/>
  <c r="M347" i="43"/>
  <c r="F308" i="43"/>
  <c r="O308" i="43"/>
  <c r="B269" i="43"/>
  <c r="S269" i="43"/>
  <c r="D152" i="43"/>
  <c r="H38" i="43"/>
  <c r="N347" i="43"/>
  <c r="U308" i="43"/>
  <c r="V191" i="43"/>
  <c r="F269" i="43"/>
  <c r="S152" i="43"/>
  <c r="Q38" i="43"/>
  <c r="I347" i="43"/>
  <c r="S308" i="43"/>
  <c r="AD308" i="43"/>
  <c r="O269" i="43"/>
  <c r="L386" i="43"/>
  <c r="M152" i="43"/>
  <c r="K38" i="43"/>
  <c r="Y230" i="43"/>
  <c r="M308" i="43"/>
  <c r="Y347" i="43"/>
  <c r="R386" i="43"/>
  <c r="E386" i="43"/>
  <c r="S230" i="43"/>
  <c r="B94" i="39"/>
  <c r="AD152" i="43"/>
  <c r="G386" i="43"/>
  <c r="I308" i="43"/>
  <c r="N191" i="43"/>
  <c r="R308" i="43"/>
  <c r="AC38" i="43"/>
  <c r="AE230" i="43"/>
  <c r="L191" i="43"/>
  <c r="C230" i="43"/>
  <c r="AA347" i="43"/>
  <c r="AE347" i="43"/>
  <c r="AC386" i="43"/>
  <c r="H386" i="43"/>
  <c r="AC269" i="43"/>
  <c r="I38" i="43"/>
  <c r="L230" i="43"/>
  <c r="AF308" i="43"/>
  <c r="Q191" i="43"/>
  <c r="T386" i="43"/>
  <c r="F152" i="43"/>
  <c r="W269" i="43"/>
  <c r="M230" i="43"/>
  <c r="C191" i="43"/>
  <c r="AD191" i="43"/>
  <c r="P269" i="43"/>
  <c r="AE386" i="43"/>
  <c r="AB191" i="43"/>
  <c r="AH38" i="43"/>
  <c r="AF230" i="43"/>
  <c r="R347" i="43"/>
  <c r="U191" i="43"/>
  <c r="G191" i="43"/>
  <c r="L152" i="43"/>
  <c r="X386" i="43"/>
  <c r="Y38" i="43"/>
  <c r="E308" i="43"/>
  <c r="I191" i="43"/>
  <c r="P191" i="43"/>
  <c r="R269" i="43"/>
  <c r="AB152" i="43"/>
  <c r="J347" i="43"/>
  <c r="N230" i="43"/>
  <c r="AD38" i="43"/>
  <c r="C152" i="43"/>
  <c r="U386" i="43"/>
  <c r="AC152" i="43"/>
  <c r="Q269" i="43"/>
  <c r="S38" i="43"/>
  <c r="X230" i="43"/>
  <c r="G38" i="43"/>
  <c r="C347" i="43"/>
  <c r="AF347" i="43"/>
  <c r="H308" i="43"/>
  <c r="AE191" i="43"/>
  <c r="N269" i="43"/>
  <c r="T152" i="43"/>
  <c r="AE38" i="43"/>
  <c r="D347" i="43"/>
  <c r="B308" i="43"/>
  <c r="AF191" i="43"/>
  <c r="AA269" i="43"/>
  <c r="L269" i="43"/>
  <c r="AF386" i="43"/>
  <c r="R230" i="43"/>
  <c r="D230" i="43"/>
  <c r="Q308" i="43"/>
  <c r="V386" i="43"/>
  <c r="W152" i="43"/>
  <c r="O152" i="43"/>
  <c r="AF38" i="43"/>
  <c r="AB230" i="43"/>
  <c r="P347" i="43"/>
  <c r="AC347" i="43"/>
  <c r="W386" i="43"/>
  <c r="B386" i="43"/>
  <c r="K152" i="43"/>
  <c r="B347" i="43"/>
  <c r="U347" i="43"/>
  <c r="Z347" i="43"/>
  <c r="AE269" i="43"/>
  <c r="AB386" i="43"/>
  <c r="AC191" i="43"/>
  <c r="K269" i="43"/>
  <c r="O347" i="43"/>
  <c r="L347" i="43"/>
  <c r="V38" i="43"/>
  <c r="T38" i="43"/>
  <c r="I386" i="43"/>
  <c r="AA38" i="43"/>
  <c r="J152" i="43"/>
  <c r="E152" i="43"/>
  <c r="S386" i="43"/>
  <c r="M269" i="43"/>
  <c r="D308" i="43"/>
  <c r="G347" i="43"/>
  <c r="E347" i="43"/>
  <c r="AJ38" i="43"/>
  <c r="U38" i="43"/>
  <c r="C386" i="43"/>
  <c r="R152" i="43"/>
  <c r="AB308" i="43"/>
  <c r="E230" i="43"/>
  <c r="AE308" i="43"/>
  <c r="K347" i="43"/>
  <c r="G230" i="43"/>
  <c r="AI38" i="43"/>
  <c r="P38" i="43"/>
  <c r="AE152" i="43"/>
  <c r="N38" i="43"/>
  <c r="O191" i="43"/>
  <c r="P308" i="43"/>
  <c r="K308" i="43"/>
  <c r="Q347" i="43"/>
  <c r="AC230" i="43"/>
  <c r="AD269" i="43"/>
  <c r="G152" i="43"/>
  <c r="AB38" i="43"/>
  <c r="AD386" i="43"/>
  <c r="H191" i="43"/>
  <c r="T308" i="43"/>
  <c r="Y308" i="43"/>
  <c r="AD347" i="43"/>
  <c r="B191" i="43"/>
  <c r="O230" i="43"/>
  <c r="H152" i="43"/>
  <c r="E269" i="43"/>
  <c r="D269" i="43"/>
  <c r="J269" i="43"/>
  <c r="G308" i="43"/>
  <c r="V308" i="43"/>
  <c r="AI27" i="43"/>
  <c r="U219" i="43"/>
  <c r="N297" i="43"/>
  <c r="R180" i="43"/>
  <c r="V375" i="43"/>
  <c r="H141" i="43"/>
  <c r="AF141" i="43"/>
  <c r="G27" i="43"/>
  <c r="AA336" i="43"/>
  <c r="P336" i="43"/>
  <c r="N180" i="43"/>
  <c r="T258" i="43"/>
  <c r="G258" i="43"/>
  <c r="J219" i="43"/>
  <c r="D180" i="43"/>
  <c r="R336" i="43"/>
  <c r="AF375" i="43"/>
  <c r="AB375" i="43"/>
  <c r="F27" i="43"/>
  <c r="E336" i="43"/>
  <c r="X297" i="43"/>
  <c r="AE297" i="43"/>
  <c r="M180" i="43"/>
  <c r="AE258" i="43"/>
  <c r="AD27" i="43"/>
  <c r="R219" i="43"/>
  <c r="Z336" i="43"/>
  <c r="R258" i="43"/>
  <c r="E141" i="43"/>
  <c r="F180" i="43"/>
  <c r="O27" i="43"/>
  <c r="N336" i="43"/>
  <c r="Y180" i="43"/>
  <c r="AC297" i="43"/>
  <c r="W336" i="43"/>
  <c r="P375" i="43"/>
  <c r="U375" i="43"/>
  <c r="B141" i="43"/>
  <c r="U180" i="43"/>
  <c r="U258" i="43"/>
  <c r="X180" i="43"/>
  <c r="M258" i="43"/>
  <c r="AB27" i="43"/>
  <c r="Z219" i="43"/>
  <c r="S297" i="43"/>
  <c r="T180" i="43"/>
  <c r="V258" i="43"/>
  <c r="N258" i="43"/>
  <c r="Y141" i="43"/>
  <c r="M27" i="43"/>
  <c r="AD219" i="43"/>
  <c r="J297" i="43"/>
  <c r="V180" i="43"/>
  <c r="AB258" i="43"/>
  <c r="AD180" i="43"/>
  <c r="T27" i="43"/>
  <c r="Y219" i="43"/>
  <c r="U336" i="43"/>
  <c r="J258" i="43"/>
  <c r="D375" i="43"/>
  <c r="P141" i="43"/>
  <c r="J27" i="43"/>
  <c r="H297" i="43"/>
  <c r="C297" i="43"/>
  <c r="F258" i="43"/>
  <c r="Z141" i="43"/>
  <c r="G141" i="43"/>
  <c r="S219" i="43"/>
  <c r="V336" i="43"/>
  <c r="AF297" i="43"/>
  <c r="AA375" i="43"/>
  <c r="G375" i="43"/>
  <c r="P27" i="43"/>
  <c r="M219" i="43"/>
  <c r="O336" i="43"/>
  <c r="M297" i="43"/>
  <c r="K258" i="43"/>
  <c r="B297" i="43"/>
  <c r="D336" i="43"/>
  <c r="L219" i="43"/>
  <c r="X336" i="43"/>
  <c r="AB297" i="43"/>
  <c r="G297" i="43"/>
  <c r="O180" i="43"/>
  <c r="G219" i="43"/>
  <c r="AE336" i="43"/>
  <c r="B258" i="43"/>
  <c r="AC141" i="43"/>
  <c r="Z27" i="43"/>
  <c r="AF336" i="43"/>
  <c r="Y375" i="43"/>
  <c r="S141" i="43"/>
  <c r="AG27" i="43"/>
  <c r="P297" i="43"/>
  <c r="AC180" i="43"/>
  <c r="E258" i="43"/>
  <c r="AF219" i="43"/>
  <c r="K180" i="43"/>
  <c r="AA180" i="43"/>
  <c r="H375" i="43"/>
  <c r="O219" i="43"/>
  <c r="L297" i="43"/>
  <c r="AF180" i="43"/>
  <c r="AF258" i="43"/>
  <c r="C219" i="43"/>
  <c r="H180" i="43"/>
  <c r="R141" i="43"/>
  <c r="S27" i="43"/>
  <c r="K375" i="43"/>
  <c r="E219" i="43"/>
  <c r="AA258" i="43"/>
  <c r="Q27" i="43"/>
  <c r="G336" i="43"/>
  <c r="I297" i="43"/>
  <c r="Z258" i="43"/>
  <c r="AC375" i="43"/>
  <c r="H219" i="43"/>
  <c r="S336" i="43"/>
  <c r="AD258" i="43"/>
  <c r="C141" i="43"/>
  <c r="AE219" i="43"/>
  <c r="Z297" i="43"/>
  <c r="R375" i="43"/>
  <c r="Q375" i="43"/>
  <c r="N219" i="43"/>
  <c r="Y297" i="43"/>
  <c r="I141" i="43"/>
  <c r="B83" i="39"/>
  <c r="K336" i="43"/>
  <c r="D297" i="43"/>
  <c r="AE141" i="43"/>
  <c r="L27" i="43"/>
  <c r="U297" i="43"/>
  <c r="Q180" i="43"/>
  <c r="P258" i="43"/>
  <c r="I180" i="43"/>
  <c r="K141" i="43"/>
  <c r="B219" i="43"/>
  <c r="U141" i="43"/>
  <c r="U27" i="43"/>
  <c r="T336" i="43"/>
  <c r="W297" i="43"/>
  <c r="Q258" i="43"/>
  <c r="M141" i="43"/>
  <c r="T219" i="43"/>
  <c r="T297" i="43"/>
  <c r="Z375" i="43"/>
  <c r="Q141" i="43"/>
  <c r="F219" i="43"/>
  <c r="E297" i="43"/>
  <c r="AC258" i="43"/>
  <c r="E375" i="43"/>
  <c r="I336" i="43"/>
  <c r="Q297" i="43"/>
  <c r="AD141" i="43"/>
  <c r="W27" i="43"/>
  <c r="K297" i="43"/>
  <c r="E180" i="43"/>
  <c r="L141" i="43"/>
  <c r="V27" i="43"/>
  <c r="Y336" i="43"/>
  <c r="X375" i="43"/>
  <c r="C375" i="43"/>
  <c r="Z180" i="43"/>
  <c r="AE27" i="43"/>
  <c r="X258" i="43"/>
  <c r="I219" i="43"/>
  <c r="H27" i="43"/>
  <c r="B336" i="43"/>
  <c r="S180" i="43"/>
  <c r="N141" i="43"/>
  <c r="D141" i="43"/>
  <c r="D219" i="43"/>
  <c r="W219" i="43"/>
  <c r="S375" i="43"/>
  <c r="I375" i="43"/>
  <c r="F336" i="43"/>
  <c r="W180" i="43"/>
  <c r="AA141" i="43"/>
  <c r="K27" i="43"/>
  <c r="B180" i="43"/>
  <c r="L258" i="43"/>
  <c r="N375" i="43"/>
  <c r="N27" i="43"/>
  <c r="L336" i="43"/>
  <c r="V297" i="43"/>
  <c r="AB141" i="43"/>
  <c r="X27" i="43"/>
  <c r="G180" i="43"/>
  <c r="W258" i="43"/>
  <c r="F375" i="43"/>
  <c r="J375" i="43"/>
  <c r="J336" i="43"/>
  <c r="AH27" i="43"/>
  <c r="AD336" i="43"/>
  <c r="AC27" i="43"/>
  <c r="V219" i="43"/>
  <c r="H336" i="43"/>
  <c r="W141" i="43"/>
  <c r="L375" i="43"/>
  <c r="Q336" i="43"/>
  <c r="P180" i="43"/>
  <c r="O141" i="43"/>
  <c r="AA27" i="43"/>
  <c r="F297" i="43"/>
  <c r="AE180" i="43"/>
  <c r="V141" i="43"/>
  <c r="AJ27" i="43"/>
  <c r="X219" i="43"/>
  <c r="T375" i="43"/>
  <c r="F141" i="43"/>
  <c r="R27" i="43"/>
  <c r="AA297" i="43"/>
  <c r="S258" i="43"/>
  <c r="M375" i="43"/>
  <c r="AC219" i="43"/>
  <c r="AC336" i="43"/>
  <c r="AB180" i="43"/>
  <c r="AD375" i="43"/>
  <c r="I27" i="43"/>
  <c r="J180" i="43"/>
  <c r="P219" i="43"/>
  <c r="AB219" i="43"/>
  <c r="M336" i="43"/>
  <c r="B375" i="43"/>
  <c r="Y258" i="43"/>
  <c r="AF27" i="43"/>
  <c r="C180" i="43"/>
  <c r="C258" i="43"/>
  <c r="AE375" i="43"/>
  <c r="Y27" i="43"/>
  <c r="K219" i="43"/>
  <c r="W375" i="43"/>
  <c r="X141" i="43"/>
  <c r="Q219" i="43"/>
  <c r="AB336" i="43"/>
  <c r="O375" i="43"/>
  <c r="T141" i="43"/>
  <c r="C336" i="43"/>
  <c r="L180" i="43"/>
  <c r="H258" i="43"/>
  <c r="D258" i="43"/>
  <c r="AA219" i="43"/>
  <c r="AD297" i="43"/>
  <c r="O258" i="43"/>
  <c r="I258" i="43"/>
  <c r="R297" i="43"/>
  <c r="J141" i="43"/>
  <c r="O297" i="43"/>
  <c r="M26" i="43"/>
  <c r="D218" i="43"/>
  <c r="AA296" i="43"/>
  <c r="AF296" i="43"/>
  <c r="AB374" i="43"/>
  <c r="AF374" i="43"/>
  <c r="J140" i="43"/>
  <c r="O26" i="43"/>
  <c r="Q218" i="43"/>
  <c r="M296" i="43"/>
  <c r="AC179" i="43"/>
  <c r="U257" i="43"/>
  <c r="S257" i="43"/>
  <c r="I140" i="43"/>
  <c r="AA26" i="43"/>
  <c r="AE218" i="43"/>
  <c r="C296" i="43"/>
  <c r="E257" i="43"/>
  <c r="AF257" i="43"/>
  <c r="AF26" i="43"/>
  <c r="L335" i="43"/>
  <c r="Y296" i="43"/>
  <c r="AB257" i="43"/>
  <c r="S140" i="43"/>
  <c r="B218" i="43"/>
  <c r="Z335" i="43"/>
  <c r="B179" i="43"/>
  <c r="R257" i="43"/>
  <c r="L26" i="43"/>
  <c r="S335" i="43"/>
  <c r="F179" i="43"/>
  <c r="Y257" i="43"/>
  <c r="E140" i="43"/>
  <c r="C335" i="43"/>
  <c r="K179" i="43"/>
  <c r="O374" i="43"/>
  <c r="V140" i="43"/>
  <c r="AC335" i="43"/>
  <c r="T140" i="43"/>
  <c r="I26" i="43"/>
  <c r="AA179" i="43"/>
  <c r="P296" i="43"/>
  <c r="AI26" i="43"/>
  <c r="H218" i="43"/>
  <c r="I218" i="43"/>
  <c r="W296" i="43"/>
  <c r="R179" i="43"/>
  <c r="O140" i="43"/>
  <c r="D374" i="43"/>
  <c r="U26" i="43"/>
  <c r="L218" i="43"/>
  <c r="Z296" i="43"/>
  <c r="I257" i="43"/>
  <c r="W374" i="43"/>
  <c r="Q140" i="43"/>
  <c r="AE140" i="43"/>
  <c r="U218" i="43"/>
  <c r="D296" i="43"/>
  <c r="AE179" i="43"/>
  <c r="B374" i="43"/>
  <c r="B82" i="39"/>
  <c r="AC218" i="43"/>
  <c r="X179" i="43"/>
  <c r="Z374" i="43"/>
  <c r="P140" i="43"/>
  <c r="AE26" i="43"/>
  <c r="O296" i="43"/>
  <c r="N335" i="43"/>
  <c r="Z257" i="43"/>
  <c r="W257" i="43"/>
  <c r="AD218" i="43"/>
  <c r="G179" i="43"/>
  <c r="AC257" i="43"/>
  <c r="F140" i="43"/>
  <c r="W26" i="43"/>
  <c r="AD335" i="43"/>
  <c r="Q179" i="43"/>
  <c r="AA374" i="43"/>
  <c r="AD140" i="43"/>
  <c r="Z218" i="43"/>
  <c r="Y179" i="43"/>
  <c r="AB218" i="43"/>
  <c r="T26" i="43"/>
  <c r="Y218" i="43"/>
  <c r="T296" i="43"/>
  <c r="G257" i="43"/>
  <c r="N140" i="43"/>
  <c r="P26" i="43"/>
  <c r="B335" i="43"/>
  <c r="H335" i="43"/>
  <c r="L257" i="43"/>
  <c r="I374" i="43"/>
  <c r="J26" i="43"/>
  <c r="O179" i="43"/>
  <c r="V257" i="43"/>
  <c r="X26" i="43"/>
  <c r="X335" i="43"/>
  <c r="M257" i="43"/>
  <c r="Q26" i="43"/>
  <c r="D179" i="43"/>
  <c r="O257" i="43"/>
  <c r="F26" i="43"/>
  <c r="O218" i="43"/>
  <c r="F296" i="43"/>
  <c r="K26" i="43"/>
  <c r="AA335" i="43"/>
  <c r="H179" i="43"/>
  <c r="T218" i="43"/>
  <c r="E296" i="43"/>
  <c r="P218" i="43"/>
  <c r="Z140" i="43"/>
  <c r="K218" i="43"/>
  <c r="AB335" i="43"/>
  <c r="I179" i="43"/>
  <c r="V374" i="43"/>
  <c r="AG26" i="43"/>
  <c r="X218" i="43"/>
  <c r="W335" i="43"/>
  <c r="AF179" i="43"/>
  <c r="J179" i="43"/>
  <c r="F335" i="43"/>
  <c r="Z179" i="43"/>
  <c r="AD179" i="43"/>
  <c r="AA218" i="43"/>
  <c r="H296" i="43"/>
  <c r="U140" i="43"/>
  <c r="Y26" i="43"/>
  <c r="J257" i="43"/>
  <c r="X374" i="43"/>
  <c r="AJ26" i="43"/>
  <c r="AE335" i="43"/>
  <c r="AE257" i="43"/>
  <c r="AB26" i="43"/>
  <c r="B296" i="43"/>
  <c r="M374" i="43"/>
  <c r="AB179" i="43"/>
  <c r="T374" i="43"/>
  <c r="AB296" i="43"/>
  <c r="G26" i="43"/>
  <c r="M218" i="43"/>
  <c r="V179" i="43"/>
  <c r="K374" i="43"/>
  <c r="G140" i="43"/>
  <c r="V26" i="43"/>
  <c r="O335" i="43"/>
  <c r="P179" i="43"/>
  <c r="AD257" i="43"/>
  <c r="AA140" i="43"/>
  <c r="E218" i="43"/>
  <c r="C179" i="43"/>
  <c r="R140" i="43"/>
  <c r="I335" i="43"/>
  <c r="H257" i="43"/>
  <c r="N257" i="43"/>
  <c r="V218" i="43"/>
  <c r="J296" i="43"/>
  <c r="B140" i="43"/>
  <c r="C218" i="43"/>
  <c r="S296" i="43"/>
  <c r="AB140" i="43"/>
  <c r="R218" i="43"/>
  <c r="AD296" i="43"/>
  <c r="AE374" i="43"/>
  <c r="C374" i="43"/>
  <c r="Q335" i="43"/>
  <c r="AC374" i="43"/>
  <c r="AD26" i="43"/>
  <c r="P335" i="43"/>
  <c r="U296" i="43"/>
  <c r="P257" i="43"/>
  <c r="AF140" i="43"/>
  <c r="S26" i="43"/>
  <c r="E179" i="43"/>
  <c r="AE296" i="43"/>
  <c r="T335" i="43"/>
  <c r="C140" i="43"/>
  <c r="G296" i="43"/>
  <c r="R335" i="43"/>
  <c r="L374" i="43"/>
  <c r="K335" i="43"/>
  <c r="K257" i="43"/>
  <c r="U374" i="43"/>
  <c r="N218" i="43"/>
  <c r="N179" i="43"/>
  <c r="AC140" i="43"/>
  <c r="E335" i="43"/>
  <c r="N296" i="43"/>
  <c r="Q374" i="43"/>
  <c r="W218" i="43"/>
  <c r="Q296" i="43"/>
  <c r="J374" i="43"/>
  <c r="D335" i="43"/>
  <c r="AC296" i="43"/>
  <c r="M335" i="43"/>
  <c r="N26" i="43"/>
  <c r="B257" i="43"/>
  <c r="U335" i="43"/>
  <c r="H374" i="43"/>
  <c r="X140" i="43"/>
  <c r="L140" i="43"/>
  <c r="D140" i="43"/>
  <c r="Y140" i="43"/>
  <c r="W140" i="43"/>
  <c r="M140" i="43"/>
  <c r="R26" i="43"/>
  <c r="K140" i="43"/>
  <c r="G335" i="43"/>
  <c r="Z26" i="43"/>
  <c r="AC26" i="43"/>
  <c r="AH26" i="43"/>
  <c r="S374" i="43"/>
  <c r="N374" i="43"/>
  <c r="G374" i="43"/>
  <c r="K296" i="43"/>
  <c r="F374" i="43"/>
  <c r="T179" i="43"/>
  <c r="L179" i="43"/>
  <c r="L296" i="43"/>
  <c r="J335" i="43"/>
  <c r="G218" i="43"/>
  <c r="F218" i="43"/>
  <c r="AD374" i="43"/>
  <c r="AF335" i="43"/>
  <c r="P374" i="43"/>
  <c r="Y374" i="43"/>
  <c r="V335" i="43"/>
  <c r="X296" i="43"/>
  <c r="Y335" i="43"/>
  <c r="R296" i="43"/>
  <c r="V296" i="43"/>
  <c r="H26" i="43"/>
  <c r="C257" i="43"/>
  <c r="J218" i="43"/>
  <c r="H140" i="43"/>
  <c r="AA257" i="43"/>
  <c r="I296" i="43"/>
  <c r="X257" i="43"/>
  <c r="S218" i="43"/>
  <c r="U179" i="43"/>
  <c r="E374" i="43"/>
  <c r="W179" i="43"/>
  <c r="S179" i="43"/>
  <c r="AF218" i="43"/>
  <c r="Q257" i="43"/>
  <c r="D257" i="43"/>
  <c r="T257" i="43"/>
  <c r="M179" i="43"/>
  <c r="F257" i="43"/>
  <c r="R374" i="43"/>
  <c r="AB239" i="43"/>
  <c r="R356" i="43"/>
  <c r="I278" i="43"/>
  <c r="AD200" i="43"/>
  <c r="B356" i="43"/>
  <c r="D239" i="43"/>
  <c r="X47" i="43"/>
  <c r="K239" i="43"/>
  <c r="AC317" i="43"/>
  <c r="I47" i="43"/>
  <c r="C356" i="43"/>
  <c r="I356" i="43"/>
  <c r="H317" i="43"/>
  <c r="H395" i="43"/>
  <c r="Y47" i="43"/>
  <c r="E356" i="43"/>
  <c r="AJ47" i="43"/>
  <c r="Q356" i="43"/>
  <c r="G278" i="43"/>
  <c r="S47" i="43"/>
  <c r="W356" i="43"/>
  <c r="X395" i="43"/>
  <c r="N278" i="43"/>
  <c r="AB395" i="43"/>
  <c r="AA239" i="43"/>
  <c r="S317" i="43"/>
  <c r="U200" i="43"/>
  <c r="O161" i="43"/>
  <c r="Q47" i="43"/>
  <c r="R317" i="43"/>
  <c r="W395" i="43"/>
  <c r="F161" i="43"/>
  <c r="U395" i="43"/>
  <c r="L356" i="43"/>
  <c r="AE47" i="43"/>
  <c r="Z395" i="43"/>
  <c r="AC47" i="43"/>
  <c r="N395" i="43"/>
  <c r="AA47" i="43"/>
  <c r="K317" i="43"/>
  <c r="AH47" i="43"/>
  <c r="V278" i="43"/>
  <c r="W317" i="43"/>
  <c r="B395" i="43"/>
  <c r="V47" i="43"/>
  <c r="D161" i="43"/>
  <c r="G200" i="43"/>
  <c r="F47" i="43"/>
  <c r="F317" i="43"/>
  <c r="C200" i="43"/>
  <c r="H47" i="43"/>
  <c r="P239" i="43"/>
  <c r="P200" i="43"/>
  <c r="J200" i="43"/>
  <c r="AC278" i="43"/>
  <c r="AF47" i="43"/>
  <c r="I317" i="43"/>
  <c r="T47" i="43"/>
  <c r="Q317" i="43"/>
  <c r="N317" i="43"/>
  <c r="F239" i="43"/>
  <c r="M200" i="43"/>
  <c r="P278" i="43"/>
  <c r="S161" i="43"/>
  <c r="Q278" i="43"/>
  <c r="AC239" i="43"/>
  <c r="U317" i="43"/>
  <c r="O395" i="43"/>
  <c r="Q395" i="43"/>
  <c r="Z47" i="43"/>
  <c r="Q200" i="43"/>
  <c r="D278" i="43"/>
  <c r="X161" i="43"/>
  <c r="R161" i="43"/>
  <c r="H239" i="43"/>
  <c r="J239" i="43"/>
  <c r="J278" i="43"/>
  <c r="W239" i="43"/>
  <c r="X278" i="43"/>
  <c r="S239" i="43"/>
  <c r="L395" i="43"/>
  <c r="K356" i="43"/>
  <c r="P395" i="43"/>
  <c r="T317" i="43"/>
  <c r="M161" i="43"/>
  <c r="R200" i="43"/>
  <c r="U47" i="43"/>
  <c r="N356" i="43"/>
  <c r="U356" i="43"/>
  <c r="D317" i="43"/>
  <c r="J47" i="43"/>
  <c r="G317" i="43"/>
  <c r="D200" i="43"/>
  <c r="M278" i="43"/>
  <c r="AB278" i="43"/>
  <c r="Z239" i="43"/>
  <c r="Y356" i="43"/>
  <c r="G356" i="43"/>
  <c r="J356" i="43"/>
  <c r="P47" i="43"/>
  <c r="V239" i="43"/>
  <c r="X200" i="43"/>
  <c r="AD395" i="43"/>
  <c r="S278" i="43"/>
  <c r="L47" i="43"/>
  <c r="Y317" i="43"/>
  <c r="AB200" i="43"/>
  <c r="AB161" i="43"/>
  <c r="J161" i="43"/>
  <c r="H356" i="43"/>
  <c r="AE356" i="43"/>
  <c r="AA395" i="43"/>
  <c r="AD278" i="43"/>
  <c r="R47" i="43"/>
  <c r="Z317" i="43"/>
  <c r="AF356" i="43"/>
  <c r="AF278" i="43"/>
  <c r="C317" i="43"/>
  <c r="V161" i="43"/>
  <c r="L317" i="43"/>
  <c r="AE161" i="43"/>
  <c r="W200" i="43"/>
  <c r="N200" i="43"/>
  <c r="Z161" i="43"/>
  <c r="AF200" i="43"/>
  <c r="AD161" i="43"/>
  <c r="T200" i="43"/>
  <c r="K47" i="43"/>
  <c r="N239" i="43"/>
  <c r="Y239" i="43"/>
  <c r="B200" i="43"/>
  <c r="L239" i="43"/>
  <c r="AF317" i="43"/>
  <c r="I200" i="43"/>
  <c r="O317" i="43"/>
  <c r="C239" i="43"/>
  <c r="I239" i="43"/>
  <c r="B103" i="39"/>
  <c r="K278" i="43"/>
  <c r="AC356" i="43"/>
  <c r="R278" i="43"/>
  <c r="AD239" i="43"/>
  <c r="AF239" i="43"/>
  <c r="AI47" i="43"/>
  <c r="X317" i="43"/>
  <c r="AC395" i="43"/>
  <c r="E278" i="43"/>
  <c r="Z278" i="43"/>
  <c r="F356" i="43"/>
  <c r="O200" i="43"/>
  <c r="Q239" i="43"/>
  <c r="W278" i="43"/>
  <c r="AE395" i="43"/>
  <c r="T395" i="43"/>
  <c r="V200" i="43"/>
  <c r="V317" i="43"/>
  <c r="I395" i="43"/>
  <c r="O47" i="43"/>
  <c r="G47" i="43"/>
  <c r="L278" i="43"/>
  <c r="D395" i="43"/>
  <c r="S356" i="43"/>
  <c r="T356" i="43"/>
  <c r="U239" i="43"/>
  <c r="Y395" i="43"/>
  <c r="M47" i="43"/>
  <c r="S395" i="43"/>
  <c r="AA200" i="43"/>
  <c r="AB356" i="43"/>
  <c r="M395" i="43"/>
  <c r="Z356" i="43"/>
  <c r="AF161" i="43"/>
  <c r="AC161" i="43"/>
  <c r="O278" i="43"/>
  <c r="L161" i="43"/>
  <c r="AB317" i="43"/>
  <c r="K395" i="43"/>
  <c r="G239" i="43"/>
  <c r="W47" i="43"/>
  <c r="H200" i="43"/>
  <c r="U278" i="43"/>
  <c r="AC200" i="43"/>
  <c r="B278" i="43"/>
  <c r="AE317" i="43"/>
  <c r="AF395" i="43"/>
  <c r="AD47" i="43"/>
  <c r="G395" i="43"/>
  <c r="AA161" i="43"/>
  <c r="AA317" i="43"/>
  <c r="K161" i="43"/>
  <c r="S200" i="43"/>
  <c r="F395" i="43"/>
  <c r="N161" i="43"/>
  <c r="Y161" i="43"/>
  <c r="V395" i="43"/>
  <c r="P161" i="43"/>
  <c r="T239" i="43"/>
  <c r="D356" i="43"/>
  <c r="AE239" i="43"/>
  <c r="X356" i="43"/>
  <c r="AB47" i="43"/>
  <c r="AG47" i="43"/>
  <c r="J317" i="43"/>
  <c r="F200" i="43"/>
  <c r="T161" i="43"/>
  <c r="M356" i="43"/>
  <c r="AE278" i="43"/>
  <c r="E395" i="43"/>
  <c r="L200" i="43"/>
  <c r="C395" i="43"/>
  <c r="M317" i="43"/>
  <c r="W161" i="43"/>
  <c r="G161" i="43"/>
  <c r="R395" i="43"/>
  <c r="Q161" i="43"/>
  <c r="B161" i="43"/>
  <c r="T278" i="43"/>
  <c r="M239" i="43"/>
  <c r="H161" i="43"/>
  <c r="B239" i="43"/>
  <c r="P317" i="43"/>
  <c r="F278" i="43"/>
  <c r="X239" i="43"/>
  <c r="R239" i="43"/>
  <c r="V356" i="43"/>
  <c r="AA356" i="43"/>
  <c r="I161" i="43"/>
  <c r="Z200" i="43"/>
  <c r="B317" i="43"/>
  <c r="AE200" i="43"/>
  <c r="Y200" i="43"/>
  <c r="AD356" i="43"/>
  <c r="E200" i="43"/>
  <c r="E317" i="43"/>
  <c r="E161" i="43"/>
  <c r="C161" i="43"/>
  <c r="O356" i="43"/>
  <c r="H278" i="43"/>
  <c r="O239" i="43"/>
  <c r="Y278" i="43"/>
  <c r="J395" i="43"/>
  <c r="N47" i="43"/>
  <c r="AA278" i="43"/>
  <c r="P356" i="43"/>
  <c r="AD317" i="43"/>
  <c r="K200" i="43"/>
  <c r="C278" i="43"/>
  <c r="U161" i="43"/>
  <c r="E239" i="43"/>
  <c r="X23" i="43"/>
  <c r="L332" i="43"/>
  <c r="I293" i="43"/>
  <c r="AE176" i="43"/>
  <c r="V254" i="43"/>
  <c r="U137" i="43"/>
  <c r="Y137" i="43"/>
  <c r="AD23" i="43"/>
  <c r="U215" i="43"/>
  <c r="R293" i="43"/>
  <c r="K293" i="43"/>
  <c r="M254" i="43"/>
  <c r="L137" i="43"/>
  <c r="F23" i="43"/>
  <c r="O332" i="43"/>
  <c r="S176" i="43"/>
  <c r="O254" i="43"/>
  <c r="D371" i="43"/>
  <c r="Z137" i="43"/>
  <c r="O215" i="43"/>
  <c r="W176" i="43"/>
  <c r="N23" i="43"/>
  <c r="E332" i="43"/>
  <c r="J176" i="43"/>
  <c r="L293" i="43"/>
  <c r="U293" i="43"/>
  <c r="G137" i="43"/>
  <c r="O137" i="43"/>
  <c r="U23" i="43"/>
  <c r="D332" i="43"/>
  <c r="F293" i="43"/>
  <c r="AB176" i="43"/>
  <c r="G254" i="43"/>
  <c r="X254" i="43"/>
  <c r="AJ23" i="43"/>
  <c r="E293" i="43"/>
  <c r="B293" i="43"/>
  <c r="C215" i="43"/>
  <c r="P332" i="43"/>
  <c r="Z332" i="43"/>
  <c r="AB293" i="43"/>
  <c r="S371" i="43"/>
  <c r="M371" i="43"/>
  <c r="B79" i="39"/>
  <c r="I23" i="43"/>
  <c r="M332" i="43"/>
  <c r="M176" i="43"/>
  <c r="H254" i="43"/>
  <c r="K371" i="43"/>
  <c r="C137" i="43"/>
  <c r="AF215" i="43"/>
  <c r="J215" i="43"/>
  <c r="Y293" i="43"/>
  <c r="L371" i="43"/>
  <c r="O371" i="43"/>
  <c r="AH23" i="43"/>
  <c r="Q332" i="43"/>
  <c r="B176" i="43"/>
  <c r="AE137" i="43"/>
  <c r="Y23" i="43"/>
  <c r="AB332" i="43"/>
  <c r="AF176" i="43"/>
  <c r="E137" i="43"/>
  <c r="N215" i="43"/>
  <c r="H176" i="43"/>
  <c r="R254" i="43"/>
  <c r="AA137" i="43"/>
  <c r="K332" i="43"/>
  <c r="S293" i="43"/>
  <c r="AF254" i="43"/>
  <c r="K137" i="43"/>
  <c r="T371" i="43"/>
  <c r="AA293" i="43"/>
  <c r="H293" i="43"/>
  <c r="G215" i="43"/>
  <c r="T215" i="43"/>
  <c r="N332" i="43"/>
  <c r="P23" i="43"/>
  <c r="AC23" i="43"/>
  <c r="M215" i="43"/>
  <c r="E176" i="43"/>
  <c r="Z176" i="43"/>
  <c r="Q176" i="43"/>
  <c r="P371" i="43"/>
  <c r="R137" i="43"/>
  <c r="H23" i="43"/>
  <c r="Z215" i="43"/>
  <c r="F176" i="43"/>
  <c r="O293" i="43"/>
  <c r="U371" i="43"/>
  <c r="C254" i="43"/>
  <c r="Q23" i="43"/>
  <c r="AB215" i="43"/>
  <c r="V293" i="43"/>
  <c r="Z293" i="43"/>
  <c r="W254" i="43"/>
  <c r="B137" i="43"/>
  <c r="V23" i="43"/>
  <c r="M293" i="43"/>
  <c r="AC254" i="43"/>
  <c r="AC371" i="43"/>
  <c r="D215" i="43"/>
  <c r="D293" i="43"/>
  <c r="I176" i="43"/>
  <c r="X137" i="43"/>
  <c r="B332" i="43"/>
  <c r="G293" i="43"/>
  <c r="Y254" i="43"/>
  <c r="R23" i="43"/>
  <c r="P293" i="43"/>
  <c r="L176" i="43"/>
  <c r="V137" i="43"/>
  <c r="Y215" i="43"/>
  <c r="J371" i="43"/>
  <c r="AF371" i="43"/>
  <c r="AA254" i="43"/>
  <c r="J293" i="43"/>
  <c r="Q137" i="43"/>
  <c r="J23" i="43"/>
  <c r="Q371" i="43"/>
  <c r="AA215" i="43"/>
  <c r="B254" i="43"/>
  <c r="AF23" i="43"/>
  <c r="K254" i="43"/>
  <c r="N137" i="43"/>
  <c r="Y332" i="43"/>
  <c r="I137" i="43"/>
  <c r="R332" i="43"/>
  <c r="S254" i="43"/>
  <c r="B215" i="43"/>
  <c r="AA332" i="43"/>
  <c r="Z254" i="43"/>
  <c r="C293" i="43"/>
  <c r="AD371" i="43"/>
  <c r="L215" i="43"/>
  <c r="G176" i="43"/>
  <c r="N371" i="43"/>
  <c r="O23" i="43"/>
  <c r="V215" i="43"/>
  <c r="AD254" i="43"/>
  <c r="W137" i="43"/>
  <c r="AE215" i="43"/>
  <c r="AA371" i="43"/>
  <c r="AI23" i="43"/>
  <c r="F332" i="43"/>
  <c r="L23" i="43"/>
  <c r="V176" i="43"/>
  <c r="AE254" i="43"/>
  <c r="AE332" i="43"/>
  <c r="F371" i="43"/>
  <c r="W215" i="43"/>
  <c r="Z371" i="43"/>
  <c r="W23" i="43"/>
  <c r="AF293" i="43"/>
  <c r="E371" i="43"/>
  <c r="H332" i="43"/>
  <c r="U254" i="43"/>
  <c r="AE23" i="43"/>
  <c r="E215" i="43"/>
  <c r="U332" i="43"/>
  <c r="H371" i="43"/>
  <c r="X371" i="43"/>
  <c r="AD332" i="43"/>
  <c r="AF332" i="43"/>
  <c r="N254" i="43"/>
  <c r="G332" i="43"/>
  <c r="AE371" i="43"/>
  <c r="R215" i="43"/>
  <c r="T254" i="43"/>
  <c r="H215" i="43"/>
  <c r="AB254" i="43"/>
  <c r="Z23" i="43"/>
  <c r="AC176" i="43"/>
  <c r="AC137" i="43"/>
  <c r="Q293" i="43"/>
  <c r="Y371" i="43"/>
  <c r="F215" i="43"/>
  <c r="K176" i="43"/>
  <c r="V371" i="43"/>
  <c r="AC215" i="43"/>
  <c r="AB371" i="43"/>
  <c r="T176" i="43"/>
  <c r="P254" i="43"/>
  <c r="J254" i="43"/>
  <c r="W293" i="43"/>
  <c r="R176" i="43"/>
  <c r="K23" i="43"/>
  <c r="N176" i="43"/>
  <c r="F137" i="43"/>
  <c r="AC332" i="43"/>
  <c r="AB137" i="43"/>
  <c r="W332" i="43"/>
  <c r="L254" i="43"/>
  <c r="C332" i="43"/>
  <c r="I332" i="43"/>
  <c r="G23" i="43"/>
  <c r="Y176" i="43"/>
  <c r="M137" i="43"/>
  <c r="X215" i="43"/>
  <c r="X293" i="43"/>
  <c r="AB23" i="43"/>
  <c r="D176" i="43"/>
  <c r="H137" i="43"/>
  <c r="P176" i="43"/>
  <c r="S137" i="43"/>
  <c r="Q215" i="43"/>
  <c r="AD215" i="43"/>
  <c r="C371" i="43"/>
  <c r="Q254" i="43"/>
  <c r="I215" i="43"/>
  <c r="AC293" i="43"/>
  <c r="I371" i="43"/>
  <c r="P215" i="43"/>
  <c r="P137" i="43"/>
  <c r="AA176" i="43"/>
  <c r="AA23" i="43"/>
  <c r="X176" i="43"/>
  <c r="B371" i="43"/>
  <c r="AG23" i="43"/>
  <c r="J332" i="43"/>
  <c r="X332" i="43"/>
  <c r="U176" i="43"/>
  <c r="T332" i="43"/>
  <c r="G371" i="43"/>
  <c r="S23" i="43"/>
  <c r="N293" i="43"/>
  <c r="I254" i="43"/>
  <c r="T23" i="43"/>
  <c r="AE293" i="43"/>
  <c r="R371" i="43"/>
  <c r="T137" i="43"/>
  <c r="V332" i="43"/>
  <c r="D254" i="43"/>
  <c r="F254" i="43"/>
  <c r="W371" i="43"/>
  <c r="M23" i="43"/>
  <c r="D137" i="43"/>
  <c r="K215" i="43"/>
  <c r="O176" i="43"/>
  <c r="E254" i="43"/>
  <c r="AD137" i="43"/>
  <c r="S332" i="43"/>
  <c r="AD176" i="43"/>
  <c r="J137" i="43"/>
  <c r="T293" i="43"/>
  <c r="C176" i="43"/>
  <c r="AF137" i="43"/>
  <c r="S215" i="43"/>
  <c r="AD293" i="43"/>
  <c r="X42" i="43"/>
  <c r="AE234" i="43"/>
  <c r="K351" i="43"/>
  <c r="P42" i="43"/>
  <c r="AF234" i="43"/>
  <c r="N312" i="43"/>
  <c r="D273" i="43"/>
  <c r="U390" i="43"/>
  <c r="W273" i="43"/>
  <c r="B98" i="39"/>
  <c r="F234" i="43"/>
  <c r="V351" i="43"/>
  <c r="Z351" i="43"/>
  <c r="AD42" i="43"/>
  <c r="L234" i="43"/>
  <c r="X351" i="43"/>
  <c r="R195" i="43"/>
  <c r="Y390" i="43"/>
  <c r="S156" i="43"/>
  <c r="C156" i="43"/>
  <c r="N42" i="43"/>
  <c r="V234" i="43"/>
  <c r="B195" i="43"/>
  <c r="B312" i="43"/>
  <c r="F351" i="43"/>
  <c r="V390" i="43"/>
  <c r="T156" i="43"/>
  <c r="AC234" i="43"/>
  <c r="E195" i="43"/>
  <c r="G273" i="43"/>
  <c r="AE42" i="43"/>
  <c r="X234" i="43"/>
  <c r="R351" i="43"/>
  <c r="AA234" i="43"/>
  <c r="U195" i="43"/>
  <c r="P273" i="43"/>
  <c r="P195" i="43"/>
  <c r="G42" i="43"/>
  <c r="O234" i="43"/>
  <c r="Y312" i="43"/>
  <c r="AC351" i="43"/>
  <c r="R42" i="43"/>
  <c r="AD234" i="43"/>
  <c r="P312" i="43"/>
  <c r="B351" i="43"/>
  <c r="M390" i="43"/>
  <c r="AF156" i="43"/>
  <c r="Z390" i="43"/>
  <c r="AJ42" i="43"/>
  <c r="S234" i="43"/>
  <c r="C312" i="43"/>
  <c r="M195" i="43"/>
  <c r="D312" i="43"/>
  <c r="Y273" i="43"/>
  <c r="S390" i="43"/>
  <c r="O351" i="43"/>
  <c r="AC273" i="43"/>
  <c r="M312" i="43"/>
  <c r="U234" i="43"/>
  <c r="K312" i="43"/>
  <c r="W156" i="43"/>
  <c r="AB234" i="43"/>
  <c r="AF351" i="43"/>
  <c r="AA42" i="43"/>
  <c r="O390" i="43"/>
  <c r="B156" i="43"/>
  <c r="J273" i="43"/>
  <c r="J390" i="43"/>
  <c r="L195" i="43"/>
  <c r="Q195" i="43"/>
  <c r="O156" i="43"/>
  <c r="AE390" i="43"/>
  <c r="C234" i="43"/>
  <c r="J195" i="43"/>
  <c r="S273" i="43"/>
  <c r="AB273" i="43"/>
  <c r="V42" i="43"/>
  <c r="L312" i="43"/>
  <c r="T42" i="43"/>
  <c r="J351" i="43"/>
  <c r="T312" i="43"/>
  <c r="T195" i="43"/>
  <c r="G156" i="43"/>
  <c r="B234" i="43"/>
  <c r="F312" i="43"/>
  <c r="J42" i="43"/>
  <c r="U273" i="43"/>
  <c r="F156" i="43"/>
  <c r="AB195" i="43"/>
  <c r="Q156" i="43"/>
  <c r="AI42" i="43"/>
  <c r="N195" i="43"/>
  <c r="Y351" i="43"/>
  <c r="Z195" i="43"/>
  <c r="Q312" i="43"/>
  <c r="AE273" i="43"/>
  <c r="F273" i="43"/>
  <c r="H156" i="43"/>
  <c r="L156" i="43"/>
  <c r="N234" i="43"/>
  <c r="T273" i="43"/>
  <c r="AH42" i="43"/>
  <c r="R312" i="43"/>
  <c r="W312" i="43"/>
  <c r="Z273" i="43"/>
  <c r="AE195" i="43"/>
  <c r="Z234" i="43"/>
  <c r="X312" i="43"/>
  <c r="M42" i="43"/>
  <c r="AC312" i="43"/>
  <c r="H273" i="43"/>
  <c r="N273" i="43"/>
  <c r="K42" i="43"/>
  <c r="D351" i="43"/>
  <c r="AE312" i="43"/>
  <c r="G234" i="43"/>
  <c r="O273" i="43"/>
  <c r="E234" i="43"/>
  <c r="AC390" i="43"/>
  <c r="M156" i="43"/>
  <c r="G351" i="43"/>
  <c r="C390" i="43"/>
  <c r="S312" i="43"/>
  <c r="H390" i="43"/>
  <c r="W195" i="43"/>
  <c r="Q42" i="43"/>
  <c r="I273" i="43"/>
  <c r="V273" i="43"/>
  <c r="Z42" i="43"/>
  <c r="R273" i="43"/>
  <c r="Y234" i="43"/>
  <c r="AC42" i="43"/>
  <c r="L351" i="43"/>
  <c r="AF195" i="43"/>
  <c r="AC156" i="43"/>
  <c r="AF42" i="43"/>
  <c r="E351" i="43"/>
  <c r="K195" i="43"/>
  <c r="Q234" i="43"/>
  <c r="P351" i="43"/>
  <c r="AF312" i="43"/>
  <c r="J156" i="43"/>
  <c r="AB42" i="43"/>
  <c r="Q351" i="43"/>
  <c r="V312" i="43"/>
  <c r="U312" i="43"/>
  <c r="E156" i="43"/>
  <c r="AD351" i="43"/>
  <c r="I390" i="43"/>
  <c r="N351" i="43"/>
  <c r="AD195" i="43"/>
  <c r="V156" i="43"/>
  <c r="H195" i="43"/>
  <c r="AA273" i="43"/>
  <c r="B273" i="43"/>
  <c r="I351" i="43"/>
  <c r="K390" i="43"/>
  <c r="K234" i="43"/>
  <c r="S351" i="43"/>
  <c r="R390" i="43"/>
  <c r="K156" i="43"/>
  <c r="I42" i="43"/>
  <c r="T351" i="43"/>
  <c r="O42" i="43"/>
  <c r="D234" i="43"/>
  <c r="O312" i="43"/>
  <c r="X273" i="43"/>
  <c r="AF390" i="43"/>
  <c r="J234" i="43"/>
  <c r="M351" i="43"/>
  <c r="AG42" i="43"/>
  <c r="S195" i="43"/>
  <c r="Y156" i="43"/>
  <c r="V195" i="43"/>
  <c r="U156" i="43"/>
  <c r="E312" i="43"/>
  <c r="AD390" i="43"/>
  <c r="U42" i="43"/>
  <c r="M273" i="43"/>
  <c r="J312" i="43"/>
  <c r="AB390" i="43"/>
  <c r="G195" i="43"/>
  <c r="I156" i="43"/>
  <c r="I312" i="43"/>
  <c r="L42" i="43"/>
  <c r="P234" i="43"/>
  <c r="T390" i="43"/>
  <c r="X195" i="43"/>
  <c r="D195" i="43"/>
  <c r="X390" i="43"/>
  <c r="H234" i="43"/>
  <c r="B390" i="43"/>
  <c r="F195" i="43"/>
  <c r="O195" i="43"/>
  <c r="E273" i="43"/>
  <c r="I234" i="43"/>
  <c r="W351" i="43"/>
  <c r="E390" i="43"/>
  <c r="T234" i="43"/>
  <c r="G312" i="43"/>
  <c r="N390" i="43"/>
  <c r="C195" i="43"/>
  <c r="AA312" i="43"/>
  <c r="AE351" i="43"/>
  <c r="Y42" i="43"/>
  <c r="C273" i="43"/>
  <c r="AA351" i="43"/>
  <c r="U351" i="43"/>
  <c r="C351" i="43"/>
  <c r="L273" i="43"/>
  <c r="D390" i="43"/>
  <c r="AC195" i="43"/>
  <c r="AE156" i="43"/>
  <c r="AB156" i="43"/>
  <c r="I195" i="43"/>
  <c r="R156" i="43"/>
  <c r="M234" i="43"/>
  <c r="AD156" i="43"/>
  <c r="H42" i="43"/>
  <c r="AF273" i="43"/>
  <c r="Y195" i="43"/>
  <c r="W42" i="43"/>
  <c r="W234" i="43"/>
  <c r="L390" i="43"/>
  <c r="Z312" i="43"/>
  <c r="P156" i="43"/>
  <c r="D156" i="43"/>
  <c r="F42" i="43"/>
  <c r="Q273" i="43"/>
  <c r="R234" i="43"/>
  <c r="G390" i="43"/>
  <c r="F390" i="43"/>
  <c r="H312" i="43"/>
  <c r="AA390" i="43"/>
  <c r="AA195" i="43"/>
  <c r="H351" i="43"/>
  <c r="AB312" i="43"/>
  <c r="Q390" i="43"/>
  <c r="W390" i="43"/>
  <c r="AD312" i="43"/>
  <c r="P390" i="43"/>
  <c r="Z156" i="43"/>
  <c r="X156" i="43"/>
  <c r="AB351" i="43"/>
  <c r="AD273" i="43"/>
  <c r="N156" i="43"/>
  <c r="K273" i="43"/>
  <c r="S42" i="43"/>
  <c r="AA156" i="43"/>
  <c r="AD131" i="43" l="1"/>
  <c r="AD163" i="43" s="1"/>
  <c r="AE287" i="43"/>
  <c r="AE320" i="43" s="1"/>
  <c r="AE321" i="43" s="1"/>
  <c r="X209" i="43"/>
  <c r="X242" i="43" s="1"/>
  <c r="X243" i="43" s="1"/>
  <c r="AB365" i="43"/>
  <c r="AB397" i="43" s="1"/>
  <c r="U248" i="43"/>
  <c r="U280" i="43" s="1"/>
  <c r="C287" i="43"/>
  <c r="C320" i="43" s="1"/>
  <c r="C321" i="43" s="1"/>
  <c r="D287" i="43"/>
  <c r="D319" i="43" s="1"/>
  <c r="AA287" i="43"/>
  <c r="AA319" i="43" s="1"/>
  <c r="L131" i="43"/>
  <c r="L164" i="43" s="1"/>
  <c r="L165" i="43" s="1"/>
  <c r="X170" i="43"/>
  <c r="X203" i="43" s="1"/>
  <c r="X204" i="43" s="1"/>
  <c r="S131" i="43"/>
  <c r="S163" i="43" s="1"/>
  <c r="L248" i="43"/>
  <c r="L280" i="43" s="1"/>
  <c r="Q287" i="43"/>
  <c r="Q320" i="43" s="1"/>
  <c r="Q321" i="43" s="1"/>
  <c r="F326" i="43"/>
  <c r="F359" i="43" s="1"/>
  <c r="F360" i="43" s="1"/>
  <c r="AF365" i="43"/>
  <c r="AF398" i="43" s="1"/>
  <c r="AF399" i="43" s="1"/>
  <c r="B131" i="43"/>
  <c r="B164" i="43" s="1"/>
  <c r="B165" i="43" s="1"/>
  <c r="R131" i="43"/>
  <c r="R164" i="43" s="1"/>
  <c r="R165" i="43" s="1"/>
  <c r="AA131" i="43"/>
  <c r="AA164" i="43" s="1"/>
  <c r="AA165" i="43" s="1"/>
  <c r="O365" i="43"/>
  <c r="O398" i="43" s="1"/>
  <c r="O399" i="43" s="1"/>
  <c r="F287" i="43"/>
  <c r="F320" i="43" s="1"/>
  <c r="F321" i="43" s="1"/>
  <c r="L287" i="43"/>
  <c r="L320" i="43" s="1"/>
  <c r="L321" i="43" s="1"/>
  <c r="Y131" i="43"/>
  <c r="Y163" i="43" s="1"/>
  <c r="AF131" i="43"/>
  <c r="AF163" i="43" s="1"/>
  <c r="T326" i="43"/>
  <c r="T358" i="43" s="1"/>
  <c r="AC287" i="43"/>
  <c r="AC320" i="43" s="1"/>
  <c r="AC321" i="43" s="1"/>
  <c r="K17" i="43"/>
  <c r="K55" i="43" s="1"/>
  <c r="T248" i="43"/>
  <c r="T280" i="43" s="1"/>
  <c r="W209" i="43"/>
  <c r="W242" i="43" s="1"/>
  <c r="W243" i="43" s="1"/>
  <c r="I131" i="43"/>
  <c r="I163" i="43" s="1"/>
  <c r="R17" i="43"/>
  <c r="R51" i="43" s="1"/>
  <c r="C248" i="43"/>
  <c r="C281" i="43" s="1"/>
  <c r="C282" i="43" s="1"/>
  <c r="AC17" i="43"/>
  <c r="AC55" i="43" s="1"/>
  <c r="K365" i="43"/>
  <c r="K398" i="43" s="1"/>
  <c r="K399" i="43" s="1"/>
  <c r="B287" i="43"/>
  <c r="B320" i="43" s="1"/>
  <c r="B321" i="43" s="1"/>
  <c r="Z131" i="43"/>
  <c r="Z163" i="43" s="1"/>
  <c r="X17" i="43"/>
  <c r="X51" i="43" s="1"/>
  <c r="M365" i="43"/>
  <c r="M397" i="43" s="1"/>
  <c r="D248" i="43"/>
  <c r="D280" i="43" s="1"/>
  <c r="H131" i="43"/>
  <c r="H163" i="43" s="1"/>
  <c r="V365" i="43"/>
  <c r="V398" i="43" s="1"/>
  <c r="V399" i="43" s="1"/>
  <c r="N131" i="43"/>
  <c r="N163" i="43" s="1"/>
  <c r="AD170" i="43"/>
  <c r="AD202" i="43" s="1"/>
  <c r="T131" i="43"/>
  <c r="T163" i="43" s="1"/>
  <c r="P209" i="43"/>
  <c r="P242" i="43" s="1"/>
  <c r="P243" i="43" s="1"/>
  <c r="AD209" i="43"/>
  <c r="AD241" i="43" s="1"/>
  <c r="I326" i="43"/>
  <c r="I358" i="43" s="1"/>
  <c r="F209" i="43"/>
  <c r="F241" i="43" s="1"/>
  <c r="E209" i="43"/>
  <c r="E241" i="43" s="1"/>
  <c r="V170" i="43"/>
  <c r="V202" i="43" s="1"/>
  <c r="AF17" i="43"/>
  <c r="AF49" i="43" s="1"/>
  <c r="AF50" i="43" s="1"/>
  <c r="L170" i="43"/>
  <c r="L203" i="43" s="1"/>
  <c r="L204" i="43" s="1"/>
  <c r="AB209" i="43"/>
  <c r="AB242" i="43" s="1"/>
  <c r="AB243" i="43" s="1"/>
  <c r="Z209" i="43"/>
  <c r="Z242" i="43" s="1"/>
  <c r="Z243" i="43" s="1"/>
  <c r="G209" i="43"/>
  <c r="G242" i="43" s="1"/>
  <c r="G243" i="43" s="1"/>
  <c r="E131" i="43"/>
  <c r="E163" i="43" s="1"/>
  <c r="AF209" i="43"/>
  <c r="AF241" i="43" s="1"/>
  <c r="P326" i="43"/>
  <c r="P358" i="43" s="1"/>
  <c r="G131" i="43"/>
  <c r="G164" i="43" s="1"/>
  <c r="G165" i="43" s="1"/>
  <c r="I287" i="43"/>
  <c r="I320" i="43" s="1"/>
  <c r="I321" i="43" s="1"/>
  <c r="S209" i="43"/>
  <c r="S242" i="43" s="1"/>
  <c r="S243" i="43" s="1"/>
  <c r="S326" i="43"/>
  <c r="S358" i="43" s="1"/>
  <c r="M17" i="43"/>
  <c r="M55" i="43" s="1"/>
  <c r="R365" i="43"/>
  <c r="R398" i="43" s="1"/>
  <c r="R399" i="43" s="1"/>
  <c r="G365" i="43"/>
  <c r="G398" i="43" s="1"/>
  <c r="G399" i="43" s="1"/>
  <c r="B365" i="43"/>
  <c r="B397" i="43" s="1"/>
  <c r="I365" i="43"/>
  <c r="I398" i="43" s="1"/>
  <c r="I399" i="43" s="1"/>
  <c r="Q209" i="43"/>
  <c r="Q242" i="43" s="1"/>
  <c r="Q243" i="43" s="1"/>
  <c r="X287" i="43"/>
  <c r="X320" i="43" s="1"/>
  <c r="X321" i="43" s="1"/>
  <c r="C326" i="43"/>
  <c r="C359" i="43" s="1"/>
  <c r="C360" i="43" s="1"/>
  <c r="N170" i="43"/>
  <c r="N203" i="43" s="1"/>
  <c r="N204" i="43" s="1"/>
  <c r="T170" i="43"/>
  <c r="T203" i="43" s="1"/>
  <c r="T204" i="43" s="1"/>
  <c r="Y365" i="43"/>
  <c r="Y398" i="43" s="1"/>
  <c r="Y399" i="43" s="1"/>
  <c r="H209" i="43"/>
  <c r="H242" i="43" s="1"/>
  <c r="H243" i="43" s="1"/>
  <c r="AF326" i="43"/>
  <c r="AF358" i="43" s="1"/>
  <c r="AE17" i="43"/>
  <c r="AE55" i="43" s="1"/>
  <c r="Z365" i="43"/>
  <c r="Z398" i="43" s="1"/>
  <c r="Z399" i="43" s="1"/>
  <c r="L17" i="43"/>
  <c r="L51" i="43" s="1"/>
  <c r="AD248" i="43"/>
  <c r="AD281" i="43" s="1"/>
  <c r="AD365" i="43"/>
  <c r="AD397" i="43" s="1"/>
  <c r="R326" i="43"/>
  <c r="R358" i="43" s="1"/>
  <c r="B248" i="43"/>
  <c r="B280" i="43" s="1"/>
  <c r="AA248" i="43"/>
  <c r="AA281" i="43" s="1"/>
  <c r="I170" i="43"/>
  <c r="I203" i="43" s="1"/>
  <c r="I204" i="43" s="1"/>
  <c r="Q17" i="43"/>
  <c r="Q55" i="43" s="1"/>
  <c r="H17" i="43"/>
  <c r="H49" i="43" s="1"/>
  <c r="H50" i="43" s="1"/>
  <c r="M209" i="43"/>
  <c r="M242" i="43" s="1"/>
  <c r="M243" i="43" s="1"/>
  <c r="H287" i="43"/>
  <c r="H319" i="43" s="1"/>
  <c r="K326" i="43"/>
  <c r="K359" i="43" s="1"/>
  <c r="K360" i="43" s="1"/>
  <c r="AF170" i="43"/>
  <c r="AF202" i="43" s="1"/>
  <c r="AH17" i="43"/>
  <c r="AH55" i="43" s="1"/>
  <c r="C131" i="43"/>
  <c r="C164" i="43" s="1"/>
  <c r="C165" i="43" s="1"/>
  <c r="C209" i="43"/>
  <c r="C241" i="43" s="1"/>
  <c r="AB170" i="43"/>
  <c r="AB202" i="43" s="1"/>
  <c r="U287" i="43"/>
  <c r="U319" i="43" s="1"/>
  <c r="O209" i="43"/>
  <c r="O241" i="43" s="1"/>
  <c r="F17" i="43"/>
  <c r="F55" i="43" s="1"/>
  <c r="AD17" i="43"/>
  <c r="AD55" i="43" s="1"/>
  <c r="L326" i="43"/>
  <c r="L359" i="43" s="1"/>
  <c r="L360" i="43" s="1"/>
  <c r="O326" i="43"/>
  <c r="O358" i="43" s="1"/>
  <c r="P248" i="43"/>
  <c r="P281" i="43" s="1"/>
  <c r="P282" i="43" s="1"/>
  <c r="H326" i="43"/>
  <c r="H358" i="43" s="1"/>
  <c r="J17" i="43"/>
  <c r="J49" i="43" s="1"/>
  <c r="J50" i="43" s="1"/>
  <c r="M248" i="43"/>
  <c r="M280" i="43" s="1"/>
  <c r="W17" i="43"/>
  <c r="W49" i="43" s="1"/>
  <c r="W50" i="43" s="1"/>
  <c r="T287" i="43"/>
  <c r="T319" i="43" s="1"/>
  <c r="V326" i="43"/>
  <c r="V358" i="43" s="1"/>
  <c r="Q248" i="43"/>
  <c r="Q281" i="43" s="1"/>
  <c r="Q282" i="43" s="1"/>
  <c r="AG17" i="43"/>
  <c r="AG51" i="43" s="1"/>
  <c r="L209" i="43"/>
  <c r="L241" i="43" s="1"/>
  <c r="AA326" i="43"/>
  <c r="AA359" i="43" s="1"/>
  <c r="AA360" i="43" s="1"/>
  <c r="K131" i="43"/>
  <c r="K163" i="43" s="1"/>
  <c r="Y248" i="43"/>
  <c r="Y280" i="43" s="1"/>
  <c r="V17" i="43"/>
  <c r="V55" i="43" s="1"/>
  <c r="P287" i="43"/>
  <c r="P320" i="43" s="1"/>
  <c r="P321" i="43" s="1"/>
  <c r="X131" i="43"/>
  <c r="X164" i="43" s="1"/>
  <c r="X165" i="43" s="1"/>
  <c r="W365" i="43"/>
  <c r="W397" i="43" s="1"/>
  <c r="AB326" i="43"/>
  <c r="AB358" i="43" s="1"/>
  <c r="C170" i="43"/>
  <c r="C203" i="43" s="1"/>
  <c r="C204" i="43" s="1"/>
  <c r="E248" i="43"/>
  <c r="E281" i="43" s="1"/>
  <c r="E282" i="43" s="1"/>
  <c r="F248" i="43"/>
  <c r="F281" i="43" s="1"/>
  <c r="F282" i="43" s="1"/>
  <c r="T17" i="43"/>
  <c r="T51" i="43" s="1"/>
  <c r="U170" i="43"/>
  <c r="U202" i="43" s="1"/>
  <c r="AA17" i="43"/>
  <c r="AA51" i="43" s="1"/>
  <c r="I209" i="43"/>
  <c r="I242" i="43" s="1"/>
  <c r="I243" i="43" s="1"/>
  <c r="P170" i="43"/>
  <c r="P202" i="43" s="1"/>
  <c r="M131" i="43"/>
  <c r="M163" i="43" s="1"/>
  <c r="W326" i="43"/>
  <c r="W359" i="43" s="1"/>
  <c r="W360" i="43" s="1"/>
  <c r="R170" i="43"/>
  <c r="R203" i="43" s="1"/>
  <c r="R204" i="43" s="1"/>
  <c r="AC209" i="43"/>
  <c r="AC241" i="43" s="1"/>
  <c r="AC131" i="43"/>
  <c r="AC163" i="43" s="1"/>
  <c r="R209" i="43"/>
  <c r="R242" i="43" s="1"/>
  <c r="R243" i="43" s="1"/>
  <c r="X365" i="43"/>
  <c r="X397" i="43" s="1"/>
  <c r="F365" i="43"/>
  <c r="F397" i="43" s="1"/>
  <c r="AI17" i="43"/>
  <c r="AI51" i="43" s="1"/>
  <c r="O17" i="43"/>
  <c r="O51" i="43" s="1"/>
  <c r="Z248" i="43"/>
  <c r="Z281" i="43" s="1"/>
  <c r="Y326" i="43"/>
  <c r="Y359" i="43" s="1"/>
  <c r="Y360" i="43" s="1"/>
  <c r="Q365" i="43"/>
  <c r="Q398" i="43" s="1"/>
  <c r="Q399" i="43" s="1"/>
  <c r="J365" i="43"/>
  <c r="J398" i="43" s="1"/>
  <c r="J399" i="43" s="1"/>
  <c r="D209" i="43"/>
  <c r="D241" i="43" s="1"/>
  <c r="W248" i="43"/>
  <c r="W281" i="43" s="1"/>
  <c r="W282" i="43" s="1"/>
  <c r="U365" i="43"/>
  <c r="U397" i="43" s="1"/>
  <c r="P365" i="43"/>
  <c r="P398" i="43" s="1"/>
  <c r="P399" i="43" s="1"/>
  <c r="P17" i="43"/>
  <c r="P55" i="43" s="1"/>
  <c r="T365" i="43"/>
  <c r="T397" i="43" s="1"/>
  <c r="R248" i="43"/>
  <c r="R280" i="43" s="1"/>
  <c r="Y17" i="43"/>
  <c r="Y51" i="43" s="1"/>
  <c r="L365" i="43"/>
  <c r="L397" i="43" s="1"/>
  <c r="H248" i="43"/>
  <c r="H280" i="43" s="1"/>
  <c r="S365" i="43"/>
  <c r="S398" i="43" s="1"/>
  <c r="S399" i="43" s="1"/>
  <c r="E287" i="43"/>
  <c r="E320" i="43" s="1"/>
  <c r="E321" i="43" s="1"/>
  <c r="D326" i="43"/>
  <c r="D358" i="43" s="1"/>
  <c r="J170" i="43"/>
  <c r="J202" i="43" s="1"/>
  <c r="D365" i="43"/>
  <c r="D397" i="43" s="1"/>
  <c r="U131" i="43"/>
  <c r="U163" i="43" s="1"/>
  <c r="AD326" i="43"/>
  <c r="AD359" i="43" s="1"/>
  <c r="AD360" i="43" s="1"/>
  <c r="AA209" i="43"/>
  <c r="AA241" i="43" s="1"/>
  <c r="I248" i="43"/>
  <c r="I280" i="43" s="1"/>
  <c r="Y170" i="43"/>
  <c r="Y202" i="43" s="1"/>
  <c r="AE365" i="43"/>
  <c r="AE397" i="43" s="1"/>
  <c r="E365" i="43"/>
  <c r="E398" i="43" s="1"/>
  <c r="E399" i="43" s="1"/>
  <c r="AA365" i="43"/>
  <c r="AA397" i="43" s="1"/>
  <c r="G287" i="43"/>
  <c r="G320" i="43" s="1"/>
  <c r="G321" i="43" s="1"/>
  <c r="Z287" i="43"/>
  <c r="Z319" i="43" s="1"/>
  <c r="Q170" i="43"/>
  <c r="Q203" i="43" s="1"/>
  <c r="Q204" i="43" s="1"/>
  <c r="M170" i="43"/>
  <c r="M202" i="43" s="1"/>
  <c r="U17" i="43"/>
  <c r="U49" i="43" s="1"/>
  <c r="U50" i="43" s="1"/>
  <c r="V248" i="43"/>
  <c r="V281" i="43" s="1"/>
  <c r="V282" i="43" s="1"/>
  <c r="V209" i="43"/>
  <c r="V242" i="43" s="1"/>
  <c r="V243" i="43" s="1"/>
  <c r="X326" i="43"/>
  <c r="X359" i="43" s="1"/>
  <c r="X360" i="43" s="1"/>
  <c r="AB131" i="43"/>
  <c r="AB163" i="43" s="1"/>
  <c r="AC170" i="43"/>
  <c r="AC203" i="43" s="1"/>
  <c r="AC204" i="43" s="1"/>
  <c r="H365" i="43"/>
  <c r="H397" i="43" s="1"/>
  <c r="AE326" i="43"/>
  <c r="AE358" i="43" s="1"/>
  <c r="Y209" i="43"/>
  <c r="Y242" i="43" s="1"/>
  <c r="Y243" i="43" s="1"/>
  <c r="AC365" i="43"/>
  <c r="AC398" i="43" s="1"/>
  <c r="AC399" i="43" s="1"/>
  <c r="O287" i="43"/>
  <c r="O320" i="43" s="1"/>
  <c r="O321" i="43" s="1"/>
  <c r="N326" i="43"/>
  <c r="N358" i="43" s="1"/>
  <c r="H170" i="43"/>
  <c r="H202" i="43" s="1"/>
  <c r="AE131" i="43"/>
  <c r="AE164" i="43" s="1"/>
  <c r="AE165" i="43" s="1"/>
  <c r="Y287" i="43"/>
  <c r="Y319" i="43" s="1"/>
  <c r="AB287" i="43"/>
  <c r="AB320" i="43" s="1"/>
  <c r="AB321" i="43" s="1"/>
  <c r="AJ17" i="43"/>
  <c r="AJ49" i="43" s="1"/>
  <c r="AJ50" i="43" s="1"/>
  <c r="E326" i="43"/>
  <c r="E359" i="43" s="1"/>
  <c r="E360" i="43" s="1"/>
  <c r="O248" i="43"/>
  <c r="O281" i="43" s="1"/>
  <c r="O282" i="43" s="1"/>
  <c r="K287" i="43"/>
  <c r="K319" i="43" s="1"/>
  <c r="J131" i="43"/>
  <c r="J164" i="43" s="1"/>
  <c r="J165" i="43" s="1"/>
  <c r="K209" i="43"/>
  <c r="K242" i="43" s="1"/>
  <c r="K243" i="43" s="1"/>
  <c r="N287" i="43"/>
  <c r="N319" i="43" s="1"/>
  <c r="J326" i="43"/>
  <c r="J358" i="43" s="1"/>
  <c r="P131" i="43"/>
  <c r="P163" i="43" s="1"/>
  <c r="C365" i="43"/>
  <c r="C398" i="43" s="1"/>
  <c r="C399" i="43" s="1"/>
  <c r="D170" i="43"/>
  <c r="D202" i="43" s="1"/>
  <c r="G17" i="43"/>
  <c r="G49" i="43" s="1"/>
  <c r="G50" i="43" s="1"/>
  <c r="AC326" i="43"/>
  <c r="AC359" i="43" s="1"/>
  <c r="AC360" i="43" s="1"/>
  <c r="J248" i="43"/>
  <c r="J280" i="43" s="1"/>
  <c r="K170" i="43"/>
  <c r="K203" i="43" s="1"/>
  <c r="K204" i="43" s="1"/>
  <c r="Z17" i="43"/>
  <c r="Z55" i="43" s="1"/>
  <c r="G326" i="43"/>
  <c r="G358" i="43" s="1"/>
  <c r="U326" i="43"/>
  <c r="U359" i="43" s="1"/>
  <c r="U360" i="43" s="1"/>
  <c r="AF287" i="43"/>
  <c r="AF319" i="43" s="1"/>
  <c r="AE248" i="43"/>
  <c r="AE281" i="43" s="1"/>
  <c r="AE209" i="43"/>
  <c r="AE242" i="43" s="1"/>
  <c r="AE243" i="43" s="1"/>
  <c r="G170" i="43"/>
  <c r="G202" i="43" s="1"/>
  <c r="B209" i="43"/>
  <c r="B242" i="43" s="1"/>
  <c r="B243" i="43" s="1"/>
  <c r="K248" i="43"/>
  <c r="K281" i="43" s="1"/>
  <c r="K282" i="43" s="1"/>
  <c r="Q131" i="43"/>
  <c r="Q164" i="43" s="1"/>
  <c r="Q165" i="43" s="1"/>
  <c r="V131" i="43"/>
  <c r="V163" i="43" s="1"/>
  <c r="B326" i="43"/>
  <c r="B358" i="43" s="1"/>
  <c r="AC248" i="43"/>
  <c r="AC281" i="43" s="1"/>
  <c r="V287" i="43"/>
  <c r="V320" i="43" s="1"/>
  <c r="V321" i="43" s="1"/>
  <c r="F170" i="43"/>
  <c r="F203" i="43" s="1"/>
  <c r="F204" i="43" s="1"/>
  <c r="Z170" i="43"/>
  <c r="Z203" i="43" s="1"/>
  <c r="Z204" i="43" s="1"/>
  <c r="T209" i="43"/>
  <c r="T241" i="43" s="1"/>
  <c r="AF248" i="43"/>
  <c r="AF281" i="43" s="1"/>
  <c r="N209" i="43"/>
  <c r="N241" i="43" s="1"/>
  <c r="B170" i="43"/>
  <c r="B202" i="43" s="1"/>
  <c r="J209" i="43"/>
  <c r="J242" i="43" s="1"/>
  <c r="J243" i="43" s="1"/>
  <c r="M326" i="43"/>
  <c r="M358" i="43" s="1"/>
  <c r="Z326" i="43"/>
  <c r="Z358" i="43" s="1"/>
  <c r="X248" i="43"/>
  <c r="X280" i="43" s="1"/>
  <c r="O131" i="43"/>
  <c r="O164" i="43" s="1"/>
  <c r="O165" i="43" s="1"/>
  <c r="N17" i="43"/>
  <c r="N55" i="43" s="1"/>
  <c r="S170" i="43"/>
  <c r="S202" i="43" s="1"/>
  <c r="R287" i="43"/>
  <c r="R320" i="43" s="1"/>
  <c r="R321" i="43" s="1"/>
  <c r="AE170" i="43"/>
  <c r="AE203" i="43" s="1"/>
  <c r="AE204" i="43" s="1"/>
  <c r="O170" i="43"/>
  <c r="O203" i="43" s="1"/>
  <c r="O204" i="43" s="1"/>
  <c r="AA170" i="43"/>
  <c r="AA202" i="43" s="1"/>
  <c r="W287" i="43"/>
  <c r="W320" i="43" s="1"/>
  <c r="W321" i="43" s="1"/>
  <c r="N365" i="43"/>
  <c r="N398" i="43" s="1"/>
  <c r="N399" i="43" s="1"/>
  <c r="AD287" i="43"/>
  <c r="AD320" i="43" s="1"/>
  <c r="AD321" i="43" s="1"/>
  <c r="D131" i="43"/>
  <c r="D163" i="43" s="1"/>
  <c r="S17" i="43"/>
  <c r="S49" i="43" s="1"/>
  <c r="S50" i="43" s="1"/>
  <c r="AB17" i="43"/>
  <c r="AB49" i="43" s="1"/>
  <c r="AB50" i="43" s="1"/>
  <c r="F131" i="43"/>
  <c r="F163" i="43" s="1"/>
  <c r="AB248" i="43"/>
  <c r="AB281" i="43" s="1"/>
  <c r="N248" i="43"/>
  <c r="N280" i="43" s="1"/>
  <c r="W131" i="43"/>
  <c r="W164" i="43" s="1"/>
  <c r="W165" i="43" s="1"/>
  <c r="S248" i="43"/>
  <c r="S280" i="43" s="1"/>
  <c r="J287" i="43"/>
  <c r="J320" i="43" s="1"/>
  <c r="J321" i="43" s="1"/>
  <c r="M287" i="43"/>
  <c r="M319" i="43" s="1"/>
  <c r="E170" i="43"/>
  <c r="E203" i="43" s="1"/>
  <c r="E204" i="43" s="1"/>
  <c r="S287" i="43"/>
  <c r="S320" i="43" s="1"/>
  <c r="S321" i="43" s="1"/>
  <c r="Q326" i="43"/>
  <c r="Q359" i="43" s="1"/>
  <c r="Q360" i="43" s="1"/>
  <c r="I17" i="43"/>
  <c r="I51" i="43" s="1"/>
  <c r="G248" i="43"/>
  <c r="G281" i="43" s="1"/>
  <c r="G282" i="43" s="1"/>
  <c r="W170" i="43"/>
  <c r="W202" i="43" s="1"/>
  <c r="U209" i="43"/>
  <c r="U242" i="43" s="1"/>
  <c r="U243" i="43" s="1"/>
  <c r="Q319" i="43" l="1"/>
  <c r="B163" i="43"/>
  <c r="Y164" i="43"/>
  <c r="Y165" i="43" s="1"/>
  <c r="AB398" i="43"/>
  <c r="AB399" i="43" s="1"/>
  <c r="X202" i="43"/>
  <c r="AD51" i="43"/>
  <c r="V397" i="43"/>
  <c r="I359" i="43"/>
  <c r="I360" i="43" s="1"/>
  <c r="W241" i="43"/>
  <c r="AD398" i="43"/>
  <c r="AD399" i="43" s="1"/>
  <c r="D320" i="43"/>
  <c r="D321" i="43" s="1"/>
  <c r="T164" i="43"/>
  <c r="T165" i="43" s="1"/>
  <c r="M398" i="43"/>
  <c r="M399" i="43" s="1"/>
  <c r="S359" i="43"/>
  <c r="S360" i="43" s="1"/>
  <c r="O397" i="43"/>
  <c r="AC319" i="43"/>
  <c r="E164" i="43"/>
  <c r="E165" i="43" s="1"/>
  <c r="AD49" i="43"/>
  <c r="AD50" i="43" s="1"/>
  <c r="AD164" i="43"/>
  <c r="AD165" i="43" s="1"/>
  <c r="V203" i="43"/>
  <c r="V204" i="43" s="1"/>
  <c r="C280" i="43"/>
  <c r="V359" i="43"/>
  <c r="V360" i="43" s="1"/>
  <c r="B319" i="43"/>
  <c r="G397" i="43"/>
  <c r="G163" i="43"/>
  <c r="T202" i="43"/>
  <c r="I241" i="43"/>
  <c r="K358" i="43"/>
  <c r="C202" i="43"/>
  <c r="U320" i="43"/>
  <c r="U321" i="43" s="1"/>
  <c r="AB241" i="43"/>
  <c r="AE398" i="43"/>
  <c r="AE399" i="43" s="1"/>
  <c r="M203" i="43"/>
  <c r="M204" i="43" s="1"/>
  <c r="N202" i="43"/>
  <c r="Z397" i="43"/>
  <c r="D398" i="43"/>
  <c r="D399" i="43" s="1"/>
  <c r="AC164" i="43"/>
  <c r="AC165" i="43" s="1"/>
  <c r="W55" i="43"/>
  <c r="H241" i="43"/>
  <c r="D203" i="43"/>
  <c r="D204" i="43" s="1"/>
  <c r="L242" i="43"/>
  <c r="L243" i="43" s="1"/>
  <c r="Y281" i="43"/>
  <c r="Y282" i="43" s="1"/>
  <c r="P280" i="43"/>
  <c r="N359" i="43"/>
  <c r="N360" i="43" s="1"/>
  <c r="L398" i="43"/>
  <c r="L399" i="43" s="1"/>
  <c r="U398" i="43"/>
  <c r="U399" i="43" s="1"/>
  <c r="L319" i="43"/>
  <c r="P241" i="43"/>
  <c r="E358" i="43"/>
  <c r="AC51" i="43"/>
  <c r="AE51" i="43"/>
  <c r="T281" i="43"/>
  <c r="T282" i="43" s="1"/>
  <c r="X241" i="43"/>
  <c r="W163" i="43"/>
  <c r="AD242" i="43"/>
  <c r="AD243" i="43" s="1"/>
  <c r="P359" i="43"/>
  <c r="P360" i="43" s="1"/>
  <c r="H164" i="43"/>
  <c r="H165" i="43" s="1"/>
  <c r="AF397" i="43"/>
  <c r="R359" i="43"/>
  <c r="R360" i="43" s="1"/>
  <c r="K280" i="43"/>
  <c r="F358" i="43"/>
  <c r="K49" i="43"/>
  <c r="K50" i="43" s="1"/>
  <c r="K51" i="43"/>
  <c r="D281" i="43"/>
  <c r="D282" i="43" s="1"/>
  <c r="AA320" i="43"/>
  <c r="AA321" i="43" s="1"/>
  <c r="AE319" i="43"/>
  <c r="AF359" i="43"/>
  <c r="AF360" i="43" s="1"/>
  <c r="X319" i="43"/>
  <c r="AI55" i="43"/>
  <c r="C242" i="43"/>
  <c r="C243" i="43" s="1"/>
  <c r="AC49" i="43"/>
  <c r="AC50" i="43" s="1"/>
  <c r="D359" i="43"/>
  <c r="D360" i="43" s="1"/>
  <c r="AB319" i="43"/>
  <c r="F319" i="43"/>
  <c r="I281" i="43"/>
  <c r="I282" i="43" s="1"/>
  <c r="R281" i="43"/>
  <c r="R282" i="43" s="1"/>
  <c r="AC397" i="43"/>
  <c r="D242" i="43"/>
  <c r="D243" i="43" s="1"/>
  <c r="U203" i="43"/>
  <c r="U204" i="43" s="1"/>
  <c r="L358" i="43"/>
  <c r="AE202" i="43"/>
  <c r="Z359" i="43"/>
  <c r="Z360" i="43" s="1"/>
  <c r="L202" i="43"/>
  <c r="C358" i="43"/>
  <c r="AE49" i="43"/>
  <c r="AE50" i="43" s="1"/>
  <c r="Q358" i="43"/>
  <c r="N397" i="43"/>
  <c r="AF55" i="43"/>
  <c r="G51" i="43"/>
  <c r="U358" i="43"/>
  <c r="AF242" i="43"/>
  <c r="AF243" i="43" s="1"/>
  <c r="M49" i="43"/>
  <c r="M50" i="43" s="1"/>
  <c r="M241" i="43"/>
  <c r="AF51" i="43"/>
  <c r="G55" i="43"/>
  <c r="U241" i="43"/>
  <c r="J241" i="43"/>
  <c r="X358" i="43"/>
  <c r="M51" i="43"/>
  <c r="E202" i="43"/>
  <c r="F202" i="43"/>
  <c r="Z320" i="43"/>
  <c r="Z321" i="43" s="1"/>
  <c r="R202" i="43"/>
  <c r="W51" i="43"/>
  <c r="AI49" i="43"/>
  <c r="AI50" i="43" s="1"/>
  <c r="AA358" i="43"/>
  <c r="J397" i="43"/>
  <c r="N51" i="43"/>
  <c r="T49" i="43"/>
  <c r="T50" i="43" s="1"/>
  <c r="J163" i="43"/>
  <c r="B241" i="43"/>
  <c r="C163" i="43"/>
  <c r="Q241" i="43"/>
  <c r="T398" i="43"/>
  <c r="T399" i="43" s="1"/>
  <c r="W358" i="43"/>
  <c r="T55" i="43"/>
  <c r="H55" i="43"/>
  <c r="X163" i="43"/>
  <c r="F164" i="43"/>
  <c r="F165" i="43" s="1"/>
  <c r="G319" i="43"/>
  <c r="Y320" i="43"/>
  <c r="Y321" i="43" s="1"/>
  <c r="E319" i="43"/>
  <c r="H51" i="43"/>
  <c r="W319" i="43"/>
  <c r="G359" i="43"/>
  <c r="G360" i="43" s="1"/>
  <c r="F398" i="43"/>
  <c r="F399" i="43" s="1"/>
  <c r="W203" i="43"/>
  <c r="W204" i="43" s="1"/>
  <c r="V319" i="43"/>
  <c r="S203" i="43"/>
  <c r="S204" i="43" s="1"/>
  <c r="K241" i="43"/>
  <c r="W398" i="43"/>
  <c r="W399" i="43" s="1"/>
  <c r="T242" i="43"/>
  <c r="T243" i="43" s="1"/>
  <c r="J359" i="43"/>
  <c r="J360" i="43" s="1"/>
  <c r="M320" i="43"/>
  <c r="M321" i="43" s="1"/>
  <c r="N49" i="43"/>
  <c r="N50" i="43" s="1"/>
  <c r="B203" i="43"/>
  <c r="B204" i="43" s="1"/>
  <c r="J281" i="43"/>
  <c r="J282" i="43" s="1"/>
  <c r="AC202" i="43"/>
  <c r="Y241" i="43"/>
  <c r="M281" i="43"/>
  <c r="M282" i="43" s="1"/>
  <c r="Z164" i="43"/>
  <c r="Z165" i="43" s="1"/>
  <c r="E397" i="43"/>
  <c r="V164" i="43"/>
  <c r="V165" i="43" s="1"/>
  <c r="D164" i="43"/>
  <c r="D165" i="43" s="1"/>
  <c r="Y49" i="43"/>
  <c r="Y50" i="43" s="1"/>
  <c r="O49" i="43"/>
  <c r="O50" i="43" s="1"/>
  <c r="AB164" i="43"/>
  <c r="AB165" i="43" s="1"/>
  <c r="R319" i="43"/>
  <c r="Q163" i="43"/>
  <c r="W280" i="43"/>
  <c r="O55" i="43"/>
  <c r="AA49" i="43"/>
  <c r="AA50" i="43" s="1"/>
  <c r="V241" i="43"/>
  <c r="K164" i="43"/>
  <c r="K165" i="43" s="1"/>
  <c r="AF164" i="43"/>
  <c r="AF165" i="43" s="1"/>
  <c r="B398" i="43"/>
  <c r="B399" i="43" s="1"/>
  <c r="S164" i="43"/>
  <c r="S165" i="43" s="1"/>
  <c r="AF203" i="43"/>
  <c r="AF204" i="43" s="1"/>
  <c r="U281" i="43"/>
  <c r="U282" i="43" s="1"/>
  <c r="Z202" i="43"/>
  <c r="M359" i="43"/>
  <c r="M360" i="43" s="1"/>
  <c r="S319" i="43"/>
  <c r="AD319" i="43"/>
  <c r="AJ55" i="43"/>
  <c r="S55" i="43"/>
  <c r="AF320" i="43"/>
  <c r="AF321" i="43" s="1"/>
  <c r="AJ51" i="43"/>
  <c r="H359" i="43"/>
  <c r="H360" i="43" s="1"/>
  <c r="N281" i="43"/>
  <c r="N282" i="43" s="1"/>
  <c r="Y55" i="43"/>
  <c r="J51" i="43"/>
  <c r="Z241" i="43"/>
  <c r="N320" i="43"/>
  <c r="N321" i="43" s="1"/>
  <c r="N164" i="43"/>
  <c r="N165" i="43" s="1"/>
  <c r="Y203" i="43"/>
  <c r="Y204" i="43" s="1"/>
  <c r="O242" i="43"/>
  <c r="O243" i="43" s="1"/>
  <c r="AA55" i="43"/>
  <c r="B281" i="43"/>
  <c r="B282" i="43" s="1"/>
  <c r="K202" i="43"/>
  <c r="AB359" i="43"/>
  <c r="AB360" i="43" s="1"/>
  <c r="R163" i="43"/>
  <c r="F242" i="43"/>
  <c r="F243" i="43" s="1"/>
  <c r="L163" i="43"/>
  <c r="K397" i="43"/>
  <c r="I164" i="43"/>
  <c r="I165" i="43" s="1"/>
  <c r="R397" i="43"/>
  <c r="AB203" i="43"/>
  <c r="AB204" i="43" s="1"/>
  <c r="I319" i="43"/>
  <c r="AC358" i="43"/>
  <c r="Q202" i="43"/>
  <c r="AC242" i="43"/>
  <c r="AC243" i="43" s="1"/>
  <c r="H320" i="43"/>
  <c r="H321" i="43" s="1"/>
  <c r="O319" i="43"/>
  <c r="U164" i="43"/>
  <c r="U165" i="43" s="1"/>
  <c r="O202" i="43"/>
  <c r="AE241" i="43"/>
  <c r="U51" i="43"/>
  <c r="I55" i="43"/>
  <c r="B359" i="43"/>
  <c r="B360" i="43" s="1"/>
  <c r="H281" i="43"/>
  <c r="H282" i="43" s="1"/>
  <c r="I49" i="43"/>
  <c r="I50" i="43" s="1"/>
  <c r="P164" i="43"/>
  <c r="P165" i="43" s="1"/>
  <c r="O280" i="43"/>
  <c r="H203" i="43"/>
  <c r="H204" i="43" s="1"/>
  <c r="X49" i="43"/>
  <c r="X50" i="43" s="1"/>
  <c r="V280" i="43"/>
  <c r="AA398" i="43"/>
  <c r="AA399" i="43" s="1"/>
  <c r="G280" i="43"/>
  <c r="E242" i="43"/>
  <c r="E243" i="43" s="1"/>
  <c r="Z49" i="43"/>
  <c r="Z50" i="43" s="1"/>
  <c r="AA203" i="43"/>
  <c r="AA204" i="43" s="1"/>
  <c r="S241" i="43"/>
  <c r="AA242" i="43"/>
  <c r="AA243" i="43" s="1"/>
  <c r="F51" i="43"/>
  <c r="P319" i="43"/>
  <c r="P49" i="43"/>
  <c r="P50" i="43" s="1"/>
  <c r="C397" i="43"/>
  <c r="S397" i="43"/>
  <c r="P51" i="43"/>
  <c r="X398" i="43"/>
  <c r="X399" i="43" s="1"/>
  <c r="X55" i="43"/>
  <c r="R49" i="43"/>
  <c r="R50" i="43" s="1"/>
  <c r="F49" i="43"/>
  <c r="F50" i="43" s="1"/>
  <c r="Y397" i="43"/>
  <c r="G241" i="43"/>
  <c r="J319" i="43"/>
  <c r="N242" i="43"/>
  <c r="N243" i="43" s="1"/>
  <c r="G203" i="43"/>
  <c r="G204" i="43" s="1"/>
  <c r="AE359" i="43"/>
  <c r="AE360" i="43" s="1"/>
  <c r="Q49" i="43"/>
  <c r="Q50" i="43" s="1"/>
  <c r="K320" i="43"/>
  <c r="K321" i="43" s="1"/>
  <c r="T359" i="43"/>
  <c r="T360" i="43" s="1"/>
  <c r="R55" i="43"/>
  <c r="L281" i="43"/>
  <c r="L282" i="43" s="1"/>
  <c r="AG49" i="43"/>
  <c r="AG50" i="43" s="1"/>
  <c r="AB51" i="43"/>
  <c r="AD203" i="43"/>
  <c r="AD204" i="43" s="1"/>
  <c r="I397" i="43"/>
  <c r="Q51" i="43"/>
  <c r="F280" i="43"/>
  <c r="C319" i="43"/>
  <c r="AD358" i="43"/>
  <c r="AH51" i="43"/>
  <c r="AG55" i="43"/>
  <c r="AB55" i="43"/>
  <c r="O163" i="43"/>
  <c r="Z51" i="43"/>
  <c r="AE163" i="43"/>
  <c r="Q397" i="43"/>
  <c r="M164" i="43"/>
  <c r="M165" i="43" s="1"/>
  <c r="AA163" i="43"/>
  <c r="AH49" i="43"/>
  <c r="AH50" i="43" s="1"/>
  <c r="J55" i="43"/>
  <c r="O359" i="43"/>
  <c r="O360" i="43" s="1"/>
  <c r="J203" i="43"/>
  <c r="J204" i="43" s="1"/>
  <c r="T320" i="43"/>
  <c r="T321" i="43" s="1"/>
  <c r="S281" i="43"/>
  <c r="S282" i="43" s="1"/>
  <c r="S51" i="43"/>
  <c r="H398" i="43"/>
  <c r="H399" i="43" s="1"/>
  <c r="L55" i="43"/>
  <c r="X281" i="43"/>
  <c r="X282" i="43" s="1"/>
  <c r="U55" i="43"/>
  <c r="E280" i="43"/>
  <c r="L49" i="43"/>
  <c r="L50" i="43" s="1"/>
  <c r="I202" i="43"/>
  <c r="V49" i="43"/>
  <c r="V50" i="43" s="1"/>
  <c r="P397" i="43"/>
  <c r="Y358" i="43"/>
  <c r="R241" i="43"/>
  <c r="P203" i="43"/>
  <c r="P204" i="43" s="1"/>
  <c r="V51" i="43"/>
  <c r="Q280" i="43"/>
  <c r="A358" i="43" l="1"/>
  <c r="A165" i="43"/>
  <c r="A360" i="43"/>
  <c r="A202" i="43"/>
  <c r="A241" i="43"/>
  <c r="A319" i="43"/>
  <c r="A397" i="43"/>
  <c r="K53" i="43"/>
  <c r="A243" i="43"/>
  <c r="A321" i="43"/>
  <c r="A399" i="43"/>
  <c r="A163" i="43"/>
  <c r="G53" i="43"/>
  <c r="I53" i="43" s="1"/>
  <c r="A204" i="43"/>
  <c r="A282" i="43"/>
  <c r="A280" i="43"/>
  <c r="F56" i="43"/>
  <c r="F57" i="43"/>
  <c r="A121" i="43" l="1"/>
</calcChain>
</file>

<file path=xl/connections.xml><?xml version="1.0" encoding="utf-8"?>
<connections xmlns="http://schemas.openxmlformats.org/spreadsheetml/2006/main">
  <connection id="1" name="creep_res110" type="6" refreshedVersion="5" background="1" saveData="1">
    <textPr codePage="850" sourceFile="C:\Users\AE86\Desktop\Vorlage Effektivmaterial bestimmen Dez 21\Input\res_z160.txt" delimited="0">
      <textFields count="10">
        <textField/>
        <textField position="11"/>
        <textField position="23"/>
        <textField position="35"/>
        <textField position="47"/>
        <textField position="59"/>
        <textField position="71"/>
        <textField position="83"/>
        <textField position="99"/>
        <textField position="115"/>
      </textFields>
    </textPr>
  </connection>
  <connection id="2" name="creep_res120" type="6" refreshedVersion="5" background="1" saveData="1">
    <textPr codePage="850" sourceFile="C:\Users\AE86\Desktop\Vorlage Effektivmaterial bestimmen Dez 21\Input\res_z125.txt" delimited="0">
      <textFields count="10">
        <textField/>
        <textField position="11"/>
        <textField position="23"/>
        <textField position="35"/>
        <textField position="47"/>
        <textField position="59"/>
        <textField position="71"/>
        <textField position="83"/>
        <textField position="99"/>
        <textField position="115"/>
      </textFields>
    </textPr>
  </connection>
  <connection id="3" name="creep_res-25" type="6" refreshedVersion="5" background="1" saveData="1">
    <textPr codePage="850" sourceFile="C:\Users\AE86\Desktop\Vorlage Effektivmaterial bestimmen Dez 21\Input\res_z-40.txt" delimited="0">
      <textFields count="10">
        <textField/>
        <textField position="11"/>
        <textField position="23"/>
        <textField position="35"/>
        <textField position="47"/>
        <textField position="59"/>
        <textField position="71"/>
        <textField position="83"/>
        <textField position="99"/>
        <textField position="115"/>
      </textFields>
    </textPr>
  </connection>
  <connection id="4" name="creep_res50" type="6" refreshedVersion="5" background="1" saveData="1">
    <textPr codePage="850" sourceFile="C:\Users\AE86\Desktop\Vorlage Effektivmaterial bestimmen Dez 21\Input\res_z0.txt" delimited="0">
      <textFields count="10">
        <textField/>
        <textField position="11"/>
        <textField position="23"/>
        <textField position="35"/>
        <textField position="47"/>
        <textField position="59"/>
        <textField position="71"/>
        <textField position="83"/>
        <textField position="99"/>
        <textField position="115"/>
      </textFields>
    </textPr>
  </connection>
  <connection id="5" name="creep_res75" type="6" refreshedVersion="5" background="1" saveData="1">
    <textPr codePage="850" sourceFile="C:\Users\AE86\Desktop\Vorlage Effektivmaterial bestimmen Dez 21\Input\res_z25.txt" delimited="0">
      <textFields count="10">
        <textField/>
        <textField position="11"/>
        <textField position="23"/>
        <textField position="35"/>
        <textField position="47"/>
        <textField position="59"/>
        <textField position="71"/>
        <textField position="83"/>
        <textField position="99"/>
        <textField position="115"/>
      </textFields>
    </textPr>
  </connection>
  <connection id="6" name="creep_res80" type="6" refreshedVersion="5" background="1" saveData="1">
    <textPr codePage="850" sourceFile="C:\Users\AE86\Desktop\Vorlage Effektivmaterial bestimmen Dez 21\Input\res_z50.txt" delimited="0">
      <textFields count="10">
        <textField/>
        <textField position="11"/>
        <textField position="23"/>
        <textField position="35"/>
        <textField position="47"/>
        <textField position="59"/>
        <textField position="71"/>
        <textField position="83"/>
        <textField position="99"/>
        <textField position="115"/>
      </textFields>
    </textPr>
  </connection>
  <connection id="7" name="CTE_res100" type="6" refreshedVersion="5" background="1" saveData="1">
    <textPr codePage="850" sourceFile="C:\Users\AE86\Desktop\Vorlage Effektivmaterial bestimmen Dez 21\Input\CTE.txt" delimited="0">
      <textFields count="10">
        <textField/>
        <textField position="11"/>
        <textField position="23"/>
        <textField position="35"/>
        <textField position="47"/>
        <textField position="59"/>
        <textField position="71"/>
        <textField position="83"/>
        <textField position="99"/>
        <textField position="115"/>
      </textFields>
    </textPr>
  </connection>
  <connection id="8" name="res_z80" type="6" refreshedVersion="5" background="1" saveData="1">
    <textPr codePage="850" sourceFile="C:\Users\AE86\Desktop\Vorlage Effektivmaterial bestimmen Dez 21\Input\res_z80.txt" delimited="0">
      <textFields count="10">
        <textField/>
        <textField position="11"/>
        <textField position="23"/>
        <textField position="35"/>
        <textField position="47"/>
        <textField position="59"/>
        <textField position="71"/>
        <textField position="83"/>
        <textField position="99"/>
        <textField position="115"/>
      </textFields>
    </textPr>
  </connection>
  <connection id="9" name="STUTT" type="6" refreshedVersion="5" background="1" saveData="1">
    <textPr codePage="850" sourceFile="C:\Users\AE86\Desktop\Vorlage Effektivmaterial bestimmen Dez 21\Input\STUTT.txt" space="1" consecutive="1">
      <textFields count="3">
        <textField/>
        <textField/>
        <textField/>
      </textFields>
    </textPr>
  </connection>
</connections>
</file>

<file path=xl/sharedStrings.xml><?xml version="1.0" encoding="utf-8"?>
<sst xmlns="http://schemas.openxmlformats.org/spreadsheetml/2006/main" count="311" uniqueCount="164">
  <si>
    <t>Time</t>
  </si>
  <si>
    <t>K</t>
  </si>
  <si>
    <t>E</t>
  </si>
  <si>
    <t>G</t>
  </si>
  <si>
    <t>Strain</t>
  </si>
  <si>
    <t>v</t>
  </si>
  <si>
    <t>Time [s]</t>
  </si>
  <si>
    <t>Strain (Ey)</t>
  </si>
  <si>
    <t>E [MPa]</t>
  </si>
  <si>
    <t>Stress [MPa]</t>
  </si>
  <si>
    <t>v (Ex/Ey)</t>
  </si>
  <si>
    <t>G [MPa]</t>
  </si>
  <si>
    <t>K [MPa]</t>
  </si>
  <si>
    <t>Eps N1</t>
  </si>
  <si>
    <t>ex</t>
  </si>
  <si>
    <t>ey</t>
  </si>
  <si>
    <t>ez</t>
  </si>
  <si>
    <t>t</t>
  </si>
  <si>
    <t>tau</t>
  </si>
  <si>
    <t>Prony-Koeffis</t>
  </si>
  <si>
    <t>k∞</t>
  </si>
  <si>
    <t>G0</t>
  </si>
  <si>
    <t>Regression:</t>
  </si>
  <si>
    <t>G(t,Tref):</t>
  </si>
  <si>
    <t>(A-B)^2</t>
  </si>
  <si>
    <t>Summe Fehlerquadrate:</t>
  </si>
  <si>
    <t>Mastercurve</t>
  </si>
  <si>
    <t>Temp</t>
  </si>
  <si>
    <t>Prony_material</t>
  </si>
  <si>
    <t>Prony_Regression</t>
  </si>
  <si>
    <r>
      <rPr>
        <b/>
        <sz val="11"/>
        <color theme="1"/>
        <rFont val="Symbol"/>
        <family val="1"/>
        <charset val="2"/>
      </rPr>
      <t>D</t>
    </r>
    <r>
      <rPr>
        <b/>
        <sz val="11"/>
        <color theme="1"/>
        <rFont val="Calibri"/>
        <family val="2"/>
      </rPr>
      <t>X / Xw:</t>
    </r>
  </si>
  <si>
    <t>MAPE:</t>
  </si>
  <si>
    <t>Times</t>
  </si>
  <si>
    <t>ex_th</t>
  </si>
  <si>
    <t>ey_th</t>
  </si>
  <si>
    <t>ez_th</t>
  </si>
  <si>
    <t>ux(N1)</t>
  </si>
  <si>
    <t>uy(N1)      uz(</t>
  </si>
  <si>
    <t>N1)</t>
  </si>
  <si>
    <t>ex(Ux)</t>
  </si>
  <si>
    <t>Shiftfaktor</t>
  </si>
  <si>
    <t>Tref:</t>
  </si>
  <si>
    <t xml:space="preserve"> emodul_unendlich=126.7255</t>
  </si>
  <si>
    <t>!   Commands inserted into this file will be executed just prior to the ANSYS SOLVE command.</t>
  </si>
  <si>
    <t>!   These commands may supersede command settings set by Workbench.</t>
  </si>
  <si>
    <t>!   Active UNIT system in Workbench when this object was created:  Metric (mm, t, N, s, mV, mA)</t>
  </si>
  <si>
    <t>!   NOTE:  Any data that requires units (such as mass) is assumed to be in the consistent solver unit system.</t>
  </si>
  <si>
    <t>!                See Solving Units in the help system for more information.</t>
  </si>
  <si>
    <t>! ARGUMENTS OF THE MACRO</t>
  </si>
  <si>
    <t>!************************</t>
  </si>
  <si>
    <t>MatID = ARG1</t>
  </si>
  <si>
    <t>! Material Number</t>
  </si>
  <si>
    <t>!MPDELE, all,1,4999</t>
  </si>
  <si>
    <t>mod_shift=2</t>
  </si>
  <si>
    <t>EMODIF,all,mat,MatID</t>
  </si>
  <si>
    <t>T_RT=273.15</t>
  </si>
  <si>
    <t>MPTEMP</t>
  </si>
  <si>
    <t>!Polyfit by A(T) = a1*(T-Tr) + a2*(T-Tr)^2 + ...</t>
  </si>
  <si>
    <t>anz_poly=  8.00</t>
  </si>
  <si>
    <t>!range of validity: 293.85 Kelvin to</t>
  </si>
  <si>
    <t>417.81 Kelvin</t>
  </si>
  <si>
    <t>!these values have the highest accuracy</t>
  </si>
  <si>
    <t>!Values in natural logarithm! use these values /2.3025850929940456840179914546844 (/log(10)) for decadic logarithm</t>
  </si>
  <si>
    <t>a1=4.82275942294e-01      ! (t-tref)^1+</t>
  </si>
  <si>
    <t>a2=-1.04930586603e-03      ! (t-tref)^2+</t>
  </si>
  <si>
    <t>a3=-6.64600666278e-05      ! (t-tref)^3+</t>
  </si>
  <si>
    <t>a4=2.67721690408e-07      ! (t-tref)^4+</t>
  </si>
  <si>
    <t>a5=2.65798719630e-08      ! (t-tref)^5+</t>
  </si>
  <si>
    <t>a6=-5.41481509597e-11      ! (t-tref)^6+</t>
  </si>
  <si>
    <t>a7=-8.19667841289e-12      ! (t-tref)^7+</t>
  </si>
  <si>
    <t>a8=-5.93139904700e-14      ! (t-tref)^8+</t>
  </si>
  <si>
    <t>a0=-1.72050949920e-14       ! (t-tref)^0     (should be zero)</t>
  </si>
  <si>
    <t>!range of validity: 193.85 Kelvin to</t>
  </si>
  <si>
    <t>517.81 Kelvin</t>
  </si>
  <si>
    <t>!these values have a little less accuracy because of the extrapolation</t>
  </si>
  <si>
    <t xml:space="preserve"> </t>
  </si>
  <si>
    <t xml:space="preserve"> *dim,prony_pairs,array,anz_pr,2</t>
  </si>
  <si>
    <t xml:space="preserve"> *do,i,1,anz_pr,1</t>
  </si>
  <si>
    <t xml:space="preserve">    prony_pairs(i,1)=prony%i%</t>
  </si>
  <si>
    <t xml:space="preserve">    prony_pairs(i,2)=prony_sh%i%</t>
  </si>
  <si>
    <t xml:space="preserve"> *enddo</t>
  </si>
  <si>
    <t xml:space="preserve"> TB,PRONY,MatID,1,anz_pr,SHEAR</t>
  </si>
  <si>
    <t xml:space="preserve">  </t>
  </si>
  <si>
    <t>TBDATA,2*i-1,prony_pairs(i,1),prony_pairs(i,2)</t>
  </si>
  <si>
    <t xml:space="preserve"> *dim,poly_shift,array,anz_poly,1</t>
  </si>
  <si>
    <t xml:space="preserve"> *do,i,1,anz_poly,1</t>
  </si>
  <si>
    <t xml:space="preserve">poly_shift(i,1)=b%i% </t>
  </si>
  <si>
    <t>!change here the a to b for the extrapolation values</t>
  </si>
  <si>
    <t xml:space="preserve"> mod_shift=2</t>
  </si>
  <si>
    <t xml:space="preserve"> *IF,mod_shift,eq,1,then</t>
  </si>
  <si>
    <t>tb,shift,MatID,1,3,WLF</t>
  </si>
  <si>
    <t>! Use WLF shift function</t>
  </si>
  <si>
    <t>tbdata,1,WLF_Tref,WLF_C1,WLF_C2  ! Parameter of WLF Fct.</t>
  </si>
  <si>
    <t xml:space="preserve"> *ELSEIF,mod_shift,eq,2,then</t>
  </si>
  <si>
    <t>tb,shift,MatID,1,anz_poly+1,user</t>
  </si>
  <si>
    <t>! Use poly shift function Poly 8 fit with Ax(T-Tref)^X</t>
  </si>
  <si>
    <t xml:space="preserve">         </t>
  </si>
  <si>
    <t>tbdata,j+1,poly_shift(j,1)</t>
  </si>
  <si>
    <t xml:space="preserve"> *endif</t>
  </si>
  <si>
    <t xml:space="preserve"> *del,prony_pairs</t>
  </si>
  <si>
    <t xml:space="preserve"> *del,poly_shift</t>
  </si>
  <si>
    <t xml:space="preserve"> anz_pr=</t>
  </si>
  <si>
    <t>Modell:</t>
  </si>
  <si>
    <t>Voll</t>
  </si>
  <si>
    <t>Zur Auswahl: (Voll, Viertel, Achtel) - es wird nur geprüft ob Vollmodell vorliegt, da sich damit Längenbezugsgrößen ändern</t>
  </si>
  <si>
    <t>Dehnung berechnen?</t>
  </si>
  <si>
    <t>Ja</t>
  </si>
  <si>
    <t>Die Daten enthalten die Dehnungen in den Knoten, die berechneten Werte weichen ab. Zur weiteren Berechnung (E,v, G,K)  können entweder dieaus dem Displacement berechneten Dehnungen verwendet werden oder die enthaltenen Dehnungen</t>
  </si>
  <si>
    <t>tbdata,1,Tref_Poly</t>
  </si>
  <si>
    <t>*do,j,1,anz_poly,1</t>
  </si>
  <si>
    <t>Referenztemp bestimmen</t>
  </si>
  <si>
    <t>K1:</t>
  </si>
  <si>
    <t>Mastercurve Zeitbereich</t>
  </si>
  <si>
    <t>Shiftfunktion Zeitbereich</t>
  </si>
  <si>
    <t xml:space="preserve">Tref_Poly = </t>
  </si>
  <si>
    <t>25°C</t>
  </si>
  <si>
    <t>ez(Uy)</t>
  </si>
  <si>
    <t>nu_xz</t>
  </si>
  <si>
    <t>mp,ex,MatID,</t>
  </si>
  <si>
    <t>mp,PRXY,MatID,</t>
  </si>
  <si>
    <t>mp,ey,MatID,</t>
  </si>
  <si>
    <t>mp,PRYZ,MatID,</t>
  </si>
  <si>
    <t>mp,ez,MatID,</t>
  </si>
  <si>
    <t>mp,PRXZ,MatID,</t>
  </si>
  <si>
    <t>MP,GXZ,</t>
  </si>
  <si>
    <t>MatID,</t>
  </si>
  <si>
    <t>MP,GXY,</t>
  </si>
  <si>
    <t>MP,GYZ,</t>
  </si>
  <si>
    <t>DENK DRAN BEI SJM26 ANDERE Längen zu verwenden!!!</t>
  </si>
  <si>
    <t>Pitch:</t>
  </si>
  <si>
    <t>Höhe:</t>
  </si>
  <si>
    <t>CTE X</t>
  </si>
  <si>
    <t>CTE Y</t>
  </si>
  <si>
    <t>X</t>
  </si>
  <si>
    <t>y</t>
  </si>
  <si>
    <t>Y</t>
  </si>
  <si>
    <t>Polynom</t>
  </si>
  <si>
    <t>. Grades</t>
  </si>
  <si>
    <t>x</t>
  </si>
  <si>
    <t>x^2</t>
  </si>
  <si>
    <t>x^3</t>
  </si>
  <si>
    <t>x^4</t>
  </si>
  <si>
    <t>x^5</t>
  </si>
  <si>
    <t>x^6</t>
  </si>
  <si>
    <t>x^7</t>
  </si>
  <si>
    <t>x^8</t>
  </si>
  <si>
    <t>m_i:</t>
  </si>
  <si>
    <t>ctex_b1_TG=</t>
  </si>
  <si>
    <t>ctex_b2_TG=</t>
  </si>
  <si>
    <t>ctex_a1_TG=</t>
  </si>
  <si>
    <t>ctex_a2_TG=</t>
  </si>
  <si>
    <t>ctey_b1_TG=</t>
  </si>
  <si>
    <t>ctey_b2_TG=</t>
  </si>
  <si>
    <t>ctey_a1_TG=</t>
  </si>
  <si>
    <t>ctey_a2_TG=</t>
  </si>
  <si>
    <t>T_b1=</t>
  </si>
  <si>
    <t>T_b2=</t>
  </si>
  <si>
    <t>T_a1=</t>
  </si>
  <si>
    <t>T_a2=</t>
  </si>
  <si>
    <t>MPTEMP,     1,  200,T_RT +T_b2,T_RT +T_a1,1000</t>
  </si>
  <si>
    <t>MPDATA,ctex,MatID,1,ctex_b1_TG,ctex_b2_TG,ctex_a1_TG,ctex_a2_TG</t>
  </si>
  <si>
    <t>MPDATA,ctey,MatID,1,ctey_b1_TG,ctey_b2_TG,ctey_a1_TG,ctey_a2_TG</t>
  </si>
  <si>
    <t>MPDATA,ctez,MatID,1,ctex_b1_TG,ctex_b2_TG,ctex_a1_TG,ctex_a2_TG</t>
  </si>
  <si>
    <t>Temp [°C]</t>
  </si>
</sst>
</file>

<file path=xl/styles.xml><?xml version="1.0" encoding="utf-8"?>
<styleSheet xmlns="http://schemas.openxmlformats.org/spreadsheetml/2006/main" xmlns:mc="http://schemas.openxmlformats.org/markup-compatibility/2006" xmlns:x14ac="http://schemas.microsoft.com/office/spreadsheetml/2009/9/ac" mc:Ignorable="x14ac">
  <numFmts count="19">
    <numFmt numFmtId="43" formatCode="_-* #,##0.00\ _€_-;\-* #,##0.00\ _€_-;_-* &quot;-&quot;??\ _€_-;_-@_-"/>
    <numFmt numFmtId="164" formatCode="0.00000"/>
    <numFmt numFmtId="165" formatCode="0.0000"/>
    <numFmt numFmtId="166" formatCode="0.00000000"/>
    <numFmt numFmtId="167" formatCode="0.0000%"/>
    <numFmt numFmtId="168" formatCode="0.0E+00"/>
    <numFmt numFmtId="169" formatCode="0.00000E+00"/>
    <numFmt numFmtId="170" formatCode="0.0000E+00"/>
    <numFmt numFmtId="171" formatCode="&quot;prony&quot;0&quot;=&quot;"/>
    <numFmt numFmtId="172" formatCode="0.0000000000000000E+00"/>
    <numFmt numFmtId="173" formatCode="&quot;$prony_sh&quot;0&quot;=&quot;"/>
    <numFmt numFmtId="174" formatCode="&quot;b&quot;0&quot;=&quot;"/>
    <numFmt numFmtId="175" formatCode="&quot; ! (t-tref)^&quot;0"/>
    <numFmt numFmtId="176" formatCode="0.000%"/>
    <numFmt numFmtId="177" formatCode="0.0%"/>
    <numFmt numFmtId="178" formatCode="0.0000000"/>
    <numFmt numFmtId="179" formatCode="0.0000000000"/>
    <numFmt numFmtId="180" formatCode="0.000E+00"/>
    <numFmt numFmtId="181" formatCode="0.000000000000000"/>
  </numFmts>
  <fonts count="10" x14ac:knownFonts="1">
    <font>
      <sz val="11"/>
      <color theme="1"/>
      <name val="Calibri"/>
      <family val="2"/>
      <scheme val="minor"/>
    </font>
    <font>
      <sz val="11"/>
      <name val="Calibri"/>
      <family val="2"/>
      <scheme val="minor"/>
    </font>
    <font>
      <sz val="11"/>
      <color theme="1"/>
      <name val="Calibri"/>
      <family val="2"/>
      <scheme val="minor"/>
    </font>
    <font>
      <b/>
      <sz val="11"/>
      <color theme="1"/>
      <name val="Calibri"/>
      <family val="2"/>
      <scheme val="minor"/>
    </font>
    <font>
      <sz val="11"/>
      <color theme="5" tint="0.39997558519241921"/>
      <name val="Calibri"/>
      <family val="2"/>
      <scheme val="minor"/>
    </font>
    <font>
      <b/>
      <sz val="11"/>
      <color theme="1"/>
      <name val="Calibri"/>
      <family val="2"/>
    </font>
    <font>
      <b/>
      <sz val="11"/>
      <color theme="1"/>
      <name val="Symbol"/>
      <family val="1"/>
      <charset val="2"/>
    </font>
    <font>
      <b/>
      <sz val="11"/>
      <name val="Calibri"/>
      <family val="2"/>
      <scheme val="minor"/>
    </font>
    <font>
      <b/>
      <sz val="10"/>
      <color theme="1"/>
      <name val="Calibri"/>
      <family val="2"/>
      <scheme val="minor"/>
    </font>
    <font>
      <b/>
      <sz val="11"/>
      <color rgb="FF000000"/>
      <name val="Calibri"/>
      <family val="2"/>
    </font>
  </fonts>
  <fills count="14">
    <fill>
      <patternFill patternType="none"/>
    </fill>
    <fill>
      <patternFill patternType="gray125"/>
    </fill>
    <fill>
      <patternFill patternType="solid">
        <fgColor rgb="FFFF0000"/>
        <bgColor indexed="64"/>
      </patternFill>
    </fill>
    <fill>
      <patternFill patternType="solid">
        <fgColor rgb="FFFFFF00"/>
        <bgColor indexed="64"/>
      </patternFill>
    </fill>
    <fill>
      <patternFill patternType="solid">
        <fgColor theme="8" tint="0.59999389629810485"/>
        <bgColor indexed="64"/>
      </patternFill>
    </fill>
    <fill>
      <patternFill patternType="solid">
        <fgColor theme="6" tint="0.59999389629810485"/>
        <bgColor indexed="64"/>
      </patternFill>
    </fill>
    <fill>
      <patternFill patternType="solid">
        <fgColor theme="5" tint="0.39997558519241921"/>
        <bgColor indexed="64"/>
      </patternFill>
    </fill>
    <fill>
      <patternFill patternType="solid">
        <fgColor theme="9" tint="0.39997558519241921"/>
        <bgColor indexed="64"/>
      </patternFill>
    </fill>
    <fill>
      <patternFill patternType="solid">
        <fgColor theme="9" tint="-0.249977111117893"/>
        <bgColor indexed="64"/>
      </patternFill>
    </fill>
    <fill>
      <patternFill patternType="solid">
        <fgColor theme="2" tint="-0.499984740745262"/>
        <bgColor indexed="64"/>
      </patternFill>
    </fill>
    <fill>
      <patternFill patternType="solid">
        <fgColor theme="6" tint="0.39997558519241921"/>
        <bgColor indexed="64"/>
      </patternFill>
    </fill>
    <fill>
      <patternFill patternType="solid">
        <fgColor theme="7" tint="0.39997558519241921"/>
        <bgColor indexed="64"/>
      </patternFill>
    </fill>
    <fill>
      <patternFill patternType="solid">
        <fgColor rgb="FF00B0F0"/>
        <bgColor indexed="64"/>
      </patternFill>
    </fill>
    <fill>
      <patternFill patternType="solid">
        <fgColor rgb="FF92D050"/>
        <bgColor indexed="64"/>
      </patternFill>
    </fill>
  </fills>
  <borders count="1">
    <border>
      <left/>
      <right/>
      <top/>
      <bottom/>
      <diagonal/>
    </border>
  </borders>
  <cellStyleXfs count="3">
    <xf numFmtId="0" fontId="0" fillId="0" borderId="0"/>
    <xf numFmtId="9" fontId="2" fillId="0" borderId="0" applyFont="0" applyFill="0" applyBorder="0" applyAlignment="0" applyProtection="0"/>
    <xf numFmtId="43" fontId="2" fillId="0" borderId="0" applyFont="0" applyFill="0" applyBorder="0" applyAlignment="0" applyProtection="0"/>
  </cellStyleXfs>
  <cellXfs count="122">
    <xf numFmtId="0" fontId="0" fillId="0" borderId="0" xfId="0"/>
    <xf numFmtId="0" fontId="0" fillId="0" borderId="0" xfId="0" applyAlignment="1">
      <alignment horizontal="center" vertical="center"/>
    </xf>
    <xf numFmtId="11" fontId="0" fillId="0" borderId="0" xfId="0" applyNumberFormat="1" applyAlignment="1">
      <alignment horizontal="center" vertical="center"/>
    </xf>
    <xf numFmtId="11" fontId="0" fillId="0" borderId="0" xfId="0" applyNumberFormat="1"/>
    <xf numFmtId="0" fontId="0" fillId="0" borderId="0" xfId="0" applyAlignment="1">
      <alignment horizontal="center" vertical="center"/>
    </xf>
    <xf numFmtId="11" fontId="0" fillId="0" borderId="0" xfId="0" applyNumberFormat="1" applyFill="1" applyAlignment="1">
      <alignment horizontal="center" vertical="center"/>
    </xf>
    <xf numFmtId="11" fontId="1" fillId="0" borderId="0" xfId="0" applyNumberFormat="1" applyFont="1" applyFill="1" applyAlignment="1">
      <alignment horizontal="center" vertical="center"/>
    </xf>
    <xf numFmtId="0" fontId="0" fillId="3" borderId="0" xfId="0" applyNumberFormat="1" applyFill="1" applyAlignment="1">
      <alignment horizontal="center" vertical="center"/>
    </xf>
    <xf numFmtId="1" fontId="0" fillId="3" borderId="0" xfId="0" applyNumberFormat="1" applyFill="1" applyAlignment="1">
      <alignment horizontal="center" vertical="center"/>
    </xf>
    <xf numFmtId="1" fontId="0" fillId="0" borderId="0" xfId="0" applyNumberFormat="1" applyAlignment="1">
      <alignment horizontal="center" vertical="center"/>
    </xf>
    <xf numFmtId="2" fontId="0" fillId="0" borderId="0" xfId="0" applyNumberFormat="1"/>
    <xf numFmtId="0" fontId="0" fillId="0" borderId="0" xfId="0"/>
    <xf numFmtId="0" fontId="0" fillId="0" borderId="0" xfId="0" applyFont="1"/>
    <xf numFmtId="0" fontId="3" fillId="0" borderId="0" xfId="0" applyFont="1"/>
    <xf numFmtId="0" fontId="0" fillId="4" borderId="0" xfId="0" applyFill="1"/>
    <xf numFmtId="0" fontId="0" fillId="0" borderId="0" xfId="0" applyFill="1"/>
    <xf numFmtId="1" fontId="0" fillId="0" borderId="0" xfId="0" applyNumberFormat="1"/>
    <xf numFmtId="164" fontId="0" fillId="0" borderId="0" xfId="0" applyNumberFormat="1" applyFill="1"/>
    <xf numFmtId="11" fontId="0" fillId="5" borderId="0" xfId="0" applyNumberFormat="1" applyFill="1"/>
    <xf numFmtId="0" fontId="0" fillId="0" borderId="0" xfId="0" applyFont="1" applyAlignment="1">
      <alignment horizontal="center"/>
    </xf>
    <xf numFmtId="11" fontId="0" fillId="6" borderId="0" xfId="0" applyNumberFormat="1" applyFill="1"/>
    <xf numFmtId="11" fontId="0" fillId="0" borderId="0" xfId="1" applyNumberFormat="1" applyFont="1"/>
    <xf numFmtId="11" fontId="0" fillId="0" borderId="0" xfId="0" applyNumberFormat="1" applyFont="1" applyFill="1" applyAlignment="1">
      <alignment horizontal="center"/>
    </xf>
    <xf numFmtId="165" fontId="0" fillId="0" borderId="0" xfId="0" applyNumberFormat="1"/>
    <xf numFmtId="0" fontId="3" fillId="5" borderId="0" xfId="0" applyFont="1" applyFill="1"/>
    <xf numFmtId="0" fontId="3" fillId="4" borderId="0" xfId="0" applyFont="1" applyFill="1" applyAlignment="1">
      <alignment horizontal="center"/>
    </xf>
    <xf numFmtId="11" fontId="0" fillId="4" borderId="0" xfId="0" applyNumberFormat="1" applyFont="1" applyFill="1" applyAlignment="1">
      <alignment horizontal="center"/>
    </xf>
    <xf numFmtId="11" fontId="0" fillId="7" borderId="0" xfId="0" applyNumberFormat="1" applyFont="1" applyFill="1" applyAlignment="1">
      <alignment horizontal="center"/>
    </xf>
    <xf numFmtId="0" fontId="0" fillId="0" borderId="0" xfId="0" applyAlignment="1">
      <alignment horizontal="center" vertical="center"/>
    </xf>
    <xf numFmtId="9" fontId="0" fillId="0" borderId="0" xfId="1" applyFont="1"/>
    <xf numFmtId="0" fontId="5" fillId="0" borderId="0" xfId="0" applyFont="1"/>
    <xf numFmtId="10" fontId="0" fillId="8" borderId="0" xfId="1" applyNumberFormat="1" applyFont="1" applyFill="1"/>
    <xf numFmtId="10" fontId="0" fillId="0" borderId="0" xfId="0" applyNumberFormat="1"/>
    <xf numFmtId="167" fontId="0" fillId="0" borderId="0" xfId="1" applyNumberFormat="1" applyFont="1"/>
    <xf numFmtId="167" fontId="0" fillId="0" borderId="0" xfId="0" applyNumberFormat="1"/>
    <xf numFmtId="0" fontId="0" fillId="3" borderId="0" xfId="0" applyFill="1"/>
    <xf numFmtId="0" fontId="0" fillId="0" borderId="0" xfId="0" applyNumberFormat="1" applyFill="1" applyAlignment="1">
      <alignment horizontal="center" vertical="center"/>
    </xf>
    <xf numFmtId="168" fontId="0" fillId="0" borderId="0" xfId="0" applyNumberFormat="1" applyAlignment="1">
      <alignment horizontal="center" vertical="center"/>
    </xf>
    <xf numFmtId="0" fontId="0" fillId="9" borderId="0" xfId="0" applyFill="1"/>
    <xf numFmtId="0" fontId="3" fillId="0" borderId="0" xfId="0" applyFont="1" applyAlignment="1">
      <alignment horizontal="center"/>
    </xf>
    <xf numFmtId="0" fontId="1" fillId="0" borderId="0" xfId="0" applyFont="1"/>
    <xf numFmtId="11" fontId="1" fillId="0" borderId="0" xfId="0" applyNumberFormat="1" applyFont="1"/>
    <xf numFmtId="11" fontId="0" fillId="0" borderId="0" xfId="0" applyNumberFormat="1" applyFill="1"/>
    <xf numFmtId="0" fontId="3" fillId="0" borderId="0" xfId="0" applyFont="1" applyFill="1"/>
    <xf numFmtId="166" fontId="0" fillId="0" borderId="0" xfId="0" applyNumberFormat="1" applyFill="1"/>
    <xf numFmtId="1" fontId="0" fillId="0" borderId="0" xfId="0" applyNumberFormat="1" applyFill="1"/>
    <xf numFmtId="0" fontId="4" fillId="0" borderId="0" xfId="0" applyFont="1" applyFill="1"/>
    <xf numFmtId="11" fontId="4" fillId="0" borderId="0" xfId="0" applyNumberFormat="1" applyFont="1" applyFill="1"/>
    <xf numFmtId="169" fontId="0" fillId="0" borderId="0" xfId="0" applyNumberFormat="1"/>
    <xf numFmtId="170" fontId="0" fillId="0" borderId="0" xfId="0" applyNumberFormat="1"/>
    <xf numFmtId="171" fontId="0" fillId="0" borderId="0" xfId="0" applyNumberFormat="1"/>
    <xf numFmtId="173" fontId="0" fillId="0" borderId="0" xfId="0" applyNumberFormat="1"/>
    <xf numFmtId="0" fontId="0" fillId="0" borderId="0" xfId="0" applyAlignment="1">
      <alignment horizontal="left"/>
    </xf>
    <xf numFmtId="11" fontId="0" fillId="0" borderId="0" xfId="0" applyNumberFormat="1" applyAlignment="1">
      <alignment horizontal="left"/>
    </xf>
    <xf numFmtId="174" fontId="0" fillId="0" borderId="0" xfId="0" applyNumberFormat="1"/>
    <xf numFmtId="175" fontId="0" fillId="0" borderId="0" xfId="0" applyNumberFormat="1"/>
    <xf numFmtId="172" fontId="0" fillId="0" borderId="0" xfId="0" applyNumberFormat="1" applyAlignment="1">
      <alignment horizontal="left"/>
    </xf>
    <xf numFmtId="176" fontId="0" fillId="0" borderId="0" xfId="1" applyNumberFormat="1" applyFont="1"/>
    <xf numFmtId="0" fontId="1" fillId="0" borderId="0" xfId="0" applyFont="1" applyFill="1"/>
    <xf numFmtId="11" fontId="1" fillId="0" borderId="0" xfId="0" applyNumberFormat="1" applyFont="1" applyFill="1"/>
    <xf numFmtId="10" fontId="0" fillId="0" borderId="0" xfId="1" applyNumberFormat="1" applyFont="1"/>
    <xf numFmtId="0" fontId="0" fillId="0" borderId="0" xfId="0" applyAlignment="1">
      <alignment horizontal="right"/>
    </xf>
    <xf numFmtId="1" fontId="0" fillId="0" borderId="0" xfId="0" applyNumberFormat="1" applyAlignment="1">
      <alignment horizontal="left"/>
    </xf>
    <xf numFmtId="0" fontId="0" fillId="10" borderId="0" xfId="0" applyFill="1"/>
    <xf numFmtId="0" fontId="8" fillId="0" borderId="0" xfId="0" applyFont="1"/>
    <xf numFmtId="0" fontId="3" fillId="7" borderId="0" xfId="0" applyFont="1" applyFill="1" applyAlignment="1">
      <alignment horizontal="center"/>
    </xf>
    <xf numFmtId="0" fontId="3" fillId="0" borderId="0" xfId="0" applyFont="1" applyAlignment="1">
      <alignment horizontal="center"/>
    </xf>
    <xf numFmtId="0" fontId="3" fillId="0" borderId="0" xfId="0" applyFont="1" applyAlignment="1">
      <alignment horizontal="center"/>
    </xf>
    <xf numFmtId="0" fontId="3" fillId="7" borderId="0" xfId="0" applyFont="1" applyFill="1" applyAlignment="1">
      <alignment horizontal="center"/>
    </xf>
    <xf numFmtId="0" fontId="3" fillId="0" borderId="0" xfId="0" applyFont="1" applyAlignment="1">
      <alignment horizontal="center"/>
    </xf>
    <xf numFmtId="0" fontId="3" fillId="7" borderId="0" xfId="0" applyFont="1" applyFill="1" applyAlignment="1">
      <alignment horizontal="center"/>
    </xf>
    <xf numFmtId="11" fontId="0" fillId="0" borderId="0" xfId="2" applyNumberFormat="1" applyFont="1"/>
    <xf numFmtId="10" fontId="0" fillId="0" borderId="0" xfId="1" applyNumberFormat="1" applyFont="1" applyFill="1"/>
    <xf numFmtId="176" fontId="0" fillId="0" borderId="0" xfId="1" applyNumberFormat="1" applyFont="1" applyFill="1"/>
    <xf numFmtId="0" fontId="1" fillId="0" borderId="0" xfId="0" applyNumberFormat="1" applyFont="1" applyFill="1"/>
    <xf numFmtId="176" fontId="0" fillId="0" borderId="0" xfId="0" applyNumberFormat="1"/>
    <xf numFmtId="0" fontId="3" fillId="0" borderId="0" xfId="0" applyFont="1" applyAlignment="1">
      <alignment horizontal="center"/>
    </xf>
    <xf numFmtId="0" fontId="3" fillId="7" borderId="0" xfId="0" applyFont="1" applyFill="1" applyAlignment="1">
      <alignment horizontal="center"/>
    </xf>
    <xf numFmtId="11" fontId="1" fillId="0" borderId="0" xfId="1" applyNumberFormat="1" applyFont="1" applyFill="1"/>
    <xf numFmtId="177" fontId="0" fillId="0" borderId="0" xfId="1" applyNumberFormat="1" applyFont="1"/>
    <xf numFmtId="176" fontId="0" fillId="11" borderId="0" xfId="1" applyNumberFormat="1" applyFont="1" applyFill="1"/>
    <xf numFmtId="10" fontId="1" fillId="0" borderId="0" xfId="1" applyNumberFormat="1" applyFont="1" applyFill="1"/>
    <xf numFmtId="0" fontId="0" fillId="0" borderId="0" xfId="0" applyAlignment="1">
      <alignment horizontal="center" vertical="center"/>
    </xf>
    <xf numFmtId="178" fontId="0" fillId="0" borderId="0" xfId="0" applyNumberFormat="1" applyAlignment="1">
      <alignment horizontal="left"/>
    </xf>
    <xf numFmtId="179" fontId="0" fillId="0" borderId="0" xfId="0" applyNumberFormat="1" applyAlignment="1">
      <alignment horizontal="left"/>
    </xf>
    <xf numFmtId="0" fontId="3" fillId="0" borderId="0" xfId="0" applyFont="1" applyAlignment="1">
      <alignment horizontal="center"/>
    </xf>
    <xf numFmtId="0" fontId="0" fillId="0" borderId="0" xfId="0" applyFill="1" applyAlignment="1">
      <alignment horizontal="center"/>
    </xf>
    <xf numFmtId="0" fontId="3" fillId="0" borderId="0" xfId="0" applyFont="1" applyFill="1" applyAlignment="1">
      <alignment horizontal="center"/>
    </xf>
    <xf numFmtId="0" fontId="3" fillId="2" borderId="0" xfId="0" applyFont="1" applyFill="1"/>
    <xf numFmtId="180" fontId="0" fillId="0" borderId="0" xfId="0" applyNumberFormat="1"/>
    <xf numFmtId="177" fontId="0" fillId="0" borderId="0" xfId="1" applyNumberFormat="1" applyFont="1" applyFill="1"/>
    <xf numFmtId="11" fontId="0" fillId="0" borderId="0" xfId="1" applyNumberFormat="1" applyFont="1" applyFill="1"/>
    <xf numFmtId="11" fontId="0" fillId="0" borderId="0" xfId="2" applyNumberFormat="1" applyFont="1" applyFill="1"/>
    <xf numFmtId="0" fontId="0" fillId="0" borderId="0" xfId="0" applyNumberFormat="1" applyFill="1"/>
    <xf numFmtId="10" fontId="3" fillId="0" borderId="0" xfId="0" applyNumberFormat="1" applyFont="1" applyFill="1"/>
    <xf numFmtId="11" fontId="3" fillId="0" borderId="0" xfId="0" applyNumberFormat="1" applyFont="1" applyFill="1"/>
    <xf numFmtId="10" fontId="0" fillId="0" borderId="0" xfId="0" applyNumberFormat="1" applyFill="1"/>
    <xf numFmtId="0" fontId="9" fillId="0" borderId="0" xfId="0" applyFont="1" applyFill="1" applyBorder="1" applyAlignment="1">
      <alignment horizontal="center"/>
    </xf>
    <xf numFmtId="181" fontId="0" fillId="3" borderId="0" xfId="0" applyNumberFormat="1" applyFill="1"/>
    <xf numFmtId="2" fontId="0" fillId="0" borderId="0" xfId="0" applyNumberFormat="1" applyAlignment="1">
      <alignment horizontal="left"/>
    </xf>
    <xf numFmtId="0" fontId="0" fillId="0" borderId="0" xfId="0" applyAlignment="1">
      <alignment horizontal="center" vertical="center"/>
    </xf>
    <xf numFmtId="0" fontId="0" fillId="0" borderId="0" xfId="0" applyFont="1" applyFill="1"/>
    <xf numFmtId="0" fontId="3" fillId="3" borderId="0" xfId="0" applyFont="1" applyFill="1"/>
    <xf numFmtId="11" fontId="0" fillId="3" borderId="0" xfId="0" applyNumberFormat="1" applyFill="1"/>
    <xf numFmtId="11" fontId="0" fillId="3" borderId="0" xfId="1" applyNumberFormat="1" applyFont="1" applyFill="1"/>
    <xf numFmtId="0" fontId="0" fillId="12" borderId="0" xfId="0" applyFill="1"/>
    <xf numFmtId="164" fontId="0" fillId="12" borderId="0" xfId="0" applyNumberFormat="1" applyFill="1"/>
    <xf numFmtId="11" fontId="0" fillId="12" borderId="0" xfId="0" applyNumberFormat="1" applyFill="1"/>
    <xf numFmtId="0" fontId="0" fillId="13" borderId="0" xfId="0" applyFill="1"/>
    <xf numFmtId="11" fontId="0" fillId="13" borderId="0" xfId="0" applyNumberFormat="1" applyFill="1"/>
    <xf numFmtId="1" fontId="3" fillId="2" borderId="0" xfId="0" applyNumberFormat="1" applyFont="1" applyFill="1"/>
    <xf numFmtId="0" fontId="0" fillId="0" borderId="0" xfId="0" applyAlignment="1">
      <alignment horizontal="center" wrapText="1"/>
    </xf>
    <xf numFmtId="165" fontId="0" fillId="0" borderId="0" xfId="0" applyNumberFormat="1" applyAlignment="1">
      <alignment horizontal="center"/>
    </xf>
    <xf numFmtId="11" fontId="0" fillId="2" borderId="0" xfId="0" applyNumberFormat="1" applyFill="1" applyAlignment="1">
      <alignment horizontal="center" vertical="center"/>
    </xf>
    <xf numFmtId="11" fontId="1" fillId="2" borderId="0" xfId="0" applyNumberFormat="1" applyFont="1" applyFill="1" applyAlignment="1">
      <alignment horizontal="center" vertical="center"/>
    </xf>
    <xf numFmtId="0" fontId="7" fillId="0" borderId="0" xfId="0" applyFont="1" applyFill="1" applyAlignment="1">
      <alignment horizontal="center"/>
    </xf>
    <xf numFmtId="0" fontId="3" fillId="0" borderId="0" xfId="0" applyFont="1" applyFill="1" applyAlignment="1">
      <alignment horizontal="center"/>
    </xf>
    <xf numFmtId="11" fontId="0" fillId="2" borderId="0" xfId="0" applyNumberFormat="1" applyFont="1" applyFill="1" applyAlignment="1">
      <alignment horizontal="center"/>
    </xf>
    <xf numFmtId="0" fontId="3" fillId="6" borderId="0" xfId="0" applyFont="1" applyFill="1" applyAlignment="1">
      <alignment horizontal="center"/>
    </xf>
    <xf numFmtId="0" fontId="3" fillId="0" borderId="0" xfId="0" applyFont="1" applyAlignment="1">
      <alignment horizontal="center"/>
    </xf>
    <xf numFmtId="0" fontId="0" fillId="0" borderId="0" xfId="0" applyFill="1" applyAlignment="1">
      <alignment horizontal="center"/>
    </xf>
    <xf numFmtId="0" fontId="0" fillId="0" borderId="0" xfId="0" applyAlignment="1">
      <alignment horizontal="center" vertical="center"/>
    </xf>
  </cellXfs>
  <cellStyles count="3">
    <cellStyle name="Komma" xfId="2" builtinId="3"/>
    <cellStyle name="Prozent" xfId="1" builtinId="5"/>
    <cellStyle name="Standard" xfId="0" builtinId="0"/>
  </cellStyles>
  <dxfs count="0"/>
  <tableStyles count="0" defaultTableStyle="TableStyleMedium2" defaultPivotStyle="PivotStyleMedium9"/>
  <colors>
    <mruColors>
      <color rgb="FFD214AE"/>
      <color rgb="FFB8B4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connections" Target="connections.xml"/><Relationship Id="rId20"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theme" Target="theme/theme1.xml"/><Relationship Id="rId10" Type="http://schemas.openxmlformats.org/officeDocument/2006/relationships/worksheet" Target="worksheets/sheet10.xml"/><Relationship Id="rId19"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1.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2.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13.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lineMarker"/>
        <c:varyColors val="0"/>
        <c:ser>
          <c:idx val="0"/>
          <c:order val="0"/>
          <c:tx>
            <c:strRef>
              <c:f>Comparison!$B$2</c:f>
              <c:strCache>
                <c:ptCount val="1"/>
                <c:pt idx="0">
                  <c:v>-40</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xVal>
            <c:numRef>
              <c:f>Comparison!$A$3:$A$33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Comparison!$B$3:$B$33</c:f>
              <c:numCache>
                <c:formatCode>0.00E+00</c:formatCode>
                <c:ptCount val="31"/>
                <c:pt idx="0">
                  <c:v>-5.5892037142857146E-4</c:v>
                </c:pt>
                <c:pt idx="1">
                  <c:v>-5.5890980000000007E-4</c:v>
                </c:pt>
                <c:pt idx="2">
                  <c:v>-5.5891268571428576E-4</c:v>
                </c:pt>
                <c:pt idx="3">
                  <c:v>-5.5891354285714288E-4</c:v>
                </c:pt>
                <c:pt idx="4">
                  <c:v>-5.5891380000000002E-4</c:v>
                </c:pt>
                <c:pt idx="5">
                  <c:v>-5.5891388571428573E-4</c:v>
                </c:pt>
                <c:pt idx="6">
                  <c:v>-5.5891391428571438E-4</c:v>
                </c:pt>
                <c:pt idx="7">
                  <c:v>-5.5891391428571438E-4</c:v>
                </c:pt>
                <c:pt idx="8">
                  <c:v>-5.5891391428571438E-4</c:v>
                </c:pt>
                <c:pt idx="9">
                  <c:v>-5.5891391428571438E-4</c:v>
                </c:pt>
                <c:pt idx="10">
                  <c:v>-5.5891391428571438E-4</c:v>
                </c:pt>
                <c:pt idx="11">
                  <c:v>-5.5891394285714291E-4</c:v>
                </c:pt>
                <c:pt idx="12">
                  <c:v>-5.5891397142857145E-4</c:v>
                </c:pt>
                <c:pt idx="13">
                  <c:v>-5.5891448571428572E-4</c:v>
                </c:pt>
                <c:pt idx="14">
                  <c:v>-5.5891965714285712E-4</c:v>
                </c:pt>
                <c:pt idx="15">
                  <c:v>-5.5897102857142866E-4</c:v>
                </c:pt>
                <c:pt idx="16">
                  <c:v>-5.5947377142857152E-4</c:v>
                </c:pt>
                <c:pt idx="17">
                  <c:v>-5.6355397142857143E-4</c:v>
                </c:pt>
                <c:pt idx="18">
                  <c:v>-5.7474800000000003E-4</c:v>
                </c:pt>
                <c:pt idx="19">
                  <c:v>-5.8737985714285719E-4</c:v>
                </c:pt>
                <c:pt idx="20">
                  <c:v>-6.0804631428571431E-4</c:v>
                </c:pt>
                <c:pt idx="21">
                  <c:v>-6.5085985714285718E-4</c:v>
                </c:pt>
                <c:pt idx="22">
                  <c:v>-7.1475934285714299E-4</c:v>
                </c:pt>
                <c:pt idx="23">
                  <c:v>-7.9079345714285724E-4</c:v>
                </c:pt>
                <c:pt idx="24">
                  <c:v>-8.6991351428571432E-4</c:v>
                </c:pt>
                <c:pt idx="25">
                  <c:v>-9.4754371428571436E-4</c:v>
                </c:pt>
                <c:pt idx="26">
                  <c:v>-1.0310119428571429E-3</c:v>
                </c:pt>
                <c:pt idx="27">
                  <c:v>-1.1241460285714286E-3</c:v>
                </c:pt>
                <c:pt idx="28">
                  <c:v>-1.2562818285714286E-3</c:v>
                </c:pt>
                <c:pt idx="29">
                  <c:v>-1.4614530285714286E-3</c:v>
                </c:pt>
                <c:pt idx="30">
                  <c:v>-1.802786285714286E-3</c:v>
                </c:pt>
              </c:numCache>
            </c:numRef>
          </c:yVal>
          <c:smooth val="0"/>
          <c:extLst xmlns:c16r2="http://schemas.microsoft.com/office/drawing/2015/06/chart">
            <c:ext xmlns:c16="http://schemas.microsoft.com/office/drawing/2014/chart" uri="{C3380CC4-5D6E-409C-BE32-E72D297353CC}">
              <c16:uniqueId val="{00000000-C8C0-4C81-A380-90728529DC14}"/>
            </c:ext>
          </c:extLst>
        </c:ser>
        <c:ser>
          <c:idx val="7"/>
          <c:order val="2"/>
          <c:tx>
            <c:strRef>
              <c:f>Comparison!$C$2</c:f>
              <c:strCache>
                <c:ptCount val="1"/>
                <c:pt idx="0">
                  <c:v>0</c:v>
                </c:pt>
              </c:strCache>
            </c:strRef>
          </c:tx>
          <c:spPr>
            <a:ln w="19050" cap="rnd">
              <a:solidFill>
                <a:schemeClr val="accent2">
                  <a:lumMod val="60000"/>
                </a:schemeClr>
              </a:solidFill>
              <a:round/>
            </a:ln>
            <a:effectLst/>
          </c:spPr>
          <c:marker>
            <c:symbol val="circle"/>
            <c:size val="5"/>
            <c:spPr>
              <a:solidFill>
                <a:schemeClr val="accent2">
                  <a:lumMod val="60000"/>
                </a:schemeClr>
              </a:solidFill>
              <a:ln w="9525">
                <a:solidFill>
                  <a:schemeClr val="accent2">
                    <a:lumMod val="60000"/>
                  </a:schemeClr>
                </a:solidFill>
              </a:ln>
              <a:effectLst/>
            </c:spPr>
          </c:marker>
          <c:xVal>
            <c:numRef>
              <c:f>Comparison!$A$3:$A$33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Comparison!$C$3:$C$33</c:f>
              <c:numCache>
                <c:formatCode>0.00E+00</c:formatCode>
                <c:ptCount val="31"/>
                <c:pt idx="0">
                  <c:v>-5.6168965714285715E-4</c:v>
                </c:pt>
                <c:pt idx="1">
                  <c:v>-5.6167891428571433E-4</c:v>
                </c:pt>
                <c:pt idx="2">
                  <c:v>-5.6168177142857149E-4</c:v>
                </c:pt>
                <c:pt idx="3">
                  <c:v>-5.6168260000000008E-4</c:v>
                </c:pt>
                <c:pt idx="4">
                  <c:v>-5.6168285714285721E-4</c:v>
                </c:pt>
                <c:pt idx="5">
                  <c:v>-5.6168294285714293E-4</c:v>
                </c:pt>
                <c:pt idx="6">
                  <c:v>-5.6168297142857146E-4</c:v>
                </c:pt>
                <c:pt idx="7">
                  <c:v>-5.6168297142857146E-4</c:v>
                </c:pt>
                <c:pt idx="8">
                  <c:v>-5.61683E-4</c:v>
                </c:pt>
                <c:pt idx="9">
                  <c:v>-5.61683E-4</c:v>
                </c:pt>
                <c:pt idx="10">
                  <c:v>-5.61683E-4</c:v>
                </c:pt>
                <c:pt idx="11">
                  <c:v>-5.6168320000000006E-4</c:v>
                </c:pt>
                <c:pt idx="12">
                  <c:v>-5.6168508571428574E-4</c:v>
                </c:pt>
                <c:pt idx="13">
                  <c:v>-5.617039142857144E-4</c:v>
                </c:pt>
                <c:pt idx="14">
                  <c:v>-5.6189088571428577E-4</c:v>
                </c:pt>
                <c:pt idx="15">
                  <c:v>-5.6361988571428567E-4</c:v>
                </c:pt>
                <c:pt idx="16">
                  <c:v>-5.7295888571428581E-4</c:v>
                </c:pt>
                <c:pt idx="17">
                  <c:v>-5.846362000000001E-4</c:v>
                </c:pt>
                <c:pt idx="18">
                  <c:v>-6.0134048571428575E-4</c:v>
                </c:pt>
                <c:pt idx="19">
                  <c:v>-6.3636051428571437E-4</c:v>
                </c:pt>
                <c:pt idx="20">
                  <c:v>-6.9439380000000002E-4</c:v>
                </c:pt>
                <c:pt idx="21">
                  <c:v>-7.6528542857142866E-4</c:v>
                </c:pt>
                <c:pt idx="22">
                  <c:v>-8.4155414285714278E-4</c:v>
                </c:pt>
                <c:pt idx="23">
                  <c:v>-9.1760622857142856E-4</c:v>
                </c:pt>
                <c:pt idx="24">
                  <c:v>-9.9569642857142869E-4</c:v>
                </c:pt>
                <c:pt idx="25">
                  <c:v>-1.0819888857142856E-3</c:v>
                </c:pt>
                <c:pt idx="26">
                  <c:v>-1.1905131142857144E-3</c:v>
                </c:pt>
                <c:pt idx="27">
                  <c:v>-1.357037342857143E-3</c:v>
                </c:pt>
                <c:pt idx="28">
                  <c:v>-1.6271212571428572E-3</c:v>
                </c:pt>
                <c:pt idx="29">
                  <c:v>-2.1151075142857145E-3</c:v>
                </c:pt>
                <c:pt idx="30">
                  <c:v>-3.1498225714285716E-3</c:v>
                </c:pt>
              </c:numCache>
            </c:numRef>
          </c:yVal>
          <c:smooth val="0"/>
        </c:ser>
        <c:ser>
          <c:idx val="2"/>
          <c:order val="3"/>
          <c:tx>
            <c:strRef>
              <c:f>Comparison!$D$2</c:f>
              <c:strCache>
                <c:ptCount val="1"/>
                <c:pt idx="0">
                  <c:v>25</c:v>
                </c:pt>
              </c:strCache>
            </c:strRef>
          </c:tx>
          <c:spPr>
            <a:ln w="28575" cap="rnd">
              <a:solidFill>
                <a:schemeClr val="accent3"/>
              </a:solidFill>
              <a:round/>
            </a:ln>
            <a:effectLst/>
          </c:spPr>
          <c:marker>
            <c:symbol val="circle"/>
            <c:size val="5"/>
            <c:spPr>
              <a:solidFill>
                <a:schemeClr val="accent3"/>
              </a:solidFill>
              <a:ln w="9525">
                <a:solidFill>
                  <a:schemeClr val="accent3"/>
                </a:solidFill>
              </a:ln>
              <a:effectLst/>
            </c:spPr>
          </c:marker>
          <c:xVal>
            <c:numRef>
              <c:f>Comparison!$A$3:$A$33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Comparison!$D$3:$D$33</c:f>
              <c:numCache>
                <c:formatCode>0.00E+00</c:formatCode>
                <c:ptCount val="31"/>
                <c:pt idx="0">
                  <c:v>-5.6348934285714288E-4</c:v>
                </c:pt>
                <c:pt idx="1">
                  <c:v>-5.6347848571428581E-4</c:v>
                </c:pt>
                <c:pt idx="2">
                  <c:v>-5.6348131428571432E-4</c:v>
                </c:pt>
                <c:pt idx="3">
                  <c:v>-5.6348214285714291E-4</c:v>
                </c:pt>
                <c:pt idx="4">
                  <c:v>-5.6348240000000005E-4</c:v>
                </c:pt>
                <c:pt idx="5">
                  <c:v>-5.6348248571428576E-4</c:v>
                </c:pt>
                <c:pt idx="6">
                  <c:v>-5.634825142857143E-4</c:v>
                </c:pt>
                <c:pt idx="7">
                  <c:v>-5.634825142857143E-4</c:v>
                </c:pt>
                <c:pt idx="8">
                  <c:v>-5.6348254285714294E-4</c:v>
                </c:pt>
                <c:pt idx="9">
                  <c:v>-5.6348271428571437E-4</c:v>
                </c:pt>
                <c:pt idx="10">
                  <c:v>-5.6348448571428569E-4</c:v>
                </c:pt>
                <c:pt idx="11">
                  <c:v>-5.6350217142857144E-4</c:v>
                </c:pt>
                <c:pt idx="12">
                  <c:v>-5.6367762857142858E-4</c:v>
                </c:pt>
                <c:pt idx="13">
                  <c:v>-5.6530822857142854E-4</c:v>
                </c:pt>
                <c:pt idx="14">
                  <c:v>-5.7441494285714293E-4</c:v>
                </c:pt>
                <c:pt idx="15">
                  <c:v>-5.8573588571428576E-4</c:v>
                </c:pt>
                <c:pt idx="16">
                  <c:v>-5.9907651428571431E-4</c:v>
                </c:pt>
                <c:pt idx="17">
                  <c:v>-6.1825137142857149E-4</c:v>
                </c:pt>
                <c:pt idx="18">
                  <c:v>-6.5297140000000005E-4</c:v>
                </c:pt>
                <c:pt idx="19">
                  <c:v>-7.1575365714285713E-4</c:v>
                </c:pt>
                <c:pt idx="20">
                  <c:v>-7.9640562857142866E-4</c:v>
                </c:pt>
                <c:pt idx="21">
                  <c:v>-8.8083740000000001E-4</c:v>
                </c:pt>
                <c:pt idx="22">
                  <c:v>-9.6669668571428577E-4</c:v>
                </c:pt>
                <c:pt idx="23">
                  <c:v>-1.0590879428571428E-3</c:v>
                </c:pt>
                <c:pt idx="24">
                  <c:v>-1.1709494857142858E-3</c:v>
                </c:pt>
                <c:pt idx="25">
                  <c:v>-1.338241142857143E-3</c:v>
                </c:pt>
                <c:pt idx="26">
                  <c:v>-1.6058572285714287E-3</c:v>
                </c:pt>
                <c:pt idx="27">
                  <c:v>-2.0846555428571428E-3</c:v>
                </c:pt>
                <c:pt idx="28">
                  <c:v>-3.0967014285714287E-3</c:v>
                </c:pt>
                <c:pt idx="29">
                  <c:v>-5.1020828571428575E-3</c:v>
                </c:pt>
                <c:pt idx="30">
                  <c:v>-8.8143111428571428E-3</c:v>
                </c:pt>
              </c:numCache>
            </c:numRef>
          </c:yVal>
          <c:smooth val="0"/>
          <c:extLst xmlns:c16r2="http://schemas.microsoft.com/office/drawing/2015/06/chart">
            <c:ext xmlns:c16="http://schemas.microsoft.com/office/drawing/2014/chart" uri="{C3380CC4-5D6E-409C-BE32-E72D297353CC}">
              <c16:uniqueId val="{00000002-C8C0-4C81-A380-90728529DC14}"/>
            </c:ext>
          </c:extLst>
        </c:ser>
        <c:ser>
          <c:idx val="3"/>
          <c:order val="4"/>
          <c:tx>
            <c:strRef>
              <c:f>Comparison!$E$2</c:f>
              <c:strCache>
                <c:ptCount val="1"/>
                <c:pt idx="0">
                  <c:v>50</c:v>
                </c:pt>
              </c:strCache>
            </c:strRef>
          </c:tx>
          <c:spPr>
            <a:ln w="28575" cap="rnd">
              <a:solidFill>
                <a:srgbClr val="7030A0"/>
              </a:solidFill>
              <a:round/>
            </a:ln>
            <a:effectLst/>
          </c:spPr>
          <c:marker>
            <c:symbol val="circle"/>
            <c:size val="5"/>
            <c:spPr>
              <a:solidFill>
                <a:schemeClr val="accent4"/>
              </a:solidFill>
              <a:ln w="9525">
                <a:solidFill>
                  <a:schemeClr val="accent4"/>
                </a:solidFill>
              </a:ln>
              <a:effectLst/>
            </c:spPr>
          </c:marker>
          <c:xVal>
            <c:numRef>
              <c:f>Comparison!$A$3:$A$33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Comparison!$E$3:$E$33</c:f>
              <c:numCache>
                <c:formatCode>0.00E+00</c:formatCode>
                <c:ptCount val="31"/>
                <c:pt idx="0">
                  <c:v>-5.6534522857142858E-4</c:v>
                </c:pt>
                <c:pt idx="1">
                  <c:v>-5.6533422857142862E-4</c:v>
                </c:pt>
                <c:pt idx="2">
                  <c:v>-5.6533705714285724E-4</c:v>
                </c:pt>
                <c:pt idx="3">
                  <c:v>-5.6533788571428573E-4</c:v>
                </c:pt>
                <c:pt idx="4">
                  <c:v>-5.6533814285714286E-4</c:v>
                </c:pt>
                <c:pt idx="5">
                  <c:v>-5.6533822857142858E-4</c:v>
                </c:pt>
                <c:pt idx="6">
                  <c:v>-5.6533842857142854E-4</c:v>
                </c:pt>
                <c:pt idx="7">
                  <c:v>-5.6534002857142865E-4</c:v>
                </c:pt>
                <c:pt idx="8">
                  <c:v>-5.6535597142857151E-4</c:v>
                </c:pt>
                <c:pt idx="9">
                  <c:v>-5.6551417142857146E-4</c:v>
                </c:pt>
                <c:pt idx="10">
                  <c:v>-5.6699531428571425E-4</c:v>
                </c:pt>
                <c:pt idx="11">
                  <c:v>-5.7573442857142862E-4</c:v>
                </c:pt>
                <c:pt idx="12">
                  <c:v>-5.8701614285714288E-4</c:v>
                </c:pt>
                <c:pt idx="13">
                  <c:v>-5.9998348571428575E-4</c:v>
                </c:pt>
                <c:pt idx="14">
                  <c:v>-6.1619954285714292E-4</c:v>
                </c:pt>
                <c:pt idx="15">
                  <c:v>-6.345624E-4</c:v>
                </c:pt>
                <c:pt idx="16">
                  <c:v>-6.5908922857142857E-4</c:v>
                </c:pt>
                <c:pt idx="17">
                  <c:v>-7.0183665714285723E-4</c:v>
                </c:pt>
                <c:pt idx="18">
                  <c:v>-7.7553539999999997E-4</c:v>
                </c:pt>
                <c:pt idx="19">
                  <c:v>-8.7162931428571438E-4</c:v>
                </c:pt>
                <c:pt idx="20">
                  <c:v>-9.803556571428573E-4</c:v>
                </c:pt>
                <c:pt idx="21">
                  <c:v>-1.1055107142857144E-3</c:v>
                </c:pt>
                <c:pt idx="22">
                  <c:v>-1.2797674857142859E-3</c:v>
                </c:pt>
                <c:pt idx="23">
                  <c:v>-1.5468386571428571E-3</c:v>
                </c:pt>
                <c:pt idx="24">
                  <c:v>-2.0103361428571429E-3</c:v>
                </c:pt>
                <c:pt idx="25">
                  <c:v>-2.9789217142857146E-3</c:v>
                </c:pt>
                <c:pt idx="26">
                  <c:v>-4.8967757142857147E-3</c:v>
                </c:pt>
                <c:pt idx="27">
                  <c:v>-8.4642999999999993E-3</c:v>
                </c:pt>
                <c:pt idx="28">
                  <c:v>-1.4895274571428573E-2</c:v>
                </c:pt>
                <c:pt idx="29">
                  <c:v>-2.1472374571428574E-2</c:v>
                </c:pt>
                <c:pt idx="30">
                  <c:v>-2.4615299714285718E-2</c:v>
                </c:pt>
              </c:numCache>
            </c:numRef>
          </c:yVal>
          <c:smooth val="0"/>
          <c:extLst xmlns:c16r2="http://schemas.microsoft.com/office/drawing/2015/06/chart">
            <c:ext xmlns:c16="http://schemas.microsoft.com/office/drawing/2014/chart" uri="{C3380CC4-5D6E-409C-BE32-E72D297353CC}">
              <c16:uniqueId val="{00000003-C8C0-4C81-A380-90728529DC14}"/>
            </c:ext>
          </c:extLst>
        </c:ser>
        <c:ser>
          <c:idx val="6"/>
          <c:order val="5"/>
          <c:tx>
            <c:strRef>
              <c:f>Comparison!$F$2</c:f>
              <c:strCache>
                <c:ptCount val="1"/>
                <c:pt idx="0">
                  <c:v>80</c:v>
                </c:pt>
              </c:strCache>
            </c:strRef>
          </c:tx>
          <c:spPr>
            <a:ln w="19050" cap="rnd">
              <a:solidFill>
                <a:schemeClr val="accent1">
                  <a:lumMod val="60000"/>
                </a:schemeClr>
              </a:solidFill>
              <a:round/>
            </a:ln>
            <a:effectLst/>
          </c:spPr>
          <c:marker>
            <c:symbol val="circle"/>
            <c:size val="5"/>
            <c:spPr>
              <a:solidFill>
                <a:schemeClr val="accent1">
                  <a:lumMod val="60000"/>
                </a:schemeClr>
              </a:solidFill>
              <a:ln w="9525">
                <a:solidFill>
                  <a:schemeClr val="accent1">
                    <a:lumMod val="60000"/>
                  </a:schemeClr>
                </a:solidFill>
              </a:ln>
              <a:effectLst/>
            </c:spPr>
          </c:marker>
          <c:xVal>
            <c:numRef>
              <c:f>Comparison!$A$3:$A$33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Comparison!$F$3:$F$33</c:f>
              <c:numCache>
                <c:formatCode>0.00E+00</c:formatCode>
                <c:ptCount val="31"/>
                <c:pt idx="0">
                  <c:v>-5.6765062857142858E-4</c:v>
                </c:pt>
                <c:pt idx="1">
                  <c:v>-5.6763991428571429E-4</c:v>
                </c:pt>
                <c:pt idx="2">
                  <c:v>-5.6764697142857147E-4</c:v>
                </c:pt>
                <c:pt idx="3">
                  <c:v>-5.6769022857142864E-4</c:v>
                </c:pt>
                <c:pt idx="4">
                  <c:v>-5.6810754285714291E-4</c:v>
                </c:pt>
                <c:pt idx="5">
                  <c:v>-5.7162008571428572E-4</c:v>
                </c:pt>
                <c:pt idx="6">
                  <c:v>-5.8276582857142865E-4</c:v>
                </c:pt>
                <c:pt idx="7">
                  <c:v>-5.9470314285714281E-4</c:v>
                </c:pt>
                <c:pt idx="8">
                  <c:v>-6.0905660000000006E-4</c:v>
                </c:pt>
                <c:pt idx="9">
                  <c:v>-6.2686451428571436E-4</c:v>
                </c:pt>
                <c:pt idx="10">
                  <c:v>-6.4622380000000008E-4</c:v>
                </c:pt>
                <c:pt idx="11">
                  <c:v>-6.724639142857144E-4</c:v>
                </c:pt>
                <c:pt idx="12">
                  <c:v>-7.0394182857142862E-4</c:v>
                </c:pt>
                <c:pt idx="13">
                  <c:v>-7.3808877142857144E-4</c:v>
                </c:pt>
                <c:pt idx="14">
                  <c:v>-7.7937257142857153E-4</c:v>
                </c:pt>
                <c:pt idx="15">
                  <c:v>-8.3077111428571425E-4</c:v>
                </c:pt>
                <c:pt idx="16">
                  <c:v>-9.2215834285714292E-4</c:v>
                </c:pt>
                <c:pt idx="17">
                  <c:v>-1.1030462571428572E-3</c:v>
                </c:pt>
                <c:pt idx="18">
                  <c:v>-1.4169130571428574E-3</c:v>
                </c:pt>
                <c:pt idx="19">
                  <c:v>-1.989220685714286E-3</c:v>
                </c:pt>
                <c:pt idx="20">
                  <c:v>-3.1422751428571431E-3</c:v>
                </c:pt>
                <c:pt idx="21">
                  <c:v>-5.4349865714285722E-3</c:v>
                </c:pt>
                <c:pt idx="22">
                  <c:v>-9.7543965714285731E-3</c:v>
                </c:pt>
                <c:pt idx="23">
                  <c:v>-1.6865644857142859E-2</c:v>
                </c:pt>
                <c:pt idx="24">
                  <c:v>-2.2093246E-2</c:v>
                </c:pt>
                <c:pt idx="25">
                  <c:v>-2.4779278857142862E-2</c:v>
                </c:pt>
                <c:pt idx="26">
                  <c:v>-2.6766490571428572E-2</c:v>
                </c:pt>
                <c:pt idx="27">
                  <c:v>-2.6868412571428572E-2</c:v>
                </c:pt>
                <c:pt idx="28">
                  <c:v>-2.7191233999999998E-2</c:v>
                </c:pt>
                <c:pt idx="29">
                  <c:v>-2.7195999142857145E-2</c:v>
                </c:pt>
                <c:pt idx="30">
                  <c:v>-2.7336072000000003E-2</c:v>
                </c:pt>
              </c:numCache>
            </c:numRef>
          </c:yVal>
          <c:smooth val="0"/>
          <c:extLst xmlns:c16r2="http://schemas.microsoft.com/office/drawing/2015/06/chart">
            <c:ext xmlns:c16="http://schemas.microsoft.com/office/drawing/2014/chart" uri="{C3380CC4-5D6E-409C-BE32-E72D297353CC}">
              <c16:uniqueId val="{00000004-C8C0-4C81-A380-90728529DC14}"/>
            </c:ext>
          </c:extLst>
        </c:ser>
        <c:ser>
          <c:idx val="9"/>
          <c:order val="8"/>
          <c:tx>
            <c:strRef>
              <c:f>Comparison!$G$2</c:f>
              <c:strCache>
                <c:ptCount val="1"/>
                <c:pt idx="0">
                  <c:v>125</c:v>
                </c:pt>
              </c:strCache>
            </c:strRef>
          </c:tx>
          <c:spPr>
            <a:ln w="19050" cap="rnd">
              <a:solidFill>
                <a:schemeClr val="accent4">
                  <a:lumMod val="60000"/>
                </a:schemeClr>
              </a:solidFill>
              <a:round/>
            </a:ln>
            <a:effectLst/>
          </c:spPr>
          <c:marker>
            <c:symbol val="circle"/>
            <c:size val="5"/>
            <c:spPr>
              <a:solidFill>
                <a:schemeClr val="accent4">
                  <a:lumMod val="60000"/>
                </a:schemeClr>
              </a:solidFill>
              <a:ln w="9525">
                <a:solidFill>
                  <a:schemeClr val="accent4">
                    <a:lumMod val="60000"/>
                  </a:schemeClr>
                </a:solidFill>
              </a:ln>
              <a:effectLst/>
            </c:spPr>
          </c:marker>
          <c:xVal>
            <c:numRef>
              <c:f>Comparison!$A$3:$A$33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Comparison!$G$3:$G$33</c:f>
              <c:numCache>
                <c:formatCode>0.00E+00</c:formatCode>
                <c:ptCount val="31"/>
                <c:pt idx="0">
                  <c:v>-6.1840197142857146E-4</c:v>
                </c:pt>
                <c:pt idx="1">
                  <c:v>-6.4192477142857151E-4</c:v>
                </c:pt>
                <c:pt idx="2">
                  <c:v>-6.6578565714285718E-4</c:v>
                </c:pt>
                <c:pt idx="3">
                  <c:v>-6.9553491428571434E-4</c:v>
                </c:pt>
                <c:pt idx="4">
                  <c:v>-7.2880822857142866E-4</c:v>
                </c:pt>
                <c:pt idx="5">
                  <c:v>-7.6696551428571426E-4</c:v>
                </c:pt>
                <c:pt idx="6">
                  <c:v>-8.1310145714285709E-4</c:v>
                </c:pt>
                <c:pt idx="7">
                  <c:v>-8.7520179999999999E-4</c:v>
                </c:pt>
                <c:pt idx="8">
                  <c:v>-9.7467042857142863E-4</c:v>
                </c:pt>
                <c:pt idx="9">
                  <c:v>-1.1375140571428571E-3</c:v>
                </c:pt>
                <c:pt idx="10">
                  <c:v>-1.4322549714285717E-3</c:v>
                </c:pt>
                <c:pt idx="11">
                  <c:v>-2.0606296285714289E-3</c:v>
                </c:pt>
                <c:pt idx="12">
                  <c:v>-3.3242445714285712E-3</c:v>
                </c:pt>
                <c:pt idx="13">
                  <c:v>-5.6982420000000001E-3</c:v>
                </c:pt>
                <c:pt idx="14">
                  <c:v>-1.0000507142857143E-2</c:v>
                </c:pt>
                <c:pt idx="15">
                  <c:v>-1.4185493714285716E-2</c:v>
                </c:pt>
                <c:pt idx="16">
                  <c:v>-1.6304024571428571E-2</c:v>
                </c:pt>
                <c:pt idx="17">
                  <c:v>-1.8261522000000002E-2</c:v>
                </c:pt>
                <c:pt idx="18">
                  <c:v>-1.960208028571429E-2</c:v>
                </c:pt>
                <c:pt idx="19">
                  <c:v>-2.1330320857142857E-2</c:v>
                </c:pt>
                <c:pt idx="20">
                  <c:v>-2.3068337428571433E-2</c:v>
                </c:pt>
                <c:pt idx="21">
                  <c:v>-2.4452565714285716E-2</c:v>
                </c:pt>
                <c:pt idx="22">
                  <c:v>-2.5445066857142859E-2</c:v>
                </c:pt>
                <c:pt idx="23">
                  <c:v>-2.6120219142857143E-2</c:v>
                </c:pt>
                <c:pt idx="24">
                  <c:v>-2.6581952857142859E-2</c:v>
                </c:pt>
                <c:pt idx="25">
                  <c:v>-2.6895848857142857E-2</c:v>
                </c:pt>
                <c:pt idx="26">
                  <c:v>-2.6954494571428574E-2</c:v>
                </c:pt>
                <c:pt idx="27">
                  <c:v>-2.7217686571428569E-2</c:v>
                </c:pt>
                <c:pt idx="28">
                  <c:v>-2.7221723714285714E-2</c:v>
                </c:pt>
                <c:pt idx="29">
                  <c:v>-2.7305871714285716E-2</c:v>
                </c:pt>
                <c:pt idx="30">
                  <c:v>-2.7309677428571429E-2</c:v>
                </c:pt>
              </c:numCache>
            </c:numRef>
          </c:yVal>
          <c:smooth val="0"/>
        </c:ser>
        <c:ser>
          <c:idx val="5"/>
          <c:order val="9"/>
          <c:tx>
            <c:strRef>
              <c:f>Comparison!$H$2</c:f>
              <c:strCache>
                <c:ptCount val="1"/>
                <c:pt idx="0">
                  <c:v>160</c:v>
                </c:pt>
              </c:strCache>
            </c:strRef>
          </c:tx>
          <c:spPr>
            <a:ln w="28575" cap="rnd">
              <a:solidFill>
                <a:schemeClr val="accent6"/>
              </a:solidFill>
              <a:round/>
            </a:ln>
            <a:effectLst/>
          </c:spPr>
          <c:marker>
            <c:symbol val="circle"/>
            <c:size val="5"/>
            <c:spPr>
              <a:solidFill>
                <a:schemeClr val="accent6"/>
              </a:solidFill>
              <a:ln w="9525">
                <a:solidFill>
                  <a:schemeClr val="accent6"/>
                </a:solidFill>
              </a:ln>
              <a:effectLst/>
            </c:spPr>
          </c:marker>
          <c:xVal>
            <c:numRef>
              <c:f>Comparison!$A$3:$A$33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Comparison!$H$3:$H$33</c:f>
              <c:numCache>
                <c:formatCode>0.00E+00</c:formatCode>
                <c:ptCount val="31"/>
                <c:pt idx="0">
                  <c:v>-6.5662397142857143E-4</c:v>
                </c:pt>
                <c:pt idx="1">
                  <c:v>-6.9128320000000007E-4</c:v>
                </c:pt>
                <c:pt idx="2">
                  <c:v>-7.2510685714285712E-4</c:v>
                </c:pt>
                <c:pt idx="3">
                  <c:v>-7.6208288571428585E-4</c:v>
                </c:pt>
                <c:pt idx="4">
                  <c:v>-8.0717060000000005E-4</c:v>
                </c:pt>
                <c:pt idx="5">
                  <c:v>-8.6432000000000013E-4</c:v>
                </c:pt>
                <c:pt idx="6">
                  <c:v>-9.5559037142857147E-4</c:v>
                </c:pt>
                <c:pt idx="7">
                  <c:v>-1.1032781142857142E-3</c:v>
                </c:pt>
                <c:pt idx="8">
                  <c:v>-1.3608547142857144E-3</c:v>
                </c:pt>
                <c:pt idx="9">
                  <c:v>-1.8943430571428572E-3</c:v>
                </c:pt>
                <c:pt idx="10">
                  <c:v>-2.9633485714285718E-3</c:v>
                </c:pt>
                <c:pt idx="11">
                  <c:v>-5.0025814285714291E-3</c:v>
                </c:pt>
                <c:pt idx="12">
                  <c:v>-8.7717962857142857E-3</c:v>
                </c:pt>
                <c:pt idx="13">
                  <c:v>-1.3274090285714286E-2</c:v>
                </c:pt>
                <c:pt idx="14">
                  <c:v>-1.5647893142857142E-2</c:v>
                </c:pt>
                <c:pt idx="15">
                  <c:v>-1.7303699142857145E-2</c:v>
                </c:pt>
                <c:pt idx="16">
                  <c:v>-1.8197246571428575E-2</c:v>
                </c:pt>
                <c:pt idx="17">
                  <c:v>-1.9020716E-2</c:v>
                </c:pt>
                <c:pt idx="18">
                  <c:v>-2.0558336000000003E-2</c:v>
                </c:pt>
                <c:pt idx="19">
                  <c:v>-2.2364219142857147E-2</c:v>
                </c:pt>
                <c:pt idx="20">
                  <c:v>-2.3917288000000002E-2</c:v>
                </c:pt>
                <c:pt idx="21">
                  <c:v>-2.5069089428571428E-2</c:v>
                </c:pt>
                <c:pt idx="22">
                  <c:v>-2.5863646571428575E-2</c:v>
                </c:pt>
                <c:pt idx="23">
                  <c:v>-2.6408451142857142E-2</c:v>
                </c:pt>
                <c:pt idx="24">
                  <c:v>-2.6778495142857142E-2</c:v>
                </c:pt>
                <c:pt idx="25">
                  <c:v>-2.6843666571428573E-2</c:v>
                </c:pt>
                <c:pt idx="26">
                  <c:v>-2.693226342857143E-2</c:v>
                </c:pt>
                <c:pt idx="27">
                  <c:v>-2.7235974857142856E-2</c:v>
                </c:pt>
                <c:pt idx="28">
                  <c:v>-2.7240321142857141E-2</c:v>
                </c:pt>
                <c:pt idx="29">
                  <c:v>-2.7359462000000005E-2</c:v>
                </c:pt>
                <c:pt idx="30">
                  <c:v>-2.7362212285714289E-2</c:v>
                </c:pt>
              </c:numCache>
            </c:numRef>
          </c:yVal>
          <c:smooth val="0"/>
          <c:extLst xmlns:c16r2="http://schemas.microsoft.com/office/drawing/2015/06/chart">
            <c:ext xmlns:c16="http://schemas.microsoft.com/office/drawing/2014/chart" uri="{C3380CC4-5D6E-409C-BE32-E72D297353CC}">
              <c16:uniqueId val="{00000006-C8C0-4C81-A380-90728529DC14}"/>
            </c:ext>
          </c:extLst>
        </c:ser>
        <c:dLbls>
          <c:showLegendKey val="0"/>
          <c:showVal val="0"/>
          <c:showCatName val="0"/>
          <c:showSerName val="0"/>
          <c:showPercent val="0"/>
          <c:showBubbleSize val="0"/>
        </c:dLbls>
        <c:axId val="548011352"/>
        <c:axId val="548008608"/>
        <c:extLst>
          <c:ext xmlns:c15="http://schemas.microsoft.com/office/drawing/2012/chart" uri="{02D57815-91ED-43cb-92C2-25804820EDAC}">
            <c15:filteredScatterSeries>
              <c15:ser>
                <c:idx val="1"/>
                <c:order val="1"/>
                <c:tx>
                  <c:strRef>
                    <c:extLst>
                      <c:ext uri="{02D57815-91ED-43cb-92C2-25804820EDAC}">
                        <c15:formulaRef>
                          <c15:sqref>Comparison!#REF!</c15:sqref>
                        </c15:formulaRef>
                      </c:ext>
                    </c:extLst>
                    <c:strCache>
                      <c:ptCount val="1"/>
                      <c:pt idx="0">
                        <c:v>#REF!</c:v>
                      </c:pt>
                    </c:strCache>
                  </c:strRef>
                </c:tx>
                <c:spPr>
                  <a:ln w="28575" cap="rnd">
                    <a:solidFill>
                      <a:schemeClr val="accent2"/>
                    </a:solidFill>
                    <a:round/>
                  </a:ln>
                  <a:effectLst/>
                </c:spPr>
                <c:marker>
                  <c:symbol val="circle"/>
                  <c:size val="5"/>
                  <c:spPr>
                    <a:solidFill>
                      <a:schemeClr val="accent2"/>
                    </a:solidFill>
                    <a:ln w="9525">
                      <a:solidFill>
                        <a:schemeClr val="accent2"/>
                      </a:solidFill>
                    </a:ln>
                    <a:effectLst/>
                  </c:spPr>
                </c:marker>
                <c:xVal>
                  <c:numRef>
                    <c:extLst>
                      <c:ext uri="{02D57815-91ED-43cb-92C2-25804820EDAC}">
                        <c15:formulaRef>
                          <c15:sqref>Comparison!$A$3:$A$33</c15:sqref>
                        </c15:formulaRef>
                      </c:ext>
                    </c:extLst>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extLst>
                      <c:ext uri="{02D57815-91ED-43cb-92C2-25804820EDAC}">
                        <c15:formulaRef>
                          <c15:sqref>Comparison!#REF!</c15:sqref>
                        </c15:formulaRef>
                      </c:ext>
                    </c:extLst>
                    <c:numCache>
                      <c:formatCode>General</c:formatCode>
                      <c:ptCount val="1"/>
                      <c:pt idx="0">
                        <c:v>1</c:v>
                      </c:pt>
                    </c:numCache>
                  </c:numRef>
                </c:yVal>
                <c:smooth val="0"/>
                <c:extLst xmlns:c16r2="http://schemas.microsoft.com/office/drawing/2015/06/chart">
                  <c:ext xmlns:c16="http://schemas.microsoft.com/office/drawing/2014/chart" uri="{C3380CC4-5D6E-409C-BE32-E72D297353CC}">
                    <c16:uniqueId val="{00000001-C8C0-4C81-A380-90728529DC14}"/>
                  </c:ext>
                </c:extLst>
              </c15:ser>
            </c15:filteredScatterSeries>
            <c15:filteredScatterSeries>
              <c15:ser>
                <c:idx val="4"/>
                <c:order val="6"/>
                <c:tx>
                  <c:strRef>
                    <c:extLst xmlns:c15="http://schemas.microsoft.com/office/drawing/2012/chart">
                      <c:ext xmlns:c15="http://schemas.microsoft.com/office/drawing/2012/chart" uri="{02D57815-91ED-43cb-92C2-25804820EDAC}">
                        <c15:formulaRef>
                          <c15:sqref>Comparison!#REF!</c15:sqref>
                        </c15:formulaRef>
                      </c:ext>
                    </c:extLst>
                    <c:strCache>
                      <c:ptCount val="1"/>
                      <c:pt idx="0">
                        <c:v>#REF!</c:v>
                      </c:pt>
                    </c:strCache>
                  </c:strRef>
                </c:tx>
                <c:spPr>
                  <a:ln w="28575" cap="rnd">
                    <a:solidFill>
                      <a:schemeClr val="accent5"/>
                    </a:solidFill>
                    <a:round/>
                  </a:ln>
                  <a:effectLst/>
                </c:spPr>
                <c:marker>
                  <c:symbol val="circle"/>
                  <c:size val="5"/>
                  <c:spPr>
                    <a:solidFill>
                      <a:schemeClr val="accent5"/>
                    </a:solidFill>
                    <a:ln w="9525">
                      <a:solidFill>
                        <a:schemeClr val="accent5"/>
                      </a:solidFill>
                    </a:ln>
                    <a:effectLst/>
                  </c:spPr>
                </c:marker>
                <c:xVal>
                  <c:numRef>
                    <c:extLst xmlns:c15="http://schemas.microsoft.com/office/drawing/2012/chart">
                      <c:ext xmlns:c15="http://schemas.microsoft.com/office/drawing/2012/chart" uri="{02D57815-91ED-43cb-92C2-25804820EDAC}">
                        <c15:formulaRef>
                          <c15:sqref>Comparison!$A$3:$A$33</c15:sqref>
                        </c15:formulaRef>
                      </c:ext>
                    </c:extLst>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extLst xmlns:c15="http://schemas.microsoft.com/office/drawing/2012/chart">
                      <c:ext xmlns:c15="http://schemas.microsoft.com/office/drawing/2012/chart" uri="{02D57815-91ED-43cb-92C2-25804820EDAC}">
                        <c15:formulaRef>
                          <c15:sqref>Comparison!#REF!</c15:sqref>
                        </c15:formulaRef>
                      </c:ext>
                    </c:extLst>
                    <c:numCache>
                      <c:formatCode>General</c:formatCode>
                      <c:ptCount val="1"/>
                      <c:pt idx="0">
                        <c:v>1</c:v>
                      </c:pt>
                    </c:numCache>
                  </c:numRef>
                </c:yVal>
                <c:smooth val="0"/>
                <c:extLst xmlns:c15="http://schemas.microsoft.com/office/drawing/2012/chart" xmlns:c16r2="http://schemas.microsoft.com/office/drawing/2015/06/chart">
                  <c:ext xmlns:c16="http://schemas.microsoft.com/office/drawing/2014/chart" uri="{C3380CC4-5D6E-409C-BE32-E72D297353CC}">
                    <c16:uniqueId val="{00000005-C8C0-4C81-A380-90728529DC14}"/>
                  </c:ext>
                </c:extLst>
              </c15:ser>
            </c15:filteredScatterSeries>
            <c15:filteredScatterSeries>
              <c15:ser>
                <c:idx val="8"/>
                <c:order val="7"/>
                <c:tx>
                  <c:strRef>
                    <c:extLst xmlns:c15="http://schemas.microsoft.com/office/drawing/2012/chart">
                      <c:ext xmlns:c15="http://schemas.microsoft.com/office/drawing/2012/chart" uri="{02D57815-91ED-43cb-92C2-25804820EDAC}">
                        <c15:formulaRef>
                          <c15:sqref>Comparison!#REF!</c15:sqref>
                        </c15:formulaRef>
                      </c:ext>
                    </c:extLst>
                    <c:strCache>
                      <c:ptCount val="1"/>
                      <c:pt idx="0">
                        <c:v>#REF!</c:v>
                      </c:pt>
                    </c:strCache>
                  </c:strRef>
                </c:tx>
                <c:spPr>
                  <a:ln w="19050" cap="rnd">
                    <a:solidFill>
                      <a:schemeClr val="accent3">
                        <a:lumMod val="60000"/>
                      </a:schemeClr>
                    </a:solidFill>
                    <a:round/>
                  </a:ln>
                  <a:effectLst/>
                </c:spPr>
                <c:marker>
                  <c:symbol val="circle"/>
                  <c:size val="5"/>
                  <c:spPr>
                    <a:solidFill>
                      <a:schemeClr val="accent3">
                        <a:lumMod val="60000"/>
                      </a:schemeClr>
                    </a:solidFill>
                    <a:ln w="9525">
                      <a:solidFill>
                        <a:schemeClr val="accent3">
                          <a:lumMod val="60000"/>
                        </a:schemeClr>
                      </a:solidFill>
                    </a:ln>
                    <a:effectLst/>
                  </c:spPr>
                </c:marker>
                <c:xVal>
                  <c:numRef>
                    <c:extLst xmlns:c15="http://schemas.microsoft.com/office/drawing/2012/chart">
                      <c:ext xmlns:c15="http://schemas.microsoft.com/office/drawing/2012/chart" uri="{02D57815-91ED-43cb-92C2-25804820EDAC}">
                        <c15:formulaRef>
                          <c15:sqref>Comparison!$A$3:$A$33</c15:sqref>
                        </c15:formulaRef>
                      </c:ext>
                    </c:extLst>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extLst xmlns:c15="http://schemas.microsoft.com/office/drawing/2012/chart">
                      <c:ext xmlns:c15="http://schemas.microsoft.com/office/drawing/2012/chart" uri="{02D57815-91ED-43cb-92C2-25804820EDAC}">
                        <c15:formulaRef>
                          <c15:sqref>Comparison!#REF!</c15:sqref>
                        </c15:formulaRef>
                      </c:ext>
                    </c:extLst>
                    <c:numCache>
                      <c:formatCode>General</c:formatCode>
                      <c:ptCount val="1"/>
                      <c:pt idx="0">
                        <c:v>1</c:v>
                      </c:pt>
                    </c:numCache>
                  </c:numRef>
                </c:yVal>
                <c:smooth val="0"/>
              </c15:ser>
            </c15:filteredScatterSeries>
          </c:ext>
        </c:extLst>
      </c:scatterChart>
      <c:valAx>
        <c:axId val="548011352"/>
        <c:scaling>
          <c:logBase val="10"/>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t [s]</a:t>
                </a:r>
              </a:p>
            </c:rich>
          </c:tx>
          <c:layout>
            <c:manualLayout>
              <c:xMode val="edge"/>
              <c:yMode val="edge"/>
              <c:x val="0.52463401042847224"/>
              <c:y val="0.77277704870224551"/>
            </c:manualLayout>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0.00E+00" sourceLinked="0"/>
        <c:majorTickMark val="none"/>
        <c:minorTickMark val="none"/>
        <c:tickLblPos val="high"/>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548008608"/>
        <c:crossesAt val="-8.0000000000000019E-3"/>
        <c:crossBetween val="midCat"/>
      </c:valAx>
      <c:valAx>
        <c:axId val="548008608"/>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sz="1000" b="0" i="0" baseline="0">
                    <a:effectLst/>
                  </a:rPr>
                  <a:t>Strain</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General" sourceLinked="0"/>
        <c:majorTickMark val="none"/>
        <c:minorTickMark val="none"/>
        <c:tickLblPos val="low"/>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548011352"/>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de-DE"/>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lineMarker"/>
        <c:varyColors val="0"/>
        <c:ser>
          <c:idx val="0"/>
          <c:order val="0"/>
          <c:tx>
            <c:strRef>
              <c:f>Comparison!$O$2</c:f>
              <c:strCache>
                <c:ptCount val="1"/>
                <c:pt idx="0">
                  <c:v>-40</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xVal>
            <c:numRef>
              <c:f>Comparison!$N$3:$N$33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Comparison!$O$3:$O$33</c:f>
              <c:numCache>
                <c:formatCode>0.00E+00</c:formatCode>
                <c:ptCount val="31"/>
                <c:pt idx="0">
                  <c:v>17891.636288798203</c:v>
                </c:pt>
                <c:pt idx="1">
                  <c:v>17891.97469788506</c:v>
                </c:pt>
                <c:pt idx="2">
                  <c:v>17891.882320080251</c:v>
                </c:pt>
                <c:pt idx="3">
                  <c:v>17891.85488131208</c:v>
                </c:pt>
                <c:pt idx="4">
                  <c:v>17891.84664969804</c:v>
                </c:pt>
                <c:pt idx="5">
                  <c:v>17891.843905828377</c:v>
                </c:pt>
                <c:pt idx="6">
                  <c:v>17891.84299120534</c:v>
                </c:pt>
                <c:pt idx="7">
                  <c:v>17891.84299120534</c:v>
                </c:pt>
                <c:pt idx="8">
                  <c:v>17891.84299120534</c:v>
                </c:pt>
                <c:pt idx="9">
                  <c:v>17891.84299120534</c:v>
                </c:pt>
                <c:pt idx="10">
                  <c:v>17891.84299120534</c:v>
                </c:pt>
                <c:pt idx="11">
                  <c:v>17891.842076582398</c:v>
                </c:pt>
                <c:pt idx="12">
                  <c:v>17891.841161959554</c:v>
                </c:pt>
                <c:pt idx="13">
                  <c:v>17891.824698764292</c:v>
                </c:pt>
                <c:pt idx="14">
                  <c:v>17891.659153873792</c:v>
                </c:pt>
                <c:pt idx="15">
                  <c:v>17890.014846667746</c:v>
                </c:pt>
                <c:pt idx="16">
                  <c:v>17873.938888083707</c:v>
                </c:pt>
                <c:pt idx="17">
                  <c:v>17744.529374268575</c:v>
                </c:pt>
                <c:pt idx="18">
                  <c:v>17398.92961784991</c:v>
                </c:pt>
                <c:pt idx="19">
                  <c:v>17024.758132909366</c:v>
                </c:pt>
                <c:pt idx="20">
                  <c:v>16446.115641285032</c:v>
                </c:pt>
                <c:pt idx="21">
                  <c:v>15364.29062301979</c:v>
                </c:pt>
                <c:pt idx="22">
                  <c:v>13990.723031372356</c:v>
                </c:pt>
                <c:pt idx="23">
                  <c:v>12645.526982646108</c:v>
                </c:pt>
                <c:pt idx="24">
                  <c:v>11495.395617817245</c:v>
                </c:pt>
                <c:pt idx="25">
                  <c:v>10553.602804001805</c:v>
                </c:pt>
                <c:pt idx="26">
                  <c:v>9699.2086942154856</c:v>
                </c:pt>
                <c:pt idx="27">
                  <c:v>8895.6414432278507</c:v>
                </c:pt>
                <c:pt idx="28">
                  <c:v>7959.9973290797534</c:v>
                </c:pt>
                <c:pt idx="29">
                  <c:v>6842.5052358850062</c:v>
                </c:pt>
                <c:pt idx="30">
                  <c:v>5546.9691994233681</c:v>
                </c:pt>
              </c:numCache>
            </c:numRef>
          </c:yVal>
          <c:smooth val="0"/>
          <c:extLst xmlns:c16r2="http://schemas.microsoft.com/office/drawing/2015/06/chart">
            <c:ext xmlns:c16="http://schemas.microsoft.com/office/drawing/2014/chart" uri="{C3380CC4-5D6E-409C-BE32-E72D297353CC}">
              <c16:uniqueId val="{00000000-9BEB-4790-9011-1BFD2508CE90}"/>
            </c:ext>
          </c:extLst>
        </c:ser>
        <c:ser>
          <c:idx val="2"/>
          <c:order val="2"/>
          <c:tx>
            <c:strRef>
              <c:f>Comparison!$P$2</c:f>
              <c:strCache>
                <c:ptCount val="1"/>
                <c:pt idx="0">
                  <c:v>0</c:v>
                </c:pt>
              </c:strCache>
            </c:strRef>
          </c:tx>
          <c:spPr>
            <a:ln w="28575" cap="rnd">
              <a:solidFill>
                <a:schemeClr val="accent3"/>
              </a:solidFill>
              <a:round/>
            </a:ln>
            <a:effectLst/>
          </c:spPr>
          <c:marker>
            <c:symbol val="circle"/>
            <c:size val="5"/>
            <c:spPr>
              <a:solidFill>
                <a:schemeClr val="accent3"/>
              </a:solidFill>
              <a:ln w="9525">
                <a:solidFill>
                  <a:schemeClr val="accent3"/>
                </a:solidFill>
              </a:ln>
              <a:effectLst/>
            </c:spPr>
          </c:marker>
          <c:xVal>
            <c:numRef>
              <c:f>Comparison!$N$3:$N$33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Comparison!$P$3:$P$33</c:f>
              <c:numCache>
                <c:formatCode>0.00E+00</c:formatCode>
                <c:ptCount val="31"/>
                <c:pt idx="0">
                  <c:v>17803.425562199114</c:v>
                </c:pt>
                <c:pt idx="1">
                  <c:v>17803.766076419255</c:v>
                </c:pt>
                <c:pt idx="2">
                  <c:v>17803.675512855218</c:v>
                </c:pt>
                <c:pt idx="3">
                  <c:v>17803.649249593986</c:v>
                </c:pt>
                <c:pt idx="4">
                  <c:v>17803.641098942462</c:v>
                </c:pt>
                <c:pt idx="5">
                  <c:v>17803.638382060279</c:v>
                </c:pt>
                <c:pt idx="6">
                  <c:v>17803.637476433069</c:v>
                </c:pt>
                <c:pt idx="7">
                  <c:v>17803.637476433069</c:v>
                </c:pt>
                <c:pt idx="8">
                  <c:v>17803.636570805953</c:v>
                </c:pt>
                <c:pt idx="9">
                  <c:v>17803.636570805953</c:v>
                </c:pt>
                <c:pt idx="10">
                  <c:v>17803.636570805953</c:v>
                </c:pt>
                <c:pt idx="11">
                  <c:v>17803.630231418705</c:v>
                </c:pt>
                <c:pt idx="12">
                  <c:v>17803.570460275198</c:v>
                </c:pt>
                <c:pt idx="13">
                  <c:v>17802.973676472251</c:v>
                </c:pt>
                <c:pt idx="14">
                  <c:v>17797.049666124803</c:v>
                </c:pt>
                <c:pt idx="15">
                  <c:v>17742.454184927879</c:v>
                </c:pt>
                <c:pt idx="16">
                  <c:v>17453.259298934485</c:v>
                </c:pt>
                <c:pt idx="17">
                  <c:v>17104.654142182775</c:v>
                </c:pt>
                <c:pt idx="18">
                  <c:v>16629.513956842227</c:v>
                </c:pt>
                <c:pt idx="19">
                  <c:v>15714.36281087387</c:v>
                </c:pt>
                <c:pt idx="20">
                  <c:v>14401.050239791886</c:v>
                </c:pt>
                <c:pt idx="21">
                  <c:v>13067.019998887436</c:v>
                </c:pt>
                <c:pt idx="22">
                  <c:v>11882.776746899743</c:v>
                </c:pt>
                <c:pt idx="23">
                  <c:v>10897.920795032591</c:v>
                </c:pt>
                <c:pt idx="24">
                  <c:v>10043.221722053837</c:v>
                </c:pt>
                <c:pt idx="25">
                  <c:v>9242.2391135731505</c:v>
                </c:pt>
                <c:pt idx="26">
                  <c:v>8399.7394736804836</c:v>
                </c:pt>
                <c:pt idx="27">
                  <c:v>7368.9939725208524</c:v>
                </c:pt>
                <c:pt idx="28">
                  <c:v>6145.8234634335095</c:v>
                </c:pt>
                <c:pt idx="29">
                  <c:v>4727.8920492025509</c:v>
                </c:pt>
                <c:pt idx="30">
                  <c:v>3174.7819990586318</c:v>
                </c:pt>
              </c:numCache>
            </c:numRef>
          </c:yVal>
          <c:smooth val="0"/>
          <c:extLst xmlns:c16r2="http://schemas.microsoft.com/office/drawing/2015/06/chart">
            <c:ext xmlns:c16="http://schemas.microsoft.com/office/drawing/2014/chart" uri="{C3380CC4-5D6E-409C-BE32-E72D297353CC}">
              <c16:uniqueId val="{00000002-9BEB-4790-9011-1BFD2508CE90}"/>
            </c:ext>
          </c:extLst>
        </c:ser>
        <c:ser>
          <c:idx val="3"/>
          <c:order val="3"/>
          <c:tx>
            <c:strRef>
              <c:f>Comparison!$Q$2</c:f>
              <c:strCache>
                <c:ptCount val="1"/>
                <c:pt idx="0">
                  <c:v>25</c:v>
                </c:pt>
              </c:strCache>
            </c:strRef>
          </c:tx>
          <c:spPr>
            <a:ln w="28575" cap="rnd">
              <a:solidFill>
                <a:schemeClr val="accent4"/>
              </a:solidFill>
              <a:round/>
            </a:ln>
            <a:effectLst/>
          </c:spPr>
          <c:marker>
            <c:symbol val="circle"/>
            <c:size val="5"/>
            <c:spPr>
              <a:solidFill>
                <a:schemeClr val="accent4"/>
              </a:solidFill>
              <a:ln w="9525">
                <a:solidFill>
                  <a:schemeClr val="accent4"/>
                </a:solidFill>
              </a:ln>
              <a:effectLst/>
            </c:spPr>
          </c:marker>
          <c:xVal>
            <c:numRef>
              <c:f>Comparison!$N$3:$N$33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Comparison!$Q$3:$Q$33</c:f>
              <c:numCache>
                <c:formatCode>0.00E+00</c:formatCode>
                <c:ptCount val="31"/>
                <c:pt idx="0">
                  <c:v>17746.564556652535</c:v>
                </c:pt>
                <c:pt idx="1">
                  <c:v>17746.906498699122</c:v>
                </c:pt>
                <c:pt idx="2">
                  <c:v>17746.817412528217</c:v>
                </c:pt>
                <c:pt idx="3">
                  <c:v>17746.791316748531</c:v>
                </c:pt>
                <c:pt idx="4">
                  <c:v>17746.783218073891</c:v>
                </c:pt>
                <c:pt idx="5">
                  <c:v>17746.78051851732</c:v>
                </c:pt>
                <c:pt idx="6">
                  <c:v>17746.77961866531</c:v>
                </c:pt>
                <c:pt idx="7">
                  <c:v>17746.77961866531</c:v>
                </c:pt>
                <c:pt idx="8">
                  <c:v>17746.778718813392</c:v>
                </c:pt>
                <c:pt idx="9">
                  <c:v>17746.773319703811</c:v>
                </c:pt>
                <c:pt idx="10">
                  <c:v>17746.717529097139</c:v>
                </c:pt>
                <c:pt idx="11">
                  <c:v>17746.160542111738</c:v>
                </c:pt>
                <c:pt idx="12">
                  <c:v>17740.636656707073</c:v>
                </c:pt>
                <c:pt idx="13">
                  <c:v>17689.464781488612</c:v>
                </c:pt>
                <c:pt idx="14">
                  <c:v>17409.017861304143</c:v>
                </c:pt>
                <c:pt idx="15">
                  <c:v>17072.541129702728</c:v>
                </c:pt>
                <c:pt idx="16">
                  <c:v>16692.358591161119</c:v>
                </c:pt>
                <c:pt idx="17">
                  <c:v>16174.650736145324</c:v>
                </c:pt>
                <c:pt idx="18">
                  <c:v>15314.606428397934</c:v>
                </c:pt>
                <c:pt idx="19">
                  <c:v>13971.287327986509</c:v>
                </c:pt>
                <c:pt idx="20">
                  <c:v>12556.415526517228</c:v>
                </c:pt>
                <c:pt idx="21">
                  <c:v>11352.833110855647</c:v>
                </c:pt>
                <c:pt idx="22">
                  <c:v>10344.506345970418</c:v>
                </c:pt>
                <c:pt idx="23">
                  <c:v>9442.0865306261639</c:v>
                </c:pt>
                <c:pt idx="24">
                  <c:v>8540.0780494813098</c:v>
                </c:pt>
                <c:pt idx="25">
                  <c:v>7472.4948140885981</c:v>
                </c:pt>
                <c:pt idx="26">
                  <c:v>6227.2036530271153</c:v>
                </c:pt>
                <c:pt idx="27">
                  <c:v>4796.9555614422579</c:v>
                </c:pt>
                <c:pt idx="28">
                  <c:v>3229.2425442556155</c:v>
                </c:pt>
                <c:pt idx="29">
                  <c:v>1959.9838497330782</c:v>
                </c:pt>
                <c:pt idx="30">
                  <c:v>1134.5186070613929</c:v>
                </c:pt>
              </c:numCache>
            </c:numRef>
          </c:yVal>
          <c:smooth val="0"/>
          <c:extLst xmlns:c16r2="http://schemas.microsoft.com/office/drawing/2015/06/chart">
            <c:ext xmlns:c16="http://schemas.microsoft.com/office/drawing/2014/chart" uri="{C3380CC4-5D6E-409C-BE32-E72D297353CC}">
              <c16:uniqueId val="{00000003-9BEB-4790-9011-1BFD2508CE90}"/>
            </c:ext>
          </c:extLst>
        </c:ser>
        <c:ser>
          <c:idx val="6"/>
          <c:order val="4"/>
          <c:tx>
            <c:strRef>
              <c:f>Comparison!$R$2</c:f>
              <c:strCache>
                <c:ptCount val="1"/>
                <c:pt idx="0">
                  <c:v>50</c:v>
                </c:pt>
              </c:strCache>
            </c:strRef>
          </c:tx>
          <c:spPr>
            <a:ln w="19050" cap="rnd">
              <a:solidFill>
                <a:schemeClr val="accent1">
                  <a:lumMod val="60000"/>
                </a:schemeClr>
              </a:solidFill>
              <a:round/>
            </a:ln>
            <a:effectLst/>
          </c:spPr>
          <c:marker>
            <c:symbol val="circle"/>
            <c:size val="5"/>
            <c:spPr>
              <a:solidFill>
                <a:schemeClr val="accent1">
                  <a:lumMod val="60000"/>
                </a:schemeClr>
              </a:solidFill>
              <a:ln w="9525">
                <a:solidFill>
                  <a:schemeClr val="accent1">
                    <a:lumMod val="60000"/>
                  </a:schemeClr>
                </a:solidFill>
              </a:ln>
              <a:effectLst/>
            </c:spPr>
          </c:marker>
          <c:xVal>
            <c:numRef>
              <c:f>Comparison!$N$3:$N$33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Comparison!$R$3:$R$33</c:f>
              <c:numCache>
                <c:formatCode>0.00E+00</c:formatCode>
                <c:ptCount val="31"/>
                <c:pt idx="0">
                  <c:v>17688.307063754673</c:v>
                </c:pt>
                <c:pt idx="1">
                  <c:v>17688.651234278703</c:v>
                </c:pt>
                <c:pt idx="2">
                  <c:v>17688.562732007609</c:v>
                </c:pt>
                <c:pt idx="3">
                  <c:v>17688.536807267625</c:v>
                </c:pt>
                <c:pt idx="4">
                  <c:v>17688.528761674112</c:v>
                </c:pt>
                <c:pt idx="5">
                  <c:v>17688.526079811236</c:v>
                </c:pt>
                <c:pt idx="6">
                  <c:v>17688.519822134353</c:v>
                </c:pt>
                <c:pt idx="7">
                  <c:v>17688.46976087867</c:v>
                </c:pt>
                <c:pt idx="8">
                  <c:v>17687.970951702286</c:v>
                </c:pt>
                <c:pt idx="9">
                  <c:v>17683.02282282076</c:v>
                </c:pt>
                <c:pt idx="10">
                  <c:v>17636.830054932176</c:v>
                </c:pt>
                <c:pt idx="11">
                  <c:v>17369.119343467137</c:v>
                </c:pt>
                <c:pt idx="12">
                  <c:v>17035.306646470905</c:v>
                </c:pt>
                <c:pt idx="13">
                  <c:v>16667.125409451746</c:v>
                </c:pt>
                <c:pt idx="14">
                  <c:v>16228.509280667151</c:v>
                </c:pt>
                <c:pt idx="15">
                  <c:v>15758.891481751834</c:v>
                </c:pt>
                <c:pt idx="16">
                  <c:v>15172.452479120213</c:v>
                </c:pt>
                <c:pt idx="17">
                  <c:v>14248.329576727314</c:v>
                </c:pt>
                <c:pt idx="18">
                  <c:v>12894.317912502769</c:v>
                </c:pt>
                <c:pt idx="19">
                  <c:v>11472.766961945093</c:v>
                </c:pt>
                <c:pt idx="20">
                  <c:v>10200.379757223965</c:v>
                </c:pt>
                <c:pt idx="21">
                  <c:v>9045.5930193866425</c:v>
                </c:pt>
                <c:pt idx="22">
                  <c:v>7813.9194124146916</c:v>
                </c:pt>
                <c:pt idx="23">
                  <c:v>6464.7983510257318</c:v>
                </c:pt>
                <c:pt idx="24">
                  <c:v>4974.2925010479767</c:v>
                </c:pt>
                <c:pt idx="25">
                  <c:v>3356.9193685231835</c:v>
                </c:pt>
                <c:pt idx="26">
                  <c:v>2042.1601036016993</c:v>
                </c:pt>
                <c:pt idx="27">
                  <c:v>1181.4326051770379</c:v>
                </c:pt>
                <c:pt idx="28">
                  <c:v>671.35385467694152</c:v>
                </c:pt>
                <c:pt idx="29">
                  <c:v>465.71467756091272</c:v>
                </c:pt>
                <c:pt idx="30">
                  <c:v>406.25140120460964</c:v>
                </c:pt>
              </c:numCache>
            </c:numRef>
          </c:yVal>
          <c:smooth val="0"/>
          <c:extLst xmlns:c16r2="http://schemas.microsoft.com/office/drawing/2015/06/chart">
            <c:ext xmlns:c16="http://schemas.microsoft.com/office/drawing/2014/chart" uri="{C3380CC4-5D6E-409C-BE32-E72D297353CC}">
              <c16:uniqueId val="{00000004-9BEB-4790-9011-1BFD2508CE90}"/>
            </c:ext>
          </c:extLst>
        </c:ser>
        <c:ser>
          <c:idx val="4"/>
          <c:order val="5"/>
          <c:tx>
            <c:strRef>
              <c:f>Comparison!$S$2</c:f>
              <c:strCache>
                <c:ptCount val="1"/>
                <c:pt idx="0">
                  <c:v>80</c:v>
                </c:pt>
              </c:strCache>
            </c:strRef>
          </c:tx>
          <c:spPr>
            <a:ln w="28575" cap="rnd">
              <a:solidFill>
                <a:schemeClr val="accent5"/>
              </a:solidFill>
              <a:round/>
            </a:ln>
            <a:effectLst/>
          </c:spPr>
          <c:marker>
            <c:symbol val="circle"/>
            <c:size val="5"/>
            <c:spPr>
              <a:solidFill>
                <a:schemeClr val="accent5"/>
              </a:solidFill>
              <a:ln w="9525">
                <a:solidFill>
                  <a:schemeClr val="accent5"/>
                </a:solidFill>
              </a:ln>
              <a:effectLst/>
            </c:spPr>
          </c:marker>
          <c:xVal>
            <c:numRef>
              <c:f>Comparison!$N$3:$N$33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Comparison!$S$3:$S$33</c:f>
              <c:numCache>
                <c:formatCode>0.00E+00</c:formatCode>
                <c:ptCount val="31"/>
                <c:pt idx="0">
                  <c:v>17616.469526628349</c:v>
                </c:pt>
                <c:pt idx="1">
                  <c:v>17616.802040045808</c:v>
                </c:pt>
                <c:pt idx="2">
                  <c:v>17616.583023130472</c:v>
                </c:pt>
                <c:pt idx="3">
                  <c:v>17615.24066596078</c:v>
                </c:pt>
                <c:pt idx="4">
                  <c:v>17602.301053261344</c:v>
                </c:pt>
                <c:pt idx="5">
                  <c:v>17494.13684003806</c:v>
                </c:pt>
                <c:pt idx="6">
                  <c:v>17159.551074766416</c:v>
                </c:pt>
                <c:pt idx="7">
                  <c:v>16815.112077526315</c:v>
                </c:pt>
                <c:pt idx="8">
                  <c:v>16418.835293796994</c:v>
                </c:pt>
                <c:pt idx="9">
                  <c:v>15952.410404654309</c:v>
                </c:pt>
                <c:pt idx="10">
                  <c:v>15474.515175702285</c:v>
                </c:pt>
                <c:pt idx="11">
                  <c:v>14870.686422812616</c:v>
                </c:pt>
                <c:pt idx="12">
                  <c:v>14205.719271283941</c:v>
                </c:pt>
                <c:pt idx="13">
                  <c:v>13548.505799166936</c:v>
                </c:pt>
                <c:pt idx="14">
                  <c:v>12830.833886892166</c:v>
                </c:pt>
                <c:pt idx="15">
                  <c:v>12037.009746779489</c:v>
                </c:pt>
                <c:pt idx="16">
                  <c:v>10844.124631586357</c:v>
                </c:pt>
                <c:pt idx="17">
                  <c:v>9065.8029391281325</c:v>
                </c:pt>
                <c:pt idx="18">
                  <c:v>7057.5960533277594</c:v>
                </c:pt>
                <c:pt idx="19">
                  <c:v>5027.0943147814778</c:v>
                </c:pt>
                <c:pt idx="20">
                  <c:v>3182.4075058263061</c:v>
                </c:pt>
                <c:pt idx="21">
                  <c:v>1839.9309489685686</c:v>
                </c:pt>
                <c:pt idx="22">
                  <c:v>1025.1787413781001</c:v>
                </c:pt>
                <c:pt idx="23">
                  <c:v>592.92129561028003</c:v>
                </c:pt>
                <c:pt idx="24">
                  <c:v>452.62701551415307</c:v>
                </c:pt>
                <c:pt idx="25">
                  <c:v>403.56299542258085</c:v>
                </c:pt>
                <c:pt idx="26">
                  <c:v>373.60146162285196</c:v>
                </c:pt>
                <c:pt idx="27">
                  <c:v>372.18425068527625</c:v>
                </c:pt>
                <c:pt idx="28">
                  <c:v>367.76558209899559</c:v>
                </c:pt>
                <c:pt idx="29">
                  <c:v>367.7011441084133</c:v>
                </c:pt>
                <c:pt idx="30">
                  <c:v>365.81700545711175</c:v>
                </c:pt>
              </c:numCache>
            </c:numRef>
          </c:yVal>
          <c:smooth val="0"/>
          <c:extLst xmlns:c16r2="http://schemas.microsoft.com/office/drawing/2015/06/chart">
            <c:ext xmlns:c16="http://schemas.microsoft.com/office/drawing/2014/chart" uri="{C3380CC4-5D6E-409C-BE32-E72D297353CC}">
              <c16:uniqueId val="{00000005-9BEB-4790-9011-1BFD2508CE90}"/>
            </c:ext>
          </c:extLst>
        </c:ser>
        <c:ser>
          <c:idx val="9"/>
          <c:order val="8"/>
          <c:tx>
            <c:strRef>
              <c:f>Comparison!$T$2</c:f>
              <c:strCache>
                <c:ptCount val="1"/>
                <c:pt idx="0">
                  <c:v>125</c:v>
                </c:pt>
              </c:strCache>
            </c:strRef>
          </c:tx>
          <c:spPr>
            <a:ln w="19050" cap="rnd">
              <a:solidFill>
                <a:schemeClr val="accent4">
                  <a:lumMod val="60000"/>
                </a:schemeClr>
              </a:solidFill>
              <a:round/>
            </a:ln>
            <a:effectLst/>
          </c:spPr>
          <c:marker>
            <c:symbol val="circle"/>
            <c:size val="5"/>
            <c:spPr>
              <a:solidFill>
                <a:schemeClr val="accent4">
                  <a:lumMod val="60000"/>
                </a:schemeClr>
              </a:solidFill>
              <a:ln w="9525">
                <a:solidFill>
                  <a:schemeClr val="accent4">
                    <a:lumMod val="60000"/>
                  </a:schemeClr>
                </a:solidFill>
              </a:ln>
              <a:effectLst/>
            </c:spPr>
          </c:marker>
          <c:xVal>
            <c:numRef>
              <c:f>Comparison!$N$3:$N$33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Comparison!$T$3:$T$33</c:f>
              <c:numCache>
                <c:formatCode>0.00E+00</c:formatCode>
                <c:ptCount val="31"/>
                <c:pt idx="0">
                  <c:v>16170.711708597861</c:v>
                </c:pt>
                <c:pt idx="1">
                  <c:v>15578.149411099215</c:v>
                </c:pt>
                <c:pt idx="2">
                  <c:v>15019.848944950021</c:v>
                </c:pt>
                <c:pt idx="3">
                  <c:v>14377.423468769482</c:v>
                </c:pt>
                <c:pt idx="4">
                  <c:v>13721.030592096184</c:v>
                </c:pt>
                <c:pt idx="5">
                  <c:v>13038.395877959572</c:v>
                </c:pt>
                <c:pt idx="6">
                  <c:v>12298.588216947519</c:v>
                </c:pt>
                <c:pt idx="7">
                  <c:v>11425.936281209659</c:v>
                </c:pt>
                <c:pt idx="8">
                  <c:v>10259.878320774509</c:v>
                </c:pt>
                <c:pt idx="9">
                  <c:v>8791.100151427956</c:v>
                </c:pt>
                <c:pt idx="10">
                  <c:v>6981.997060220162</c:v>
                </c:pt>
                <c:pt idx="11">
                  <c:v>4852.8856721004695</c:v>
                </c:pt>
                <c:pt idx="12">
                  <c:v>3008.2022502040422</c:v>
                </c:pt>
                <c:pt idx="13">
                  <c:v>1754.9272214132006</c:v>
                </c:pt>
                <c:pt idx="14">
                  <c:v>999.94928828609397</c:v>
                </c:pt>
                <c:pt idx="15">
                  <c:v>704.94550287871539</c:v>
                </c:pt>
                <c:pt idx="16">
                  <c:v>613.34549369633294</c:v>
                </c:pt>
                <c:pt idx="17">
                  <c:v>547.59948267181665</c:v>
                </c:pt>
                <c:pt idx="18">
                  <c:v>510.14993583552734</c:v>
                </c:pt>
                <c:pt idx="19">
                  <c:v>468.8162014520899</c:v>
                </c:pt>
                <c:pt idx="20">
                  <c:v>433.49461273331463</c:v>
                </c:pt>
                <c:pt idx="21">
                  <c:v>408.9550404176108</c:v>
                </c:pt>
                <c:pt idx="22">
                  <c:v>393.00348692905209</c:v>
                </c:pt>
                <c:pt idx="23">
                  <c:v>382.84518002348415</c:v>
                </c:pt>
                <c:pt idx="24">
                  <c:v>376.19508445230321</c:v>
                </c:pt>
                <c:pt idx="25">
                  <c:v>371.80458787952523</c:v>
                </c:pt>
                <c:pt idx="26">
                  <c:v>370.99564132060834</c:v>
                </c:pt>
                <c:pt idx="27">
                  <c:v>367.40815475836132</c:v>
                </c:pt>
                <c:pt idx="28">
                  <c:v>367.35366595290549</c:v>
                </c:pt>
                <c:pt idx="29">
                  <c:v>366.22159895258943</c:v>
                </c:pt>
                <c:pt idx="30">
                  <c:v>366.17056448780988</c:v>
                </c:pt>
              </c:numCache>
            </c:numRef>
          </c:yVal>
          <c:smooth val="0"/>
        </c:ser>
        <c:ser>
          <c:idx val="5"/>
          <c:order val="9"/>
          <c:tx>
            <c:strRef>
              <c:f>Comparison!$U$2</c:f>
              <c:strCache>
                <c:ptCount val="1"/>
                <c:pt idx="0">
                  <c:v>160</c:v>
                </c:pt>
              </c:strCache>
            </c:strRef>
          </c:tx>
          <c:spPr>
            <a:ln w="28575" cap="rnd">
              <a:solidFill>
                <a:schemeClr val="accent6"/>
              </a:solidFill>
              <a:round/>
            </a:ln>
            <a:effectLst/>
          </c:spPr>
          <c:marker>
            <c:symbol val="circle"/>
            <c:size val="5"/>
            <c:spPr>
              <a:solidFill>
                <a:schemeClr val="accent6"/>
              </a:solidFill>
              <a:ln w="9525">
                <a:solidFill>
                  <a:schemeClr val="accent6"/>
                </a:solidFill>
              </a:ln>
              <a:effectLst/>
            </c:spPr>
          </c:marker>
          <c:xVal>
            <c:numRef>
              <c:f>Comparison!$N$3:$N$33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Comparison!$U$3:$U$33</c:f>
              <c:numCache>
                <c:formatCode>0.00E+00</c:formatCode>
                <c:ptCount val="31"/>
                <c:pt idx="0">
                  <c:v>15229.41658411235</c:v>
                </c:pt>
                <c:pt idx="1">
                  <c:v>14465.85133270995</c:v>
                </c:pt>
                <c:pt idx="2">
                  <c:v>13791.070793900722</c:v>
                </c:pt>
                <c:pt idx="3">
                  <c:v>13121.932256262637</c:v>
                </c:pt>
                <c:pt idx="4">
                  <c:v>12388.954701769366</c:v>
                </c:pt>
                <c:pt idx="5">
                  <c:v>11569.788967049239</c:v>
                </c:pt>
                <c:pt idx="6">
                  <c:v>10464.734994190427</c:v>
                </c:pt>
                <c:pt idx="7">
                  <c:v>9063.8977339582361</c:v>
                </c:pt>
                <c:pt idx="8">
                  <c:v>7348.3230024659915</c:v>
                </c:pt>
                <c:pt idx="9">
                  <c:v>5278.8748913739519</c:v>
                </c:pt>
                <c:pt idx="10">
                  <c:v>3374.5608250126302</c:v>
                </c:pt>
                <c:pt idx="11">
                  <c:v>1998.967961398215</c:v>
                </c:pt>
                <c:pt idx="12">
                  <c:v>1140.0173549727735</c:v>
                </c:pt>
                <c:pt idx="13">
                  <c:v>753.34729422189514</c:v>
                </c:pt>
                <c:pt idx="14">
                  <c:v>639.0636687447435</c:v>
                </c:pt>
                <c:pt idx="15">
                  <c:v>577.91111122779409</c:v>
                </c:pt>
                <c:pt idx="16">
                  <c:v>549.5336869095878</c:v>
                </c:pt>
                <c:pt idx="17">
                  <c:v>525.74256405489677</c:v>
                </c:pt>
                <c:pt idx="18">
                  <c:v>486.42069085747011</c:v>
                </c:pt>
                <c:pt idx="19">
                  <c:v>447.1428193456008</c:v>
                </c:pt>
                <c:pt idx="20">
                  <c:v>418.10760484215433</c:v>
                </c:pt>
                <c:pt idx="21">
                  <c:v>398.89761566700247</c:v>
                </c:pt>
                <c:pt idx="22">
                  <c:v>386.6430811441316</c:v>
                </c:pt>
                <c:pt idx="23">
                  <c:v>378.66666037719375</c:v>
                </c:pt>
                <c:pt idx="24">
                  <c:v>373.43397926777772</c:v>
                </c:pt>
                <c:pt idx="25">
                  <c:v>372.52735103794049</c:v>
                </c:pt>
                <c:pt idx="26">
                  <c:v>371.30187837801162</c:v>
                </c:pt>
                <c:pt idx="27">
                  <c:v>367.16144923953101</c:v>
                </c:pt>
                <c:pt idx="28">
                  <c:v>367.10286738385844</c:v>
                </c:pt>
                <c:pt idx="29">
                  <c:v>365.50426320517556</c:v>
                </c:pt>
                <c:pt idx="30">
                  <c:v>365.4675249055415</c:v>
                </c:pt>
              </c:numCache>
            </c:numRef>
          </c:yVal>
          <c:smooth val="0"/>
          <c:extLst xmlns:c16r2="http://schemas.microsoft.com/office/drawing/2015/06/chart">
            <c:ext xmlns:c16="http://schemas.microsoft.com/office/drawing/2014/chart" uri="{C3380CC4-5D6E-409C-BE32-E72D297353CC}">
              <c16:uniqueId val="{00000006-9BEB-4790-9011-1BFD2508CE90}"/>
            </c:ext>
          </c:extLst>
        </c:ser>
        <c:dLbls>
          <c:showLegendKey val="0"/>
          <c:showVal val="0"/>
          <c:showCatName val="0"/>
          <c:showSerName val="0"/>
          <c:showPercent val="0"/>
          <c:showBubbleSize val="0"/>
        </c:dLbls>
        <c:axId val="548007040"/>
        <c:axId val="548009000"/>
        <c:extLst>
          <c:ext xmlns:c15="http://schemas.microsoft.com/office/drawing/2012/chart" uri="{02D57815-91ED-43cb-92C2-25804820EDAC}">
            <c15:filteredScatterSeries>
              <c15:ser>
                <c:idx val="1"/>
                <c:order val="1"/>
                <c:tx>
                  <c:strRef>
                    <c:extLst>
                      <c:ext uri="{02D57815-91ED-43cb-92C2-25804820EDAC}">
                        <c15:formulaRef>
                          <c15:sqref>Comparison!#REF!</c15:sqref>
                        </c15:formulaRef>
                      </c:ext>
                    </c:extLst>
                    <c:strCache>
                      <c:ptCount val="1"/>
                      <c:pt idx="0">
                        <c:v>#REF!</c:v>
                      </c:pt>
                    </c:strCache>
                  </c:strRef>
                </c:tx>
                <c:spPr>
                  <a:ln w="28575" cap="rnd">
                    <a:solidFill>
                      <a:schemeClr val="accent2"/>
                    </a:solidFill>
                    <a:round/>
                  </a:ln>
                  <a:effectLst/>
                </c:spPr>
                <c:marker>
                  <c:symbol val="circle"/>
                  <c:size val="5"/>
                  <c:spPr>
                    <a:solidFill>
                      <a:schemeClr val="accent2"/>
                    </a:solidFill>
                    <a:ln w="9525">
                      <a:solidFill>
                        <a:schemeClr val="accent2"/>
                      </a:solidFill>
                    </a:ln>
                    <a:effectLst/>
                  </c:spPr>
                </c:marker>
                <c:xVal>
                  <c:numRef>
                    <c:extLst>
                      <c:ext uri="{02D57815-91ED-43cb-92C2-25804820EDAC}">
                        <c15:formulaRef>
                          <c15:sqref>Comparison!$N$3:$N$33</c15:sqref>
                        </c15:formulaRef>
                      </c:ext>
                    </c:extLst>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extLst>
                      <c:ext uri="{02D57815-91ED-43cb-92C2-25804820EDAC}">
                        <c15:formulaRef>
                          <c15:sqref>Comparison!#REF!</c15:sqref>
                        </c15:formulaRef>
                      </c:ext>
                    </c:extLst>
                    <c:numCache>
                      <c:formatCode>General</c:formatCode>
                      <c:ptCount val="1"/>
                      <c:pt idx="0">
                        <c:v>1</c:v>
                      </c:pt>
                    </c:numCache>
                  </c:numRef>
                </c:yVal>
                <c:smooth val="0"/>
                <c:extLst xmlns:c16r2="http://schemas.microsoft.com/office/drawing/2015/06/chart">
                  <c:ext xmlns:c16="http://schemas.microsoft.com/office/drawing/2014/chart" uri="{C3380CC4-5D6E-409C-BE32-E72D297353CC}">
                    <c16:uniqueId val="{00000001-9BEB-4790-9011-1BFD2508CE90}"/>
                  </c:ext>
                </c:extLst>
              </c15:ser>
            </c15:filteredScatterSeries>
            <c15:filteredScatterSeries>
              <c15:ser>
                <c:idx val="7"/>
                <c:order val="6"/>
                <c:tx>
                  <c:strRef>
                    <c:extLst xmlns:c15="http://schemas.microsoft.com/office/drawing/2012/chart">
                      <c:ext xmlns:c15="http://schemas.microsoft.com/office/drawing/2012/chart" uri="{02D57815-91ED-43cb-92C2-25804820EDAC}">
                        <c15:formulaRef>
                          <c15:sqref>Comparison!#REF!</c15:sqref>
                        </c15:formulaRef>
                      </c:ext>
                    </c:extLst>
                    <c:strCache>
                      <c:ptCount val="1"/>
                      <c:pt idx="0">
                        <c:v>#REF!</c:v>
                      </c:pt>
                    </c:strCache>
                  </c:strRef>
                </c:tx>
                <c:spPr>
                  <a:ln w="19050" cap="rnd">
                    <a:solidFill>
                      <a:schemeClr val="accent2">
                        <a:lumMod val="60000"/>
                      </a:schemeClr>
                    </a:solidFill>
                    <a:round/>
                  </a:ln>
                  <a:effectLst/>
                </c:spPr>
                <c:marker>
                  <c:symbol val="circle"/>
                  <c:size val="5"/>
                  <c:spPr>
                    <a:solidFill>
                      <a:schemeClr val="accent2">
                        <a:lumMod val="60000"/>
                      </a:schemeClr>
                    </a:solidFill>
                    <a:ln w="9525">
                      <a:solidFill>
                        <a:schemeClr val="accent2">
                          <a:lumMod val="60000"/>
                        </a:schemeClr>
                      </a:solidFill>
                    </a:ln>
                    <a:effectLst/>
                  </c:spPr>
                </c:marker>
                <c:xVal>
                  <c:numRef>
                    <c:extLst xmlns:c15="http://schemas.microsoft.com/office/drawing/2012/chart">
                      <c:ext xmlns:c15="http://schemas.microsoft.com/office/drawing/2012/chart" uri="{02D57815-91ED-43cb-92C2-25804820EDAC}">
                        <c15:formulaRef>
                          <c15:sqref>Comparison!$N$3:$N$33</c15:sqref>
                        </c15:formulaRef>
                      </c:ext>
                    </c:extLst>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extLst xmlns:c15="http://schemas.microsoft.com/office/drawing/2012/chart">
                      <c:ext xmlns:c15="http://schemas.microsoft.com/office/drawing/2012/chart" uri="{02D57815-91ED-43cb-92C2-25804820EDAC}">
                        <c15:formulaRef>
                          <c15:sqref>Comparison!#REF!</c15:sqref>
                        </c15:formulaRef>
                      </c:ext>
                    </c:extLst>
                    <c:numCache>
                      <c:formatCode>General</c:formatCode>
                      <c:ptCount val="1"/>
                      <c:pt idx="0">
                        <c:v>1</c:v>
                      </c:pt>
                    </c:numCache>
                  </c:numRef>
                </c:yVal>
                <c:smooth val="0"/>
              </c15:ser>
            </c15:filteredScatterSeries>
            <c15:filteredScatterSeries>
              <c15:ser>
                <c:idx val="8"/>
                <c:order val="7"/>
                <c:tx>
                  <c:strRef>
                    <c:extLst xmlns:c15="http://schemas.microsoft.com/office/drawing/2012/chart">
                      <c:ext xmlns:c15="http://schemas.microsoft.com/office/drawing/2012/chart" uri="{02D57815-91ED-43cb-92C2-25804820EDAC}">
                        <c15:formulaRef>
                          <c15:sqref>Comparison!#REF!</c15:sqref>
                        </c15:formulaRef>
                      </c:ext>
                    </c:extLst>
                    <c:strCache>
                      <c:ptCount val="1"/>
                      <c:pt idx="0">
                        <c:v>#REF!</c:v>
                      </c:pt>
                    </c:strCache>
                  </c:strRef>
                </c:tx>
                <c:spPr>
                  <a:ln w="19050" cap="rnd">
                    <a:solidFill>
                      <a:schemeClr val="accent3">
                        <a:lumMod val="60000"/>
                      </a:schemeClr>
                    </a:solidFill>
                    <a:round/>
                  </a:ln>
                  <a:effectLst/>
                </c:spPr>
                <c:marker>
                  <c:symbol val="circle"/>
                  <c:size val="5"/>
                  <c:spPr>
                    <a:solidFill>
                      <a:schemeClr val="accent3">
                        <a:lumMod val="60000"/>
                      </a:schemeClr>
                    </a:solidFill>
                    <a:ln w="9525">
                      <a:solidFill>
                        <a:schemeClr val="accent3">
                          <a:lumMod val="60000"/>
                        </a:schemeClr>
                      </a:solidFill>
                    </a:ln>
                    <a:effectLst/>
                  </c:spPr>
                </c:marker>
                <c:xVal>
                  <c:numRef>
                    <c:extLst xmlns:c15="http://schemas.microsoft.com/office/drawing/2012/chart">
                      <c:ext xmlns:c15="http://schemas.microsoft.com/office/drawing/2012/chart" uri="{02D57815-91ED-43cb-92C2-25804820EDAC}">
                        <c15:formulaRef>
                          <c15:sqref>Comparison!$N$3:$N$33</c15:sqref>
                        </c15:formulaRef>
                      </c:ext>
                    </c:extLst>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extLst xmlns:c15="http://schemas.microsoft.com/office/drawing/2012/chart">
                      <c:ext xmlns:c15="http://schemas.microsoft.com/office/drawing/2012/chart" uri="{02D57815-91ED-43cb-92C2-25804820EDAC}">
                        <c15:formulaRef>
                          <c15:sqref>Comparison!#REF!</c15:sqref>
                        </c15:formulaRef>
                      </c:ext>
                    </c:extLst>
                    <c:numCache>
                      <c:formatCode>General</c:formatCode>
                      <c:ptCount val="1"/>
                      <c:pt idx="0">
                        <c:v>1</c:v>
                      </c:pt>
                    </c:numCache>
                  </c:numRef>
                </c:yVal>
                <c:smooth val="0"/>
              </c15:ser>
            </c15:filteredScatterSeries>
          </c:ext>
        </c:extLst>
      </c:scatterChart>
      <c:valAx>
        <c:axId val="548007040"/>
        <c:scaling>
          <c:logBase val="10"/>
          <c:orientation val="minMax"/>
          <c:max val="1E+16"/>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t [s]</a:t>
                </a:r>
              </a:p>
            </c:rich>
          </c:tx>
          <c:layout>
            <c:manualLayout>
              <c:xMode val="edge"/>
              <c:yMode val="edge"/>
              <c:x val="0.47847330939150384"/>
              <c:y val="0.86419076645186343"/>
            </c:manualLayout>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0.00E+00" sourceLinked="0"/>
        <c:majorTickMark val="none"/>
        <c:minorTickMark val="none"/>
        <c:tickLblPos val="nextTo"/>
        <c:spPr>
          <a:noFill/>
          <a:ln w="9525" cap="flat" cmpd="sng" algn="ctr">
            <a:solidFill>
              <a:schemeClr val="tx1">
                <a:lumMod val="25000"/>
                <a:lumOff val="75000"/>
              </a:schemeClr>
            </a:solidFill>
            <a:round/>
          </a:ln>
          <a:effectLst/>
        </c:spPr>
        <c:txPr>
          <a:bodyPr rot="-540000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548009000"/>
        <c:crosses val="autoZero"/>
        <c:crossBetween val="midCat"/>
      </c:valAx>
      <c:valAx>
        <c:axId val="548009000"/>
        <c:scaling>
          <c:logBase val="10"/>
          <c:orientation val="minMax"/>
          <c:max val="100000"/>
          <c:min val="10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sz="1000" b="0" i="0" baseline="0">
                    <a:effectLst/>
                  </a:rPr>
                  <a:t>E [MPa]</a:t>
                </a:r>
                <a:endParaRPr lang="en-US" sz="1000">
                  <a:effectLst/>
                </a:endParaRP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General" sourceLinked="0"/>
        <c:majorTickMark val="none"/>
        <c:minorTickMark val="none"/>
        <c:tickLblPos val="low"/>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548007040"/>
        <c:crosses val="autoZero"/>
        <c:crossBetween val="midCat"/>
      </c:valAx>
      <c:spPr>
        <a:noFill/>
        <a:ln>
          <a:noFill/>
        </a:ln>
        <a:effectLst/>
      </c:spPr>
    </c:plotArea>
    <c:legend>
      <c:legendPos val="b"/>
      <c:layout>
        <c:manualLayout>
          <c:xMode val="edge"/>
          <c:yMode val="edge"/>
          <c:x val="0.13249403491652645"/>
          <c:y val="0.92119035606540889"/>
          <c:w val="0.73501179583334786"/>
          <c:h val="7.8809643934591181E-2"/>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de-DE"/>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smoothMarker"/>
        <c:varyColors val="0"/>
        <c:ser>
          <c:idx val="0"/>
          <c:order val="0"/>
          <c:tx>
            <c:strRef>
              <c:f>Comparison!$AY$2</c:f>
              <c:strCache>
                <c:ptCount val="1"/>
                <c:pt idx="0">
                  <c:v>-40</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Comparison!$AX$3:$AX$33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Comparison!$AY$3:$AY$33</c:f>
              <c:numCache>
                <c:formatCode>0.0E+00</c:formatCode>
                <c:ptCount val="31"/>
                <c:pt idx="0">
                  <c:v>21415.549463341617</c:v>
                </c:pt>
                <c:pt idx="1">
                  <c:v>21418.129347436585</c:v>
                </c:pt>
                <c:pt idx="2">
                  <c:v>21418.027901668822</c:v>
                </c:pt>
                <c:pt idx="3">
                  <c:v>21418.001164184629</c:v>
                </c:pt>
                <c:pt idx="4">
                  <c:v>21417.996445812005</c:v>
                </c:pt>
                <c:pt idx="5">
                  <c:v>21417.994873021591</c:v>
                </c:pt>
                <c:pt idx="6">
                  <c:v>21417.994086626455</c:v>
                </c:pt>
                <c:pt idx="7">
                  <c:v>21417.995659416745</c:v>
                </c:pt>
                <c:pt idx="8">
                  <c:v>21417.995659416745</c:v>
                </c:pt>
                <c:pt idx="9">
                  <c:v>21417.995659416745</c:v>
                </c:pt>
                <c:pt idx="10">
                  <c:v>21417.996445811998</c:v>
                </c:pt>
                <c:pt idx="11">
                  <c:v>21417.993300231385</c:v>
                </c:pt>
                <c:pt idx="12">
                  <c:v>21417.998018602641</c:v>
                </c:pt>
                <c:pt idx="13">
                  <c:v>21418.017678505221</c:v>
                </c:pt>
                <c:pt idx="14">
                  <c:v>21418.204842585139</c:v>
                </c:pt>
                <c:pt idx="15">
                  <c:v>21420.104979077681</c:v>
                </c:pt>
                <c:pt idx="16">
                  <c:v>21438.72699730254</c:v>
                </c:pt>
                <c:pt idx="17">
                  <c:v>21591.91354953156</c:v>
                </c:pt>
                <c:pt idx="18">
                  <c:v>21981.9631335095</c:v>
                </c:pt>
                <c:pt idx="19">
                  <c:v>22407.604388033797</c:v>
                </c:pt>
                <c:pt idx="20">
                  <c:v>22560.039258077912</c:v>
                </c:pt>
                <c:pt idx="21">
                  <c:v>21511.102064156192</c:v>
                </c:pt>
                <c:pt idx="22">
                  <c:v>19453.10107442255</c:v>
                </c:pt>
                <c:pt idx="23">
                  <c:v>17501.941840447187</c:v>
                </c:pt>
                <c:pt idx="24">
                  <c:v>15922.848974370625</c:v>
                </c:pt>
                <c:pt idx="25">
                  <c:v>14666.610346882935</c:v>
                </c:pt>
                <c:pt idx="26">
                  <c:v>13634.017168889319</c:v>
                </c:pt>
                <c:pt idx="27">
                  <c:v>12699.710660677774</c:v>
                </c:pt>
                <c:pt idx="28">
                  <c:v>11705.735730239914</c:v>
                </c:pt>
                <c:pt idx="29">
                  <c:v>10519.606653272505</c:v>
                </c:pt>
                <c:pt idx="30">
                  <c:v>9139.358134000011</c:v>
                </c:pt>
              </c:numCache>
            </c:numRef>
          </c:yVal>
          <c:smooth val="1"/>
          <c:extLst xmlns:c16r2="http://schemas.microsoft.com/office/drawing/2015/06/chart">
            <c:ext xmlns:c16="http://schemas.microsoft.com/office/drawing/2014/chart" uri="{C3380CC4-5D6E-409C-BE32-E72D297353CC}">
              <c16:uniqueId val="{00000000-1898-4719-BBEF-8BDFDEB1699A}"/>
            </c:ext>
          </c:extLst>
        </c:ser>
        <c:ser>
          <c:idx val="2"/>
          <c:order val="2"/>
          <c:tx>
            <c:strRef>
              <c:f>Comparison!$AZ$2</c:f>
              <c:strCache>
                <c:ptCount val="1"/>
                <c:pt idx="0">
                  <c:v>0</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Comparison!$AX$3:$AX$33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Comparison!$AZ$3:$AZ$33</c:f>
              <c:numCache>
                <c:formatCode>0.0E+00</c:formatCode>
                <c:ptCount val="31"/>
                <c:pt idx="0">
                  <c:v>21246.654365218023</c:v>
                </c:pt>
                <c:pt idx="1">
                  <c:v>21249.288922902317</c:v>
                </c:pt>
                <c:pt idx="2">
                  <c:v>21249.192166425808</c:v>
                </c:pt>
                <c:pt idx="3">
                  <c:v>21249.170493095851</c:v>
                </c:pt>
                <c:pt idx="4">
                  <c:v>21249.165074770277</c:v>
                </c:pt>
                <c:pt idx="5">
                  <c:v>21249.163526677763</c:v>
                </c:pt>
                <c:pt idx="6">
                  <c:v>21249.162752631597</c:v>
                </c:pt>
                <c:pt idx="7">
                  <c:v>21249.164300724002</c:v>
                </c:pt>
                <c:pt idx="8">
                  <c:v>21249.160430493426</c:v>
                </c:pt>
                <c:pt idx="9">
                  <c:v>21249.161204539429</c:v>
                </c:pt>
                <c:pt idx="10">
                  <c:v>21249.164300723998</c:v>
                </c:pt>
                <c:pt idx="11">
                  <c:v>21249.169719049183</c:v>
                </c:pt>
                <c:pt idx="12">
                  <c:v>21249.236287269807</c:v>
                </c:pt>
                <c:pt idx="13">
                  <c:v>21249.904314716554</c:v>
                </c:pt>
                <c:pt idx="14">
                  <c:v>21256.517187436755</c:v>
                </c:pt>
                <c:pt idx="15">
                  <c:v>21318.022948522812</c:v>
                </c:pt>
                <c:pt idx="16">
                  <c:v>21626.656240393881</c:v>
                </c:pt>
                <c:pt idx="17">
                  <c:v>22019.296579100948</c:v>
                </c:pt>
                <c:pt idx="18">
                  <c:v>22280.927585826728</c:v>
                </c:pt>
                <c:pt idx="19">
                  <c:v>21634.832802797777</c:v>
                </c:pt>
                <c:pt idx="20">
                  <c:v>19809.843613170575</c:v>
                </c:pt>
                <c:pt idx="21">
                  <c:v>17854.167769799165</c:v>
                </c:pt>
                <c:pt idx="22">
                  <c:v>16251.693600598475</c:v>
                </c:pt>
                <c:pt idx="23">
                  <c:v>14973.174915431517</c:v>
                </c:pt>
                <c:pt idx="24">
                  <c:v>13932.682294916583</c:v>
                </c:pt>
                <c:pt idx="25">
                  <c:v>13012.504459106436</c:v>
                </c:pt>
                <c:pt idx="26">
                  <c:v>12095.958273782331</c:v>
                </c:pt>
                <c:pt idx="27">
                  <c:v>11015.969851493697</c:v>
                </c:pt>
                <c:pt idx="28">
                  <c:v>9723.9790210987012</c:v>
                </c:pt>
                <c:pt idx="29">
                  <c:v>8226.9442531679888</c:v>
                </c:pt>
                <c:pt idx="30">
                  <c:v>6586.8915062561</c:v>
                </c:pt>
              </c:numCache>
            </c:numRef>
          </c:yVal>
          <c:smooth val="1"/>
          <c:extLst xmlns:c16r2="http://schemas.microsoft.com/office/drawing/2015/06/chart">
            <c:ext xmlns:c16="http://schemas.microsoft.com/office/drawing/2014/chart" uri="{C3380CC4-5D6E-409C-BE32-E72D297353CC}">
              <c16:uniqueId val="{00000002-1898-4719-BBEF-8BDFDEB1699A}"/>
            </c:ext>
          </c:extLst>
        </c:ser>
        <c:ser>
          <c:idx val="3"/>
          <c:order val="3"/>
          <c:tx>
            <c:strRef>
              <c:f>Comparison!$BA$2</c:f>
              <c:strCache>
                <c:ptCount val="1"/>
                <c:pt idx="0">
                  <c:v>25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Comparison!$AX$3:$AX$33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Comparison!$BA$3:$BA$33</c:f>
              <c:numCache>
                <c:formatCode>0.0E+00</c:formatCode>
                <c:ptCount val="31"/>
                <c:pt idx="0">
                  <c:v>21138.881521485364</c:v>
                </c:pt>
                <c:pt idx="1">
                  <c:v>21141.54918337987</c:v>
                </c:pt>
                <c:pt idx="2">
                  <c:v>21141.458002892334</c:v>
                </c:pt>
                <c:pt idx="3">
                  <c:v>21141.435782556586</c:v>
                </c:pt>
                <c:pt idx="4">
                  <c:v>21141.430419034266</c:v>
                </c:pt>
                <c:pt idx="5">
                  <c:v>21141.428886599821</c:v>
                </c:pt>
                <c:pt idx="6">
                  <c:v>21141.428120382676</c:v>
                </c:pt>
                <c:pt idx="7">
                  <c:v>21141.429652817013</c:v>
                </c:pt>
                <c:pt idx="8">
                  <c:v>21141.42888659981</c:v>
                </c:pt>
                <c:pt idx="9">
                  <c:v>21141.436548774276</c:v>
                </c:pt>
                <c:pt idx="10">
                  <c:v>21141.497080147841</c:v>
                </c:pt>
                <c:pt idx="11">
                  <c:v>21142.106244278795</c:v>
                </c:pt>
                <c:pt idx="12">
                  <c:v>21148.168381910014</c:v>
                </c:pt>
                <c:pt idx="13">
                  <c:v>21204.786669183137</c:v>
                </c:pt>
                <c:pt idx="14">
                  <c:v>21500.071275807713</c:v>
                </c:pt>
                <c:pt idx="15">
                  <c:v>21906.047441038187</c:v>
                </c:pt>
                <c:pt idx="16">
                  <c:v>22404.083637132706</c:v>
                </c:pt>
                <c:pt idx="17">
                  <c:v>22895.94836830191</c:v>
                </c:pt>
                <c:pt idx="18">
                  <c:v>22419.944782878854</c:v>
                </c:pt>
                <c:pt idx="19">
                  <c:v>20539.514116784583</c:v>
                </c:pt>
                <c:pt idx="20">
                  <c:v>18287.793331633096</c:v>
                </c:pt>
                <c:pt idx="21">
                  <c:v>16366.291443716864</c:v>
                </c:pt>
                <c:pt idx="22">
                  <c:v>14875.871056629718</c:v>
                </c:pt>
                <c:pt idx="23">
                  <c:v>13679.119589976604</c:v>
                </c:pt>
                <c:pt idx="24">
                  <c:v>12615.310243278691</c:v>
                </c:pt>
                <c:pt idx="25">
                  <c:v>11467.553246143232</c:v>
                </c:pt>
                <c:pt idx="26">
                  <c:v>10118.356731455086</c:v>
                </c:pt>
                <c:pt idx="27">
                  <c:v>8575.1274263935629</c:v>
                </c:pt>
                <c:pt idx="28">
                  <c:v>6896.5316120851512</c:v>
                </c:pt>
                <c:pt idx="29">
                  <c:v>5451.9982243309096</c:v>
                </c:pt>
                <c:pt idx="30">
                  <c:v>4395.1103769183901</c:v>
                </c:pt>
              </c:numCache>
            </c:numRef>
          </c:yVal>
          <c:smooth val="1"/>
          <c:extLst xmlns:c16r2="http://schemas.microsoft.com/office/drawing/2015/06/chart">
            <c:ext xmlns:c16="http://schemas.microsoft.com/office/drawing/2014/chart" uri="{C3380CC4-5D6E-409C-BE32-E72D297353CC}">
              <c16:uniqueId val="{00000003-1898-4719-BBEF-8BDFDEB1699A}"/>
            </c:ext>
          </c:extLst>
        </c:ser>
        <c:ser>
          <c:idx val="4"/>
          <c:order val="4"/>
          <c:tx>
            <c:strRef>
              <c:f>Comparison!$BB$2</c:f>
              <c:strCache>
                <c:ptCount val="1"/>
                <c:pt idx="0">
                  <c:v>50</c:v>
                </c:pt>
              </c:strCache>
            </c:strRef>
          </c:tx>
          <c:spPr>
            <a:ln w="19050" cap="rnd">
              <a:solidFill>
                <a:srgbClr val="002060"/>
              </a:solidFill>
              <a:round/>
            </a:ln>
            <a:effectLst/>
          </c:spPr>
          <c:marker>
            <c:symbol val="circle"/>
            <c:size val="5"/>
            <c:spPr>
              <a:solidFill>
                <a:srgbClr val="002060"/>
              </a:solidFill>
              <a:ln w="9525">
                <a:solidFill>
                  <a:srgbClr val="002060"/>
                </a:solidFill>
              </a:ln>
              <a:effectLst/>
            </c:spPr>
          </c:marker>
          <c:xVal>
            <c:numRef>
              <c:f>Comparison!$AX$3:$AX$33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Comparison!$BB$3:$BB$33</c:f>
              <c:numCache>
                <c:formatCode>0.0E+00</c:formatCode>
                <c:ptCount val="31"/>
                <c:pt idx="0">
                  <c:v>21029.337271371158</c:v>
                </c:pt>
                <c:pt idx="1">
                  <c:v>21032.04256923874</c:v>
                </c:pt>
                <c:pt idx="2">
                  <c:v>21031.951572573435</c:v>
                </c:pt>
                <c:pt idx="3">
                  <c:v>21031.929581830798</c:v>
                </c:pt>
                <c:pt idx="4">
                  <c:v>21031.924273727393</c:v>
                </c:pt>
                <c:pt idx="5">
                  <c:v>21031.925032027721</c:v>
                </c:pt>
                <c:pt idx="6">
                  <c:v>21031.928823530161</c:v>
                </c:pt>
                <c:pt idx="7">
                  <c:v>21031.981904707714</c:v>
                </c:pt>
                <c:pt idx="8">
                  <c:v>21032.514247905889</c:v>
                </c:pt>
                <c:pt idx="9">
                  <c:v>21037.823987899148</c:v>
                </c:pt>
                <c:pt idx="10">
                  <c:v>21087.745688053081</c:v>
                </c:pt>
                <c:pt idx="11">
                  <c:v>21362.386569694612</c:v>
                </c:pt>
                <c:pt idx="12">
                  <c:v>21755.784825889568</c:v>
                </c:pt>
                <c:pt idx="13">
                  <c:v>22254.922121125535</c:v>
                </c:pt>
                <c:pt idx="14">
                  <c:v>22956.140077474745</c:v>
                </c:pt>
                <c:pt idx="15">
                  <c:v>23852.304133942343</c:v>
                </c:pt>
                <c:pt idx="16">
                  <c:v>24984.336248848347</c:v>
                </c:pt>
                <c:pt idx="17">
                  <c:v>25418.575674324286</c:v>
                </c:pt>
                <c:pt idx="18">
                  <c:v>23263.120582790365</c:v>
                </c:pt>
                <c:pt idx="19">
                  <c:v>19909.225309289814</c:v>
                </c:pt>
                <c:pt idx="20">
                  <c:v>17085.395540575068</c:v>
                </c:pt>
                <c:pt idx="21">
                  <c:v>15005.121676746025</c:v>
                </c:pt>
                <c:pt idx="22">
                  <c:v>13356.486612068389</c:v>
                </c:pt>
                <c:pt idx="23">
                  <c:v>11757.435242482163</c:v>
                </c:pt>
                <c:pt idx="24">
                  <c:v>10057.498142164573</c:v>
                </c:pt>
                <c:pt idx="25">
                  <c:v>8262.3268959892011</c:v>
                </c:pt>
                <c:pt idx="26">
                  <c:v>6732.657482244631</c:v>
                </c:pt>
                <c:pt idx="27">
                  <c:v>5603.5970610254153</c:v>
                </c:pt>
                <c:pt idx="28">
                  <c:v>4975.4914399512863</c:v>
                </c:pt>
                <c:pt idx="29">
                  <c:v>4576.1234873460335</c:v>
                </c:pt>
                <c:pt idx="30">
                  <c:v>3979.3704886018731</c:v>
                </c:pt>
              </c:numCache>
            </c:numRef>
          </c:yVal>
          <c:smooth val="1"/>
          <c:extLst xmlns:c16r2="http://schemas.microsoft.com/office/drawing/2015/06/chart">
            <c:ext xmlns:c16="http://schemas.microsoft.com/office/drawing/2014/chart" uri="{C3380CC4-5D6E-409C-BE32-E72D297353CC}">
              <c16:uniqueId val="{00000004-1898-4719-BBEF-8BDFDEB1699A}"/>
            </c:ext>
          </c:extLst>
        </c:ser>
        <c:ser>
          <c:idx val="5"/>
          <c:order val="5"/>
          <c:tx>
            <c:strRef>
              <c:f>Comparison!$BC$2</c:f>
              <c:strCache>
                <c:ptCount val="1"/>
                <c:pt idx="0">
                  <c:v>80</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Comparison!$AX$3:$AX$33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Comparison!$BC$3:$BC$33</c:f>
              <c:numCache>
                <c:formatCode>0.0E+00</c:formatCode>
                <c:ptCount val="31"/>
                <c:pt idx="0">
                  <c:v>20895.458516568593</c:v>
                </c:pt>
                <c:pt idx="1">
                  <c:v>20898.217072790078</c:v>
                </c:pt>
                <c:pt idx="2">
                  <c:v>20898.267983792535</c:v>
                </c:pt>
                <c:pt idx="3">
                  <c:v>20899.620210907251</c:v>
                </c:pt>
                <c:pt idx="4">
                  <c:v>20913.111625908266</c:v>
                </c:pt>
                <c:pt idx="5">
                  <c:v>21028.090248189499</c:v>
                </c:pt>
                <c:pt idx="6">
                  <c:v>21370.863989837715</c:v>
                </c:pt>
                <c:pt idx="7">
                  <c:v>21788.439703811193</c:v>
                </c:pt>
                <c:pt idx="8">
                  <c:v>22346.560185690454</c:v>
                </c:pt>
                <c:pt idx="9">
                  <c:v>23136.897372735224</c:v>
                </c:pt>
                <c:pt idx="10">
                  <c:v>24141.732774663273</c:v>
                </c:pt>
                <c:pt idx="11">
                  <c:v>25789.564463477425</c:v>
                </c:pt>
                <c:pt idx="12">
                  <c:v>28356.906835083992</c:v>
                </c:pt>
                <c:pt idx="13">
                  <c:v>32193.295166802207</c:v>
                </c:pt>
                <c:pt idx="14">
                  <c:v>39138.146699166959</c:v>
                </c:pt>
                <c:pt idx="15">
                  <c:v>53423.91587229132</c:v>
                </c:pt>
                <c:pt idx="16">
                  <c:v>92168.471325335064</c:v>
                </c:pt>
                <c:pt idx="17">
                  <c:v>171662.28437377722</c:v>
                </c:pt>
                <c:pt idx="18">
                  <c:v>463619.75761957688</c:v>
                </c:pt>
                <c:pt idx="19">
                  <c:v>-83849.607344267439</c:v>
                </c:pt>
                <c:pt idx="20">
                  <c:v>-17610.089474348857</c:v>
                </c:pt>
                <c:pt idx="21">
                  <c:v>-6995.2474288968015</c:v>
                </c:pt>
                <c:pt idx="22">
                  <c:v>-3775.0607407273196</c:v>
                </c:pt>
                <c:pt idx="23">
                  <c:v>-2584.1424467915831</c:v>
                </c:pt>
                <c:pt idx="24">
                  <c:v>-3776.7753137016589</c:v>
                </c:pt>
                <c:pt idx="25">
                  <c:v>-15046.463479224287</c:v>
                </c:pt>
                <c:pt idx="26">
                  <c:v>14080.059216706419</c:v>
                </c:pt>
                <c:pt idx="27">
                  <c:v>8907.4707211437271</c:v>
                </c:pt>
                <c:pt idx="28">
                  <c:v>3875.0716749864532</c:v>
                </c:pt>
                <c:pt idx="29">
                  <c:v>3845.5482779470067</c:v>
                </c:pt>
                <c:pt idx="30">
                  <c:v>3268.0379353843514</c:v>
                </c:pt>
              </c:numCache>
            </c:numRef>
          </c:yVal>
          <c:smooth val="1"/>
          <c:extLst xmlns:c16r2="http://schemas.microsoft.com/office/drawing/2015/06/chart">
            <c:ext xmlns:c16="http://schemas.microsoft.com/office/drawing/2014/chart" uri="{C3380CC4-5D6E-409C-BE32-E72D297353CC}">
              <c16:uniqueId val="{00000005-1898-4719-BBEF-8BDFDEB1699A}"/>
            </c:ext>
          </c:extLst>
        </c:ser>
        <c:ser>
          <c:idx val="9"/>
          <c:order val="8"/>
          <c:tx>
            <c:strRef>
              <c:f>Comparison!$BD$2</c:f>
              <c:strCache>
                <c:ptCount val="1"/>
                <c:pt idx="0">
                  <c:v>125</c:v>
                </c:pt>
              </c:strCache>
            </c:strRef>
          </c:tx>
          <c:spPr>
            <a:ln w="19050" cap="rnd">
              <a:solidFill>
                <a:schemeClr val="accent4">
                  <a:lumMod val="60000"/>
                </a:schemeClr>
              </a:solidFill>
              <a:round/>
            </a:ln>
            <a:effectLst/>
          </c:spPr>
          <c:marker>
            <c:symbol val="circle"/>
            <c:size val="5"/>
            <c:spPr>
              <a:solidFill>
                <a:schemeClr val="accent4">
                  <a:lumMod val="60000"/>
                </a:schemeClr>
              </a:solidFill>
              <a:ln w="9525">
                <a:solidFill>
                  <a:schemeClr val="accent4">
                    <a:lumMod val="60000"/>
                  </a:schemeClr>
                </a:solidFill>
              </a:ln>
              <a:effectLst/>
            </c:spPr>
          </c:marker>
          <c:xVal>
            <c:numRef>
              <c:f>Comparison!$AX$3:$AX$33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Comparison!$BD$3:$BD$33</c:f>
              <c:numCache>
                <c:formatCode>0.0E+00</c:formatCode>
                <c:ptCount val="31"/>
                <c:pt idx="0">
                  <c:v>22252.915138241082</c:v>
                </c:pt>
                <c:pt idx="1">
                  <c:v>23312.20967390361</c:v>
                </c:pt>
                <c:pt idx="2">
                  <c:v>24615.821575972968</c:v>
                </c:pt>
                <c:pt idx="3">
                  <c:v>26659.565167867426</c:v>
                </c:pt>
                <c:pt idx="4">
                  <c:v>29712.515284966801</c:v>
                </c:pt>
                <c:pt idx="5">
                  <c:v>34724.857590878732</c:v>
                </c:pt>
                <c:pt idx="6">
                  <c:v>44805.499964731716</c:v>
                </c:pt>
                <c:pt idx="7">
                  <c:v>78806.943927508604</c:v>
                </c:pt>
                <c:pt idx="8">
                  <c:v>-213035.71635085696</c:v>
                </c:pt>
                <c:pt idx="9">
                  <c:v>-26728.603714542747</c:v>
                </c:pt>
                <c:pt idx="10">
                  <c:v>-9451.4829187669911</c:v>
                </c:pt>
                <c:pt idx="11">
                  <c:v>-3672.303179894539</c:v>
                </c:pt>
                <c:pt idx="12">
                  <c:v>-1569.4773638584659</c:v>
                </c:pt>
                <c:pt idx="13">
                  <c:v>-740.99503141660125</c:v>
                </c:pt>
                <c:pt idx="14">
                  <c:v>-375.90063240770604</c:v>
                </c:pt>
                <c:pt idx="15">
                  <c:v>-256.31147227887442</c:v>
                </c:pt>
                <c:pt idx="16">
                  <c:v>-228.99407873653888</c:v>
                </c:pt>
                <c:pt idx="17">
                  <c:v>-221.01688035368008</c:v>
                </c:pt>
                <c:pt idx="18">
                  <c:v>-254.14496459277763</c:v>
                </c:pt>
                <c:pt idx="19">
                  <c:v>-341.81324131173977</c:v>
                </c:pt>
                <c:pt idx="20">
                  <c:v>-519.11790358595283</c:v>
                </c:pt>
                <c:pt idx="21">
                  <c:v>-874.87738593436063</c:v>
                </c:pt>
                <c:pt idx="22">
                  <c:v>-1696.3390289612576</c:v>
                </c:pt>
                <c:pt idx="23">
                  <c:v>-4564.4396504786673</c:v>
                </c:pt>
                <c:pt idx="24">
                  <c:v>39979.941492210644</c:v>
                </c:pt>
                <c:pt idx="25">
                  <c:v>5702.3698560346911</c:v>
                </c:pt>
                <c:pt idx="26">
                  <c:v>4947.7314580582743</c:v>
                </c:pt>
                <c:pt idx="27">
                  <c:v>3473.062579328473</c:v>
                </c:pt>
                <c:pt idx="28">
                  <c:v>3458.6419059528112</c:v>
                </c:pt>
                <c:pt idx="29">
                  <c:v>3182.9811273773585</c:v>
                </c:pt>
                <c:pt idx="30">
                  <c:v>3175.5856619222559</c:v>
                </c:pt>
              </c:numCache>
            </c:numRef>
          </c:yVal>
          <c:smooth val="1"/>
        </c:ser>
        <c:ser>
          <c:idx val="6"/>
          <c:order val="9"/>
          <c:tx>
            <c:strRef>
              <c:f>Comparison!$BE$2</c:f>
              <c:strCache>
                <c:ptCount val="1"/>
                <c:pt idx="0">
                  <c:v>160</c:v>
                </c:pt>
              </c:strCache>
            </c:strRef>
          </c:tx>
          <c:spPr>
            <a:ln w="19050" cap="rnd">
              <a:solidFill>
                <a:schemeClr val="accent6"/>
              </a:solidFill>
              <a:round/>
            </a:ln>
            <a:effectLst/>
          </c:spPr>
          <c:marker>
            <c:symbol val="circle"/>
            <c:size val="5"/>
            <c:spPr>
              <a:solidFill>
                <a:schemeClr val="accent6"/>
              </a:solidFill>
              <a:ln w="9525">
                <a:solidFill>
                  <a:schemeClr val="accent6"/>
                </a:solidFill>
              </a:ln>
              <a:effectLst/>
            </c:spPr>
          </c:marker>
          <c:xVal>
            <c:numRef>
              <c:f>Comparison!$AX$3:$AX$33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Comparison!$BE$3:$BE$33</c:f>
              <c:numCache>
                <c:formatCode>0.0E+00</c:formatCode>
                <c:ptCount val="31"/>
                <c:pt idx="0">
                  <c:v>23574.349943362293</c:v>
                </c:pt>
                <c:pt idx="1">
                  <c:v>25641.434776886017</c:v>
                </c:pt>
                <c:pt idx="2">
                  <c:v>28371.912649528116</c:v>
                </c:pt>
                <c:pt idx="3">
                  <c:v>32549.74926928135</c:v>
                </c:pt>
                <c:pt idx="4">
                  <c:v>40587.375864960486</c:v>
                </c:pt>
                <c:pt idx="5">
                  <c:v>62072.651960059178</c:v>
                </c:pt>
                <c:pt idx="6">
                  <c:v>1212789.0336150853</c:v>
                </c:pt>
                <c:pt idx="7">
                  <c:v>-36212.225992432257</c:v>
                </c:pt>
                <c:pt idx="8">
                  <c:v>-11752.153002824527</c:v>
                </c:pt>
                <c:pt idx="9">
                  <c:v>-4503.8650947765718</c:v>
                </c:pt>
                <c:pt idx="10">
                  <c:v>-1901.9597358384426</c:v>
                </c:pt>
                <c:pt idx="11">
                  <c:v>-881.52817896754868</c:v>
                </c:pt>
                <c:pt idx="12">
                  <c:v>-437.02600705557256</c:v>
                </c:pt>
                <c:pt idx="13">
                  <c:v>-271.00096000928653</c:v>
                </c:pt>
                <c:pt idx="14">
                  <c:v>-227.08483963573565</c:v>
                </c:pt>
                <c:pt idx="15">
                  <c:v>-208.6837543483359</c:v>
                </c:pt>
                <c:pt idx="16">
                  <c:v>-210.99557375293912</c:v>
                </c:pt>
                <c:pt idx="17">
                  <c:v>-234.01737548256389</c:v>
                </c:pt>
                <c:pt idx="18">
                  <c:v>-296.35954977328169</c:v>
                </c:pt>
                <c:pt idx="19">
                  <c:v>-429.41885776718681</c:v>
                </c:pt>
                <c:pt idx="20">
                  <c:v>-692.37975154011986</c:v>
                </c:pt>
                <c:pt idx="21">
                  <c:v>-1252.9938049480259</c:v>
                </c:pt>
                <c:pt idx="22">
                  <c:v>-2788.6968539117224</c:v>
                </c:pt>
                <c:pt idx="23">
                  <c:v>-15427.099242529001</c:v>
                </c:pt>
                <c:pt idx="24">
                  <c:v>8200.4451201611373</c:v>
                </c:pt>
                <c:pt idx="25">
                  <c:v>6514.2081393728131</c:v>
                </c:pt>
                <c:pt idx="26">
                  <c:v>5128.0743904844003</c:v>
                </c:pt>
                <c:pt idx="27">
                  <c:v>3264.0953429193382</c:v>
                </c:pt>
                <c:pt idx="28">
                  <c:v>3250.133626922548</c:v>
                </c:pt>
                <c:pt idx="29">
                  <c:v>3047.8499378020801</c:v>
                </c:pt>
                <c:pt idx="30">
                  <c:v>3045.7572818617796</c:v>
                </c:pt>
              </c:numCache>
            </c:numRef>
          </c:yVal>
          <c:smooth val="1"/>
          <c:extLst xmlns:c16r2="http://schemas.microsoft.com/office/drawing/2015/06/chart">
            <c:ext xmlns:c16="http://schemas.microsoft.com/office/drawing/2014/chart" uri="{C3380CC4-5D6E-409C-BE32-E72D297353CC}">
              <c16:uniqueId val="{00000006-1898-4719-BBEF-8BDFDEB1699A}"/>
            </c:ext>
          </c:extLst>
        </c:ser>
        <c:dLbls>
          <c:showLegendKey val="0"/>
          <c:showVal val="0"/>
          <c:showCatName val="0"/>
          <c:showSerName val="0"/>
          <c:showPercent val="0"/>
          <c:showBubbleSize val="0"/>
        </c:dLbls>
        <c:axId val="548010568"/>
        <c:axId val="548005080"/>
        <c:extLst>
          <c:ext xmlns:c15="http://schemas.microsoft.com/office/drawing/2012/chart" uri="{02D57815-91ED-43cb-92C2-25804820EDAC}">
            <c15:filteredScatterSeries>
              <c15:ser>
                <c:idx val="1"/>
                <c:order val="1"/>
                <c:tx>
                  <c:strRef>
                    <c:extLst>
                      <c:ext uri="{02D57815-91ED-43cb-92C2-25804820EDAC}">
                        <c15:formulaRef>
                          <c15:sqref>Comparison!#REF!</c15:sqref>
                        </c15:formulaRef>
                      </c:ext>
                    </c:extLst>
                    <c:strCache>
                      <c:ptCount val="1"/>
                      <c:pt idx="0">
                        <c:v>-20</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extLst>
                      <c:ext uri="{02D57815-91ED-43cb-92C2-25804820EDAC}">
                        <c15:formulaRef>
                          <c15:sqref>Comparison!$AX$3:$AX$33</c15:sqref>
                        </c15:formulaRef>
                      </c:ext>
                    </c:extLst>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extLst>
                      <c:ext uri="{02D57815-91ED-43cb-92C2-25804820EDAC}">
                        <c15:formulaRef>
                          <c15:sqref>Comparison!#REF!</c15:sqref>
                        </c15:formulaRef>
                      </c:ext>
                    </c:extLst>
                    <c:numCache>
                      <c:formatCode>0.0E+00</c:formatCode>
                      <c:ptCount val="3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numCache>
                  </c:numRef>
                </c:yVal>
                <c:smooth val="1"/>
                <c:extLst xmlns:c16r2="http://schemas.microsoft.com/office/drawing/2015/06/chart">
                  <c:ext xmlns:c16="http://schemas.microsoft.com/office/drawing/2014/chart" uri="{C3380CC4-5D6E-409C-BE32-E72D297353CC}">
                    <c16:uniqueId val="{00000001-1898-4719-BBEF-8BDFDEB1699A}"/>
                  </c:ext>
                </c:extLst>
              </c15:ser>
            </c15:filteredScatterSeries>
            <c15:filteredScatterSeries>
              <c15:ser>
                <c:idx val="7"/>
                <c:order val="6"/>
                <c:tx>
                  <c:strRef>
                    <c:extLst xmlns:c15="http://schemas.microsoft.com/office/drawing/2012/chart">
                      <c:ext xmlns:c15="http://schemas.microsoft.com/office/drawing/2012/chart" uri="{02D57815-91ED-43cb-92C2-25804820EDAC}">
                        <c15:formulaRef>
                          <c15:sqref>Comparison!#REF!</c15:sqref>
                        </c15:formulaRef>
                      </c:ext>
                    </c:extLst>
                    <c:strCache>
                      <c:ptCount val="1"/>
                      <c:pt idx="0">
                        <c:v>#REF!</c:v>
                      </c:pt>
                    </c:strCache>
                  </c:strRef>
                </c:tx>
                <c:spPr>
                  <a:ln w="19050" cap="rnd">
                    <a:solidFill>
                      <a:schemeClr val="accent2">
                        <a:lumMod val="60000"/>
                      </a:schemeClr>
                    </a:solidFill>
                    <a:round/>
                  </a:ln>
                  <a:effectLst/>
                </c:spPr>
                <c:marker>
                  <c:symbol val="circle"/>
                  <c:size val="5"/>
                  <c:spPr>
                    <a:solidFill>
                      <a:schemeClr val="accent2">
                        <a:lumMod val="60000"/>
                      </a:schemeClr>
                    </a:solidFill>
                    <a:ln w="9525">
                      <a:solidFill>
                        <a:schemeClr val="accent2">
                          <a:lumMod val="60000"/>
                        </a:schemeClr>
                      </a:solidFill>
                    </a:ln>
                    <a:effectLst/>
                  </c:spPr>
                </c:marker>
                <c:xVal>
                  <c:numRef>
                    <c:extLst xmlns:c15="http://schemas.microsoft.com/office/drawing/2012/chart">
                      <c:ext xmlns:c15="http://schemas.microsoft.com/office/drawing/2012/chart" uri="{02D57815-91ED-43cb-92C2-25804820EDAC}">
                        <c15:formulaRef>
                          <c15:sqref>Comparison!$AX$3:$AX$33</c15:sqref>
                        </c15:formulaRef>
                      </c:ext>
                    </c:extLst>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extLst xmlns:c15="http://schemas.microsoft.com/office/drawing/2012/chart">
                      <c:ext xmlns:c15="http://schemas.microsoft.com/office/drawing/2012/chart" uri="{02D57815-91ED-43cb-92C2-25804820EDAC}">
                        <c15:formulaRef>
                          <c15:sqref>Comparison!#REF!</c15:sqref>
                        </c15:formulaRef>
                      </c:ext>
                    </c:extLst>
                    <c:numCache>
                      <c:formatCode>General</c:formatCode>
                      <c:ptCount val="1"/>
                      <c:pt idx="0">
                        <c:v>1</c:v>
                      </c:pt>
                    </c:numCache>
                  </c:numRef>
                </c:yVal>
                <c:smooth val="1"/>
              </c15:ser>
            </c15:filteredScatterSeries>
            <c15:filteredScatterSeries>
              <c15:ser>
                <c:idx val="8"/>
                <c:order val="7"/>
                <c:tx>
                  <c:strRef>
                    <c:extLst xmlns:c15="http://schemas.microsoft.com/office/drawing/2012/chart">
                      <c:ext xmlns:c15="http://schemas.microsoft.com/office/drawing/2012/chart" uri="{02D57815-91ED-43cb-92C2-25804820EDAC}">
                        <c15:formulaRef>
                          <c15:sqref>Comparison!#REF!</c15:sqref>
                        </c15:formulaRef>
                      </c:ext>
                    </c:extLst>
                    <c:strCache>
                      <c:ptCount val="1"/>
                      <c:pt idx="0">
                        <c:v>#REF!</c:v>
                      </c:pt>
                    </c:strCache>
                  </c:strRef>
                </c:tx>
                <c:spPr>
                  <a:ln w="19050" cap="rnd">
                    <a:solidFill>
                      <a:schemeClr val="accent3">
                        <a:lumMod val="60000"/>
                      </a:schemeClr>
                    </a:solidFill>
                    <a:round/>
                  </a:ln>
                  <a:effectLst/>
                </c:spPr>
                <c:marker>
                  <c:symbol val="circle"/>
                  <c:size val="5"/>
                  <c:spPr>
                    <a:solidFill>
                      <a:schemeClr val="accent3">
                        <a:lumMod val="60000"/>
                      </a:schemeClr>
                    </a:solidFill>
                    <a:ln w="9525">
                      <a:solidFill>
                        <a:schemeClr val="accent3">
                          <a:lumMod val="60000"/>
                        </a:schemeClr>
                      </a:solidFill>
                    </a:ln>
                    <a:effectLst/>
                  </c:spPr>
                </c:marker>
                <c:xVal>
                  <c:numRef>
                    <c:extLst xmlns:c15="http://schemas.microsoft.com/office/drawing/2012/chart">
                      <c:ext xmlns:c15="http://schemas.microsoft.com/office/drawing/2012/chart" uri="{02D57815-91ED-43cb-92C2-25804820EDAC}">
                        <c15:formulaRef>
                          <c15:sqref>Comparison!$AX$3:$AX$33</c15:sqref>
                        </c15:formulaRef>
                      </c:ext>
                    </c:extLst>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extLst xmlns:c15="http://schemas.microsoft.com/office/drawing/2012/chart">
                      <c:ext xmlns:c15="http://schemas.microsoft.com/office/drawing/2012/chart" uri="{02D57815-91ED-43cb-92C2-25804820EDAC}">
                        <c15:formulaRef>
                          <c15:sqref>Comparison!#REF!</c15:sqref>
                        </c15:formulaRef>
                      </c:ext>
                    </c:extLst>
                    <c:numCache>
                      <c:formatCode>General</c:formatCode>
                      <c:ptCount val="1"/>
                      <c:pt idx="0">
                        <c:v>1</c:v>
                      </c:pt>
                    </c:numCache>
                  </c:numRef>
                </c:yVal>
                <c:smooth val="1"/>
              </c15:ser>
            </c15:filteredScatterSeries>
          </c:ext>
        </c:extLst>
      </c:scatterChart>
      <c:valAx>
        <c:axId val="548010568"/>
        <c:scaling>
          <c:logBase val="10"/>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t</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0.00E+00" sourceLinked="0"/>
        <c:majorTickMark val="out"/>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548005080"/>
        <c:crosses val="autoZero"/>
        <c:crossBetween val="midCat"/>
        <c:majorUnit val="10000"/>
      </c:valAx>
      <c:valAx>
        <c:axId val="548005080"/>
        <c:scaling>
          <c:orientation val="minMax"/>
          <c:max val="100000"/>
          <c:min val="10000"/>
        </c:scaling>
        <c:delete val="0"/>
        <c:axPos val="r"/>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sz="1000" b="0" i="0" baseline="0">
                    <a:effectLst/>
                  </a:rPr>
                  <a:t>K [MPa]</a:t>
                </a:r>
                <a:endParaRPr lang="en-US" sz="1000">
                  <a:effectLst/>
                </a:endParaRP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General" sourceLinked="0"/>
        <c:majorTickMark val="out"/>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548010568"/>
        <c:crosses val="max"/>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de-DE"/>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de-DE"/>
              <a:t>v</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de-DE"/>
        </a:p>
      </c:txPr>
    </c:title>
    <c:autoTitleDeleted val="0"/>
    <c:plotArea>
      <c:layout/>
      <c:scatterChart>
        <c:scatterStyle val="lineMarker"/>
        <c:varyColors val="0"/>
        <c:ser>
          <c:idx val="0"/>
          <c:order val="0"/>
          <c:tx>
            <c:strRef>
              <c:f>Comparison!$AA$2</c:f>
              <c:strCache>
                <c:ptCount val="1"/>
                <c:pt idx="0">
                  <c:v>-40</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Comparison!$N$3:$N$33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Comparison!$AA$3:$AA$33</c:f>
              <c:numCache>
                <c:formatCode>0.00E+00</c:formatCode>
                <c:ptCount val="31"/>
                <c:pt idx="0">
                  <c:v>0.36075821278502584</c:v>
                </c:pt>
                <c:pt idx="1">
                  <c:v>0.36077235156217125</c:v>
                </c:pt>
                <c:pt idx="2">
                  <c:v>0.3607724109628368</c:v>
                </c:pt>
                <c:pt idx="3">
                  <c:v>0.36077245067394526</c:v>
                </c:pt>
                <c:pt idx="4">
                  <c:v>0.36077248405747009</c:v>
                </c:pt>
                <c:pt idx="5">
                  <c:v>0.36077249518530485</c:v>
                </c:pt>
                <c:pt idx="6">
                  <c:v>0.36077249719059723</c:v>
                </c:pt>
                <c:pt idx="7">
                  <c:v>0.36077250741450745</c:v>
                </c:pt>
                <c:pt idx="8">
                  <c:v>0.36077250741450745</c:v>
                </c:pt>
                <c:pt idx="9">
                  <c:v>0.36077250741450745</c:v>
                </c:pt>
                <c:pt idx="10">
                  <c:v>0.3607725125264627</c:v>
                </c:pt>
                <c:pt idx="11">
                  <c:v>0.36077249919588944</c:v>
                </c:pt>
                <c:pt idx="12">
                  <c:v>0.36077253698486383</c:v>
                </c:pt>
                <c:pt idx="13">
                  <c:v>0.36077279289389885</c:v>
                </c:pt>
                <c:pt idx="14">
                  <c:v>0.36077529773254408</c:v>
                </c:pt>
                <c:pt idx="15">
                  <c:v>0.36080044220027546</c:v>
                </c:pt>
                <c:pt idx="16">
                  <c:v>0.36104632914746104</c:v>
                </c:pt>
                <c:pt idx="17">
                  <c:v>0.36303105764137994</c:v>
                </c:pt>
                <c:pt idx="18">
                  <c:v>0.36808177298075478</c:v>
                </c:pt>
                <c:pt idx="19">
                  <c:v>0.37337068078846036</c:v>
                </c:pt>
                <c:pt idx="20">
                  <c:v>0.3785011301535724</c:v>
                </c:pt>
                <c:pt idx="21">
                  <c:v>0.3809584420082533</c:v>
                </c:pt>
                <c:pt idx="22">
                  <c:v>0.38013288148894225</c:v>
                </c:pt>
                <c:pt idx="23">
                  <c:v>0.37957977179592961</c:v>
                </c:pt>
                <c:pt idx="24">
                  <c:v>0.37967610113491412</c:v>
                </c:pt>
                <c:pt idx="25">
                  <c:v>0.38007223488822078</c:v>
                </c:pt>
                <c:pt idx="26">
                  <c:v>0.38143371375107804</c:v>
                </c:pt>
                <c:pt idx="27">
                  <c:v>0.3832566389252276</c:v>
                </c:pt>
                <c:pt idx="28">
                  <c:v>0.38666528511436832</c:v>
                </c:pt>
                <c:pt idx="29">
                  <c:v>0.39159123749561497</c:v>
                </c:pt>
                <c:pt idx="30">
                  <c:v>0.39884466140666064</c:v>
                </c:pt>
              </c:numCache>
            </c:numRef>
          </c:yVal>
          <c:smooth val="0"/>
          <c:extLst xmlns:c16r2="http://schemas.microsoft.com/office/drawing/2015/06/chart">
            <c:ext xmlns:c16="http://schemas.microsoft.com/office/drawing/2014/chart" uri="{C3380CC4-5D6E-409C-BE32-E72D297353CC}">
              <c16:uniqueId val="{00000000-F1B4-4BE7-8A92-A79B7D57BB36}"/>
            </c:ext>
          </c:extLst>
        </c:ser>
        <c:ser>
          <c:idx val="2"/>
          <c:order val="2"/>
          <c:tx>
            <c:strRef>
              <c:f>Comparison!$AB$2</c:f>
              <c:strCache>
                <c:ptCount val="1"/>
                <c:pt idx="0">
                  <c:v>0</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Comparison!$N$3:$N$33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Comparison!$AB$3:$AB$33</c:f>
              <c:numCache>
                <c:formatCode>0.00E+00</c:formatCode>
                <c:ptCount val="31"/>
                <c:pt idx="0">
                  <c:v>0.36034330192910802</c:v>
                </c:pt>
                <c:pt idx="1">
                  <c:v>0.36035794624300349</c:v>
                </c:pt>
                <c:pt idx="2">
                  <c:v>0.36035802072368178</c:v>
                </c:pt>
                <c:pt idx="3">
                  <c:v>0.36035808428868132</c:v>
                </c:pt>
                <c:pt idx="4">
                  <c:v>0.36035811261057327</c:v>
                </c:pt>
                <c:pt idx="5">
                  <c:v>0.36035812374678278</c:v>
                </c:pt>
                <c:pt idx="6">
                  <c:v>0.36035812576326737</c:v>
                </c:pt>
                <c:pt idx="7">
                  <c:v>0.36035813593677452</c:v>
                </c:pt>
                <c:pt idx="8">
                  <c:v>0.36035811760624514</c:v>
                </c:pt>
                <c:pt idx="9">
                  <c:v>0.36035812269299844</c:v>
                </c:pt>
                <c:pt idx="10">
                  <c:v>0.36035814304001162</c:v>
                </c:pt>
                <c:pt idx="11">
                  <c:v>0.36035822836991183</c:v>
                </c:pt>
                <c:pt idx="12">
                  <c:v>0.36035913464067154</c:v>
                </c:pt>
                <c:pt idx="13">
                  <c:v>0.36036820517082785</c:v>
                </c:pt>
                <c:pt idx="14">
                  <c:v>0.36045809300748322</c:v>
                </c:pt>
                <c:pt idx="15">
                  <c:v>0.36128752630445571</c:v>
                </c:pt>
                <c:pt idx="16">
                  <c:v>0.36549577902897135</c:v>
                </c:pt>
                <c:pt idx="17">
                  <c:v>0.37053284467454167</c:v>
                </c:pt>
                <c:pt idx="18">
                  <c:v>0.37560725877333956</c:v>
                </c:pt>
                <c:pt idx="19">
                  <c:v>0.378942421586901</c:v>
                </c:pt>
                <c:pt idx="20">
                  <c:v>0.37883927370483844</c:v>
                </c:pt>
                <c:pt idx="21">
                  <c:v>0.37802082434975703</c:v>
                </c:pt>
                <c:pt idx="22">
                  <c:v>0.37813806734105387</c:v>
                </c:pt>
                <c:pt idx="23">
                  <c:v>0.37869505680899296</c:v>
                </c:pt>
                <c:pt idx="24">
                  <c:v>0.37986015531125017</c:v>
                </c:pt>
                <c:pt idx="25">
                  <c:v>0.38162361900152603</c:v>
                </c:pt>
                <c:pt idx="26">
                  <c:v>0.38426244971585954</c:v>
                </c:pt>
                <c:pt idx="27">
                  <c:v>0.38851043724304701</c:v>
                </c:pt>
                <c:pt idx="28">
                  <c:v>0.39466206083438088</c:v>
                </c:pt>
                <c:pt idx="29">
                  <c:v>0.4042193572787377</c:v>
                </c:pt>
                <c:pt idx="30">
                  <c:v>0.41966918952985927</c:v>
                </c:pt>
              </c:numCache>
            </c:numRef>
          </c:yVal>
          <c:smooth val="0"/>
          <c:extLst xmlns:c16r2="http://schemas.microsoft.com/office/drawing/2015/06/chart">
            <c:ext xmlns:c16="http://schemas.microsoft.com/office/drawing/2014/chart" uri="{C3380CC4-5D6E-409C-BE32-E72D297353CC}">
              <c16:uniqueId val="{00000002-F1B4-4BE7-8A92-A79B7D57BB36}"/>
            </c:ext>
          </c:extLst>
        </c:ser>
        <c:ser>
          <c:idx val="3"/>
          <c:order val="3"/>
          <c:tx>
            <c:strRef>
              <c:f>Comparison!$AC$2</c:f>
              <c:strCache>
                <c:ptCount val="1"/>
                <c:pt idx="0">
                  <c:v>25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Comparison!$N$3:$N$33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Comparison!$AC$3:$AC$33</c:f>
              <c:numCache>
                <c:formatCode>0.00E+00</c:formatCode>
                <c:ptCount val="31"/>
                <c:pt idx="0">
                  <c:v>0.36007959993361766</c:v>
                </c:pt>
                <c:pt idx="1">
                  <c:v>0.36009455957426084</c:v>
                </c:pt>
                <c:pt idx="2">
                  <c:v>0.36009465848176681</c:v>
                </c:pt>
                <c:pt idx="3">
                  <c:v>0.36009471716051339</c:v>
                </c:pt>
                <c:pt idx="4">
                  <c:v>0.36009474551214277</c:v>
                </c:pt>
                <c:pt idx="5">
                  <c:v>0.36009475665284973</c:v>
                </c:pt>
                <c:pt idx="6">
                  <c:v>0.36009475867624846</c:v>
                </c:pt>
                <c:pt idx="7">
                  <c:v>0.36009476881726538</c:v>
                </c:pt>
                <c:pt idx="8">
                  <c:v>0.36009477084066338</c:v>
                </c:pt>
                <c:pt idx="9">
                  <c:v>0.36009486410915376</c:v>
                </c:pt>
                <c:pt idx="10">
                  <c:v>0.36009570449829092</c:v>
                </c:pt>
                <c:pt idx="11">
                  <c:v>0.36010412635753059</c:v>
                </c:pt>
                <c:pt idx="12">
                  <c:v>0.36018776081587062</c:v>
                </c:pt>
                <c:pt idx="13">
                  <c:v>0.36096327323430338</c:v>
                </c:pt>
                <c:pt idx="14">
                  <c:v>0.36504682055873694</c:v>
                </c:pt>
                <c:pt idx="15">
                  <c:v>0.37010785358354592</c:v>
                </c:pt>
                <c:pt idx="16">
                  <c:v>0.37582354135732149</c:v>
                </c:pt>
                <c:pt idx="17">
                  <c:v>0.3822597308778426</c:v>
                </c:pt>
                <c:pt idx="18">
                  <c:v>0.38615340361220812</c:v>
                </c:pt>
                <c:pt idx="19">
                  <c:v>0.38663081927070042</c:v>
                </c:pt>
                <c:pt idx="20">
                  <c:v>0.38556651515378187</c:v>
                </c:pt>
                <c:pt idx="21">
                  <c:v>0.38438805099394219</c:v>
                </c:pt>
                <c:pt idx="22">
                  <c:v>0.38410195379942486</c:v>
                </c:pt>
                <c:pt idx="23">
                  <c:v>0.38495742886912027</c:v>
                </c:pt>
                <c:pt idx="24">
                  <c:v>0.38717310045239967</c:v>
                </c:pt>
                <c:pt idx="25">
                  <c:v>0.39139655377079169</c:v>
                </c:pt>
                <c:pt idx="26">
                  <c:v>0.39742728952438633</c:v>
                </c:pt>
                <c:pt idx="27">
                  <c:v>0.40676609759606197</c:v>
                </c:pt>
                <c:pt idx="28">
                  <c:v>0.42195974426244331</c:v>
                </c:pt>
                <c:pt idx="29">
                  <c:v>0.44008362411093732</c:v>
                </c:pt>
                <c:pt idx="30">
                  <c:v>0.45697800093866831</c:v>
                </c:pt>
              </c:numCache>
            </c:numRef>
          </c:yVal>
          <c:smooth val="0"/>
          <c:extLst xmlns:c16r2="http://schemas.microsoft.com/office/drawing/2015/06/chart">
            <c:ext xmlns:c16="http://schemas.microsoft.com/office/drawing/2014/chart" uri="{C3380CC4-5D6E-409C-BE32-E72D297353CC}">
              <c16:uniqueId val="{00000003-F1B4-4BE7-8A92-A79B7D57BB36}"/>
            </c:ext>
          </c:extLst>
        </c:ser>
        <c:ser>
          <c:idx val="4"/>
          <c:order val="4"/>
          <c:tx>
            <c:strRef>
              <c:f>Comparison!$AD$2</c:f>
              <c:strCache>
                <c:ptCount val="1"/>
                <c:pt idx="0">
                  <c:v>50</c:v>
                </c:pt>
              </c:strCache>
            </c:strRef>
          </c:tx>
          <c:spPr>
            <a:ln w="19050" cap="rnd">
              <a:solidFill>
                <a:srgbClr val="002060"/>
              </a:solidFill>
              <a:round/>
            </a:ln>
            <a:effectLst/>
          </c:spPr>
          <c:marker>
            <c:symbol val="circle"/>
            <c:size val="5"/>
            <c:spPr>
              <a:solidFill>
                <a:srgbClr val="002060"/>
              </a:solidFill>
              <a:ln w="9525">
                <a:solidFill>
                  <a:srgbClr val="002060"/>
                </a:solidFill>
              </a:ln>
              <a:effectLst/>
            </c:spPr>
          </c:marker>
          <c:xVal>
            <c:numRef>
              <c:f>Comparison!$N$3:$N$33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Comparison!$AD$3:$AD$33</c:f>
              <c:numCache>
                <c:formatCode>0.00E+00</c:formatCode>
                <c:ptCount val="31"/>
                <c:pt idx="0">
                  <c:v>0.35981245441786447</c:v>
                </c:pt>
                <c:pt idx="1">
                  <c:v>0.35982775903286135</c:v>
                </c:pt>
                <c:pt idx="2">
                  <c:v>0.35982785389671706</c:v>
                </c:pt>
                <c:pt idx="3">
                  <c:v>0.35982791277388299</c:v>
                </c:pt>
                <c:pt idx="4">
                  <c:v>0.35982794115380251</c:v>
                </c:pt>
                <c:pt idx="5">
                  <c:v>0.3598279674599853</c:v>
                </c:pt>
                <c:pt idx="6">
                  <c:v>0.35982804231801491</c:v>
                </c:pt>
                <c:pt idx="7">
                  <c:v>0.3598287927957996</c:v>
                </c:pt>
                <c:pt idx="8">
                  <c:v>0.35983629328050659</c:v>
                </c:pt>
                <c:pt idx="9">
                  <c:v>0.35991086948130546</c:v>
                </c:pt>
                <c:pt idx="10">
                  <c:v>0.36060759081103017</c:v>
                </c:pt>
                <c:pt idx="11">
                  <c:v>0.36448830450349007</c:v>
                </c:pt>
                <c:pt idx="12">
                  <c:v>0.36949596178055943</c:v>
                </c:pt>
                <c:pt idx="13">
                  <c:v>0.37518023115112409</c:v>
                </c:pt>
                <c:pt idx="14">
                  <c:v>0.38217742453001313</c:v>
                </c:pt>
                <c:pt idx="15">
                  <c:v>0.38988561025902041</c:v>
                </c:pt>
                <c:pt idx="16">
                  <c:v>0.3987869017344845</c:v>
                </c:pt>
                <c:pt idx="17">
                  <c:v>0.40657534762972719</c:v>
                </c:pt>
                <c:pt idx="18">
                  <c:v>0.40761974612266944</c:v>
                </c:pt>
                <c:pt idx="19">
                  <c:v>0.40395769813812726</c:v>
                </c:pt>
                <c:pt idx="20">
                  <c:v>0.40049611149866071</c:v>
                </c:pt>
                <c:pt idx="21">
                  <c:v>0.39952771666618203</c:v>
                </c:pt>
                <c:pt idx="22">
                  <c:v>0.40249532381574127</c:v>
                </c:pt>
                <c:pt idx="23">
                  <c:v>0.40835872198177181</c:v>
                </c:pt>
                <c:pt idx="24">
                  <c:v>0.41756908741558713</c:v>
                </c:pt>
                <c:pt idx="25">
                  <c:v>0.43228462532847456</c:v>
                </c:pt>
                <c:pt idx="26">
                  <c:v>0.44944640832174404</c:v>
                </c:pt>
                <c:pt idx="27">
                  <c:v>0.46486088631074041</c:v>
                </c:pt>
                <c:pt idx="28">
                  <c:v>0.47751130507142042</c:v>
                </c:pt>
                <c:pt idx="29">
                  <c:v>0.48303823899388809</c:v>
                </c:pt>
                <c:pt idx="30">
                  <c:v>0.48298510604595052</c:v>
                </c:pt>
              </c:numCache>
            </c:numRef>
          </c:yVal>
          <c:smooth val="0"/>
          <c:extLst xmlns:c16r2="http://schemas.microsoft.com/office/drawing/2015/06/chart">
            <c:ext xmlns:c16="http://schemas.microsoft.com/office/drawing/2014/chart" uri="{C3380CC4-5D6E-409C-BE32-E72D297353CC}">
              <c16:uniqueId val="{00000004-F1B4-4BE7-8A92-A79B7D57BB36}"/>
            </c:ext>
          </c:extLst>
        </c:ser>
        <c:ser>
          <c:idx val="7"/>
          <c:order val="5"/>
          <c:tx>
            <c:strRef>
              <c:f>Comparison!$AE$2</c:f>
              <c:strCache>
                <c:ptCount val="1"/>
                <c:pt idx="0">
                  <c:v>80</c:v>
                </c:pt>
              </c:strCache>
            </c:strRef>
          </c:tx>
          <c:spPr>
            <a:ln w="19050" cap="rnd">
              <a:solidFill>
                <a:schemeClr val="accent2">
                  <a:lumMod val="60000"/>
                </a:schemeClr>
              </a:solidFill>
              <a:round/>
            </a:ln>
            <a:effectLst/>
          </c:spPr>
          <c:marker>
            <c:symbol val="circle"/>
            <c:size val="5"/>
            <c:spPr>
              <a:solidFill>
                <a:schemeClr val="accent2">
                  <a:lumMod val="60000"/>
                </a:schemeClr>
              </a:solidFill>
              <a:ln w="9525">
                <a:solidFill>
                  <a:schemeClr val="accent2">
                    <a:lumMod val="60000"/>
                  </a:schemeClr>
                </a:solidFill>
              </a:ln>
              <a:effectLst/>
            </c:spPr>
          </c:marker>
          <c:xVal>
            <c:numRef>
              <c:f>Comparison!$N$3:$N$33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Comparison!$AE$3:$AE$33</c:f>
              <c:numCache>
                <c:formatCode>0.00E+00</c:formatCode>
                <c:ptCount val="31"/>
                <c:pt idx="0">
                  <c:v>0.35948725403130255</c:v>
                </c:pt>
                <c:pt idx="1">
                  <c:v>0.35950314980870418</c:v>
                </c:pt>
                <c:pt idx="2">
                  <c:v>0.35950523876912627</c:v>
                </c:pt>
                <c:pt idx="3">
                  <c:v>0.35952503372311995</c:v>
                </c:pt>
                <c:pt idx="4">
                  <c:v>0.35971877859745266</c:v>
                </c:pt>
                <c:pt idx="5">
                  <c:v>0.36134311585472129</c:v>
                </c:pt>
                <c:pt idx="6">
                  <c:v>0.3661764362691331</c:v>
                </c:pt>
                <c:pt idx="7">
                  <c:v>0.37137588933926702</c:v>
                </c:pt>
                <c:pt idx="8">
                  <c:v>0.37754390267552423</c:v>
                </c:pt>
                <c:pt idx="9">
                  <c:v>0.38508679341874646</c:v>
                </c:pt>
                <c:pt idx="10">
                  <c:v>0.39316898307631853</c:v>
                </c:pt>
                <c:pt idx="11">
                  <c:v>0.40389726276124766</c:v>
                </c:pt>
                <c:pt idx="12">
                  <c:v>0.4165064126240301</c:v>
                </c:pt>
                <c:pt idx="13">
                  <c:v>0.42985855321235655</c:v>
                </c:pt>
                <c:pt idx="14">
                  <c:v>0.44536092035938063</c:v>
                </c:pt>
                <c:pt idx="15">
                  <c:v>0.4624481234972439</c:v>
                </c:pt>
                <c:pt idx="16">
                  <c:v>0.48039075532798176</c:v>
                </c:pt>
                <c:pt idx="17">
                  <c:v>0.49119802487754749</c:v>
                </c:pt>
                <c:pt idx="18">
                  <c:v>0.49746286479478913</c:v>
                </c:pt>
                <c:pt idx="19">
                  <c:v>0.50999228355385806</c:v>
                </c:pt>
                <c:pt idx="20">
                  <c:v>0.53011916843146323</c:v>
                </c:pt>
                <c:pt idx="21">
                  <c:v>0.54383764281084046</c:v>
                </c:pt>
                <c:pt idx="22">
                  <c:v>0.54526102632459827</c:v>
                </c:pt>
                <c:pt idx="23">
                  <c:v>0.53824100953015952</c:v>
                </c:pt>
                <c:pt idx="24">
                  <c:v>0.51997413922012958</c:v>
                </c:pt>
                <c:pt idx="25">
                  <c:v>0.50447018658769671</c:v>
                </c:pt>
                <c:pt idx="26">
                  <c:v>0.49557765281295169</c:v>
                </c:pt>
                <c:pt idx="27">
                  <c:v>0.49303610302077072</c:v>
                </c:pt>
                <c:pt idx="28">
                  <c:v>0.48418241807530432</c:v>
                </c:pt>
                <c:pt idx="29">
                  <c:v>0.48406377463273303</c:v>
                </c:pt>
                <c:pt idx="30">
                  <c:v>0.48134369853869274</c:v>
                </c:pt>
              </c:numCache>
            </c:numRef>
          </c:yVal>
          <c:smooth val="0"/>
        </c:ser>
        <c:ser>
          <c:idx val="5"/>
          <c:order val="8"/>
          <c:tx>
            <c:strRef>
              <c:f>Comparison!$AF$2</c:f>
              <c:strCache>
                <c:ptCount val="1"/>
                <c:pt idx="0">
                  <c:v>125</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Comparison!$N$3:$N$33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Comparison!$AF$3:$AF$33</c:f>
              <c:numCache>
                <c:formatCode>0.00E+00</c:formatCode>
                <c:ptCount val="31"/>
                <c:pt idx="0">
                  <c:v>0.37888694126783645</c:v>
                </c:pt>
                <c:pt idx="1">
                  <c:v>0.38862667797254569</c:v>
                </c:pt>
                <c:pt idx="2">
                  <c:v>0.39830491134469787</c:v>
                </c:pt>
                <c:pt idx="3">
                  <c:v>0.41011716696403283</c:v>
                </c:pt>
                <c:pt idx="4">
                  <c:v>0.42303450549092125</c:v>
                </c:pt>
                <c:pt idx="5">
                  <c:v>0.4374204494871497</c:v>
                </c:pt>
                <c:pt idx="6">
                  <c:v>0.45425193995295127</c:v>
                </c:pt>
                <c:pt idx="7">
                  <c:v>0.47583559749142595</c:v>
                </c:pt>
                <c:pt idx="8">
                  <c:v>0.50802672786244374</c:v>
                </c:pt>
                <c:pt idx="9">
                  <c:v>0.55481705569880313</c:v>
                </c:pt>
                <c:pt idx="10">
                  <c:v>0.62311995765159445</c:v>
                </c:pt>
                <c:pt idx="11">
                  <c:v>0.72024714166073811</c:v>
                </c:pt>
                <c:pt idx="12">
                  <c:v>0.81944840572156641</c:v>
                </c:pt>
                <c:pt idx="13">
                  <c:v>0.89472311936608828</c:v>
                </c:pt>
                <c:pt idx="14">
                  <c:v>0.94335710117558313</c:v>
                </c:pt>
                <c:pt idx="15">
                  <c:v>0.9583911757902861</c:v>
                </c:pt>
                <c:pt idx="16">
                  <c:v>0.94640564294677398</c:v>
                </c:pt>
                <c:pt idx="17">
                  <c:v>0.91293941123073641</c:v>
                </c:pt>
                <c:pt idx="18">
                  <c:v>0.83455311397634313</c:v>
                </c:pt>
                <c:pt idx="19">
                  <c:v>0.7285927639183728</c:v>
                </c:pt>
                <c:pt idx="20">
                  <c:v>0.63917667185650529</c:v>
                </c:pt>
                <c:pt idx="21">
                  <c:v>0.57790711532695727</c:v>
                </c:pt>
                <c:pt idx="22">
                  <c:v>0.5386129069935689</c:v>
                </c:pt>
                <c:pt idx="23">
                  <c:v>0.51397926906476299</c:v>
                </c:pt>
                <c:pt idx="24">
                  <c:v>0.49843173405458169</c:v>
                </c:pt>
                <c:pt idx="25">
                  <c:v>0.48913303891579824</c:v>
                </c:pt>
                <c:pt idx="26">
                  <c:v>0.48750283692417007</c:v>
                </c:pt>
                <c:pt idx="27">
                  <c:v>0.48236867575488179</c:v>
                </c:pt>
                <c:pt idx="28">
                  <c:v>0.48229778836404746</c:v>
                </c:pt>
                <c:pt idx="29">
                  <c:v>0.48082397264822718</c:v>
                </c:pt>
                <c:pt idx="30">
                  <c:v>0.48078199302055891</c:v>
                </c:pt>
              </c:numCache>
            </c:numRef>
          </c:yVal>
          <c:smooth val="0"/>
          <c:extLst xmlns:c16r2="http://schemas.microsoft.com/office/drawing/2015/06/chart">
            <c:ext xmlns:c16="http://schemas.microsoft.com/office/drawing/2014/chart" uri="{C3380CC4-5D6E-409C-BE32-E72D297353CC}">
              <c16:uniqueId val="{00000005-F1B4-4BE7-8A92-A79B7D57BB36}"/>
            </c:ext>
          </c:extLst>
        </c:ser>
        <c:ser>
          <c:idx val="6"/>
          <c:order val="9"/>
          <c:tx>
            <c:strRef>
              <c:f>Comparison!$AG$2</c:f>
              <c:strCache>
                <c:ptCount val="1"/>
                <c:pt idx="0">
                  <c:v>160</c:v>
                </c:pt>
              </c:strCache>
            </c:strRef>
          </c:tx>
          <c:spPr>
            <a:ln w="19050" cap="rnd">
              <a:solidFill>
                <a:schemeClr val="accent6"/>
              </a:solidFill>
              <a:round/>
            </a:ln>
            <a:effectLst/>
          </c:spPr>
          <c:marker>
            <c:symbol val="circle"/>
            <c:size val="5"/>
            <c:spPr>
              <a:solidFill>
                <a:schemeClr val="accent6"/>
              </a:solidFill>
              <a:ln w="9525">
                <a:solidFill>
                  <a:schemeClr val="accent6"/>
                </a:solidFill>
              </a:ln>
              <a:effectLst/>
            </c:spPr>
          </c:marker>
          <c:xVal>
            <c:numRef>
              <c:f>Comparison!$N$3:$N$33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Comparison!$AG$3:$AG$33</c:f>
              <c:numCache>
                <c:formatCode>0.00E+00</c:formatCode>
                <c:ptCount val="31"/>
                <c:pt idx="0">
                  <c:v>0.39233060069735937</c:v>
                </c:pt>
                <c:pt idx="1">
                  <c:v>0.40597346665282347</c:v>
                </c:pt>
                <c:pt idx="2">
                  <c:v>0.41898636417726026</c:v>
                </c:pt>
                <c:pt idx="3">
                  <c:v>0.43281088922423544</c:v>
                </c:pt>
                <c:pt idx="4">
                  <c:v>0.44912640347830879</c:v>
                </c:pt>
                <c:pt idx="5">
                  <c:v>0.4689348191146136</c:v>
                </c:pt>
                <c:pt idx="6">
                  <c:v>0.49856189126823414</c:v>
                </c:pt>
                <c:pt idx="7">
                  <c:v>0.54171656342369212</c:v>
                </c:pt>
                <c:pt idx="8">
                  <c:v>0.60421243665876778</c:v>
                </c:pt>
                <c:pt idx="9">
                  <c:v>0.69534610015651555</c:v>
                </c:pt>
                <c:pt idx="10">
                  <c:v>0.79570910128696104</c:v>
                </c:pt>
                <c:pt idx="11">
                  <c:v>0.87793610555921553</c:v>
                </c:pt>
                <c:pt idx="12">
                  <c:v>0.93476335373171815</c:v>
                </c:pt>
                <c:pt idx="13">
                  <c:v>0.96331157781143395</c:v>
                </c:pt>
                <c:pt idx="14">
                  <c:v>0.96903444381540293</c:v>
                </c:pt>
                <c:pt idx="15">
                  <c:v>0.96155254796303102</c:v>
                </c:pt>
                <c:pt idx="16">
                  <c:v>0.93407994864152366</c:v>
                </c:pt>
                <c:pt idx="17">
                  <c:v>0.87443271250747268</c:v>
                </c:pt>
                <c:pt idx="18">
                  <c:v>0.77355324032895589</c:v>
                </c:pt>
                <c:pt idx="19">
                  <c:v>0.67354571620762527</c:v>
                </c:pt>
                <c:pt idx="20">
                  <c:v>0.60064505880193675</c:v>
                </c:pt>
                <c:pt idx="21">
                  <c:v>0.55305926947281125</c:v>
                </c:pt>
                <c:pt idx="22">
                  <c:v>0.52310775136194199</c:v>
                </c:pt>
                <c:pt idx="23">
                  <c:v>0.50409092526538513</c:v>
                </c:pt>
                <c:pt idx="24">
                  <c:v>0.49241029046196377</c:v>
                </c:pt>
                <c:pt idx="25">
                  <c:v>0.49046885047095923</c:v>
                </c:pt>
                <c:pt idx="26">
                  <c:v>0.48793238130258682</c:v>
                </c:pt>
                <c:pt idx="27">
                  <c:v>0.48125251610496006</c:v>
                </c:pt>
                <c:pt idx="28">
                  <c:v>0.48117498593786245</c:v>
                </c:pt>
                <c:pt idx="29">
                  <c:v>0.48001299983791446</c:v>
                </c:pt>
                <c:pt idx="30">
                  <c:v>0.4800012776744671</c:v>
                </c:pt>
              </c:numCache>
            </c:numRef>
          </c:yVal>
          <c:smooth val="0"/>
          <c:extLst xmlns:c16r2="http://schemas.microsoft.com/office/drawing/2015/06/chart">
            <c:ext xmlns:c16="http://schemas.microsoft.com/office/drawing/2014/chart" uri="{C3380CC4-5D6E-409C-BE32-E72D297353CC}">
              <c16:uniqueId val="{00000006-F1B4-4BE7-8A92-A79B7D57BB36}"/>
            </c:ext>
          </c:extLst>
        </c:ser>
        <c:dLbls>
          <c:showLegendKey val="0"/>
          <c:showVal val="0"/>
          <c:showCatName val="0"/>
          <c:showSerName val="0"/>
          <c:showPercent val="0"/>
          <c:showBubbleSize val="0"/>
        </c:dLbls>
        <c:axId val="548010960"/>
        <c:axId val="548005864"/>
        <c:extLst>
          <c:ext xmlns:c15="http://schemas.microsoft.com/office/drawing/2012/chart" uri="{02D57815-91ED-43cb-92C2-25804820EDAC}">
            <c15:filteredScatterSeries>
              <c15:ser>
                <c:idx val="1"/>
                <c:order val="1"/>
                <c:tx>
                  <c:strRef>
                    <c:extLst>
                      <c:ext uri="{02D57815-91ED-43cb-92C2-25804820EDAC}">
                        <c15:formulaRef>
                          <c15:sqref>Comparison!#REF!</c15:sqref>
                        </c15:formulaRef>
                      </c:ext>
                    </c:extLst>
                    <c:strCache>
                      <c:ptCount val="1"/>
                      <c:pt idx="0">
                        <c:v>#REF!</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extLst>
                      <c:ext uri="{02D57815-91ED-43cb-92C2-25804820EDAC}">
                        <c15:formulaRef>
                          <c15:sqref>Comparison!$N$3:$N$33</c15:sqref>
                        </c15:formulaRef>
                      </c:ext>
                    </c:extLst>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extLst>
                      <c:ext uri="{02D57815-91ED-43cb-92C2-25804820EDAC}">
                        <c15:formulaRef>
                          <c15:sqref>Comparison!#REF!</c15:sqref>
                        </c15:formulaRef>
                      </c:ext>
                    </c:extLst>
                    <c:numCache>
                      <c:formatCode>General</c:formatCode>
                      <c:ptCount val="1"/>
                      <c:pt idx="0">
                        <c:v>1</c:v>
                      </c:pt>
                    </c:numCache>
                  </c:numRef>
                </c:yVal>
                <c:smooth val="0"/>
                <c:extLst xmlns:c16r2="http://schemas.microsoft.com/office/drawing/2015/06/chart">
                  <c:ext xmlns:c16="http://schemas.microsoft.com/office/drawing/2014/chart" uri="{C3380CC4-5D6E-409C-BE32-E72D297353CC}">
                    <c16:uniqueId val="{00000001-F1B4-4BE7-8A92-A79B7D57BB36}"/>
                  </c:ext>
                </c:extLst>
              </c15:ser>
            </c15:filteredScatterSeries>
            <c15:filteredScatterSeries>
              <c15:ser>
                <c:idx val="8"/>
                <c:order val="6"/>
                <c:tx>
                  <c:strRef>
                    <c:extLst xmlns:c15="http://schemas.microsoft.com/office/drawing/2012/chart">
                      <c:ext xmlns:c15="http://schemas.microsoft.com/office/drawing/2012/chart" uri="{02D57815-91ED-43cb-92C2-25804820EDAC}">
                        <c15:formulaRef>
                          <c15:sqref>Comparison!#REF!</c15:sqref>
                        </c15:formulaRef>
                      </c:ext>
                    </c:extLst>
                    <c:strCache>
                      <c:ptCount val="1"/>
                      <c:pt idx="0">
                        <c:v>#REF!</c:v>
                      </c:pt>
                    </c:strCache>
                  </c:strRef>
                </c:tx>
                <c:spPr>
                  <a:ln w="19050" cap="rnd">
                    <a:solidFill>
                      <a:schemeClr val="accent3">
                        <a:lumMod val="60000"/>
                      </a:schemeClr>
                    </a:solidFill>
                    <a:round/>
                  </a:ln>
                  <a:effectLst/>
                </c:spPr>
                <c:marker>
                  <c:symbol val="circle"/>
                  <c:size val="5"/>
                  <c:spPr>
                    <a:solidFill>
                      <a:schemeClr val="accent3">
                        <a:lumMod val="60000"/>
                      </a:schemeClr>
                    </a:solidFill>
                    <a:ln w="9525">
                      <a:solidFill>
                        <a:schemeClr val="accent3">
                          <a:lumMod val="60000"/>
                        </a:schemeClr>
                      </a:solidFill>
                    </a:ln>
                    <a:effectLst/>
                  </c:spPr>
                </c:marker>
                <c:xVal>
                  <c:numRef>
                    <c:extLst xmlns:c15="http://schemas.microsoft.com/office/drawing/2012/chart">
                      <c:ext xmlns:c15="http://schemas.microsoft.com/office/drawing/2012/chart" uri="{02D57815-91ED-43cb-92C2-25804820EDAC}">
                        <c15:formulaRef>
                          <c15:sqref>Comparison!$N$3:$N$33</c15:sqref>
                        </c15:formulaRef>
                      </c:ext>
                    </c:extLst>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extLst xmlns:c15="http://schemas.microsoft.com/office/drawing/2012/chart">
                      <c:ext xmlns:c15="http://schemas.microsoft.com/office/drawing/2012/chart" uri="{02D57815-91ED-43cb-92C2-25804820EDAC}">
                        <c15:formulaRef>
                          <c15:sqref>Comparison!#REF!</c15:sqref>
                        </c15:formulaRef>
                      </c:ext>
                    </c:extLst>
                    <c:numCache>
                      <c:formatCode>General</c:formatCode>
                      <c:ptCount val="1"/>
                      <c:pt idx="0">
                        <c:v>1</c:v>
                      </c:pt>
                    </c:numCache>
                  </c:numRef>
                </c:yVal>
                <c:smooth val="0"/>
              </c15:ser>
            </c15:filteredScatterSeries>
            <c15:filteredScatterSeries>
              <c15:ser>
                <c:idx val="9"/>
                <c:order val="7"/>
                <c:tx>
                  <c:strRef>
                    <c:extLst xmlns:c15="http://schemas.microsoft.com/office/drawing/2012/chart">
                      <c:ext xmlns:c15="http://schemas.microsoft.com/office/drawing/2012/chart" uri="{02D57815-91ED-43cb-92C2-25804820EDAC}">
                        <c15:formulaRef>
                          <c15:sqref>Comparison!#REF!</c15:sqref>
                        </c15:formulaRef>
                      </c:ext>
                    </c:extLst>
                    <c:strCache>
                      <c:ptCount val="1"/>
                      <c:pt idx="0">
                        <c:v>#REF!</c:v>
                      </c:pt>
                    </c:strCache>
                  </c:strRef>
                </c:tx>
                <c:spPr>
                  <a:ln w="19050" cap="rnd">
                    <a:solidFill>
                      <a:schemeClr val="accent4">
                        <a:lumMod val="60000"/>
                      </a:schemeClr>
                    </a:solidFill>
                    <a:round/>
                  </a:ln>
                  <a:effectLst/>
                </c:spPr>
                <c:marker>
                  <c:symbol val="circle"/>
                  <c:size val="5"/>
                  <c:spPr>
                    <a:solidFill>
                      <a:schemeClr val="accent4">
                        <a:lumMod val="60000"/>
                      </a:schemeClr>
                    </a:solidFill>
                    <a:ln w="9525">
                      <a:solidFill>
                        <a:schemeClr val="accent4">
                          <a:lumMod val="60000"/>
                        </a:schemeClr>
                      </a:solidFill>
                    </a:ln>
                    <a:effectLst/>
                  </c:spPr>
                </c:marker>
                <c:xVal>
                  <c:numRef>
                    <c:extLst xmlns:c15="http://schemas.microsoft.com/office/drawing/2012/chart">
                      <c:ext xmlns:c15="http://schemas.microsoft.com/office/drawing/2012/chart" uri="{02D57815-91ED-43cb-92C2-25804820EDAC}">
                        <c15:formulaRef>
                          <c15:sqref>Comparison!$N$3:$N$33</c15:sqref>
                        </c15:formulaRef>
                      </c:ext>
                    </c:extLst>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extLst xmlns:c15="http://schemas.microsoft.com/office/drawing/2012/chart">
                      <c:ext xmlns:c15="http://schemas.microsoft.com/office/drawing/2012/chart" uri="{02D57815-91ED-43cb-92C2-25804820EDAC}">
                        <c15:formulaRef>
                          <c15:sqref>Comparison!#REF!</c15:sqref>
                        </c15:formulaRef>
                      </c:ext>
                    </c:extLst>
                    <c:numCache>
                      <c:formatCode>General</c:formatCode>
                      <c:ptCount val="1"/>
                      <c:pt idx="0">
                        <c:v>1</c:v>
                      </c:pt>
                    </c:numCache>
                  </c:numRef>
                </c:yVal>
                <c:smooth val="0"/>
              </c15:ser>
            </c15:filteredScatterSeries>
          </c:ext>
        </c:extLst>
      </c:scatterChart>
      <c:valAx>
        <c:axId val="548010960"/>
        <c:scaling>
          <c:logBase val="10"/>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t [s]</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0.00E+00"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b" anchorCtr="0"/>
          <a:lstStyle/>
          <a:p>
            <a:pPr>
              <a:defRPr sz="900" b="0" i="0" u="none" strike="noStrike" kern="1200" baseline="0">
                <a:solidFill>
                  <a:schemeClr val="tx1">
                    <a:lumMod val="65000"/>
                    <a:lumOff val="35000"/>
                  </a:schemeClr>
                </a:solidFill>
                <a:latin typeface="+mn-lt"/>
                <a:ea typeface="+mn-ea"/>
                <a:cs typeface="+mn-cs"/>
              </a:defRPr>
            </a:pPr>
            <a:endParaRPr lang="de-DE"/>
          </a:p>
        </c:txPr>
        <c:crossAx val="548005864"/>
        <c:crosses val="autoZero"/>
        <c:crossBetween val="midCat"/>
        <c:majorUnit val="10000"/>
      </c:valAx>
      <c:valAx>
        <c:axId val="548005864"/>
        <c:scaling>
          <c:orientation val="minMax"/>
          <c:max val="1"/>
          <c:min val="0.30000000000000004"/>
        </c:scaling>
        <c:delete val="0"/>
        <c:axPos val="r"/>
        <c:majorGridlines>
          <c:spPr>
            <a:ln w="9525" cap="flat" cmpd="sng" algn="ctr">
              <a:solidFill>
                <a:schemeClr val="tx1">
                  <a:lumMod val="15000"/>
                  <a:lumOff val="85000"/>
                </a:schemeClr>
              </a:solidFill>
              <a:round/>
            </a:ln>
            <a:effectLst/>
          </c:spPr>
        </c:majorGridlines>
        <c:title>
          <c:tx>
            <c:rich>
              <a:bodyPr rot="0" spcFirstLastPara="1" vertOverflow="ellipsis" vert="wordArtVert"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v</a:t>
                </a:r>
              </a:p>
            </c:rich>
          </c:tx>
          <c:overlay val="0"/>
          <c:spPr>
            <a:noFill/>
            <a:ln>
              <a:noFill/>
            </a:ln>
            <a:effectLst/>
          </c:spPr>
          <c:txPr>
            <a:bodyPr rot="0" spcFirstLastPara="1" vertOverflow="ellipsis" vert="wordArtVert"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General"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t" anchorCtr="0"/>
          <a:lstStyle/>
          <a:p>
            <a:pPr>
              <a:defRPr sz="900" b="0" i="0" u="none" strike="noStrike" kern="1200" baseline="0">
                <a:solidFill>
                  <a:schemeClr val="tx1">
                    <a:lumMod val="65000"/>
                    <a:lumOff val="35000"/>
                  </a:schemeClr>
                </a:solidFill>
                <a:latin typeface="+mn-lt"/>
                <a:ea typeface="+mn-ea"/>
                <a:cs typeface="+mn-cs"/>
              </a:defRPr>
            </a:pPr>
            <a:endParaRPr lang="de-DE"/>
          </a:p>
        </c:txPr>
        <c:crossAx val="548010960"/>
        <c:crosses val="max"/>
        <c:crossBetween val="midCat"/>
        <c:majorUnit val="0.1"/>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de-DE"/>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1905810172818344"/>
          <c:y val="4.7114252061248529E-2"/>
          <c:w val="0.82728988339433085"/>
          <c:h val="0.6311970544318003"/>
        </c:manualLayout>
      </c:layout>
      <c:scatterChart>
        <c:scatterStyle val="lineMarker"/>
        <c:varyColors val="0"/>
        <c:ser>
          <c:idx val="0"/>
          <c:order val="0"/>
          <c:tx>
            <c:strRef>
              <c:f>Comparison!$AM$2</c:f>
              <c:strCache>
                <c:ptCount val="1"/>
                <c:pt idx="0">
                  <c:v>-40</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Comparison!$AL$3:$AL$33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Comparison!$AM$3:$AM$33</c:f>
              <c:numCache>
                <c:formatCode>0.00E+00</c:formatCode>
                <c:ptCount val="31"/>
                <c:pt idx="0">
                  <c:v>6574.1423129756067</c:v>
                </c:pt>
                <c:pt idx="1">
                  <c:v>6574.1983504239388</c:v>
                </c:pt>
                <c:pt idx="2">
                  <c:v>6574.1641202956771</c:v>
                </c:pt>
                <c:pt idx="3">
                  <c:v>6574.1538463873376</c:v>
                </c:pt>
                <c:pt idx="4">
                  <c:v>6574.1506604943988</c:v>
                </c:pt>
                <c:pt idx="5">
                  <c:v>6574.149598530772</c:v>
                </c:pt>
                <c:pt idx="6">
                  <c:v>6574.1492527752453</c:v>
                </c:pt>
                <c:pt idx="7">
                  <c:v>6574.149203381603</c:v>
                </c:pt>
                <c:pt idx="8">
                  <c:v>6574.149203381603</c:v>
                </c:pt>
                <c:pt idx="9">
                  <c:v>6574.149203381603</c:v>
                </c:pt>
                <c:pt idx="10">
                  <c:v>6574.1491786847801</c:v>
                </c:pt>
                <c:pt idx="11">
                  <c:v>6574.1489070197567</c:v>
                </c:pt>
                <c:pt idx="12">
                  <c:v>6574.1483883865922</c:v>
                </c:pt>
                <c:pt idx="13">
                  <c:v>6574.141102834109</c:v>
                </c:pt>
                <c:pt idx="14">
                  <c:v>6574.0681741087647</c:v>
                </c:pt>
                <c:pt idx="15">
                  <c:v>6573.3425313051102</c:v>
                </c:pt>
                <c:pt idx="16">
                  <c:v>6566.2492544539882</c:v>
                </c:pt>
                <c:pt idx="17">
                  <c:v>6509.2168204054406</c:v>
                </c:pt>
                <c:pt idx="18">
                  <c:v>6358.877795711509</c:v>
                </c:pt>
                <c:pt idx="19">
                  <c:v>6198.1657141301985</c:v>
                </c:pt>
                <c:pt idx="20">
                  <c:v>5965.2165970487267</c:v>
                </c:pt>
                <c:pt idx="21">
                  <c:v>5562.9083959530062</c:v>
                </c:pt>
                <c:pt idx="22">
                  <c:v>5068.6144859756578</c:v>
                </c:pt>
                <c:pt idx="23">
                  <c:v>4583.1082918040429</c:v>
                </c:pt>
                <c:pt idx="24">
                  <c:v>4165.9762057055259</c:v>
                </c:pt>
                <c:pt idx="25">
                  <c:v>3823.5689905233821</c:v>
                </c:pt>
                <c:pt idx="26">
                  <c:v>3510.558848270296</c:v>
                </c:pt>
                <c:pt idx="27">
                  <c:v>3215.4703591878829</c:v>
                </c:pt>
                <c:pt idx="28">
                  <c:v>2870.194204228324</c:v>
                </c:pt>
                <c:pt idx="29">
                  <c:v>2458.5183678646754</c:v>
                </c:pt>
                <c:pt idx="30">
                  <c:v>1982.6966326072995</c:v>
                </c:pt>
              </c:numCache>
            </c:numRef>
          </c:yVal>
          <c:smooth val="0"/>
          <c:extLst xmlns:c16r2="http://schemas.microsoft.com/office/drawing/2015/06/chart">
            <c:ext xmlns:c16="http://schemas.microsoft.com/office/drawing/2014/chart" uri="{C3380CC4-5D6E-409C-BE32-E72D297353CC}">
              <c16:uniqueId val="{00000000-E8F4-4959-83B6-E6737299F53D}"/>
            </c:ext>
          </c:extLst>
        </c:ser>
        <c:ser>
          <c:idx val="2"/>
          <c:order val="2"/>
          <c:tx>
            <c:strRef>
              <c:f>Comparison!$AN$2</c:f>
              <c:strCache>
                <c:ptCount val="1"/>
                <c:pt idx="0">
                  <c:v>0</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Comparison!$AL$3:$AL$33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Comparison!$AN$3:$AN$33</c:f>
              <c:numCache>
                <c:formatCode>0.00E+00</c:formatCode>
                <c:ptCount val="31"/>
                <c:pt idx="0">
                  <c:v>6543.7252261807771</c:v>
                </c:pt>
                <c:pt idx="1">
                  <c:v>6543.7799387981568</c:v>
                </c:pt>
                <c:pt idx="2">
                  <c:v>6543.7462938558028</c:v>
                </c:pt>
                <c:pt idx="3">
                  <c:v>6543.7363350192272</c:v>
                </c:pt>
                <c:pt idx="4">
                  <c:v>6543.7332030080934</c:v>
                </c:pt>
                <c:pt idx="5">
                  <c:v>6543.7321508487757</c:v>
                </c:pt>
                <c:pt idx="6">
                  <c:v>6543.7318082853499</c:v>
                </c:pt>
                <c:pt idx="7">
                  <c:v>6543.7317593477201</c:v>
                </c:pt>
                <c:pt idx="8">
                  <c:v>6543.7315146595847</c:v>
                </c:pt>
                <c:pt idx="9">
                  <c:v>6543.731490190773</c:v>
                </c:pt>
                <c:pt idx="10">
                  <c:v>6543.7313923155243</c:v>
                </c:pt>
                <c:pt idx="11">
                  <c:v>6543.7286518097571</c:v>
                </c:pt>
                <c:pt idx="12">
                  <c:v>6543.7023234963144</c:v>
                </c:pt>
                <c:pt idx="13">
                  <c:v>6543.4393456132884</c:v>
                </c:pt>
                <c:pt idx="14">
                  <c:v>6540.8297975507394</c:v>
                </c:pt>
                <c:pt idx="15">
                  <c:v>6516.7915822655277</c:v>
                </c:pt>
                <c:pt idx="16">
                  <c:v>6390.814079024768</c:v>
                </c:pt>
                <c:pt idx="17">
                  <c:v>6240.1474757230608</c:v>
                </c:pt>
                <c:pt idx="18">
                  <c:v>6044.4265071962272</c:v>
                </c:pt>
                <c:pt idx="19">
                  <c:v>5697.9764219559002</c:v>
                </c:pt>
                <c:pt idx="20">
                  <c:v>5222.1642197271249</c:v>
                </c:pt>
                <c:pt idx="21">
                  <c:v>4741.2273341563377</c:v>
                </c:pt>
                <c:pt idx="22">
                  <c:v>4311.1706397553053</c:v>
                </c:pt>
                <c:pt idx="23">
                  <c:v>3952.2593271118144</c:v>
                </c:pt>
                <c:pt idx="24">
                  <c:v>3639.2172363975619</c:v>
                </c:pt>
                <c:pt idx="25">
                  <c:v>3344.7021990881808</c:v>
                </c:pt>
                <c:pt idx="26">
                  <c:v>3034.0126163953428</c:v>
                </c:pt>
                <c:pt idx="27">
                  <c:v>2653.5608861364908</c:v>
                </c:pt>
                <c:pt idx="28">
                  <c:v>2203.3378680125074</c:v>
                </c:pt>
                <c:pt idx="29">
                  <c:v>1683.4592204898881</c:v>
                </c:pt>
                <c:pt idx="30">
                  <c:v>1118.1414735463829</c:v>
                </c:pt>
              </c:numCache>
            </c:numRef>
          </c:yVal>
          <c:smooth val="0"/>
          <c:extLst xmlns:c16r2="http://schemas.microsoft.com/office/drawing/2015/06/chart">
            <c:ext xmlns:c16="http://schemas.microsoft.com/office/drawing/2014/chart" uri="{C3380CC4-5D6E-409C-BE32-E72D297353CC}">
              <c16:uniqueId val="{00000002-E8F4-4959-83B6-E6737299F53D}"/>
            </c:ext>
          </c:extLst>
        </c:ser>
        <c:ser>
          <c:idx val="3"/>
          <c:order val="3"/>
          <c:tx>
            <c:strRef>
              <c:f>Comparison!$AO$2</c:f>
              <c:strCache>
                <c:ptCount val="1"/>
                <c:pt idx="0">
                  <c:v>25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Comparison!$AL$3:$AL$33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Comparison!$AO$3:$AO$33</c:f>
              <c:numCache>
                <c:formatCode>0.00E+00</c:formatCode>
                <c:ptCount val="31"/>
                <c:pt idx="0">
                  <c:v>6524.0904126194901</c:v>
                </c:pt>
                <c:pt idx="1">
                  <c:v>6524.1443595856636</c:v>
                </c:pt>
                <c:pt idx="2">
                  <c:v>6524.1111351538066</c:v>
                </c:pt>
                <c:pt idx="3">
                  <c:v>6524.1012603146964</c:v>
                </c:pt>
                <c:pt idx="4">
                  <c:v>6524.0981470711258</c:v>
                </c:pt>
                <c:pt idx="5">
                  <c:v>6524.0971012165301</c:v>
                </c:pt>
                <c:pt idx="6">
                  <c:v>6524.0967607058046</c:v>
                </c:pt>
                <c:pt idx="7">
                  <c:v>6524.0967120614177</c:v>
                </c:pt>
                <c:pt idx="8">
                  <c:v>6524.0963715507314</c:v>
                </c:pt>
                <c:pt idx="9">
                  <c:v>6524.0939393325853</c:v>
                </c:pt>
                <c:pt idx="10">
                  <c:v>6524.06939835293</c:v>
                </c:pt>
                <c:pt idx="11">
                  <c:v>6523.8242419120506</c:v>
                </c:pt>
                <c:pt idx="12">
                  <c:v>6521.3925487999713</c:v>
                </c:pt>
                <c:pt idx="13">
                  <c:v>6498.8766153292054</c:v>
                </c:pt>
                <c:pt idx="14">
                  <c:v>6376.7108933957061</c:v>
                </c:pt>
                <c:pt idx="15">
                  <c:v>6230.3639399807598</c:v>
                </c:pt>
                <c:pt idx="16">
                  <c:v>6066.3152248046426</c:v>
                </c:pt>
                <c:pt idx="17">
                  <c:v>5850.8000974148181</c:v>
                </c:pt>
                <c:pt idx="18">
                  <c:v>5524.1383776461034</c:v>
                </c:pt>
                <c:pt idx="19">
                  <c:v>5037.8540321693981</c:v>
                </c:pt>
                <c:pt idx="20">
                  <c:v>4531.1485912762591</c:v>
                </c:pt>
                <c:pt idx="21">
                  <c:v>4100.3073895013431</c:v>
                </c:pt>
                <c:pt idx="22">
                  <c:v>3736.9018653482362</c:v>
                </c:pt>
                <c:pt idx="23">
                  <c:v>3408.8002756648089</c:v>
                </c:pt>
                <c:pt idx="24">
                  <c:v>3078.2308446927527</c:v>
                </c:pt>
                <c:pt idx="25">
                  <c:v>2685.2498641877337</c:v>
                </c:pt>
                <c:pt idx="26">
                  <c:v>2228.0957655931211</c:v>
                </c:pt>
                <c:pt idx="27">
                  <c:v>1704.9584752004923</c:v>
                </c:pt>
                <c:pt idx="28">
                  <c:v>1135.4901421385146</c:v>
                </c:pt>
                <c:pt idx="29">
                  <c:v>680.51042901870051</c:v>
                </c:pt>
                <c:pt idx="30">
                  <c:v>389.33964903055204</c:v>
                </c:pt>
              </c:numCache>
            </c:numRef>
          </c:yVal>
          <c:smooth val="0"/>
          <c:extLst xmlns:c16r2="http://schemas.microsoft.com/office/drawing/2015/06/chart">
            <c:ext xmlns:c16="http://schemas.microsoft.com/office/drawing/2014/chart" uri="{C3380CC4-5D6E-409C-BE32-E72D297353CC}">
              <c16:uniqueId val="{00000003-E8F4-4959-83B6-E6737299F53D}"/>
            </c:ext>
          </c:extLst>
        </c:ser>
        <c:ser>
          <c:idx val="6"/>
          <c:order val="4"/>
          <c:tx>
            <c:strRef>
              <c:f>Comparison!$AP$2</c:f>
              <c:strCache>
                <c:ptCount val="1"/>
                <c:pt idx="0">
                  <c:v>50</c:v>
                </c:pt>
              </c:strCache>
            </c:strRef>
          </c:tx>
          <c:spPr>
            <a:ln w="19050" cap="rnd">
              <a:solidFill>
                <a:schemeClr val="accent1">
                  <a:lumMod val="60000"/>
                </a:schemeClr>
              </a:solidFill>
              <a:round/>
            </a:ln>
            <a:effectLst/>
          </c:spPr>
          <c:marker>
            <c:symbol val="circle"/>
            <c:size val="5"/>
            <c:spPr>
              <a:solidFill>
                <a:schemeClr val="accent1">
                  <a:lumMod val="60000"/>
                </a:schemeClr>
              </a:solidFill>
              <a:ln w="9525">
                <a:solidFill>
                  <a:schemeClr val="accent1">
                    <a:lumMod val="60000"/>
                  </a:schemeClr>
                </a:solidFill>
              </a:ln>
              <a:effectLst/>
            </c:spPr>
          </c:marker>
          <c:xVal>
            <c:numRef>
              <c:f>Comparison!$AL$3:$AL$33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Comparison!$AP$3:$AP$33</c:f>
              <c:numCache>
                <c:formatCode>0.00E+00</c:formatCode>
                <c:ptCount val="31"/>
                <c:pt idx="0">
                  <c:v>6503.9509699618966</c:v>
                </c:pt>
                <c:pt idx="1">
                  <c:v>6504.0043184804708</c:v>
                </c:pt>
                <c:pt idx="2">
                  <c:v>6503.9713230315656</c:v>
                </c:pt>
                <c:pt idx="3">
                  <c:v>6503.9615090652051</c:v>
                </c:pt>
                <c:pt idx="4">
                  <c:v>6503.9584150129849</c:v>
                </c:pt>
                <c:pt idx="5">
                  <c:v>6503.9573030886877</c:v>
                </c:pt>
                <c:pt idx="6">
                  <c:v>6503.9546441408229</c:v>
                </c:pt>
                <c:pt idx="7">
                  <c:v>6503.932647473689</c:v>
                </c:pt>
                <c:pt idx="8">
                  <c:v>6503.7133657579243</c:v>
                </c:pt>
                <c:pt idx="9">
                  <c:v>6501.5374241274303</c:v>
                </c:pt>
                <c:pt idx="10">
                  <c:v>6481.233154233405</c:v>
                </c:pt>
                <c:pt idx="11">
                  <c:v>6364.7007036045688</c:v>
                </c:pt>
                <c:pt idx="12">
                  <c:v>6219.55344224686</c:v>
                </c:pt>
                <c:pt idx="13">
                  <c:v>6059.9785511387736</c:v>
                </c:pt>
                <c:pt idx="14">
                  <c:v>5870.6317266704709</c:v>
                </c:pt>
                <c:pt idx="15">
                  <c:v>5669.1325406322439</c:v>
                </c:pt>
                <c:pt idx="16">
                  <c:v>5423.4324257349326</c:v>
                </c:pt>
                <c:pt idx="17">
                  <c:v>5064.9009314494624</c:v>
                </c:pt>
                <c:pt idx="18">
                  <c:v>4580.1850776889687</c:v>
                </c:pt>
                <c:pt idx="19">
                  <c:v>4085.8663253030418</c:v>
                </c:pt>
                <c:pt idx="20">
                  <c:v>3641.7022773125063</c:v>
                </c:pt>
                <c:pt idx="21">
                  <c:v>3231.6591203117327</c:v>
                </c:pt>
                <c:pt idx="22">
                  <c:v>2785.7203085552951</c:v>
                </c:pt>
                <c:pt idx="23">
                  <c:v>2295.1533050928924</c:v>
                </c:pt>
                <c:pt idx="24">
                  <c:v>1754.5150163075152</c:v>
                </c:pt>
                <c:pt idx="25">
                  <c:v>1171.8757952014325</c:v>
                </c:pt>
                <c:pt idx="26">
                  <c:v>704.46209389908893</c:v>
                </c:pt>
                <c:pt idx="27">
                  <c:v>403.25761176970258</c:v>
                </c:pt>
                <c:pt idx="28">
                  <c:v>227.19076746573165</c:v>
                </c:pt>
                <c:pt idx="29">
                  <c:v>157.01371189082064</c:v>
                </c:pt>
                <c:pt idx="30">
                  <c:v>136.97082983111966</c:v>
                </c:pt>
              </c:numCache>
            </c:numRef>
          </c:yVal>
          <c:smooth val="0"/>
          <c:extLst xmlns:c16r2="http://schemas.microsoft.com/office/drawing/2015/06/chart">
            <c:ext xmlns:c16="http://schemas.microsoft.com/office/drawing/2014/chart" uri="{C3380CC4-5D6E-409C-BE32-E72D297353CC}">
              <c16:uniqueId val="{00000004-E8F4-4959-83B6-E6737299F53D}"/>
            </c:ext>
          </c:extLst>
        </c:ser>
        <c:ser>
          <c:idx val="4"/>
          <c:order val="5"/>
          <c:tx>
            <c:strRef>
              <c:f>Comparison!$AQ$2</c:f>
              <c:strCache>
                <c:ptCount val="1"/>
                <c:pt idx="0">
                  <c:v>80</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Comparison!$AL$3:$AL$33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Comparison!$AQ$3:$AQ$33</c:f>
              <c:numCache>
                <c:formatCode>0.00E+00</c:formatCode>
                <c:ptCount val="31"/>
                <c:pt idx="0">
                  <c:v>6479.0859474371819</c:v>
                </c:pt>
                <c:pt idx="1">
                  <c:v>6479.1324839978006</c:v>
                </c:pt>
                <c:pt idx="2">
                  <c:v>6479.041978197979</c:v>
                </c:pt>
                <c:pt idx="3">
                  <c:v>6478.4539559822069</c:v>
                </c:pt>
                <c:pt idx="4">
                  <c:v>6472.7726535549082</c:v>
                </c:pt>
                <c:pt idx="5">
                  <c:v>6425.3224026678754</c:v>
                </c:pt>
                <c:pt idx="6">
                  <c:v>6280.1372572444334</c:v>
                </c:pt>
                <c:pt idx="7">
                  <c:v>6130.7451181848783</c:v>
                </c:pt>
                <c:pt idx="8">
                  <c:v>5959.459898848826</c:v>
                </c:pt>
                <c:pt idx="9">
                  <c:v>5758.6320512376351</c:v>
                </c:pt>
                <c:pt idx="10">
                  <c:v>5553.7107715147085</c:v>
                </c:pt>
                <c:pt idx="11">
                  <c:v>5296.2160470219478</c:v>
                </c:pt>
                <c:pt idx="12">
                  <c:v>5014.3504980568096</c:v>
                </c:pt>
                <c:pt idx="13">
                  <c:v>4737.7084148388376</c:v>
                </c:pt>
                <c:pt idx="14">
                  <c:v>4438.626264954587</c:v>
                </c:pt>
                <c:pt idx="15">
                  <c:v>4115.3629839514006</c:v>
                </c:pt>
                <c:pt idx="16">
                  <c:v>3662.5886079597385</c:v>
                </c:pt>
                <c:pt idx="17">
                  <c:v>3039.7716426269371</c:v>
                </c:pt>
                <c:pt idx="18">
                  <c:v>2356.5178874385392</c:v>
                </c:pt>
                <c:pt idx="19">
                  <c:v>1664.6092730189016</c:v>
                </c:pt>
                <c:pt idx="20">
                  <c:v>1039.9214556238178</c:v>
                </c:pt>
                <c:pt idx="21">
                  <c:v>595.89522173414423</c:v>
                </c:pt>
                <c:pt idx="22">
                  <c:v>331.71701217899948</c:v>
                </c:pt>
                <c:pt idx="23">
                  <c:v>192.72704730170403</c:v>
                </c:pt>
                <c:pt idx="24">
                  <c:v>148.89299884614732</c:v>
                </c:pt>
                <c:pt idx="25">
                  <c:v>134.12130031566326</c:v>
                </c:pt>
                <c:pt idx="26">
                  <c:v>124.90206072555479</c:v>
                </c:pt>
                <c:pt idx="27">
                  <c:v>124.64007063602084</c:v>
                </c:pt>
                <c:pt idx="28">
                  <c:v>123.89500698166064</c:v>
                </c:pt>
                <c:pt idx="29">
                  <c:v>123.88320178471095</c:v>
                </c:pt>
                <c:pt idx="30">
                  <c:v>123.47472292148701</c:v>
                </c:pt>
              </c:numCache>
            </c:numRef>
          </c:yVal>
          <c:smooth val="0"/>
          <c:extLst xmlns:c16r2="http://schemas.microsoft.com/office/drawing/2015/06/chart">
            <c:ext xmlns:c16="http://schemas.microsoft.com/office/drawing/2014/chart" uri="{C3380CC4-5D6E-409C-BE32-E72D297353CC}">
              <c16:uniqueId val="{00000005-E8F4-4959-83B6-E6737299F53D}"/>
            </c:ext>
          </c:extLst>
        </c:ser>
        <c:ser>
          <c:idx val="9"/>
          <c:order val="8"/>
          <c:tx>
            <c:strRef>
              <c:f>Comparison!$AR$2</c:f>
              <c:strCache>
                <c:ptCount val="1"/>
                <c:pt idx="0">
                  <c:v>125</c:v>
                </c:pt>
              </c:strCache>
            </c:strRef>
          </c:tx>
          <c:spPr>
            <a:ln w="19050" cap="rnd">
              <a:solidFill>
                <a:schemeClr val="accent4">
                  <a:lumMod val="60000"/>
                </a:schemeClr>
              </a:solidFill>
              <a:round/>
            </a:ln>
            <a:effectLst/>
          </c:spPr>
          <c:marker>
            <c:symbol val="circle"/>
            <c:size val="5"/>
            <c:spPr>
              <a:solidFill>
                <a:schemeClr val="accent4">
                  <a:lumMod val="60000"/>
                </a:schemeClr>
              </a:solidFill>
              <a:ln w="9525">
                <a:solidFill>
                  <a:schemeClr val="accent4">
                    <a:lumMod val="60000"/>
                  </a:schemeClr>
                </a:solidFill>
              </a:ln>
              <a:effectLst/>
            </c:spPr>
          </c:marker>
          <c:xVal>
            <c:numRef>
              <c:f>Comparison!$AL$3:$AL$33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Comparison!$AR$3:$AR$33</c:f>
              <c:numCache>
                <c:formatCode>0.00E+00</c:formatCode>
                <c:ptCount val="31"/>
                <c:pt idx="0">
                  <c:v>5863.6829549380891</c:v>
                </c:pt>
                <c:pt idx="1">
                  <c:v>5609.1927579282792</c:v>
                </c:pt>
                <c:pt idx="2">
                  <c:v>5370.7345311781783</c:v>
                </c:pt>
                <c:pt idx="3">
                  <c:v>5097.9534912421213</c:v>
                </c:pt>
                <c:pt idx="4">
                  <c:v>4821.046341164677</c:v>
                </c:pt>
                <c:pt idx="5">
                  <c:v>4535.3452020984814</c:v>
                </c:pt>
                <c:pt idx="6">
                  <c:v>4228.4929725950406</c:v>
                </c:pt>
                <c:pt idx="7">
                  <c:v>3871.0057883923755</c:v>
                </c:pt>
                <c:pt idx="8">
                  <c:v>3401.7561264704505</c:v>
                </c:pt>
                <c:pt idx="9">
                  <c:v>2827.0529060658037</c:v>
                </c:pt>
                <c:pt idx="10">
                  <c:v>2150.7951483518323</c:v>
                </c:pt>
                <c:pt idx="11">
                  <c:v>1410.5199057082755</c:v>
                </c:pt>
                <c:pt idx="12">
                  <c:v>826.67973456797017</c:v>
                </c:pt>
                <c:pt idx="13">
                  <c:v>463.10914863390207</c:v>
                </c:pt>
                <c:pt idx="14">
                  <c:v>257.27368574751409</c:v>
                </c:pt>
                <c:pt idx="15">
                  <c:v>179.98076982609024</c:v>
                </c:pt>
                <c:pt idx="16">
                  <c:v>157.55849658546879</c:v>
                </c:pt>
                <c:pt idx="17">
                  <c:v>143.13037816485394</c:v>
                </c:pt>
                <c:pt idx="18">
                  <c:v>139.03929298884987</c:v>
                </c:pt>
                <c:pt idx="19">
                  <c:v>135.60631839895524</c:v>
                </c:pt>
                <c:pt idx="20">
                  <c:v>132.22937471479068</c:v>
                </c:pt>
                <c:pt idx="21">
                  <c:v>129.58780540541244</c:v>
                </c:pt>
                <c:pt idx="22">
                  <c:v>127.7135675720335</c:v>
                </c:pt>
                <c:pt idx="23">
                  <c:v>126.4367312836393</c:v>
                </c:pt>
                <c:pt idx="24">
                  <c:v>125.52960401951817</c:v>
                </c:pt>
                <c:pt idx="25">
                  <c:v>124.83927834622055</c:v>
                </c:pt>
                <c:pt idx="26">
                  <c:v>124.70417941781746</c:v>
                </c:pt>
                <c:pt idx="27">
                  <c:v>123.9260383626436</c:v>
                </c:pt>
                <c:pt idx="28">
                  <c:v>123.91358498832378</c:v>
                </c:pt>
                <c:pt idx="29">
                  <c:v>123.65466987195585</c:v>
                </c:pt>
                <c:pt idx="30">
                  <c:v>123.64094316844046</c:v>
                </c:pt>
              </c:numCache>
            </c:numRef>
          </c:yVal>
          <c:smooth val="0"/>
        </c:ser>
        <c:ser>
          <c:idx val="5"/>
          <c:order val="9"/>
          <c:tx>
            <c:strRef>
              <c:f>Comparison!$AS$2</c:f>
              <c:strCache>
                <c:ptCount val="1"/>
                <c:pt idx="0">
                  <c:v>160</c:v>
                </c:pt>
              </c:strCache>
            </c:strRef>
          </c:tx>
          <c:spPr>
            <a:ln w="19050" cap="rnd">
              <a:solidFill>
                <a:schemeClr val="accent6"/>
              </a:solidFill>
              <a:round/>
            </a:ln>
            <a:effectLst/>
          </c:spPr>
          <c:marker>
            <c:symbol val="circle"/>
            <c:size val="5"/>
            <c:spPr>
              <a:solidFill>
                <a:schemeClr val="accent6"/>
              </a:solidFill>
              <a:ln w="9525">
                <a:solidFill>
                  <a:schemeClr val="accent6"/>
                </a:solidFill>
              </a:ln>
              <a:effectLst/>
            </c:spPr>
          </c:marker>
          <c:xVal>
            <c:numRef>
              <c:f>Comparison!$AL$3:$AL$33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Comparison!$AS$3:$AS$33</c:f>
              <c:numCache>
                <c:formatCode>0.00E+00</c:formatCode>
                <c:ptCount val="31"/>
                <c:pt idx="0">
                  <c:v>5469.0375175567433</c:v>
                </c:pt>
                <c:pt idx="1">
                  <c:v>5144.4254375399241</c:v>
                </c:pt>
                <c:pt idx="2">
                  <c:v>4859.4796757955091</c:v>
                </c:pt>
                <c:pt idx="3">
                  <c:v>4579.0872874253573</c:v>
                </c:pt>
                <c:pt idx="4">
                  <c:v>4274.6287252900811</c:v>
                </c:pt>
                <c:pt idx="5">
                  <c:v>3938.1560081824523</c:v>
                </c:pt>
                <c:pt idx="6">
                  <c:v>3491.5925245283374</c:v>
                </c:pt>
                <c:pt idx="7">
                  <c:v>2939.5473684961994</c:v>
                </c:pt>
                <c:pt idx="8">
                  <c:v>2290.3210430692648</c:v>
                </c:pt>
                <c:pt idx="9">
                  <c:v>1556.8723374202477</c:v>
                </c:pt>
                <c:pt idx="10">
                  <c:v>939.61789874376836</c:v>
                </c:pt>
                <c:pt idx="11">
                  <c:v>532.22470015904992</c:v>
                </c:pt>
                <c:pt idx="12">
                  <c:v>294.61415856723238</c:v>
                </c:pt>
                <c:pt idx="13">
                  <c:v>191.85627557437303</c:v>
                </c:pt>
                <c:pt idx="14">
                  <c:v>162.27843823453597</c:v>
                </c:pt>
                <c:pt idx="15">
                  <c:v>147.30961753431595</c:v>
                </c:pt>
                <c:pt idx="16">
                  <c:v>142.06591803394016</c:v>
                </c:pt>
                <c:pt idx="17">
                  <c:v>140.2404472955443</c:v>
                </c:pt>
                <c:pt idx="18">
                  <c:v>137.13168564571805</c:v>
                </c:pt>
                <c:pt idx="19">
                  <c:v>133.5914564553571</c:v>
                </c:pt>
                <c:pt idx="20">
                  <c:v>130.60597118111332</c:v>
                </c:pt>
                <c:pt idx="21">
                  <c:v>128.42317853149575</c:v>
                </c:pt>
                <c:pt idx="22">
                  <c:v>126.92571513683149</c:v>
                </c:pt>
                <c:pt idx="23">
                  <c:v>125.87891264299097</c:v>
                </c:pt>
                <c:pt idx="24">
                  <c:v>125.11103067782525</c:v>
                </c:pt>
                <c:pt idx="25">
                  <c:v>124.96985459314666</c:v>
                </c:pt>
                <c:pt idx="26">
                  <c:v>124.77108605330615</c:v>
                </c:pt>
                <c:pt idx="27">
                  <c:v>123.93614365125383</c:v>
                </c:pt>
                <c:pt idx="28">
                  <c:v>123.92285545904397</c:v>
                </c:pt>
                <c:pt idx="29">
                  <c:v>123.48008539289999</c:v>
                </c:pt>
                <c:pt idx="30">
                  <c:v>123.46865182434244</c:v>
                </c:pt>
              </c:numCache>
            </c:numRef>
          </c:yVal>
          <c:smooth val="0"/>
          <c:extLst xmlns:c16r2="http://schemas.microsoft.com/office/drawing/2015/06/chart">
            <c:ext xmlns:c16="http://schemas.microsoft.com/office/drawing/2014/chart" uri="{C3380CC4-5D6E-409C-BE32-E72D297353CC}">
              <c16:uniqueId val="{00000006-E8F4-4959-83B6-E6737299F53D}"/>
            </c:ext>
          </c:extLst>
        </c:ser>
        <c:dLbls>
          <c:showLegendKey val="0"/>
          <c:showVal val="0"/>
          <c:showCatName val="0"/>
          <c:showSerName val="0"/>
          <c:showPercent val="0"/>
          <c:showBubbleSize val="0"/>
        </c:dLbls>
        <c:axId val="548007824"/>
        <c:axId val="548005472"/>
        <c:extLst>
          <c:ext xmlns:c15="http://schemas.microsoft.com/office/drawing/2012/chart" uri="{02D57815-91ED-43cb-92C2-25804820EDAC}">
            <c15:filteredScatterSeries>
              <c15:ser>
                <c:idx val="1"/>
                <c:order val="1"/>
                <c:tx>
                  <c:strRef>
                    <c:extLst>
                      <c:ext uri="{02D57815-91ED-43cb-92C2-25804820EDAC}">
                        <c15:formulaRef>
                          <c15:sqref>Comparison!#REF!</c15:sqref>
                        </c15:formulaRef>
                      </c:ext>
                    </c:extLst>
                    <c:strCache>
                      <c:ptCount val="1"/>
                      <c:pt idx="0">
                        <c:v>#REF!</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extLst>
                      <c:ext uri="{02D57815-91ED-43cb-92C2-25804820EDAC}">
                        <c15:formulaRef>
                          <c15:sqref>Comparison!$AL$3:$AL$33</c15:sqref>
                        </c15:formulaRef>
                      </c:ext>
                    </c:extLst>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extLst>
                      <c:ext uri="{02D57815-91ED-43cb-92C2-25804820EDAC}">
                        <c15:formulaRef>
                          <c15:sqref>Comparison!#REF!</c15:sqref>
                        </c15:formulaRef>
                      </c:ext>
                    </c:extLst>
                    <c:numCache>
                      <c:formatCode>General</c:formatCode>
                      <c:ptCount val="1"/>
                      <c:pt idx="0">
                        <c:v>1</c:v>
                      </c:pt>
                    </c:numCache>
                  </c:numRef>
                </c:yVal>
                <c:smooth val="0"/>
                <c:extLst xmlns:c16r2="http://schemas.microsoft.com/office/drawing/2015/06/chart">
                  <c:ext xmlns:c16="http://schemas.microsoft.com/office/drawing/2014/chart" uri="{C3380CC4-5D6E-409C-BE32-E72D297353CC}">
                    <c16:uniqueId val="{00000001-E8F4-4959-83B6-E6737299F53D}"/>
                  </c:ext>
                </c:extLst>
              </c15:ser>
            </c15:filteredScatterSeries>
            <c15:filteredScatterSeries>
              <c15:ser>
                <c:idx val="7"/>
                <c:order val="6"/>
                <c:tx>
                  <c:strRef>
                    <c:extLst xmlns:c15="http://schemas.microsoft.com/office/drawing/2012/chart">
                      <c:ext xmlns:c15="http://schemas.microsoft.com/office/drawing/2012/chart" uri="{02D57815-91ED-43cb-92C2-25804820EDAC}">
                        <c15:formulaRef>
                          <c15:sqref>Comparison!#REF!</c15:sqref>
                        </c15:formulaRef>
                      </c:ext>
                    </c:extLst>
                    <c:strCache>
                      <c:ptCount val="1"/>
                      <c:pt idx="0">
                        <c:v>#REF!</c:v>
                      </c:pt>
                    </c:strCache>
                  </c:strRef>
                </c:tx>
                <c:spPr>
                  <a:ln w="19050" cap="rnd">
                    <a:solidFill>
                      <a:schemeClr val="accent2">
                        <a:lumMod val="60000"/>
                      </a:schemeClr>
                    </a:solidFill>
                    <a:round/>
                  </a:ln>
                  <a:effectLst/>
                </c:spPr>
                <c:marker>
                  <c:symbol val="circle"/>
                  <c:size val="5"/>
                  <c:spPr>
                    <a:solidFill>
                      <a:schemeClr val="accent2">
                        <a:lumMod val="60000"/>
                      </a:schemeClr>
                    </a:solidFill>
                    <a:ln w="9525">
                      <a:solidFill>
                        <a:schemeClr val="accent2">
                          <a:lumMod val="60000"/>
                        </a:schemeClr>
                      </a:solidFill>
                    </a:ln>
                    <a:effectLst/>
                  </c:spPr>
                </c:marker>
                <c:xVal>
                  <c:numRef>
                    <c:extLst xmlns:c15="http://schemas.microsoft.com/office/drawing/2012/chart">
                      <c:ext xmlns:c15="http://schemas.microsoft.com/office/drawing/2012/chart" uri="{02D57815-91ED-43cb-92C2-25804820EDAC}">
                        <c15:formulaRef>
                          <c15:sqref>Comparison!$AL$3:$AL$33</c15:sqref>
                        </c15:formulaRef>
                      </c:ext>
                    </c:extLst>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extLst xmlns:c15="http://schemas.microsoft.com/office/drawing/2012/chart">
                      <c:ext xmlns:c15="http://schemas.microsoft.com/office/drawing/2012/chart" uri="{02D57815-91ED-43cb-92C2-25804820EDAC}">
                        <c15:formulaRef>
                          <c15:sqref>Comparison!#REF!</c15:sqref>
                        </c15:formulaRef>
                      </c:ext>
                    </c:extLst>
                    <c:numCache>
                      <c:formatCode>General</c:formatCode>
                      <c:ptCount val="1"/>
                      <c:pt idx="0">
                        <c:v>1</c:v>
                      </c:pt>
                    </c:numCache>
                  </c:numRef>
                </c:yVal>
                <c:smooth val="0"/>
              </c15:ser>
            </c15:filteredScatterSeries>
            <c15:filteredScatterSeries>
              <c15:ser>
                <c:idx val="8"/>
                <c:order val="7"/>
                <c:tx>
                  <c:strRef>
                    <c:extLst xmlns:c15="http://schemas.microsoft.com/office/drawing/2012/chart">
                      <c:ext xmlns:c15="http://schemas.microsoft.com/office/drawing/2012/chart" uri="{02D57815-91ED-43cb-92C2-25804820EDAC}">
                        <c15:formulaRef>
                          <c15:sqref>Comparison!#REF!</c15:sqref>
                        </c15:formulaRef>
                      </c:ext>
                    </c:extLst>
                    <c:strCache>
                      <c:ptCount val="1"/>
                      <c:pt idx="0">
                        <c:v>#REF!</c:v>
                      </c:pt>
                    </c:strCache>
                  </c:strRef>
                </c:tx>
                <c:spPr>
                  <a:ln w="19050" cap="rnd">
                    <a:solidFill>
                      <a:schemeClr val="accent3">
                        <a:lumMod val="60000"/>
                      </a:schemeClr>
                    </a:solidFill>
                    <a:round/>
                  </a:ln>
                  <a:effectLst/>
                </c:spPr>
                <c:marker>
                  <c:symbol val="circle"/>
                  <c:size val="5"/>
                  <c:spPr>
                    <a:solidFill>
                      <a:schemeClr val="accent3">
                        <a:lumMod val="60000"/>
                      </a:schemeClr>
                    </a:solidFill>
                    <a:ln w="9525">
                      <a:solidFill>
                        <a:schemeClr val="accent3">
                          <a:lumMod val="60000"/>
                        </a:schemeClr>
                      </a:solidFill>
                    </a:ln>
                    <a:effectLst/>
                  </c:spPr>
                </c:marker>
                <c:xVal>
                  <c:numRef>
                    <c:extLst xmlns:c15="http://schemas.microsoft.com/office/drawing/2012/chart">
                      <c:ext xmlns:c15="http://schemas.microsoft.com/office/drawing/2012/chart" uri="{02D57815-91ED-43cb-92C2-25804820EDAC}">
                        <c15:formulaRef>
                          <c15:sqref>Comparison!$AL$3:$AL$33</c15:sqref>
                        </c15:formulaRef>
                      </c:ext>
                    </c:extLst>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extLst xmlns:c15="http://schemas.microsoft.com/office/drawing/2012/chart">
                      <c:ext xmlns:c15="http://schemas.microsoft.com/office/drawing/2012/chart" uri="{02D57815-91ED-43cb-92C2-25804820EDAC}">
                        <c15:formulaRef>
                          <c15:sqref>Comparison!#REF!</c15:sqref>
                        </c15:formulaRef>
                      </c:ext>
                    </c:extLst>
                    <c:numCache>
                      <c:formatCode>General</c:formatCode>
                      <c:ptCount val="1"/>
                      <c:pt idx="0">
                        <c:v>1</c:v>
                      </c:pt>
                    </c:numCache>
                  </c:numRef>
                </c:yVal>
                <c:smooth val="0"/>
              </c15:ser>
            </c15:filteredScatterSeries>
          </c:ext>
        </c:extLst>
      </c:scatterChart>
      <c:valAx>
        <c:axId val="548007824"/>
        <c:scaling>
          <c:logBase val="10"/>
          <c:orientation val="minMax"/>
          <c:max val="1E+16"/>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t</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0.00E+00"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548005472"/>
        <c:crosses val="autoZero"/>
        <c:crossBetween val="midCat"/>
        <c:majorUnit val="10000"/>
      </c:valAx>
      <c:valAx>
        <c:axId val="548005472"/>
        <c:scaling>
          <c:logBase val="10"/>
          <c:orientation val="minMax"/>
          <c:max val="10000"/>
          <c:min val="1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sz="1000" b="0" i="0" baseline="0">
                    <a:effectLst/>
                  </a:rPr>
                  <a:t>G [MPa]</a:t>
                </a:r>
                <a:endParaRPr lang="en-US" sz="1000">
                  <a:effectLst/>
                </a:endParaRP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General" sourceLinked="0"/>
        <c:majorTickMark val="none"/>
        <c:minorTickMark val="none"/>
        <c:tickLblPos val="low"/>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548007824"/>
        <c:crosses val="autoZero"/>
        <c:crossBetween val="midCat"/>
        <c:majorUnit val="10"/>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de-DE"/>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de-DE" sz="1800" b="0" i="0" baseline="0">
                <a:effectLst/>
              </a:rPr>
              <a:t>Comparison of expanded master curves</a:t>
            </a:r>
            <a:endParaRPr lang="de-DE">
              <a:effectLst/>
            </a:endParaRP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de-DE"/>
        </a:p>
      </c:txPr>
    </c:title>
    <c:autoTitleDeleted val="0"/>
    <c:plotArea>
      <c:layout/>
      <c:scatterChart>
        <c:scatterStyle val="smoothMarker"/>
        <c:varyColors val="0"/>
        <c:ser>
          <c:idx val="0"/>
          <c:order val="0"/>
          <c:spPr>
            <a:ln w="53975" cap="rnd">
              <a:solidFill>
                <a:schemeClr val="accent1"/>
              </a:solidFill>
              <a:round/>
            </a:ln>
            <a:effectLst/>
          </c:spPr>
          <c:marker>
            <c:symbol val="none"/>
          </c:marker>
          <c:xVal>
            <c:numRef>
              <c:f>'Mastercurve bestimmen'!$F$15:$AJ$15</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'Mastercurve bestimmen'!$F$55:$AJ$55</c:f>
              <c:numCache>
                <c:formatCode>0.00%</c:formatCode>
                <c:ptCount val="31"/>
                <c:pt idx="0">
                  <c:v>1.6552752967512251E-2</c:v>
                </c:pt>
                <c:pt idx="1">
                  <c:v>2.2760930848724169E-2</c:v>
                </c:pt>
                <c:pt idx="2">
                  <c:v>6.3787316878563208E-3</c:v>
                </c:pt>
                <c:pt idx="3">
                  <c:v>1.1049259760448256E-3</c:v>
                </c:pt>
                <c:pt idx="4">
                  <c:v>1.6490115887333591E-4</c:v>
                </c:pt>
                <c:pt idx="5">
                  <c:v>2.1818863200516562E-5</c:v>
                </c:pt>
                <c:pt idx="6">
                  <c:v>1.5627074543667164E-6</c:v>
                </c:pt>
                <c:pt idx="7">
                  <c:v>2.3350229573988731E-6</c:v>
                </c:pt>
                <c:pt idx="8">
                  <c:v>4.9925158103469011E-6</c:v>
                </c:pt>
                <c:pt idx="9">
                  <c:v>9.5169005098688419E-6</c:v>
                </c:pt>
                <c:pt idx="10">
                  <c:v>1.8242073563347504E-5</c:v>
                </c:pt>
                <c:pt idx="11">
                  <c:v>4.1035539578372796E-5</c:v>
                </c:pt>
                <c:pt idx="12">
                  <c:v>8.8810008325379365E-5</c:v>
                </c:pt>
                <c:pt idx="13">
                  <c:v>1.5167600290453496E-4</c:v>
                </c:pt>
                <c:pt idx="14">
                  <c:v>1.7560769140114702E-4</c:v>
                </c:pt>
                <c:pt idx="15">
                  <c:v>1.6246867742708448E-4</c:v>
                </c:pt>
                <c:pt idx="16">
                  <c:v>1.2502746604575621E-4</c:v>
                </c:pt>
                <c:pt idx="17">
                  <c:v>8.6440256432888222E-5</c:v>
                </c:pt>
                <c:pt idx="18">
                  <c:v>4.332491779545092E-5</c:v>
                </c:pt>
                <c:pt idx="19">
                  <c:v>1.052255208737588E-5</c:v>
                </c:pt>
                <c:pt idx="20">
                  <c:v>1.4587953165291501E-5</c:v>
                </c:pt>
                <c:pt idx="21">
                  <c:v>1.861046114021896E-5</c:v>
                </c:pt>
                <c:pt idx="22">
                  <c:v>1.4856810871198689E-4</c:v>
                </c:pt>
                <c:pt idx="23">
                  <c:v>3.8490578147385557E-4</c:v>
                </c:pt>
                <c:pt idx="24">
                  <c:v>1.108093053704584E-4</c:v>
                </c:pt>
                <c:pt idx="25">
                  <c:v>6.0927814509889806E-4</c:v>
                </c:pt>
                <c:pt idx="26">
                  <c:v>5.8521150537937374E-4</c:v>
                </c:pt>
                <c:pt idx="27">
                  <c:v>7.3345524419561343E-4</c:v>
                </c:pt>
                <c:pt idx="28">
                  <c:v>1.8597496517633034E-3</c:v>
                </c:pt>
                <c:pt idx="29">
                  <c:v>1.5385535931989503E-3</c:v>
                </c:pt>
                <c:pt idx="30">
                  <c:v>8.6850815826805698E-5</c:v>
                </c:pt>
              </c:numCache>
            </c:numRef>
          </c:yVal>
          <c:smooth val="1"/>
        </c:ser>
        <c:dLbls>
          <c:showLegendKey val="0"/>
          <c:showVal val="0"/>
          <c:showCatName val="0"/>
          <c:showSerName val="0"/>
          <c:showPercent val="0"/>
          <c:showBubbleSize val="0"/>
        </c:dLbls>
        <c:axId val="453763304"/>
        <c:axId val="453764480"/>
      </c:scatterChart>
      <c:valAx>
        <c:axId val="453763304"/>
        <c:scaling>
          <c:logBase val="10"/>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de-DE"/>
                  <a:t>Time in s</a:t>
                </a:r>
              </a:p>
            </c:rich>
          </c:tx>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0.00E+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453764480"/>
        <c:crossesAt val="-1.5000000000000005E-3"/>
        <c:crossBetween val="midCat"/>
      </c:valAx>
      <c:valAx>
        <c:axId val="453764480"/>
        <c:scaling>
          <c:orientation val="minMax"/>
          <c:max val="0.1"/>
          <c:min val="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de-DE"/>
                  <a:t> Relative error</a:t>
                </a:r>
              </a:p>
            </c:rich>
          </c:tx>
          <c:layout/>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0%"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453763304"/>
        <c:crossesAt val="1.000000000000001E-16"/>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de-DE"/>
    </a:p>
  </c:txPr>
  <c:printSettings>
    <c:headerFooter/>
    <c:pageMargins b="0.78740157499999996" l="0.7" r="0.7" t="0.78740157499999996"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de-DE"/>
              <a:t>Comparison of expanded master functions</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de-DE"/>
        </a:p>
      </c:txPr>
    </c:title>
    <c:autoTitleDeleted val="0"/>
    <c:plotArea>
      <c:layout/>
      <c:scatterChart>
        <c:scatterStyle val="smoothMarker"/>
        <c:varyColors val="0"/>
        <c:ser>
          <c:idx val="0"/>
          <c:order val="0"/>
          <c:tx>
            <c:strRef>
              <c:f>'Mastercurve bestimmen'!$L$68</c:f>
              <c:strCache>
                <c:ptCount val="1"/>
                <c:pt idx="0">
                  <c:v>Prony_material</c:v>
                </c:pt>
              </c:strCache>
            </c:strRef>
          </c:tx>
          <c:spPr>
            <a:ln w="44450" cap="rnd">
              <a:solidFill>
                <a:schemeClr val="accent1"/>
              </a:solidFill>
              <a:round/>
            </a:ln>
            <a:effectLst/>
          </c:spPr>
          <c:marker>
            <c:symbol val="none"/>
          </c:marker>
          <c:xVal>
            <c:numRef>
              <c:f>'Mastercurve bestimmen'!$F$15:$AJ$15</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'Mastercurve bestimmen'!$F$16:$AJ$16</c:f>
              <c:numCache>
                <c:formatCode>0.00E+00</c:formatCode>
                <c:ptCount val="31"/>
                <c:pt idx="0">
                  <c:v>5469.0375175567433</c:v>
                </c:pt>
                <c:pt idx="1">
                  <c:v>5144.4254375399241</c:v>
                </c:pt>
                <c:pt idx="2">
                  <c:v>4859.4796757955091</c:v>
                </c:pt>
                <c:pt idx="3">
                  <c:v>4579.0872874253573</c:v>
                </c:pt>
                <c:pt idx="4">
                  <c:v>4274.6287252900811</c:v>
                </c:pt>
                <c:pt idx="5">
                  <c:v>3938.1560081824523</c:v>
                </c:pt>
                <c:pt idx="6">
                  <c:v>3491.5925245283374</c:v>
                </c:pt>
                <c:pt idx="7">
                  <c:v>2939.5473684961994</c:v>
                </c:pt>
                <c:pt idx="8">
                  <c:v>2290.3210430692648</c:v>
                </c:pt>
                <c:pt idx="9">
                  <c:v>1556.8723374202477</c:v>
                </c:pt>
                <c:pt idx="10">
                  <c:v>939.61789874376836</c:v>
                </c:pt>
                <c:pt idx="11">
                  <c:v>532.22470015904992</c:v>
                </c:pt>
                <c:pt idx="12">
                  <c:v>294.61415856723238</c:v>
                </c:pt>
                <c:pt idx="13">
                  <c:v>191.85627557437303</c:v>
                </c:pt>
                <c:pt idx="14">
                  <c:v>162.27843823453597</c:v>
                </c:pt>
                <c:pt idx="15">
                  <c:v>147.30961753431595</c:v>
                </c:pt>
                <c:pt idx="16">
                  <c:v>142.06591803394016</c:v>
                </c:pt>
                <c:pt idx="17">
                  <c:v>140.2404472955443</c:v>
                </c:pt>
                <c:pt idx="18">
                  <c:v>137.13168564571805</c:v>
                </c:pt>
                <c:pt idx="19">
                  <c:v>133.5914564553571</c:v>
                </c:pt>
                <c:pt idx="20">
                  <c:v>130.60597118111332</c:v>
                </c:pt>
                <c:pt idx="21">
                  <c:v>128.42317853149575</c:v>
                </c:pt>
                <c:pt idx="22">
                  <c:v>126.92571513683149</c:v>
                </c:pt>
                <c:pt idx="23">
                  <c:v>125.87891264299097</c:v>
                </c:pt>
                <c:pt idx="24">
                  <c:v>125.11103067782525</c:v>
                </c:pt>
                <c:pt idx="25">
                  <c:v>124.96985459314666</c:v>
                </c:pt>
                <c:pt idx="26">
                  <c:v>124.77108605330615</c:v>
                </c:pt>
                <c:pt idx="27">
                  <c:v>123.93614365125383</c:v>
                </c:pt>
                <c:pt idx="28">
                  <c:v>123.92285545904397</c:v>
                </c:pt>
                <c:pt idx="29">
                  <c:v>123.48008539289999</c:v>
                </c:pt>
                <c:pt idx="30">
                  <c:v>123.46865182434244</c:v>
                </c:pt>
              </c:numCache>
            </c:numRef>
          </c:yVal>
          <c:smooth val="1"/>
        </c:ser>
        <c:ser>
          <c:idx val="1"/>
          <c:order val="1"/>
          <c:tx>
            <c:strRef>
              <c:f>'Mastercurve bestimmen'!$M$68</c:f>
              <c:strCache>
                <c:ptCount val="1"/>
                <c:pt idx="0">
                  <c:v>Prony_Regression</c:v>
                </c:pt>
              </c:strCache>
            </c:strRef>
          </c:tx>
          <c:spPr>
            <a:ln w="66675" cap="rnd">
              <a:solidFill>
                <a:schemeClr val="accent6">
                  <a:lumMod val="75000"/>
                </a:schemeClr>
              </a:solidFill>
              <a:prstDash val="sysDot"/>
              <a:round/>
            </a:ln>
            <a:effectLst/>
          </c:spPr>
          <c:marker>
            <c:symbol val="none"/>
          </c:marker>
          <c:xVal>
            <c:numRef>
              <c:f>'Mastercurve bestimmen'!$F$15:$AJ$15</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'Mastercurve bestimmen'!$F$17:$AJ$17</c:f>
              <c:numCache>
                <c:formatCode>0.00E+00</c:formatCode>
                <c:ptCount val="31"/>
                <c:pt idx="0">
                  <c:v>5378.5098905585701</c:v>
                </c:pt>
                <c:pt idx="1">
                  <c:v>5261.5173491801879</c:v>
                </c:pt>
                <c:pt idx="2">
                  <c:v>4828.4823588010186</c:v>
                </c:pt>
                <c:pt idx="3">
                  <c:v>4584.1468399158102</c:v>
                </c:pt>
                <c:pt idx="4">
                  <c:v>4273.9238340595275</c:v>
                </c:pt>
                <c:pt idx="5">
                  <c:v>3938.2419342696571</c:v>
                </c:pt>
                <c:pt idx="6">
                  <c:v>3491.5870681906717</c:v>
                </c:pt>
                <c:pt idx="7">
                  <c:v>2939.5405045856096</c:v>
                </c:pt>
                <c:pt idx="8">
                  <c:v>2290.3324775332831</c:v>
                </c:pt>
                <c:pt idx="9">
                  <c:v>1556.8575208211059</c:v>
                </c:pt>
                <c:pt idx="10">
                  <c:v>939.63503932259869</c:v>
                </c:pt>
                <c:pt idx="11">
                  <c:v>532.20286003130195</c:v>
                </c:pt>
                <c:pt idx="12">
                  <c:v>294.64032325310751</c:v>
                </c:pt>
                <c:pt idx="13">
                  <c:v>191.82717558136176</c:v>
                </c:pt>
                <c:pt idx="14">
                  <c:v>162.30693557643852</c:v>
                </c:pt>
                <c:pt idx="15">
                  <c:v>147.28568433558286</c:v>
                </c:pt>
                <c:pt idx="16">
                  <c:v>142.08368017568341</c:v>
                </c:pt>
                <c:pt idx="17">
                  <c:v>140.22832487531781</c:v>
                </c:pt>
                <c:pt idx="18">
                  <c:v>137.1376268647258</c:v>
                </c:pt>
                <c:pt idx="19">
                  <c:v>133.59005073229812</c:v>
                </c:pt>
                <c:pt idx="20">
                  <c:v>130.60406590732262</c:v>
                </c:pt>
                <c:pt idx="21">
                  <c:v>128.42556854606931</c:v>
                </c:pt>
                <c:pt idx="22">
                  <c:v>126.94457225027628</c:v>
                </c:pt>
                <c:pt idx="23">
                  <c:v>125.83046112174904</c:v>
                </c:pt>
                <c:pt idx="24">
                  <c:v>125.09716721142166</c:v>
                </c:pt>
                <c:pt idx="25">
                  <c:v>125.04599599434646</c:v>
                </c:pt>
                <c:pt idx="26">
                  <c:v>124.69806857820907</c:v>
                </c:pt>
                <c:pt idx="27">
                  <c:v>124.02704526576022</c:v>
                </c:pt>
                <c:pt idx="28">
                  <c:v>123.6923899717585</c:v>
                </c:pt>
                <c:pt idx="29">
                  <c:v>123.67006612196975</c:v>
                </c:pt>
                <c:pt idx="30">
                  <c:v>123.45792847120246</c:v>
                </c:pt>
              </c:numCache>
            </c:numRef>
          </c:yVal>
          <c:smooth val="1"/>
        </c:ser>
        <c:dLbls>
          <c:showLegendKey val="0"/>
          <c:showVal val="0"/>
          <c:showCatName val="0"/>
          <c:showSerName val="0"/>
          <c:showPercent val="0"/>
          <c:showBubbleSize val="0"/>
        </c:dLbls>
        <c:axId val="453762912"/>
        <c:axId val="453766832"/>
      </c:scatterChart>
      <c:valAx>
        <c:axId val="453762912"/>
        <c:scaling>
          <c:logBase val="10"/>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de-DE"/>
                  <a:t>Time in s</a:t>
                </a:r>
              </a:p>
            </c:rich>
          </c:tx>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0.00E+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453766832"/>
        <c:crosses val="autoZero"/>
        <c:crossBetween val="midCat"/>
      </c:valAx>
      <c:valAx>
        <c:axId val="453766832"/>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de-DE"/>
                  <a:t>G(t,Tref)</a:t>
                </a:r>
              </a:p>
            </c:rich>
          </c:tx>
          <c:layout/>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0.00E+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453762912"/>
        <c:crossesAt val="1.000000000000001E-16"/>
        <c:crossBetween val="midCat"/>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de-DE"/>
    </a:p>
  </c:txPr>
  <c:printSettings>
    <c:headerFooter/>
    <c:pageMargins b="0.78740157499999996" l="0.7" r="0.7" t="0.78740157499999996"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de-DE"/>
              <a:t>error of shifted master curve</a:t>
            </a:r>
          </a:p>
        </c:rich>
      </c:tx>
      <c:layout>
        <c:manualLayout>
          <c:xMode val="edge"/>
          <c:yMode val="edge"/>
          <c:x val="0.40816306709694555"/>
          <c:y val="1.4668131785887779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de-DE"/>
        </a:p>
      </c:txPr>
    </c:title>
    <c:autoTitleDeleted val="0"/>
    <c:plotArea>
      <c:layout/>
      <c:scatterChart>
        <c:scatterStyle val="smoothMarker"/>
        <c:varyColors val="0"/>
        <c:ser>
          <c:idx val="0"/>
          <c:order val="0"/>
          <c:tx>
            <c:v>-40°C</c:v>
          </c:tx>
          <c:spPr>
            <a:ln w="44450" cap="rnd">
              <a:solidFill>
                <a:schemeClr val="accent1"/>
              </a:solidFill>
              <a:round/>
            </a:ln>
            <a:effectLst/>
          </c:spPr>
          <c:marker>
            <c:symbol val="none"/>
          </c:marker>
          <c:xVal>
            <c:numRef>
              <c:f>'Mastercurve bestimmen'!$F$15:$AJ$15</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'Mastercurve bestimmen'!$B$163:$AF$163</c:f>
              <c:numCache>
                <c:formatCode>0.000%</c:formatCode>
                <c:ptCount val="31"/>
                <c:pt idx="0">
                  <c:v>0</c:v>
                </c:pt>
                <c:pt idx="1">
                  <c:v>0</c:v>
                </c:pt>
                <c:pt idx="2">
                  <c:v>0</c:v>
                </c:pt>
                <c:pt idx="3">
                  <c:v>0</c:v>
                </c:pt>
                <c:pt idx="4">
                  <c:v>0</c:v>
                </c:pt>
                <c:pt idx="5">
                  <c:v>0</c:v>
                </c:pt>
                <c:pt idx="6">
                  <c:v>0</c:v>
                </c:pt>
                <c:pt idx="7">
                  <c:v>0</c:v>
                </c:pt>
                <c:pt idx="8">
                  <c:v>0</c:v>
                </c:pt>
                <c:pt idx="9">
                  <c:v>0</c:v>
                </c:pt>
                <c:pt idx="10">
                  <c:v>7.614327653601519E-3</c:v>
                </c:pt>
                <c:pt idx="11">
                  <c:v>7.6154464635838498E-3</c:v>
                </c:pt>
                <c:pt idx="12">
                  <c:v>7.6269659309838511E-3</c:v>
                </c:pt>
                <c:pt idx="13">
                  <c:v>7.7418008651372753E-3</c:v>
                </c:pt>
                <c:pt idx="14">
                  <c:v>8.885864113673262E-3</c:v>
                </c:pt>
                <c:pt idx="15">
                  <c:v>1.9909993573061821E-2</c:v>
                </c:pt>
                <c:pt idx="16">
                  <c:v>9.7224534386885678E-2</c:v>
                </c:pt>
                <c:pt idx="17">
                  <c:v>0.17135701877559578</c:v>
                </c:pt>
                <c:pt idx="18">
                  <c:v>0.1518667139887572</c:v>
                </c:pt>
                <c:pt idx="19">
                  <c:v>0.12989164986411969</c:v>
                </c:pt>
                <c:pt idx="20">
                  <c:v>9.6080618926008388E-2</c:v>
                </c:pt>
                <c:pt idx="21">
                  <c:v>0</c:v>
                </c:pt>
                <c:pt idx="22">
                  <c:v>0</c:v>
                </c:pt>
                <c:pt idx="23">
                  <c:v>0</c:v>
                </c:pt>
                <c:pt idx="24">
                  <c:v>0</c:v>
                </c:pt>
                <c:pt idx="25">
                  <c:v>0</c:v>
                </c:pt>
                <c:pt idx="26">
                  <c:v>0</c:v>
                </c:pt>
                <c:pt idx="27">
                  <c:v>0</c:v>
                </c:pt>
                <c:pt idx="28">
                  <c:v>0</c:v>
                </c:pt>
                <c:pt idx="29">
                  <c:v>0</c:v>
                </c:pt>
                <c:pt idx="30">
                  <c:v>0</c:v>
                </c:pt>
              </c:numCache>
            </c:numRef>
          </c:yVal>
          <c:smooth val="1"/>
        </c:ser>
        <c:ser>
          <c:idx val="2"/>
          <c:order val="1"/>
          <c:tx>
            <c:v>25°C</c:v>
          </c:tx>
          <c:spPr>
            <a:ln w="34925" cap="rnd">
              <a:solidFill>
                <a:schemeClr val="accent3"/>
              </a:solidFill>
              <a:round/>
            </a:ln>
            <a:effectLst/>
          </c:spPr>
          <c:marker>
            <c:symbol val="none"/>
          </c:marker>
          <c:xVal>
            <c:numRef>
              <c:f>'Mastercurve bestimmen'!$B$246:$AF$246</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'Mastercurve bestimmen'!$B$280:$AF$280</c:f>
              <c:numCache>
                <c:formatCode>0.000%</c:formatCode>
                <c:ptCount val="31"/>
                <c:pt idx="0">
                  <c:v>3.0967837930212521E-3</c:v>
                </c:pt>
                <c:pt idx="1">
                  <c:v>3.0885558647648272E-3</c:v>
                </c:pt>
                <c:pt idx="2">
                  <c:v>3.0936434982205296E-3</c:v>
                </c:pt>
                <c:pt idx="3">
                  <c:v>3.0951455022394138E-3</c:v>
                </c:pt>
                <c:pt idx="4">
                  <c:v>3.0955068390454352E-3</c:v>
                </c:pt>
                <c:pt idx="5">
                  <c:v>3.0945197941060726E-3</c:v>
                </c:pt>
                <c:pt idx="6">
                  <c:v>3.083344945755729E-3</c:v>
                </c:pt>
                <c:pt idx="7">
                  <c:v>2.9709301463977443E-3</c:v>
                </c:pt>
                <c:pt idx="8">
                  <c:v>1.8508689405421033E-3</c:v>
                </c:pt>
                <c:pt idx="9">
                  <c:v>8.943174241651617E-3</c:v>
                </c:pt>
                <c:pt idx="10">
                  <c:v>8.4651891795800613E-2</c:v>
                </c:pt>
                <c:pt idx="11">
                  <c:v>0.15253281214120742</c:v>
                </c:pt>
                <c:pt idx="12">
                  <c:v>0.13286764052476618</c:v>
                </c:pt>
                <c:pt idx="13">
                  <c:v>0.11005014159155665</c:v>
                </c:pt>
                <c:pt idx="14">
                  <c:v>8.1514864969266354E-2</c:v>
                </c:pt>
                <c:pt idx="15">
                  <c:v>5.0597890046799203E-2</c:v>
                </c:pt>
                <c:pt idx="16">
                  <c:v>2.411340839000186E-2</c:v>
                </c:pt>
                <c:pt idx="17">
                  <c:v>3.630775174739196E-2</c:v>
                </c:pt>
                <c:pt idx="18">
                  <c:v>8.1394305266308791E-3</c:v>
                </c:pt>
                <c:pt idx="19">
                  <c:v>5.728460402872565E-2</c:v>
                </c:pt>
                <c:pt idx="20">
                  <c:v>9.5611947238624748E-2</c:v>
                </c:pt>
                <c:pt idx="21">
                  <c:v>0.10248889389145523</c:v>
                </c:pt>
                <c:pt idx="22">
                  <c:v>8.6317582155066963E-2</c:v>
                </c:pt>
                <c:pt idx="23">
                  <c:v>4.1964194783545503E-2</c:v>
                </c:pt>
                <c:pt idx="24">
                  <c:v>0</c:v>
                </c:pt>
                <c:pt idx="25">
                  <c:v>0</c:v>
                </c:pt>
                <c:pt idx="26">
                  <c:v>0</c:v>
                </c:pt>
                <c:pt idx="27">
                  <c:v>0</c:v>
                </c:pt>
                <c:pt idx="28">
                  <c:v>0</c:v>
                </c:pt>
                <c:pt idx="29">
                  <c:v>0</c:v>
                </c:pt>
                <c:pt idx="30">
                  <c:v>0</c:v>
                </c:pt>
              </c:numCache>
            </c:numRef>
          </c:yVal>
          <c:smooth val="1"/>
        </c:ser>
        <c:ser>
          <c:idx val="4"/>
          <c:order val="2"/>
          <c:tx>
            <c:v>125°C</c:v>
          </c:tx>
          <c:spPr>
            <a:ln w="38100" cap="rnd">
              <a:solidFill>
                <a:schemeClr val="accent4">
                  <a:lumMod val="60000"/>
                  <a:lumOff val="40000"/>
                </a:schemeClr>
              </a:solidFill>
              <a:round/>
            </a:ln>
            <a:effectLst/>
          </c:spPr>
          <c:marker>
            <c:symbol val="none"/>
          </c:marker>
          <c:xVal>
            <c:numRef>
              <c:f>'Mastercurve bestimmen'!$B$480:$AF$480</c:f>
              <c:numCache>
                <c:formatCode>0.00E+00</c:formatCode>
                <c:ptCount val="31"/>
              </c:numCache>
            </c:numRef>
          </c:xVal>
          <c:yVal>
            <c:numRef>
              <c:f>'Mastercurve bestimmen'!$B$514:$AF$514</c:f>
              <c:numCache>
                <c:formatCode>0.000%</c:formatCode>
                <c:ptCount val="31"/>
              </c:numCache>
            </c:numRef>
          </c:yVal>
          <c:smooth val="1"/>
        </c:ser>
        <c:ser>
          <c:idx val="6"/>
          <c:order val="3"/>
          <c:tx>
            <c:v>50°C</c:v>
          </c:tx>
          <c:spPr>
            <a:ln w="19050" cap="rnd">
              <a:solidFill>
                <a:schemeClr val="accent1">
                  <a:lumMod val="60000"/>
                </a:schemeClr>
              </a:solidFill>
              <a:round/>
            </a:ln>
            <a:effectLst/>
          </c:spPr>
          <c:marker>
            <c:symbol val="none"/>
          </c:marker>
          <c:xVal>
            <c:numRef>
              <c:f>'Mastercurve bestimmen'!$B$285:$AF$285</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'Mastercurve bestimmen'!$B$319:$AF$319</c:f>
              <c:numCache>
                <c:formatCode>0.000%</c:formatCode>
                <c:ptCount val="31"/>
                <c:pt idx="0">
                  <c:v>0</c:v>
                </c:pt>
                <c:pt idx="1">
                  <c:v>0</c:v>
                </c:pt>
                <c:pt idx="2">
                  <c:v>0</c:v>
                </c:pt>
                <c:pt idx="3">
                  <c:v>0</c:v>
                </c:pt>
                <c:pt idx="4">
                  <c:v>0</c:v>
                </c:pt>
                <c:pt idx="5">
                  <c:v>0</c:v>
                </c:pt>
                <c:pt idx="6">
                  <c:v>0</c:v>
                </c:pt>
                <c:pt idx="7">
                  <c:v>0</c:v>
                </c:pt>
                <c:pt idx="8">
                  <c:v>0</c:v>
                </c:pt>
                <c:pt idx="9">
                  <c:v>0</c:v>
                </c:pt>
                <c:pt idx="10">
                  <c:v>3.0513826666032438E-2</c:v>
                </c:pt>
                <c:pt idx="11">
                  <c:v>2.5133987605719414E-3</c:v>
                </c:pt>
                <c:pt idx="12">
                  <c:v>1.8476192374835502E-2</c:v>
                </c:pt>
                <c:pt idx="13">
                  <c:v>2.0690380228041965E-2</c:v>
                </c:pt>
                <c:pt idx="14">
                  <c:v>1.9592704450384524E-2</c:v>
                </c:pt>
                <c:pt idx="15">
                  <c:v>2.2226795229440884E-2</c:v>
                </c:pt>
                <c:pt idx="16">
                  <c:v>1.4450934790891068E-2</c:v>
                </c:pt>
                <c:pt idx="17">
                  <c:v>1.3973090439782855E-2</c:v>
                </c:pt>
                <c:pt idx="18">
                  <c:v>4.2186350416444356E-2</c:v>
                </c:pt>
                <c:pt idx="19">
                  <c:v>4.2655601108508912E-2</c:v>
                </c:pt>
                <c:pt idx="20">
                  <c:v>2.2435686673132393E-2</c:v>
                </c:pt>
                <c:pt idx="21">
                  <c:v>0</c:v>
                </c:pt>
                <c:pt idx="22">
                  <c:v>0</c:v>
                </c:pt>
                <c:pt idx="23">
                  <c:v>0</c:v>
                </c:pt>
                <c:pt idx="24">
                  <c:v>0</c:v>
                </c:pt>
                <c:pt idx="25">
                  <c:v>0</c:v>
                </c:pt>
                <c:pt idx="26">
                  <c:v>0</c:v>
                </c:pt>
                <c:pt idx="27">
                  <c:v>0</c:v>
                </c:pt>
                <c:pt idx="28">
                  <c:v>0</c:v>
                </c:pt>
                <c:pt idx="29">
                  <c:v>0</c:v>
                </c:pt>
                <c:pt idx="30">
                  <c:v>0</c:v>
                </c:pt>
              </c:numCache>
            </c:numRef>
          </c:yVal>
          <c:smooth val="1"/>
        </c:ser>
        <c:ser>
          <c:idx val="8"/>
          <c:order val="4"/>
          <c:tx>
            <c:v>100°C</c:v>
          </c:tx>
          <c:spPr>
            <a:ln w="19050" cap="rnd">
              <a:solidFill>
                <a:schemeClr val="accent3">
                  <a:lumMod val="60000"/>
                </a:schemeClr>
              </a:solidFill>
              <a:round/>
            </a:ln>
            <a:effectLst/>
          </c:spPr>
          <c:marker>
            <c:symbol val="none"/>
          </c:marker>
          <c:xVal>
            <c:strRef>
              <c:f>'Mastercurve bestimmen'!$B$402:$AF$402</c:f>
              <c:strCache>
                <c:ptCount val="9"/>
                <c:pt idx="8">
                  <c:v>Temp [°C]</c:v>
                </c:pt>
              </c:strCache>
            </c:strRef>
          </c:xVal>
          <c:yVal>
            <c:numRef>
              <c:f>'Mastercurve bestimmen'!$B$436:$AF$436</c:f>
              <c:numCache>
                <c:formatCode>0.000%</c:formatCode>
                <c:ptCount val="31"/>
              </c:numCache>
            </c:numRef>
          </c:yVal>
          <c:smooth val="1"/>
        </c:ser>
        <c:ser>
          <c:idx val="1"/>
          <c:order val="5"/>
          <c:tx>
            <c:v>90°C</c:v>
          </c:tx>
          <c:spPr>
            <a:ln w="19050" cap="rnd">
              <a:solidFill>
                <a:schemeClr val="accent2"/>
              </a:solidFill>
              <a:round/>
            </a:ln>
            <a:effectLst/>
          </c:spPr>
          <c:marker>
            <c:symbol val="none"/>
          </c:marker>
          <c:xVal>
            <c:numRef>
              <c:f>'Mastercurve bestimmen'!$B$363:$AF$363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'Mastercurve bestimmen'!$B$397:$AF$397</c:f>
              <c:numCache>
                <c:formatCode>0.000%</c:formatCode>
                <c:ptCount val="31"/>
                <c:pt idx="0">
                  <c:v>0</c:v>
                </c:pt>
                <c:pt idx="1">
                  <c:v>0</c:v>
                </c:pt>
                <c:pt idx="2">
                  <c:v>0</c:v>
                </c:pt>
                <c:pt idx="3">
                  <c:v>0</c:v>
                </c:pt>
                <c:pt idx="4">
                  <c:v>0</c:v>
                </c:pt>
                <c:pt idx="5">
                  <c:v>0</c:v>
                </c:pt>
                <c:pt idx="6">
                  <c:v>0</c:v>
                </c:pt>
                <c:pt idx="7">
                  <c:v>0</c:v>
                </c:pt>
                <c:pt idx="8">
                  <c:v>0</c:v>
                </c:pt>
                <c:pt idx="9">
                  <c:v>0</c:v>
                </c:pt>
                <c:pt idx="10">
                  <c:v>1.0107624098458327E-5</c:v>
                </c:pt>
                <c:pt idx="11">
                  <c:v>4.9471342501277937E-5</c:v>
                </c:pt>
                <c:pt idx="12">
                  <c:v>8.0927752687030263E-5</c:v>
                </c:pt>
                <c:pt idx="13">
                  <c:v>1.5433028692242771E-4</c:v>
                </c:pt>
                <c:pt idx="14">
                  <c:v>1.7395708215877547E-4</c:v>
                </c:pt>
                <c:pt idx="15">
                  <c:v>1.6313201397135158E-4</c:v>
                </c:pt>
                <c:pt idx="16">
                  <c:v>1.2489651562120433E-4</c:v>
                </c:pt>
                <c:pt idx="17">
                  <c:v>8.6675876767611603E-5</c:v>
                </c:pt>
                <c:pt idx="18">
                  <c:v>4.3020399602094698E-5</c:v>
                </c:pt>
                <c:pt idx="19">
                  <c:v>1.0797255985335964E-5</c:v>
                </c:pt>
                <c:pt idx="20">
                  <c:v>1.4797186284859009E-5</c:v>
                </c:pt>
                <c:pt idx="21">
                  <c:v>0</c:v>
                </c:pt>
                <c:pt idx="22">
                  <c:v>0</c:v>
                </c:pt>
                <c:pt idx="23">
                  <c:v>0</c:v>
                </c:pt>
                <c:pt idx="24">
                  <c:v>0</c:v>
                </c:pt>
                <c:pt idx="25">
                  <c:v>0</c:v>
                </c:pt>
                <c:pt idx="26">
                  <c:v>0</c:v>
                </c:pt>
                <c:pt idx="27">
                  <c:v>0</c:v>
                </c:pt>
                <c:pt idx="28">
                  <c:v>0</c:v>
                </c:pt>
                <c:pt idx="29">
                  <c:v>0</c:v>
                </c:pt>
                <c:pt idx="30">
                  <c:v>0</c:v>
                </c:pt>
              </c:numCache>
            </c:numRef>
          </c:yVal>
          <c:smooth val="1"/>
        </c:ser>
        <c:dLbls>
          <c:showLegendKey val="0"/>
          <c:showVal val="0"/>
          <c:showCatName val="0"/>
          <c:showSerName val="0"/>
          <c:showPercent val="0"/>
          <c:showBubbleSize val="0"/>
        </c:dLbls>
        <c:axId val="453764872"/>
        <c:axId val="453766048"/>
      </c:scatterChart>
      <c:valAx>
        <c:axId val="453764872"/>
        <c:scaling>
          <c:logBase val="10"/>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de-DE"/>
                  <a:t>Time in s</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0.00E+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453766048"/>
        <c:crossesAt val="1.0000000000000005E-9"/>
        <c:crossBetween val="midCat"/>
      </c:valAx>
      <c:valAx>
        <c:axId val="453766048"/>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de-DE"/>
                  <a:t>G(t,Tref)</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0.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453764872"/>
        <c:crossesAt val="1.000000000000001E-16"/>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de-DE"/>
    </a:p>
  </c:txPr>
  <c:printSettings>
    <c:headerFooter/>
    <c:pageMargins b="0.78740157499999996" l="0.7" r="0.7" t="0.78740157499999996"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de-DE"/>
              <a:t>Shiftfaktoren</a:t>
            </a:r>
          </a:p>
        </c:rich>
      </c:tx>
      <c:layout>
        <c:manualLayout>
          <c:xMode val="edge"/>
          <c:yMode val="edge"/>
          <c:x val="0.37320822397200348"/>
          <c:y val="3.2407407407407406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de-DE"/>
        </a:p>
      </c:txPr>
    </c:title>
    <c:autoTitleDeleted val="0"/>
    <c:plotArea>
      <c:layout/>
      <c:scatterChart>
        <c:scatterStyle val="lineMarker"/>
        <c:varyColors val="0"/>
        <c:ser>
          <c:idx val="0"/>
          <c:order val="0"/>
          <c:spPr>
            <a:ln w="28575" cap="rnd">
              <a:noFill/>
              <a:round/>
            </a:ln>
            <a:effectLst/>
          </c:spPr>
          <c:marker>
            <c:symbol val="circle"/>
            <c:size val="5"/>
            <c:spPr>
              <a:solidFill>
                <a:schemeClr val="accent1"/>
              </a:solidFill>
              <a:ln w="9525">
                <a:solidFill>
                  <a:schemeClr val="accent1"/>
                </a:solidFill>
              </a:ln>
              <a:effectLst/>
            </c:spPr>
          </c:marker>
          <c:xVal>
            <c:numRef>
              <c:f>'Mastercurve bestimmen'!$M$118:$M$127</c:f>
              <c:numCache>
                <c:formatCode>General</c:formatCode>
                <c:ptCount val="10"/>
                <c:pt idx="0">
                  <c:v>-40</c:v>
                </c:pt>
                <c:pt idx="1">
                  <c:v>0</c:v>
                </c:pt>
                <c:pt idx="2">
                  <c:v>25</c:v>
                </c:pt>
                <c:pt idx="3">
                  <c:v>50</c:v>
                </c:pt>
                <c:pt idx="4">
                  <c:v>80</c:v>
                </c:pt>
                <c:pt idx="5">
                  <c:v>125</c:v>
                </c:pt>
                <c:pt idx="6">
                  <c:v>160</c:v>
                </c:pt>
              </c:numCache>
            </c:numRef>
          </c:xVal>
          <c:yVal>
            <c:numRef>
              <c:f>'Mastercurve bestimmen'!$N$118:$N$127</c:f>
              <c:numCache>
                <c:formatCode>General</c:formatCode>
                <c:ptCount val="10"/>
                <c:pt idx="0">
                  <c:v>-48.643117255443507</c:v>
                </c:pt>
                <c:pt idx="1">
                  <c:v>-45.746106961724465</c:v>
                </c:pt>
                <c:pt idx="2">
                  <c:v>-41.385537711587737</c:v>
                </c:pt>
                <c:pt idx="3">
                  <c:v>-34.839448068372903</c:v>
                </c:pt>
                <c:pt idx="4">
                  <c:v>-23.526325185329309</c:v>
                </c:pt>
                <c:pt idx="5">
                  <c:v>-4.1757477535683645</c:v>
                </c:pt>
                <c:pt idx="6">
                  <c:v>0</c:v>
                </c:pt>
              </c:numCache>
            </c:numRef>
          </c:yVal>
          <c:smooth val="0"/>
        </c:ser>
        <c:dLbls>
          <c:showLegendKey val="0"/>
          <c:showVal val="0"/>
          <c:showCatName val="0"/>
          <c:showSerName val="0"/>
          <c:showPercent val="0"/>
          <c:showBubbleSize val="0"/>
        </c:dLbls>
        <c:axId val="453768792"/>
        <c:axId val="453766440"/>
      </c:scatterChart>
      <c:valAx>
        <c:axId val="453768792"/>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453766440"/>
        <c:crossesAt val="-100"/>
        <c:crossBetween val="midCat"/>
      </c:valAx>
      <c:valAx>
        <c:axId val="45376644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453768792"/>
        <c:crossesAt val="-50"/>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de-DE"/>
    </a:p>
  </c:txPr>
  <c:printSettings>
    <c:headerFooter/>
    <c:pageMargins b="0.78740157499999996" l="0.7" r="0.7" t="0.78740157499999996"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de-DE"/>
        </a:p>
      </c:txPr>
    </c:title>
    <c:autoTitleDeleted val="0"/>
    <c:plotArea>
      <c:layout/>
      <c:scatterChart>
        <c:scatterStyle val="lineMarker"/>
        <c:varyColors val="0"/>
        <c:ser>
          <c:idx val="0"/>
          <c:order val="0"/>
          <c:spPr>
            <a:ln w="28575" cap="rnd">
              <a:noFill/>
              <a:round/>
            </a:ln>
            <a:effectLst/>
          </c:spPr>
          <c:marker>
            <c:symbol val="circle"/>
            <c:size val="5"/>
            <c:spPr>
              <a:solidFill>
                <a:schemeClr val="accent1"/>
              </a:solidFill>
              <a:ln w="9525">
                <a:solidFill>
                  <a:schemeClr val="accent1"/>
                </a:solidFill>
              </a:ln>
              <a:effectLst/>
            </c:spPr>
          </c:marker>
          <c:xVal>
            <c:numRef>
              <c:f>'Mastercurve bestimmen'!$B$129:$AF$129</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'Mastercurve bestimmen'!$B$130:$AF$130</c:f>
              <c:numCache>
                <c:formatCode>0.00E+00</c:formatCode>
                <c:ptCount val="31"/>
                <c:pt idx="0">
                  <c:v>6574.1423129756067</c:v>
                </c:pt>
                <c:pt idx="1">
                  <c:v>6574.1983504239388</c:v>
                </c:pt>
                <c:pt idx="2">
                  <c:v>6574.1641202956771</c:v>
                </c:pt>
                <c:pt idx="3">
                  <c:v>6574.1538463873376</c:v>
                </c:pt>
                <c:pt idx="4">
                  <c:v>6574.1506604943988</c:v>
                </c:pt>
                <c:pt idx="5">
                  <c:v>6574.149598530772</c:v>
                </c:pt>
                <c:pt idx="6">
                  <c:v>6574.1492527752453</c:v>
                </c:pt>
                <c:pt idx="7">
                  <c:v>6574.149203381603</c:v>
                </c:pt>
                <c:pt idx="8">
                  <c:v>6574.149203381603</c:v>
                </c:pt>
                <c:pt idx="9">
                  <c:v>6574.149203381603</c:v>
                </c:pt>
                <c:pt idx="10">
                  <c:v>6574.1491786847801</c:v>
                </c:pt>
                <c:pt idx="11">
                  <c:v>6574.1489070197567</c:v>
                </c:pt>
                <c:pt idx="12">
                  <c:v>6574.1483883865922</c:v>
                </c:pt>
                <c:pt idx="13">
                  <c:v>6574.141102834109</c:v>
                </c:pt>
                <c:pt idx="14">
                  <c:v>6574.0681741087647</c:v>
                </c:pt>
                <c:pt idx="15">
                  <c:v>6573.3425313051102</c:v>
                </c:pt>
                <c:pt idx="16">
                  <c:v>6566.2492544539882</c:v>
                </c:pt>
                <c:pt idx="17">
                  <c:v>6509.2168204054406</c:v>
                </c:pt>
                <c:pt idx="18">
                  <c:v>6358.877795711509</c:v>
                </c:pt>
                <c:pt idx="19">
                  <c:v>6198.1657141301985</c:v>
                </c:pt>
                <c:pt idx="20">
                  <c:v>5965.2165970487267</c:v>
                </c:pt>
                <c:pt idx="21">
                  <c:v>5562.9083959530062</c:v>
                </c:pt>
                <c:pt idx="22">
                  <c:v>5068.6144859756578</c:v>
                </c:pt>
                <c:pt idx="23">
                  <c:v>4583.1082918040429</c:v>
                </c:pt>
                <c:pt idx="24">
                  <c:v>4165.9762057055259</c:v>
                </c:pt>
                <c:pt idx="25">
                  <c:v>3823.5689905233821</c:v>
                </c:pt>
                <c:pt idx="26">
                  <c:v>3510.558848270296</c:v>
                </c:pt>
                <c:pt idx="27">
                  <c:v>3215.4703591878829</c:v>
                </c:pt>
                <c:pt idx="28">
                  <c:v>2870.194204228324</c:v>
                </c:pt>
                <c:pt idx="29">
                  <c:v>2458.5183678646754</c:v>
                </c:pt>
                <c:pt idx="30">
                  <c:v>1982.6966326072995</c:v>
                </c:pt>
              </c:numCache>
            </c:numRef>
          </c:yVal>
          <c:smooth val="0"/>
        </c:ser>
        <c:dLbls>
          <c:showLegendKey val="0"/>
          <c:showVal val="0"/>
          <c:showCatName val="0"/>
          <c:showSerName val="0"/>
          <c:showPercent val="0"/>
          <c:showBubbleSize val="0"/>
        </c:dLbls>
        <c:axId val="453769576"/>
        <c:axId val="453765264"/>
      </c:scatterChart>
      <c:valAx>
        <c:axId val="453769576"/>
        <c:scaling>
          <c:logBase val="10"/>
          <c:orientation val="minMax"/>
        </c:scaling>
        <c:delete val="0"/>
        <c:axPos val="b"/>
        <c:majorGridlines>
          <c:spPr>
            <a:ln w="9525" cap="flat" cmpd="sng" algn="ctr">
              <a:solidFill>
                <a:schemeClr val="tx1">
                  <a:lumMod val="15000"/>
                  <a:lumOff val="85000"/>
                </a:schemeClr>
              </a:solidFill>
              <a:round/>
            </a:ln>
            <a:effectLst/>
          </c:spPr>
        </c:majorGridlines>
        <c:numFmt formatCode="0.00E+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453765264"/>
        <c:crosses val="autoZero"/>
        <c:crossBetween val="midCat"/>
      </c:valAx>
      <c:valAx>
        <c:axId val="453765264"/>
        <c:scaling>
          <c:orientation val="minMax"/>
        </c:scaling>
        <c:delete val="0"/>
        <c:axPos val="l"/>
        <c:majorGridlines>
          <c:spPr>
            <a:ln w="9525" cap="flat" cmpd="sng" algn="ctr">
              <a:solidFill>
                <a:schemeClr val="tx1">
                  <a:lumMod val="15000"/>
                  <a:lumOff val="85000"/>
                </a:schemeClr>
              </a:solidFill>
              <a:round/>
            </a:ln>
            <a:effectLst/>
          </c:spPr>
        </c:majorGridlines>
        <c:numFmt formatCode="0.00E+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453769576"/>
        <c:crossesAt val="1.0000000000000009E-15"/>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de-DE"/>
    </a:p>
  </c:txPr>
  <c:printSettings>
    <c:headerFooter/>
    <c:pageMargins b="0.78740157499999996" l="0.7" r="0.7" t="0.78740157499999996"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smoothMarker"/>
        <c:varyColors val="0"/>
        <c:ser>
          <c:idx val="0"/>
          <c:order val="0"/>
          <c:tx>
            <c:v>-40°C</c:v>
          </c:tx>
          <c:spPr>
            <a:ln w="19050" cap="rnd">
              <a:solidFill>
                <a:schemeClr val="accent1"/>
              </a:solidFill>
              <a:round/>
            </a:ln>
            <a:effectLst/>
          </c:spPr>
          <c:marker>
            <c:symbol val="none"/>
          </c:marker>
          <c:xVal>
            <c:numRef>
              <c:f>'Mastercurve bestimmen'!$B$404:$B$434</c:f>
              <c:numCache>
                <c:formatCode>0.00E+00</c:formatCode>
                <c:ptCount val="31"/>
                <c:pt idx="0">
                  <c:v>7.4913932163539707E-37</c:v>
                </c:pt>
                <c:pt idx="1">
                  <c:v>7.4913932163539707E-36</c:v>
                </c:pt>
                <c:pt idx="2">
                  <c:v>7.4913932163539705E-35</c:v>
                </c:pt>
                <c:pt idx="3">
                  <c:v>7.49139321635397E-34</c:v>
                </c:pt>
                <c:pt idx="4">
                  <c:v>7.4913932163539699E-33</c:v>
                </c:pt>
                <c:pt idx="5">
                  <c:v>7.4913932163539707E-32</c:v>
                </c:pt>
                <c:pt idx="6">
                  <c:v>7.4913932163539702E-31</c:v>
                </c:pt>
                <c:pt idx="7">
                  <c:v>7.4913932163539704E-30</c:v>
                </c:pt>
                <c:pt idx="8">
                  <c:v>7.4913932163539699E-29</c:v>
                </c:pt>
                <c:pt idx="9">
                  <c:v>7.4913932163539701E-28</c:v>
                </c:pt>
                <c:pt idx="10">
                  <c:v>7.4913932163539704E-27</c:v>
                </c:pt>
                <c:pt idx="11">
                  <c:v>7.4913932163539702E-26</c:v>
                </c:pt>
                <c:pt idx="12">
                  <c:v>7.4913932163539699E-25</c:v>
                </c:pt>
                <c:pt idx="13">
                  <c:v>7.4913932163539701E-24</c:v>
                </c:pt>
                <c:pt idx="14">
                  <c:v>7.4913932163539707E-23</c:v>
                </c:pt>
                <c:pt idx="15">
                  <c:v>7.4913932163539702E-22</c:v>
                </c:pt>
                <c:pt idx="16">
                  <c:v>7.4913932163539699E-21</c:v>
                </c:pt>
                <c:pt idx="17">
                  <c:v>7.4913932163539702E-20</c:v>
                </c:pt>
                <c:pt idx="18">
                  <c:v>7.4913932163539697E-19</c:v>
                </c:pt>
                <c:pt idx="19">
                  <c:v>7.4913932163539706E-18</c:v>
                </c:pt>
                <c:pt idx="20">
                  <c:v>7.4913932163539706E-17</c:v>
                </c:pt>
                <c:pt idx="21">
                  <c:v>7.4913932163539701E-16</c:v>
                </c:pt>
                <c:pt idx="22">
                  <c:v>7.4913932163539699E-15</c:v>
                </c:pt>
                <c:pt idx="23">
                  <c:v>7.4913932163539706E-14</c:v>
                </c:pt>
                <c:pt idx="24">
                  <c:v>7.4913932163539701E-13</c:v>
                </c:pt>
                <c:pt idx="25">
                  <c:v>7.4913932163539709E-12</c:v>
                </c:pt>
                <c:pt idx="26">
                  <c:v>7.4913932163539706E-11</c:v>
                </c:pt>
                <c:pt idx="27">
                  <c:v>7.49139321635397E-10</c:v>
                </c:pt>
                <c:pt idx="28">
                  <c:v>7.4913932163539698E-9</c:v>
                </c:pt>
                <c:pt idx="29">
                  <c:v>7.4913932163539705E-8</c:v>
                </c:pt>
                <c:pt idx="30">
                  <c:v>7.4913932163539697E-7</c:v>
                </c:pt>
              </c:numCache>
            </c:numRef>
          </c:xVal>
          <c:yVal>
            <c:numRef>
              <c:f>'Mastercurve bestimmen'!$J$404:$J$434</c:f>
              <c:numCache>
                <c:formatCode>0.00E+00</c:formatCode>
                <c:ptCount val="31"/>
                <c:pt idx="0">
                  <c:v>6574.1423129756067</c:v>
                </c:pt>
                <c:pt idx="1">
                  <c:v>6574.1983504239388</c:v>
                </c:pt>
                <c:pt idx="2">
                  <c:v>6574.1641202956771</c:v>
                </c:pt>
                <c:pt idx="3">
                  <c:v>6574.1538463873376</c:v>
                </c:pt>
                <c:pt idx="4">
                  <c:v>6574.1506604943988</c:v>
                </c:pt>
                <c:pt idx="5">
                  <c:v>6574.149598530772</c:v>
                </c:pt>
                <c:pt idx="6">
                  <c:v>6574.1492527752453</c:v>
                </c:pt>
                <c:pt idx="7">
                  <c:v>6574.149203381603</c:v>
                </c:pt>
                <c:pt idx="8">
                  <c:v>6574.149203381603</c:v>
                </c:pt>
                <c:pt idx="9">
                  <c:v>6574.149203381603</c:v>
                </c:pt>
                <c:pt idx="10">
                  <c:v>6574.1491786847801</c:v>
                </c:pt>
                <c:pt idx="11">
                  <c:v>6574.1489070197567</c:v>
                </c:pt>
                <c:pt idx="12">
                  <c:v>6574.1483883865922</c:v>
                </c:pt>
                <c:pt idx="13">
                  <c:v>6574.141102834109</c:v>
                </c:pt>
                <c:pt idx="14">
                  <c:v>6574.0681741087647</c:v>
                </c:pt>
                <c:pt idx="15">
                  <c:v>6573.3425313051102</c:v>
                </c:pt>
                <c:pt idx="16">
                  <c:v>6566.2492544539882</c:v>
                </c:pt>
                <c:pt idx="17">
                  <c:v>6509.2168204054406</c:v>
                </c:pt>
                <c:pt idx="18">
                  <c:v>6358.877795711509</c:v>
                </c:pt>
                <c:pt idx="19">
                  <c:v>6198.1657141301985</c:v>
                </c:pt>
                <c:pt idx="20">
                  <c:v>5965.2165970487267</c:v>
                </c:pt>
                <c:pt idx="21">
                  <c:v>5562.9083959530062</c:v>
                </c:pt>
                <c:pt idx="22">
                  <c:v>5068.6144859756578</c:v>
                </c:pt>
                <c:pt idx="23">
                  <c:v>4583.1082918040429</c:v>
                </c:pt>
                <c:pt idx="24">
                  <c:v>4165.9762057055259</c:v>
                </c:pt>
                <c:pt idx="25">
                  <c:v>3823.5689905233821</c:v>
                </c:pt>
                <c:pt idx="26">
                  <c:v>3510.558848270296</c:v>
                </c:pt>
                <c:pt idx="27">
                  <c:v>3215.4703591878829</c:v>
                </c:pt>
                <c:pt idx="28">
                  <c:v>2870.194204228324</c:v>
                </c:pt>
                <c:pt idx="29">
                  <c:v>2458.5183678646754</c:v>
                </c:pt>
                <c:pt idx="30">
                  <c:v>1982.6966326072995</c:v>
                </c:pt>
              </c:numCache>
            </c:numRef>
          </c:yVal>
          <c:smooth val="1"/>
        </c:ser>
        <c:ser>
          <c:idx val="1"/>
          <c:order val="1"/>
          <c:tx>
            <c:v>0°C</c:v>
          </c:tx>
          <c:spPr>
            <a:ln w="19050" cap="rnd">
              <a:solidFill>
                <a:schemeClr val="accent2"/>
              </a:solidFill>
              <a:round/>
            </a:ln>
            <a:effectLst/>
          </c:spPr>
          <c:marker>
            <c:symbol val="none"/>
          </c:marker>
          <c:xVal>
            <c:numRef>
              <c:f>'Mastercurve bestimmen'!$C$404:$C$434</c:f>
              <c:numCache>
                <c:formatCode>0.00E+00</c:formatCode>
                <c:ptCount val="31"/>
                <c:pt idx="0">
                  <c:v>1.3574322968244987E-35</c:v>
                </c:pt>
                <c:pt idx="1">
                  <c:v>1.3574322968244985E-34</c:v>
                </c:pt>
                <c:pt idx="2">
                  <c:v>1.3574322968244987E-33</c:v>
                </c:pt>
                <c:pt idx="3">
                  <c:v>1.3574322968244985E-32</c:v>
                </c:pt>
                <c:pt idx="4">
                  <c:v>1.3574322968244985E-31</c:v>
                </c:pt>
                <c:pt idx="5">
                  <c:v>1.3574322968244986E-30</c:v>
                </c:pt>
                <c:pt idx="6">
                  <c:v>1.3574322968244985E-29</c:v>
                </c:pt>
                <c:pt idx="7">
                  <c:v>1.3574322968244987E-28</c:v>
                </c:pt>
                <c:pt idx="8">
                  <c:v>1.3574322968244986E-27</c:v>
                </c:pt>
                <c:pt idx="9">
                  <c:v>1.3574322968244984E-26</c:v>
                </c:pt>
                <c:pt idx="10">
                  <c:v>1.3574322968244987E-25</c:v>
                </c:pt>
                <c:pt idx="11">
                  <c:v>1.3574322968244987E-24</c:v>
                </c:pt>
                <c:pt idx="12">
                  <c:v>1.3574322968244986E-23</c:v>
                </c:pt>
                <c:pt idx="13">
                  <c:v>1.3574322968244987E-22</c:v>
                </c:pt>
                <c:pt idx="14">
                  <c:v>1.3574322968244986E-21</c:v>
                </c:pt>
                <c:pt idx="15">
                  <c:v>1.3574322968244985E-20</c:v>
                </c:pt>
                <c:pt idx="16">
                  <c:v>1.3574322968244986E-19</c:v>
                </c:pt>
                <c:pt idx="17">
                  <c:v>1.3574322968244986E-18</c:v>
                </c:pt>
                <c:pt idx="18">
                  <c:v>1.3574322968244986E-17</c:v>
                </c:pt>
                <c:pt idx="19">
                  <c:v>1.3574322968244986E-16</c:v>
                </c:pt>
                <c:pt idx="20">
                  <c:v>1.3574322968244986E-15</c:v>
                </c:pt>
                <c:pt idx="21">
                  <c:v>1.3574322968244985E-14</c:v>
                </c:pt>
                <c:pt idx="22">
                  <c:v>1.3574322968244986E-13</c:v>
                </c:pt>
                <c:pt idx="23">
                  <c:v>1.3574322968244986E-12</c:v>
                </c:pt>
                <c:pt idx="24">
                  <c:v>1.3574322968244986E-11</c:v>
                </c:pt>
                <c:pt idx="25">
                  <c:v>1.3574322968244987E-10</c:v>
                </c:pt>
                <c:pt idx="26">
                  <c:v>1.3574322968244985E-9</c:v>
                </c:pt>
                <c:pt idx="27">
                  <c:v>1.3574322968244986E-8</c:v>
                </c:pt>
                <c:pt idx="28">
                  <c:v>1.3574322968244985E-7</c:v>
                </c:pt>
                <c:pt idx="29">
                  <c:v>1.3574322968244987E-6</c:v>
                </c:pt>
                <c:pt idx="30">
                  <c:v>1.3574322968244985E-5</c:v>
                </c:pt>
              </c:numCache>
            </c:numRef>
          </c:xVal>
          <c:yVal>
            <c:numRef>
              <c:f>'Mastercurve bestimmen'!$K$404:$K$434</c:f>
              <c:numCache>
                <c:formatCode>0.00E+00</c:formatCode>
                <c:ptCount val="31"/>
                <c:pt idx="0">
                  <c:v>6543.7252261807771</c:v>
                </c:pt>
                <c:pt idx="1">
                  <c:v>6543.7799387981568</c:v>
                </c:pt>
                <c:pt idx="2">
                  <c:v>6543.7462938558028</c:v>
                </c:pt>
                <c:pt idx="3">
                  <c:v>6543.7363350192272</c:v>
                </c:pt>
                <c:pt idx="4">
                  <c:v>6543.7332030080934</c:v>
                </c:pt>
                <c:pt idx="5">
                  <c:v>6543.7321508487757</c:v>
                </c:pt>
                <c:pt idx="6">
                  <c:v>6543.7318082853499</c:v>
                </c:pt>
                <c:pt idx="7">
                  <c:v>6543.7317593477201</c:v>
                </c:pt>
                <c:pt idx="8">
                  <c:v>6543.7315146595847</c:v>
                </c:pt>
                <c:pt idx="9">
                  <c:v>6543.731490190773</c:v>
                </c:pt>
                <c:pt idx="10">
                  <c:v>6543.7313923155243</c:v>
                </c:pt>
                <c:pt idx="11">
                  <c:v>6543.7286518097571</c:v>
                </c:pt>
                <c:pt idx="12">
                  <c:v>6543.7023234963144</c:v>
                </c:pt>
                <c:pt idx="13">
                  <c:v>6543.4393456132884</c:v>
                </c:pt>
                <c:pt idx="14">
                  <c:v>6540.8297975507394</c:v>
                </c:pt>
                <c:pt idx="15">
                  <c:v>6516.7915822655277</c:v>
                </c:pt>
                <c:pt idx="16">
                  <c:v>6390.814079024768</c:v>
                </c:pt>
                <c:pt idx="17">
                  <c:v>6240.1474757230608</c:v>
                </c:pt>
                <c:pt idx="18">
                  <c:v>6044.4265071962272</c:v>
                </c:pt>
                <c:pt idx="19">
                  <c:v>5697.9764219559002</c:v>
                </c:pt>
                <c:pt idx="20">
                  <c:v>5222.1642197271249</c:v>
                </c:pt>
                <c:pt idx="21">
                  <c:v>4741.2273341563377</c:v>
                </c:pt>
                <c:pt idx="22">
                  <c:v>4311.1706397553053</c:v>
                </c:pt>
                <c:pt idx="23">
                  <c:v>3952.2593271118144</c:v>
                </c:pt>
                <c:pt idx="24">
                  <c:v>3639.2172363975619</c:v>
                </c:pt>
                <c:pt idx="25">
                  <c:v>3344.7021990881808</c:v>
                </c:pt>
                <c:pt idx="26">
                  <c:v>3034.0126163953428</c:v>
                </c:pt>
                <c:pt idx="27">
                  <c:v>2653.5608861364908</c:v>
                </c:pt>
                <c:pt idx="28">
                  <c:v>2203.3378680125074</c:v>
                </c:pt>
                <c:pt idx="29">
                  <c:v>1683.4592204898881</c:v>
                </c:pt>
                <c:pt idx="30">
                  <c:v>1118.1414735463829</c:v>
                </c:pt>
              </c:numCache>
            </c:numRef>
          </c:yVal>
          <c:smooth val="1"/>
        </c:ser>
        <c:ser>
          <c:idx val="2"/>
          <c:order val="2"/>
          <c:tx>
            <c:v>25°C</c:v>
          </c:tx>
          <c:spPr>
            <a:ln w="19050" cap="rnd">
              <a:solidFill>
                <a:schemeClr val="accent3"/>
              </a:solidFill>
              <a:round/>
            </a:ln>
            <a:effectLst/>
          </c:spPr>
          <c:marker>
            <c:symbol val="none"/>
          </c:marker>
          <c:xVal>
            <c:numRef>
              <c:f>'Mastercurve bestimmen'!$D$404:$D$434</c:f>
              <c:numCache>
                <c:formatCode>0.00E+00</c:formatCode>
                <c:ptCount val="31"/>
                <c:pt idx="0">
                  <c:v>1.0628924967471992E-33</c:v>
                </c:pt>
                <c:pt idx="1">
                  <c:v>1.062892496747199E-32</c:v>
                </c:pt>
                <c:pt idx="2">
                  <c:v>1.0628924967471991E-31</c:v>
                </c:pt>
                <c:pt idx="3">
                  <c:v>1.062892496747199E-30</c:v>
                </c:pt>
                <c:pt idx="4">
                  <c:v>1.062892496747199E-29</c:v>
                </c:pt>
                <c:pt idx="5">
                  <c:v>1.062892496747199E-28</c:v>
                </c:pt>
                <c:pt idx="6">
                  <c:v>1.0628924967471992E-27</c:v>
                </c:pt>
                <c:pt idx="7">
                  <c:v>1.062892496747199E-26</c:v>
                </c:pt>
                <c:pt idx="8">
                  <c:v>1.0628924967471989E-25</c:v>
                </c:pt>
                <c:pt idx="9">
                  <c:v>1.062892496747199E-24</c:v>
                </c:pt>
                <c:pt idx="10">
                  <c:v>1.0628924967471991E-23</c:v>
                </c:pt>
                <c:pt idx="11">
                  <c:v>1.0628924967471991E-22</c:v>
                </c:pt>
                <c:pt idx="12">
                  <c:v>1.062892496747199E-21</c:v>
                </c:pt>
                <c:pt idx="13">
                  <c:v>1.062892496747199E-20</c:v>
                </c:pt>
                <c:pt idx="14">
                  <c:v>1.0628924967471991E-19</c:v>
                </c:pt>
                <c:pt idx="15">
                  <c:v>1.062892496747199E-18</c:v>
                </c:pt>
                <c:pt idx="16">
                  <c:v>1.062892496747199E-17</c:v>
                </c:pt>
                <c:pt idx="17">
                  <c:v>1.0628924967471991E-16</c:v>
                </c:pt>
                <c:pt idx="18">
                  <c:v>1.0628924967471991E-15</c:v>
                </c:pt>
                <c:pt idx="19">
                  <c:v>1.062892496747199E-14</c:v>
                </c:pt>
                <c:pt idx="20">
                  <c:v>1.062892496747199E-13</c:v>
                </c:pt>
                <c:pt idx="21">
                  <c:v>1.062892496747199E-12</c:v>
                </c:pt>
                <c:pt idx="22">
                  <c:v>1.0628924967471991E-11</c:v>
                </c:pt>
                <c:pt idx="23">
                  <c:v>1.0628924967471991E-10</c:v>
                </c:pt>
                <c:pt idx="24">
                  <c:v>1.0628924967471991E-9</c:v>
                </c:pt>
                <c:pt idx="25">
                  <c:v>1.0628924967471991E-8</c:v>
                </c:pt>
                <c:pt idx="26">
                  <c:v>1.0628924967471991E-7</c:v>
                </c:pt>
                <c:pt idx="27">
                  <c:v>1.062892496747199E-6</c:v>
                </c:pt>
                <c:pt idx="28">
                  <c:v>1.0628924967471991E-5</c:v>
                </c:pt>
                <c:pt idx="29">
                  <c:v>1.062892496747199E-4</c:v>
                </c:pt>
                <c:pt idx="30">
                  <c:v>1.0628924967471991E-3</c:v>
                </c:pt>
              </c:numCache>
            </c:numRef>
          </c:xVal>
          <c:yVal>
            <c:numRef>
              <c:f>'Mastercurve bestimmen'!$L$404:$L$434</c:f>
              <c:numCache>
                <c:formatCode>0.00E+00</c:formatCode>
                <c:ptCount val="31"/>
                <c:pt idx="0">
                  <c:v>6524.0904126194901</c:v>
                </c:pt>
                <c:pt idx="1">
                  <c:v>6524.1443595856636</c:v>
                </c:pt>
                <c:pt idx="2">
                  <c:v>6524.1111351538066</c:v>
                </c:pt>
                <c:pt idx="3">
                  <c:v>6524.1012603146964</c:v>
                </c:pt>
                <c:pt idx="4">
                  <c:v>6524.0981470711258</c:v>
                </c:pt>
                <c:pt idx="5">
                  <c:v>6524.0971012165301</c:v>
                </c:pt>
                <c:pt idx="6">
                  <c:v>6524.0967607058046</c:v>
                </c:pt>
                <c:pt idx="7">
                  <c:v>6524.0967120614177</c:v>
                </c:pt>
                <c:pt idx="8">
                  <c:v>6524.0963715507314</c:v>
                </c:pt>
                <c:pt idx="9">
                  <c:v>6524.0939393325853</c:v>
                </c:pt>
                <c:pt idx="10">
                  <c:v>6524.06939835293</c:v>
                </c:pt>
                <c:pt idx="11">
                  <c:v>6523.8242419120506</c:v>
                </c:pt>
                <c:pt idx="12">
                  <c:v>6521.3925487999713</c:v>
                </c:pt>
                <c:pt idx="13">
                  <c:v>6498.8766153292054</c:v>
                </c:pt>
                <c:pt idx="14">
                  <c:v>6376.7108933957061</c:v>
                </c:pt>
                <c:pt idx="15">
                  <c:v>6230.3639399807598</c:v>
                </c:pt>
                <c:pt idx="16">
                  <c:v>6066.3152248046426</c:v>
                </c:pt>
                <c:pt idx="17">
                  <c:v>5850.8000974148181</c:v>
                </c:pt>
                <c:pt idx="18">
                  <c:v>5524.1383776461034</c:v>
                </c:pt>
                <c:pt idx="19">
                  <c:v>5037.8540321693981</c:v>
                </c:pt>
                <c:pt idx="20">
                  <c:v>4531.1485912762591</c:v>
                </c:pt>
                <c:pt idx="21">
                  <c:v>4100.3073895013431</c:v>
                </c:pt>
                <c:pt idx="22">
                  <c:v>3736.9018653482362</c:v>
                </c:pt>
                <c:pt idx="23">
                  <c:v>3408.8002756648089</c:v>
                </c:pt>
                <c:pt idx="24">
                  <c:v>3078.2308446927527</c:v>
                </c:pt>
                <c:pt idx="25">
                  <c:v>2685.2498641877337</c:v>
                </c:pt>
                <c:pt idx="26">
                  <c:v>2228.0957655931211</c:v>
                </c:pt>
                <c:pt idx="27">
                  <c:v>1704.9584752004923</c:v>
                </c:pt>
                <c:pt idx="28">
                  <c:v>1135.4901421385146</c:v>
                </c:pt>
                <c:pt idx="29">
                  <c:v>680.51042901870051</c:v>
                </c:pt>
                <c:pt idx="30">
                  <c:v>389.33964903055204</c:v>
                </c:pt>
              </c:numCache>
            </c:numRef>
          </c:yVal>
          <c:smooth val="1"/>
        </c:ser>
        <c:ser>
          <c:idx val="3"/>
          <c:order val="3"/>
          <c:tx>
            <c:v>50°C</c:v>
          </c:tx>
          <c:spPr>
            <a:ln w="19050" cap="rnd">
              <a:solidFill>
                <a:schemeClr val="accent4"/>
              </a:solidFill>
              <a:round/>
            </a:ln>
            <a:effectLst/>
          </c:spPr>
          <c:marker>
            <c:symbol val="none"/>
          </c:marker>
          <c:xVal>
            <c:numRef>
              <c:f>'Mastercurve bestimmen'!$E$404:$E$434</c:f>
              <c:numCache>
                <c:formatCode>0.00E+00</c:formatCode>
                <c:ptCount val="31"/>
                <c:pt idx="0">
                  <c:v>7.4032079981345783E-31</c:v>
                </c:pt>
                <c:pt idx="1">
                  <c:v>7.4032079981345776E-30</c:v>
                </c:pt>
                <c:pt idx="2">
                  <c:v>7.4032079981345781E-29</c:v>
                </c:pt>
                <c:pt idx="3">
                  <c:v>7.4032079981345781E-28</c:v>
                </c:pt>
                <c:pt idx="4">
                  <c:v>7.4032079981345781E-27</c:v>
                </c:pt>
                <c:pt idx="5">
                  <c:v>7.4032079981345787E-26</c:v>
                </c:pt>
                <c:pt idx="6">
                  <c:v>7.4032079981345783E-25</c:v>
                </c:pt>
                <c:pt idx="7">
                  <c:v>7.4032079981345786E-24</c:v>
                </c:pt>
                <c:pt idx="8">
                  <c:v>7.403207998134578E-23</c:v>
                </c:pt>
                <c:pt idx="9">
                  <c:v>7.4032079981345776E-22</c:v>
                </c:pt>
                <c:pt idx="10">
                  <c:v>7.4032079981345793E-21</c:v>
                </c:pt>
                <c:pt idx="11">
                  <c:v>7.4032079981345784E-20</c:v>
                </c:pt>
                <c:pt idx="12">
                  <c:v>7.4032079981345781E-19</c:v>
                </c:pt>
                <c:pt idx="13">
                  <c:v>7.4032079981345781E-18</c:v>
                </c:pt>
                <c:pt idx="14">
                  <c:v>7.4032079981345781E-17</c:v>
                </c:pt>
                <c:pt idx="15">
                  <c:v>7.4032079981345779E-16</c:v>
                </c:pt>
                <c:pt idx="16">
                  <c:v>7.4032079981345777E-15</c:v>
                </c:pt>
                <c:pt idx="17">
                  <c:v>7.403207998134578E-14</c:v>
                </c:pt>
                <c:pt idx="18">
                  <c:v>7.4032079981345782E-13</c:v>
                </c:pt>
                <c:pt idx="19">
                  <c:v>7.4032079981345772E-12</c:v>
                </c:pt>
                <c:pt idx="20">
                  <c:v>7.4032079981345785E-11</c:v>
                </c:pt>
                <c:pt idx="21">
                  <c:v>7.4032079981345777E-10</c:v>
                </c:pt>
                <c:pt idx="22">
                  <c:v>7.4032079981345782E-9</c:v>
                </c:pt>
                <c:pt idx="23">
                  <c:v>7.4032079981345777E-8</c:v>
                </c:pt>
                <c:pt idx="24">
                  <c:v>7.4032079981345782E-7</c:v>
                </c:pt>
                <c:pt idx="25">
                  <c:v>7.4032079981345776E-6</c:v>
                </c:pt>
                <c:pt idx="26">
                  <c:v>7.4032079981345777E-5</c:v>
                </c:pt>
                <c:pt idx="27">
                  <c:v>7.403207998134578E-4</c:v>
                </c:pt>
                <c:pt idx="28">
                  <c:v>7.4032079981345778E-3</c:v>
                </c:pt>
                <c:pt idx="29">
                  <c:v>7.4032079981345783E-2</c:v>
                </c:pt>
                <c:pt idx="30">
                  <c:v>0.74032079981345777</c:v>
                </c:pt>
              </c:numCache>
            </c:numRef>
          </c:xVal>
          <c:yVal>
            <c:numRef>
              <c:f>'Mastercurve bestimmen'!$M$404:$M$434</c:f>
              <c:numCache>
                <c:formatCode>0.00E+00</c:formatCode>
                <c:ptCount val="31"/>
                <c:pt idx="0">
                  <c:v>6503.9509699618966</c:v>
                </c:pt>
                <c:pt idx="1">
                  <c:v>6504.0043184804708</c:v>
                </c:pt>
                <c:pt idx="2">
                  <c:v>6503.9713230315656</c:v>
                </c:pt>
                <c:pt idx="3">
                  <c:v>6503.9615090652051</c:v>
                </c:pt>
                <c:pt idx="4">
                  <c:v>6503.9584150129849</c:v>
                </c:pt>
                <c:pt idx="5">
                  <c:v>6503.9573030886877</c:v>
                </c:pt>
                <c:pt idx="6">
                  <c:v>6503.9546441408229</c:v>
                </c:pt>
                <c:pt idx="7">
                  <c:v>6503.932647473689</c:v>
                </c:pt>
                <c:pt idx="8">
                  <c:v>6503.7133657579243</c:v>
                </c:pt>
                <c:pt idx="9">
                  <c:v>6501.5374241274303</c:v>
                </c:pt>
                <c:pt idx="10">
                  <c:v>6481.233154233405</c:v>
                </c:pt>
                <c:pt idx="11">
                  <c:v>6364.7007036045688</c:v>
                </c:pt>
                <c:pt idx="12">
                  <c:v>6219.55344224686</c:v>
                </c:pt>
                <c:pt idx="13">
                  <c:v>6059.9785511387736</c:v>
                </c:pt>
                <c:pt idx="14">
                  <c:v>5870.6317266704709</c:v>
                </c:pt>
                <c:pt idx="15">
                  <c:v>5669.1325406322439</c:v>
                </c:pt>
                <c:pt idx="16">
                  <c:v>5423.4324257349326</c:v>
                </c:pt>
                <c:pt idx="17">
                  <c:v>5064.9009314494624</c:v>
                </c:pt>
                <c:pt idx="18">
                  <c:v>4580.1850776889687</c:v>
                </c:pt>
                <c:pt idx="19">
                  <c:v>4085.8663253030418</c:v>
                </c:pt>
                <c:pt idx="20">
                  <c:v>3641.7022773125063</c:v>
                </c:pt>
                <c:pt idx="21">
                  <c:v>3231.6591203117327</c:v>
                </c:pt>
                <c:pt idx="22">
                  <c:v>2785.7203085552951</c:v>
                </c:pt>
                <c:pt idx="23">
                  <c:v>2295.1533050928924</c:v>
                </c:pt>
                <c:pt idx="24">
                  <c:v>1754.5150163075152</c:v>
                </c:pt>
                <c:pt idx="25">
                  <c:v>1171.8757952014325</c:v>
                </c:pt>
                <c:pt idx="26">
                  <c:v>704.46209389908893</c:v>
                </c:pt>
                <c:pt idx="27">
                  <c:v>403.25761176970258</c:v>
                </c:pt>
                <c:pt idx="28">
                  <c:v>227.19076746573165</c:v>
                </c:pt>
                <c:pt idx="29">
                  <c:v>157.01371189082064</c:v>
                </c:pt>
                <c:pt idx="30">
                  <c:v>136.97082983111966</c:v>
                </c:pt>
              </c:numCache>
            </c:numRef>
          </c:yVal>
          <c:smooth val="1"/>
        </c:ser>
        <c:ser>
          <c:idx val="4"/>
          <c:order val="4"/>
          <c:tx>
            <c:v>80°C</c:v>
          </c:tx>
          <c:spPr>
            <a:ln w="19050" cap="rnd">
              <a:solidFill>
                <a:schemeClr val="accent5"/>
              </a:solidFill>
              <a:round/>
            </a:ln>
            <a:effectLst/>
          </c:spPr>
          <c:marker>
            <c:symbol val="none"/>
          </c:marker>
          <c:xVal>
            <c:numRef>
              <c:f>'Mastercurve bestimmen'!$F$404:$F$434</c:f>
              <c:numCache>
                <c:formatCode>0.00E+00</c:formatCode>
                <c:ptCount val="31"/>
                <c:pt idx="0">
                  <c:v>6.0624307747786309E-26</c:v>
                </c:pt>
                <c:pt idx="1">
                  <c:v>6.0624307747786307E-25</c:v>
                </c:pt>
                <c:pt idx="2">
                  <c:v>6.0624307747786307E-24</c:v>
                </c:pt>
                <c:pt idx="3">
                  <c:v>6.0624307747786305E-23</c:v>
                </c:pt>
                <c:pt idx="4">
                  <c:v>6.0624307747786305E-22</c:v>
                </c:pt>
                <c:pt idx="5">
                  <c:v>6.0624307747786307E-21</c:v>
                </c:pt>
                <c:pt idx="6">
                  <c:v>6.0624307747786304E-20</c:v>
                </c:pt>
                <c:pt idx="7">
                  <c:v>6.0624307747786306E-19</c:v>
                </c:pt>
                <c:pt idx="8">
                  <c:v>6.0624307747786304E-18</c:v>
                </c:pt>
                <c:pt idx="9">
                  <c:v>6.0624307747786301E-17</c:v>
                </c:pt>
                <c:pt idx="10">
                  <c:v>6.0624307747786309E-16</c:v>
                </c:pt>
                <c:pt idx="11">
                  <c:v>6.0624307747786307E-15</c:v>
                </c:pt>
                <c:pt idx="12">
                  <c:v>6.0624307747786305E-14</c:v>
                </c:pt>
                <c:pt idx="13">
                  <c:v>6.0624307747786305E-13</c:v>
                </c:pt>
                <c:pt idx="14">
                  <c:v>6.0624307747786311E-12</c:v>
                </c:pt>
                <c:pt idx="15">
                  <c:v>6.062430774778631E-11</c:v>
                </c:pt>
                <c:pt idx="16">
                  <c:v>6.0624307747786307E-10</c:v>
                </c:pt>
                <c:pt idx="17">
                  <c:v>6.0624307747786303E-9</c:v>
                </c:pt>
                <c:pt idx="18">
                  <c:v>6.0624307747786311E-8</c:v>
                </c:pt>
                <c:pt idx="19">
                  <c:v>6.0624307747786306E-7</c:v>
                </c:pt>
                <c:pt idx="20">
                  <c:v>6.0624307747786306E-6</c:v>
                </c:pt>
                <c:pt idx="21">
                  <c:v>6.0624307747786308E-5</c:v>
                </c:pt>
                <c:pt idx="22">
                  <c:v>6.0624307747786301E-4</c:v>
                </c:pt>
                <c:pt idx="23">
                  <c:v>6.0624307747786307E-3</c:v>
                </c:pt>
                <c:pt idx="24">
                  <c:v>6.0624307747786307E-2</c:v>
                </c:pt>
                <c:pt idx="25">
                  <c:v>0.6062430774778631</c:v>
                </c:pt>
                <c:pt idx="26">
                  <c:v>6.0624307747786306</c:v>
                </c:pt>
                <c:pt idx="27">
                  <c:v>60.624307747786304</c:v>
                </c:pt>
                <c:pt idx="28">
                  <c:v>606.24307747786304</c:v>
                </c:pt>
                <c:pt idx="29">
                  <c:v>6062.4307747786306</c:v>
                </c:pt>
                <c:pt idx="30">
                  <c:v>60624.307747786304</c:v>
                </c:pt>
              </c:numCache>
            </c:numRef>
          </c:xVal>
          <c:yVal>
            <c:numRef>
              <c:f>'Mastercurve bestimmen'!$N$404:$N$434</c:f>
              <c:numCache>
                <c:formatCode>0.00E+00</c:formatCode>
                <c:ptCount val="31"/>
                <c:pt idx="0">
                  <c:v>6479.0859474371819</c:v>
                </c:pt>
                <c:pt idx="1">
                  <c:v>6479.1324839978006</c:v>
                </c:pt>
                <c:pt idx="2">
                  <c:v>6479.041978197979</c:v>
                </c:pt>
                <c:pt idx="3">
                  <c:v>6478.4539559822069</c:v>
                </c:pt>
                <c:pt idx="4">
                  <c:v>6472.7726535549082</c:v>
                </c:pt>
                <c:pt idx="5">
                  <c:v>6425.3224026678754</c:v>
                </c:pt>
                <c:pt idx="6">
                  <c:v>6280.1372572444334</c:v>
                </c:pt>
                <c:pt idx="7">
                  <c:v>6130.7451181848783</c:v>
                </c:pt>
                <c:pt idx="8">
                  <c:v>5959.459898848826</c:v>
                </c:pt>
                <c:pt idx="9">
                  <c:v>5758.6320512376351</c:v>
                </c:pt>
                <c:pt idx="10">
                  <c:v>5553.7107715147085</c:v>
                </c:pt>
                <c:pt idx="11">
                  <c:v>5296.2160470219478</c:v>
                </c:pt>
                <c:pt idx="12">
                  <c:v>5014.3504980568096</c:v>
                </c:pt>
                <c:pt idx="13">
                  <c:v>4737.7084148388376</c:v>
                </c:pt>
                <c:pt idx="14">
                  <c:v>4438.626264954587</c:v>
                </c:pt>
                <c:pt idx="15">
                  <c:v>4115.3629839514006</c:v>
                </c:pt>
                <c:pt idx="16">
                  <c:v>3662.5886079597385</c:v>
                </c:pt>
                <c:pt idx="17">
                  <c:v>3039.7716426269371</c:v>
                </c:pt>
                <c:pt idx="18">
                  <c:v>2356.5178874385392</c:v>
                </c:pt>
                <c:pt idx="19">
                  <c:v>1664.6092730189016</c:v>
                </c:pt>
                <c:pt idx="20">
                  <c:v>1039.9214556238178</c:v>
                </c:pt>
                <c:pt idx="21">
                  <c:v>595.89522173414423</c:v>
                </c:pt>
                <c:pt idx="22">
                  <c:v>331.71701217899948</c:v>
                </c:pt>
                <c:pt idx="23">
                  <c:v>192.72704730170403</c:v>
                </c:pt>
                <c:pt idx="24">
                  <c:v>148.89299884614732</c:v>
                </c:pt>
                <c:pt idx="25">
                  <c:v>134.12130031566326</c:v>
                </c:pt>
                <c:pt idx="26">
                  <c:v>124.90206072555479</c:v>
                </c:pt>
                <c:pt idx="27">
                  <c:v>124.64007063602084</c:v>
                </c:pt>
                <c:pt idx="28">
                  <c:v>123.89500698166064</c:v>
                </c:pt>
                <c:pt idx="29">
                  <c:v>123.88320178471095</c:v>
                </c:pt>
                <c:pt idx="30">
                  <c:v>123.47472292148701</c:v>
                </c:pt>
              </c:numCache>
            </c:numRef>
          </c:yVal>
          <c:smooth val="1"/>
        </c:ser>
        <c:ser>
          <c:idx val="5"/>
          <c:order val="5"/>
          <c:tx>
            <c:v>125°C</c:v>
          </c:tx>
          <c:spPr>
            <a:ln w="19050" cap="rnd">
              <a:solidFill>
                <a:schemeClr val="accent6"/>
              </a:solidFill>
              <a:round/>
            </a:ln>
            <a:effectLst/>
          </c:spPr>
          <c:marker>
            <c:symbol val="none"/>
          </c:marker>
          <c:xVal>
            <c:numRef>
              <c:f>'Mastercurve bestimmen'!$G$404:$G$434</c:f>
              <c:numCache>
                <c:formatCode>0.00E+00</c:formatCode>
                <c:ptCount val="31"/>
                <c:pt idx="0">
                  <c:v>1.5363699097932881E-17</c:v>
                </c:pt>
                <c:pt idx="1">
                  <c:v>1.536369909793288E-16</c:v>
                </c:pt>
                <c:pt idx="2">
                  <c:v>1.536369909793288E-15</c:v>
                </c:pt>
                <c:pt idx="3">
                  <c:v>1.5363699097932878E-14</c:v>
                </c:pt>
                <c:pt idx="4">
                  <c:v>1.5363699097932877E-13</c:v>
                </c:pt>
                <c:pt idx="5">
                  <c:v>1.5363699097932879E-12</c:v>
                </c:pt>
                <c:pt idx="6">
                  <c:v>1.5363699097932881E-11</c:v>
                </c:pt>
                <c:pt idx="7">
                  <c:v>1.5363699097932878E-10</c:v>
                </c:pt>
                <c:pt idx="8">
                  <c:v>1.5363699097932879E-9</c:v>
                </c:pt>
                <c:pt idx="9">
                  <c:v>1.5363699097932878E-8</c:v>
                </c:pt>
                <c:pt idx="10">
                  <c:v>1.536369909793288E-7</c:v>
                </c:pt>
                <c:pt idx="11">
                  <c:v>1.5363699097932879E-6</c:v>
                </c:pt>
                <c:pt idx="12">
                  <c:v>1.5363699097932879E-5</c:v>
                </c:pt>
                <c:pt idx="13">
                  <c:v>1.5363699097932881E-4</c:v>
                </c:pt>
                <c:pt idx="14">
                  <c:v>1.5363699097932879E-3</c:v>
                </c:pt>
                <c:pt idx="15">
                  <c:v>1.5363699097932879E-2</c:v>
                </c:pt>
                <c:pt idx="16">
                  <c:v>0.15363699097932879</c:v>
                </c:pt>
                <c:pt idx="17">
                  <c:v>1.5363699097932879</c:v>
                </c:pt>
                <c:pt idx="18">
                  <c:v>15.36369909793288</c:v>
                </c:pt>
                <c:pt idx="19">
                  <c:v>153.6369909793288</c:v>
                </c:pt>
                <c:pt idx="20">
                  <c:v>1536.3699097932879</c:v>
                </c:pt>
                <c:pt idx="21">
                  <c:v>15363.699097932878</c:v>
                </c:pt>
                <c:pt idx="22">
                  <c:v>153636.99097932878</c:v>
                </c:pt>
                <c:pt idx="23">
                  <c:v>1536369.909793288</c:v>
                </c:pt>
                <c:pt idx="24">
                  <c:v>15363699.097932879</c:v>
                </c:pt>
                <c:pt idx="25">
                  <c:v>153636990.97932878</c:v>
                </c:pt>
                <c:pt idx="26">
                  <c:v>1536369909.793288</c:v>
                </c:pt>
                <c:pt idx="27">
                  <c:v>15363699097.932878</c:v>
                </c:pt>
                <c:pt idx="28">
                  <c:v>153636990979.3288</c:v>
                </c:pt>
                <c:pt idx="29">
                  <c:v>1536369909793.2878</c:v>
                </c:pt>
                <c:pt idx="30">
                  <c:v>15363699097932.879</c:v>
                </c:pt>
              </c:numCache>
            </c:numRef>
          </c:xVal>
          <c:yVal>
            <c:numRef>
              <c:f>'Mastercurve bestimmen'!$O$404:$O$434</c:f>
              <c:numCache>
                <c:formatCode>0.00E+00</c:formatCode>
                <c:ptCount val="31"/>
                <c:pt idx="0">
                  <c:v>5863.6829549380891</c:v>
                </c:pt>
                <c:pt idx="1">
                  <c:v>5609.1927579282792</c:v>
                </c:pt>
                <c:pt idx="2">
                  <c:v>5370.7345311781783</c:v>
                </c:pt>
                <c:pt idx="3">
                  <c:v>5097.9534912421213</c:v>
                </c:pt>
                <c:pt idx="4">
                  <c:v>4821.046341164677</c:v>
                </c:pt>
                <c:pt idx="5">
                  <c:v>4535.3452020984814</c:v>
                </c:pt>
                <c:pt idx="6">
                  <c:v>4228.4929725950406</c:v>
                </c:pt>
                <c:pt idx="7">
                  <c:v>3871.0057883923755</c:v>
                </c:pt>
                <c:pt idx="8">
                  <c:v>3401.7561264704505</c:v>
                </c:pt>
                <c:pt idx="9">
                  <c:v>2827.0529060658037</c:v>
                </c:pt>
                <c:pt idx="10">
                  <c:v>2150.7951483518323</c:v>
                </c:pt>
                <c:pt idx="11">
                  <c:v>1410.5199057082755</c:v>
                </c:pt>
                <c:pt idx="12">
                  <c:v>826.67973456797017</c:v>
                </c:pt>
                <c:pt idx="13">
                  <c:v>463.10914863390207</c:v>
                </c:pt>
                <c:pt idx="14">
                  <c:v>257.27368574751409</c:v>
                </c:pt>
                <c:pt idx="15">
                  <c:v>179.98076982609024</c:v>
                </c:pt>
                <c:pt idx="16">
                  <c:v>157.55849658546879</c:v>
                </c:pt>
                <c:pt idx="17">
                  <c:v>143.13037816485394</c:v>
                </c:pt>
                <c:pt idx="18">
                  <c:v>139.03929298884987</c:v>
                </c:pt>
                <c:pt idx="19">
                  <c:v>135.60631839895524</c:v>
                </c:pt>
                <c:pt idx="20">
                  <c:v>132.22937471479068</c:v>
                </c:pt>
                <c:pt idx="21">
                  <c:v>129.58780540541244</c:v>
                </c:pt>
                <c:pt idx="22">
                  <c:v>127.7135675720335</c:v>
                </c:pt>
                <c:pt idx="23">
                  <c:v>126.4367312836393</c:v>
                </c:pt>
                <c:pt idx="24">
                  <c:v>125.52960401951817</c:v>
                </c:pt>
                <c:pt idx="25">
                  <c:v>124.83927834622055</c:v>
                </c:pt>
                <c:pt idx="26">
                  <c:v>124.70417941781746</c:v>
                </c:pt>
                <c:pt idx="27">
                  <c:v>123.9260383626436</c:v>
                </c:pt>
                <c:pt idx="28">
                  <c:v>123.91358498832378</c:v>
                </c:pt>
                <c:pt idx="29">
                  <c:v>123.65466987195585</c:v>
                </c:pt>
                <c:pt idx="30">
                  <c:v>123.64094316844046</c:v>
                </c:pt>
              </c:numCache>
            </c:numRef>
          </c:yVal>
          <c:smooth val="1"/>
        </c:ser>
        <c:ser>
          <c:idx val="6"/>
          <c:order val="6"/>
          <c:tx>
            <c:v>160°C</c:v>
          </c:tx>
          <c:spPr>
            <a:ln w="19050" cap="rnd">
              <a:solidFill>
                <a:schemeClr val="accent1">
                  <a:lumMod val="60000"/>
                </a:schemeClr>
              </a:solidFill>
              <a:round/>
            </a:ln>
            <a:effectLst/>
          </c:spPr>
          <c:marker>
            <c:symbol val="none"/>
          </c:marker>
          <c:xVal>
            <c:numRef>
              <c:f>'Mastercurve bestimmen'!$H$404:$H$434</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'Mastercurve bestimmen'!$P$404:$P$434</c:f>
              <c:numCache>
                <c:formatCode>0.00E+00</c:formatCode>
                <c:ptCount val="31"/>
                <c:pt idx="0">
                  <c:v>5469.0375175567433</c:v>
                </c:pt>
                <c:pt idx="1">
                  <c:v>5144.4254375399241</c:v>
                </c:pt>
                <c:pt idx="2">
                  <c:v>4859.4796757955091</c:v>
                </c:pt>
                <c:pt idx="3">
                  <c:v>4579.0872874253573</c:v>
                </c:pt>
                <c:pt idx="4">
                  <c:v>4274.6287252900811</c:v>
                </c:pt>
                <c:pt idx="5">
                  <c:v>3938.1560081824523</c:v>
                </c:pt>
                <c:pt idx="6">
                  <c:v>3491.5925245283374</c:v>
                </c:pt>
                <c:pt idx="7">
                  <c:v>2939.5473684961994</c:v>
                </c:pt>
                <c:pt idx="8">
                  <c:v>2290.3210430692648</c:v>
                </c:pt>
                <c:pt idx="9">
                  <c:v>1556.8723374202477</c:v>
                </c:pt>
                <c:pt idx="10">
                  <c:v>939.61789874376836</c:v>
                </c:pt>
                <c:pt idx="11">
                  <c:v>532.22470015904992</c:v>
                </c:pt>
                <c:pt idx="12">
                  <c:v>294.61415856723238</c:v>
                </c:pt>
                <c:pt idx="13">
                  <c:v>191.85627557437303</c:v>
                </c:pt>
                <c:pt idx="14">
                  <c:v>162.27843823453597</c:v>
                </c:pt>
                <c:pt idx="15">
                  <c:v>147.30961753431595</c:v>
                </c:pt>
                <c:pt idx="16">
                  <c:v>142.06591803394016</c:v>
                </c:pt>
                <c:pt idx="17">
                  <c:v>140.2404472955443</c:v>
                </c:pt>
                <c:pt idx="18">
                  <c:v>137.13168564571805</c:v>
                </c:pt>
                <c:pt idx="19">
                  <c:v>133.5914564553571</c:v>
                </c:pt>
                <c:pt idx="20">
                  <c:v>130.60597118111332</c:v>
                </c:pt>
                <c:pt idx="21">
                  <c:v>128.42317853149575</c:v>
                </c:pt>
                <c:pt idx="22">
                  <c:v>126.92571513683149</c:v>
                </c:pt>
                <c:pt idx="23">
                  <c:v>125.87891264299097</c:v>
                </c:pt>
                <c:pt idx="24">
                  <c:v>125.11103067782525</c:v>
                </c:pt>
                <c:pt idx="25">
                  <c:v>124.96985459314666</c:v>
                </c:pt>
                <c:pt idx="26">
                  <c:v>124.77108605330615</c:v>
                </c:pt>
                <c:pt idx="27">
                  <c:v>123.93614365125383</c:v>
                </c:pt>
                <c:pt idx="28">
                  <c:v>123.92285545904397</c:v>
                </c:pt>
                <c:pt idx="29">
                  <c:v>123.48008539289999</c:v>
                </c:pt>
                <c:pt idx="30">
                  <c:v>123.46865182434244</c:v>
                </c:pt>
              </c:numCache>
            </c:numRef>
          </c:yVal>
          <c:smooth val="1"/>
        </c:ser>
        <c:dLbls>
          <c:showLegendKey val="0"/>
          <c:showVal val="0"/>
          <c:showCatName val="0"/>
          <c:showSerName val="0"/>
          <c:showPercent val="0"/>
          <c:showBubbleSize val="0"/>
        </c:dLbls>
        <c:axId val="453762520"/>
        <c:axId val="547600208"/>
      </c:scatterChart>
      <c:valAx>
        <c:axId val="453762520"/>
        <c:scaling>
          <c:logBase val="10"/>
          <c:orientation val="minMax"/>
          <c:max val="1000000000000000"/>
          <c:min val="1.0000000000000009E-15"/>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de-DE"/>
                  <a:t>t [s]</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0.00E+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547600208"/>
        <c:crosses val="autoZero"/>
        <c:crossBetween val="midCat"/>
      </c:valAx>
      <c:valAx>
        <c:axId val="547600208"/>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de-DE"/>
                  <a:t>G(t,T)</a:t>
                </a:r>
                <a:r>
                  <a:rPr lang="de-DE" baseline="0"/>
                  <a:t> [MPa]</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0.00E+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453762520"/>
        <c:crossesAt val="1.0000000000000012E-22"/>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de-DE"/>
    </a:p>
  </c:txPr>
  <c:printSettings>
    <c:headerFooter/>
    <c:pageMargins b="0.78740157499999996" l="0.7" r="0.7" t="0.78740157499999996"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de-DE"/>
              <a:t>Backshifting</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de-DE"/>
        </a:p>
      </c:txPr>
    </c:title>
    <c:autoTitleDeleted val="0"/>
    <c:plotArea>
      <c:layout>
        <c:manualLayout>
          <c:layoutTarget val="inner"/>
          <c:xMode val="edge"/>
          <c:yMode val="edge"/>
          <c:x val="0.15155446509366477"/>
          <c:y val="0.13813780260707634"/>
          <c:w val="0.70007204458649541"/>
          <c:h val="0.64062083021745186"/>
        </c:manualLayout>
      </c:layout>
      <c:scatterChart>
        <c:scatterStyle val="smoothMarker"/>
        <c:varyColors val="0"/>
        <c:ser>
          <c:idx val="0"/>
          <c:order val="0"/>
          <c:tx>
            <c:v>-40°C</c:v>
          </c:tx>
          <c:spPr>
            <a:ln w="19050" cap="rnd">
              <a:solidFill>
                <a:schemeClr val="accent1"/>
              </a:solidFill>
              <a:round/>
            </a:ln>
            <a:effectLst/>
          </c:spPr>
          <c:marker>
            <c:symbol val="none"/>
          </c:marker>
          <c:xVal>
            <c:numRef>
              <c:f>'Mastercurve bestimmen'!$B$404:$B$434</c:f>
              <c:numCache>
                <c:formatCode>0.00E+00</c:formatCode>
                <c:ptCount val="31"/>
                <c:pt idx="0">
                  <c:v>7.4913932163539707E-37</c:v>
                </c:pt>
                <c:pt idx="1">
                  <c:v>7.4913932163539707E-36</c:v>
                </c:pt>
                <c:pt idx="2">
                  <c:v>7.4913932163539705E-35</c:v>
                </c:pt>
                <c:pt idx="3">
                  <c:v>7.49139321635397E-34</c:v>
                </c:pt>
                <c:pt idx="4">
                  <c:v>7.4913932163539699E-33</c:v>
                </c:pt>
                <c:pt idx="5">
                  <c:v>7.4913932163539707E-32</c:v>
                </c:pt>
                <c:pt idx="6">
                  <c:v>7.4913932163539702E-31</c:v>
                </c:pt>
                <c:pt idx="7">
                  <c:v>7.4913932163539704E-30</c:v>
                </c:pt>
                <c:pt idx="8">
                  <c:v>7.4913932163539699E-29</c:v>
                </c:pt>
                <c:pt idx="9">
                  <c:v>7.4913932163539701E-28</c:v>
                </c:pt>
                <c:pt idx="10">
                  <c:v>7.4913932163539704E-27</c:v>
                </c:pt>
                <c:pt idx="11">
                  <c:v>7.4913932163539702E-26</c:v>
                </c:pt>
                <c:pt idx="12">
                  <c:v>7.4913932163539699E-25</c:v>
                </c:pt>
                <c:pt idx="13">
                  <c:v>7.4913932163539701E-24</c:v>
                </c:pt>
                <c:pt idx="14">
                  <c:v>7.4913932163539707E-23</c:v>
                </c:pt>
                <c:pt idx="15">
                  <c:v>7.4913932163539702E-22</c:v>
                </c:pt>
                <c:pt idx="16">
                  <c:v>7.4913932163539699E-21</c:v>
                </c:pt>
                <c:pt idx="17">
                  <c:v>7.4913932163539702E-20</c:v>
                </c:pt>
                <c:pt idx="18">
                  <c:v>7.4913932163539697E-19</c:v>
                </c:pt>
                <c:pt idx="19">
                  <c:v>7.4913932163539706E-18</c:v>
                </c:pt>
                <c:pt idx="20">
                  <c:v>7.4913932163539706E-17</c:v>
                </c:pt>
                <c:pt idx="21">
                  <c:v>7.4913932163539701E-16</c:v>
                </c:pt>
                <c:pt idx="22">
                  <c:v>7.4913932163539699E-15</c:v>
                </c:pt>
                <c:pt idx="23">
                  <c:v>7.4913932163539706E-14</c:v>
                </c:pt>
                <c:pt idx="24">
                  <c:v>7.4913932163539701E-13</c:v>
                </c:pt>
                <c:pt idx="25">
                  <c:v>7.4913932163539709E-12</c:v>
                </c:pt>
                <c:pt idx="26">
                  <c:v>7.4913932163539706E-11</c:v>
                </c:pt>
                <c:pt idx="27">
                  <c:v>7.49139321635397E-10</c:v>
                </c:pt>
                <c:pt idx="28">
                  <c:v>7.4913932163539698E-9</c:v>
                </c:pt>
                <c:pt idx="29">
                  <c:v>7.4913932163539705E-8</c:v>
                </c:pt>
                <c:pt idx="30">
                  <c:v>7.4913932163539697E-7</c:v>
                </c:pt>
              </c:numCache>
            </c:numRef>
          </c:xVal>
          <c:yVal>
            <c:numRef>
              <c:f>'Mastercurve bestimmen'!$J$404:$J$434</c:f>
              <c:numCache>
                <c:formatCode>0.00E+00</c:formatCode>
                <c:ptCount val="31"/>
                <c:pt idx="0">
                  <c:v>6574.1423129756067</c:v>
                </c:pt>
                <c:pt idx="1">
                  <c:v>6574.1983504239388</c:v>
                </c:pt>
                <c:pt idx="2">
                  <c:v>6574.1641202956771</c:v>
                </c:pt>
                <c:pt idx="3">
                  <c:v>6574.1538463873376</c:v>
                </c:pt>
                <c:pt idx="4">
                  <c:v>6574.1506604943988</c:v>
                </c:pt>
                <c:pt idx="5">
                  <c:v>6574.149598530772</c:v>
                </c:pt>
                <c:pt idx="6">
                  <c:v>6574.1492527752453</c:v>
                </c:pt>
                <c:pt idx="7">
                  <c:v>6574.149203381603</c:v>
                </c:pt>
                <c:pt idx="8">
                  <c:v>6574.149203381603</c:v>
                </c:pt>
                <c:pt idx="9">
                  <c:v>6574.149203381603</c:v>
                </c:pt>
                <c:pt idx="10">
                  <c:v>6574.1491786847801</c:v>
                </c:pt>
                <c:pt idx="11">
                  <c:v>6574.1489070197567</c:v>
                </c:pt>
                <c:pt idx="12">
                  <c:v>6574.1483883865922</c:v>
                </c:pt>
                <c:pt idx="13">
                  <c:v>6574.141102834109</c:v>
                </c:pt>
                <c:pt idx="14">
                  <c:v>6574.0681741087647</c:v>
                </c:pt>
                <c:pt idx="15">
                  <c:v>6573.3425313051102</c:v>
                </c:pt>
                <c:pt idx="16">
                  <c:v>6566.2492544539882</c:v>
                </c:pt>
                <c:pt idx="17">
                  <c:v>6509.2168204054406</c:v>
                </c:pt>
                <c:pt idx="18">
                  <c:v>6358.877795711509</c:v>
                </c:pt>
                <c:pt idx="19">
                  <c:v>6198.1657141301985</c:v>
                </c:pt>
                <c:pt idx="20">
                  <c:v>5965.2165970487267</c:v>
                </c:pt>
                <c:pt idx="21">
                  <c:v>5562.9083959530062</c:v>
                </c:pt>
                <c:pt idx="22">
                  <c:v>5068.6144859756578</c:v>
                </c:pt>
                <c:pt idx="23">
                  <c:v>4583.1082918040429</c:v>
                </c:pt>
                <c:pt idx="24">
                  <c:v>4165.9762057055259</c:v>
                </c:pt>
                <c:pt idx="25">
                  <c:v>3823.5689905233821</c:v>
                </c:pt>
                <c:pt idx="26">
                  <c:v>3510.558848270296</c:v>
                </c:pt>
                <c:pt idx="27">
                  <c:v>3215.4703591878829</c:v>
                </c:pt>
                <c:pt idx="28">
                  <c:v>2870.194204228324</c:v>
                </c:pt>
                <c:pt idx="29">
                  <c:v>2458.5183678646754</c:v>
                </c:pt>
                <c:pt idx="30">
                  <c:v>1982.6966326072995</c:v>
                </c:pt>
              </c:numCache>
            </c:numRef>
          </c:yVal>
          <c:smooth val="1"/>
        </c:ser>
        <c:ser>
          <c:idx val="1"/>
          <c:order val="1"/>
          <c:tx>
            <c:v>0°C</c:v>
          </c:tx>
          <c:spPr>
            <a:ln w="19050" cap="rnd">
              <a:solidFill>
                <a:schemeClr val="accent2"/>
              </a:solidFill>
              <a:round/>
            </a:ln>
            <a:effectLst/>
          </c:spPr>
          <c:marker>
            <c:symbol val="none"/>
          </c:marker>
          <c:xVal>
            <c:numRef>
              <c:f>'Mastercurve bestimmen'!$C$404:$C$434</c:f>
              <c:numCache>
                <c:formatCode>0.00E+00</c:formatCode>
                <c:ptCount val="31"/>
                <c:pt idx="0">
                  <c:v>1.3574322968244987E-35</c:v>
                </c:pt>
                <c:pt idx="1">
                  <c:v>1.3574322968244985E-34</c:v>
                </c:pt>
                <c:pt idx="2">
                  <c:v>1.3574322968244987E-33</c:v>
                </c:pt>
                <c:pt idx="3">
                  <c:v>1.3574322968244985E-32</c:v>
                </c:pt>
                <c:pt idx="4">
                  <c:v>1.3574322968244985E-31</c:v>
                </c:pt>
                <c:pt idx="5">
                  <c:v>1.3574322968244986E-30</c:v>
                </c:pt>
                <c:pt idx="6">
                  <c:v>1.3574322968244985E-29</c:v>
                </c:pt>
                <c:pt idx="7">
                  <c:v>1.3574322968244987E-28</c:v>
                </c:pt>
                <c:pt idx="8">
                  <c:v>1.3574322968244986E-27</c:v>
                </c:pt>
                <c:pt idx="9">
                  <c:v>1.3574322968244984E-26</c:v>
                </c:pt>
                <c:pt idx="10">
                  <c:v>1.3574322968244987E-25</c:v>
                </c:pt>
                <c:pt idx="11">
                  <c:v>1.3574322968244987E-24</c:v>
                </c:pt>
                <c:pt idx="12">
                  <c:v>1.3574322968244986E-23</c:v>
                </c:pt>
                <c:pt idx="13">
                  <c:v>1.3574322968244987E-22</c:v>
                </c:pt>
                <c:pt idx="14">
                  <c:v>1.3574322968244986E-21</c:v>
                </c:pt>
                <c:pt idx="15">
                  <c:v>1.3574322968244985E-20</c:v>
                </c:pt>
                <c:pt idx="16">
                  <c:v>1.3574322968244986E-19</c:v>
                </c:pt>
                <c:pt idx="17">
                  <c:v>1.3574322968244986E-18</c:v>
                </c:pt>
                <c:pt idx="18">
                  <c:v>1.3574322968244986E-17</c:v>
                </c:pt>
                <c:pt idx="19">
                  <c:v>1.3574322968244986E-16</c:v>
                </c:pt>
                <c:pt idx="20">
                  <c:v>1.3574322968244986E-15</c:v>
                </c:pt>
                <c:pt idx="21">
                  <c:v>1.3574322968244985E-14</c:v>
                </c:pt>
                <c:pt idx="22">
                  <c:v>1.3574322968244986E-13</c:v>
                </c:pt>
                <c:pt idx="23">
                  <c:v>1.3574322968244986E-12</c:v>
                </c:pt>
                <c:pt idx="24">
                  <c:v>1.3574322968244986E-11</c:v>
                </c:pt>
                <c:pt idx="25">
                  <c:v>1.3574322968244987E-10</c:v>
                </c:pt>
                <c:pt idx="26">
                  <c:v>1.3574322968244985E-9</c:v>
                </c:pt>
                <c:pt idx="27">
                  <c:v>1.3574322968244986E-8</c:v>
                </c:pt>
                <c:pt idx="28">
                  <c:v>1.3574322968244985E-7</c:v>
                </c:pt>
                <c:pt idx="29">
                  <c:v>1.3574322968244987E-6</c:v>
                </c:pt>
                <c:pt idx="30">
                  <c:v>1.3574322968244985E-5</c:v>
                </c:pt>
              </c:numCache>
            </c:numRef>
          </c:xVal>
          <c:yVal>
            <c:numRef>
              <c:f>'Mastercurve bestimmen'!$K$404:$K$434</c:f>
              <c:numCache>
                <c:formatCode>0.00E+00</c:formatCode>
                <c:ptCount val="31"/>
                <c:pt idx="0">
                  <c:v>6543.7252261807771</c:v>
                </c:pt>
                <c:pt idx="1">
                  <c:v>6543.7799387981568</c:v>
                </c:pt>
                <c:pt idx="2">
                  <c:v>6543.7462938558028</c:v>
                </c:pt>
                <c:pt idx="3">
                  <c:v>6543.7363350192272</c:v>
                </c:pt>
                <c:pt idx="4">
                  <c:v>6543.7332030080934</c:v>
                </c:pt>
                <c:pt idx="5">
                  <c:v>6543.7321508487757</c:v>
                </c:pt>
                <c:pt idx="6">
                  <c:v>6543.7318082853499</c:v>
                </c:pt>
                <c:pt idx="7">
                  <c:v>6543.7317593477201</c:v>
                </c:pt>
                <c:pt idx="8">
                  <c:v>6543.7315146595847</c:v>
                </c:pt>
                <c:pt idx="9">
                  <c:v>6543.731490190773</c:v>
                </c:pt>
                <c:pt idx="10">
                  <c:v>6543.7313923155243</c:v>
                </c:pt>
                <c:pt idx="11">
                  <c:v>6543.7286518097571</c:v>
                </c:pt>
                <c:pt idx="12">
                  <c:v>6543.7023234963144</c:v>
                </c:pt>
                <c:pt idx="13">
                  <c:v>6543.4393456132884</c:v>
                </c:pt>
                <c:pt idx="14">
                  <c:v>6540.8297975507394</c:v>
                </c:pt>
                <c:pt idx="15">
                  <c:v>6516.7915822655277</c:v>
                </c:pt>
                <c:pt idx="16">
                  <c:v>6390.814079024768</c:v>
                </c:pt>
                <c:pt idx="17">
                  <c:v>6240.1474757230608</c:v>
                </c:pt>
                <c:pt idx="18">
                  <c:v>6044.4265071962272</c:v>
                </c:pt>
                <c:pt idx="19">
                  <c:v>5697.9764219559002</c:v>
                </c:pt>
                <c:pt idx="20">
                  <c:v>5222.1642197271249</c:v>
                </c:pt>
                <c:pt idx="21">
                  <c:v>4741.2273341563377</c:v>
                </c:pt>
                <c:pt idx="22">
                  <c:v>4311.1706397553053</c:v>
                </c:pt>
                <c:pt idx="23">
                  <c:v>3952.2593271118144</c:v>
                </c:pt>
                <c:pt idx="24">
                  <c:v>3639.2172363975619</c:v>
                </c:pt>
                <c:pt idx="25">
                  <c:v>3344.7021990881808</c:v>
                </c:pt>
                <c:pt idx="26">
                  <c:v>3034.0126163953428</c:v>
                </c:pt>
                <c:pt idx="27">
                  <c:v>2653.5608861364908</c:v>
                </c:pt>
                <c:pt idx="28">
                  <c:v>2203.3378680125074</c:v>
                </c:pt>
                <c:pt idx="29">
                  <c:v>1683.4592204898881</c:v>
                </c:pt>
                <c:pt idx="30">
                  <c:v>1118.1414735463829</c:v>
                </c:pt>
              </c:numCache>
            </c:numRef>
          </c:yVal>
          <c:smooth val="1"/>
        </c:ser>
        <c:ser>
          <c:idx val="2"/>
          <c:order val="2"/>
          <c:tx>
            <c:v>25°C</c:v>
          </c:tx>
          <c:spPr>
            <a:ln w="19050" cap="rnd">
              <a:solidFill>
                <a:schemeClr val="accent3"/>
              </a:solidFill>
              <a:round/>
            </a:ln>
            <a:effectLst/>
          </c:spPr>
          <c:marker>
            <c:symbol val="none"/>
          </c:marker>
          <c:xVal>
            <c:numRef>
              <c:f>'Mastercurve bestimmen'!$D$404:$D$434</c:f>
              <c:numCache>
                <c:formatCode>0.00E+00</c:formatCode>
                <c:ptCount val="31"/>
                <c:pt idx="0">
                  <c:v>1.0628924967471992E-33</c:v>
                </c:pt>
                <c:pt idx="1">
                  <c:v>1.062892496747199E-32</c:v>
                </c:pt>
                <c:pt idx="2">
                  <c:v>1.0628924967471991E-31</c:v>
                </c:pt>
                <c:pt idx="3">
                  <c:v>1.062892496747199E-30</c:v>
                </c:pt>
                <c:pt idx="4">
                  <c:v>1.062892496747199E-29</c:v>
                </c:pt>
                <c:pt idx="5">
                  <c:v>1.062892496747199E-28</c:v>
                </c:pt>
                <c:pt idx="6">
                  <c:v>1.0628924967471992E-27</c:v>
                </c:pt>
                <c:pt idx="7">
                  <c:v>1.062892496747199E-26</c:v>
                </c:pt>
                <c:pt idx="8">
                  <c:v>1.0628924967471989E-25</c:v>
                </c:pt>
                <c:pt idx="9">
                  <c:v>1.062892496747199E-24</c:v>
                </c:pt>
                <c:pt idx="10">
                  <c:v>1.0628924967471991E-23</c:v>
                </c:pt>
                <c:pt idx="11">
                  <c:v>1.0628924967471991E-22</c:v>
                </c:pt>
                <c:pt idx="12">
                  <c:v>1.062892496747199E-21</c:v>
                </c:pt>
                <c:pt idx="13">
                  <c:v>1.062892496747199E-20</c:v>
                </c:pt>
                <c:pt idx="14">
                  <c:v>1.0628924967471991E-19</c:v>
                </c:pt>
                <c:pt idx="15">
                  <c:v>1.062892496747199E-18</c:v>
                </c:pt>
                <c:pt idx="16">
                  <c:v>1.062892496747199E-17</c:v>
                </c:pt>
                <c:pt idx="17">
                  <c:v>1.0628924967471991E-16</c:v>
                </c:pt>
                <c:pt idx="18">
                  <c:v>1.0628924967471991E-15</c:v>
                </c:pt>
                <c:pt idx="19">
                  <c:v>1.062892496747199E-14</c:v>
                </c:pt>
                <c:pt idx="20">
                  <c:v>1.062892496747199E-13</c:v>
                </c:pt>
                <c:pt idx="21">
                  <c:v>1.062892496747199E-12</c:v>
                </c:pt>
                <c:pt idx="22">
                  <c:v>1.0628924967471991E-11</c:v>
                </c:pt>
                <c:pt idx="23">
                  <c:v>1.0628924967471991E-10</c:v>
                </c:pt>
                <c:pt idx="24">
                  <c:v>1.0628924967471991E-9</c:v>
                </c:pt>
                <c:pt idx="25">
                  <c:v>1.0628924967471991E-8</c:v>
                </c:pt>
                <c:pt idx="26">
                  <c:v>1.0628924967471991E-7</c:v>
                </c:pt>
                <c:pt idx="27">
                  <c:v>1.062892496747199E-6</c:v>
                </c:pt>
                <c:pt idx="28">
                  <c:v>1.0628924967471991E-5</c:v>
                </c:pt>
                <c:pt idx="29">
                  <c:v>1.062892496747199E-4</c:v>
                </c:pt>
                <c:pt idx="30">
                  <c:v>1.0628924967471991E-3</c:v>
                </c:pt>
              </c:numCache>
            </c:numRef>
          </c:xVal>
          <c:yVal>
            <c:numRef>
              <c:f>'Mastercurve bestimmen'!$L$404:$L$434</c:f>
              <c:numCache>
                <c:formatCode>0.00E+00</c:formatCode>
                <c:ptCount val="31"/>
                <c:pt idx="0">
                  <c:v>6524.0904126194901</c:v>
                </c:pt>
                <c:pt idx="1">
                  <c:v>6524.1443595856636</c:v>
                </c:pt>
                <c:pt idx="2">
                  <c:v>6524.1111351538066</c:v>
                </c:pt>
                <c:pt idx="3">
                  <c:v>6524.1012603146964</c:v>
                </c:pt>
                <c:pt idx="4">
                  <c:v>6524.0981470711258</c:v>
                </c:pt>
                <c:pt idx="5">
                  <c:v>6524.0971012165301</c:v>
                </c:pt>
                <c:pt idx="6">
                  <c:v>6524.0967607058046</c:v>
                </c:pt>
                <c:pt idx="7">
                  <c:v>6524.0967120614177</c:v>
                </c:pt>
                <c:pt idx="8">
                  <c:v>6524.0963715507314</c:v>
                </c:pt>
                <c:pt idx="9">
                  <c:v>6524.0939393325853</c:v>
                </c:pt>
                <c:pt idx="10">
                  <c:v>6524.06939835293</c:v>
                </c:pt>
                <c:pt idx="11">
                  <c:v>6523.8242419120506</c:v>
                </c:pt>
                <c:pt idx="12">
                  <c:v>6521.3925487999713</c:v>
                </c:pt>
                <c:pt idx="13">
                  <c:v>6498.8766153292054</c:v>
                </c:pt>
                <c:pt idx="14">
                  <c:v>6376.7108933957061</c:v>
                </c:pt>
                <c:pt idx="15">
                  <c:v>6230.3639399807598</c:v>
                </c:pt>
                <c:pt idx="16">
                  <c:v>6066.3152248046426</c:v>
                </c:pt>
                <c:pt idx="17">
                  <c:v>5850.8000974148181</c:v>
                </c:pt>
                <c:pt idx="18">
                  <c:v>5524.1383776461034</c:v>
                </c:pt>
                <c:pt idx="19">
                  <c:v>5037.8540321693981</c:v>
                </c:pt>
                <c:pt idx="20">
                  <c:v>4531.1485912762591</c:v>
                </c:pt>
                <c:pt idx="21">
                  <c:v>4100.3073895013431</c:v>
                </c:pt>
                <c:pt idx="22">
                  <c:v>3736.9018653482362</c:v>
                </c:pt>
                <c:pt idx="23">
                  <c:v>3408.8002756648089</c:v>
                </c:pt>
                <c:pt idx="24">
                  <c:v>3078.2308446927527</c:v>
                </c:pt>
                <c:pt idx="25">
                  <c:v>2685.2498641877337</c:v>
                </c:pt>
                <c:pt idx="26">
                  <c:v>2228.0957655931211</c:v>
                </c:pt>
                <c:pt idx="27">
                  <c:v>1704.9584752004923</c:v>
                </c:pt>
                <c:pt idx="28">
                  <c:v>1135.4901421385146</c:v>
                </c:pt>
                <c:pt idx="29">
                  <c:v>680.51042901870051</c:v>
                </c:pt>
                <c:pt idx="30">
                  <c:v>389.33964903055204</c:v>
                </c:pt>
              </c:numCache>
            </c:numRef>
          </c:yVal>
          <c:smooth val="1"/>
        </c:ser>
        <c:ser>
          <c:idx val="3"/>
          <c:order val="3"/>
          <c:tx>
            <c:v>50°C</c:v>
          </c:tx>
          <c:spPr>
            <a:ln w="19050" cap="rnd">
              <a:solidFill>
                <a:schemeClr val="accent4"/>
              </a:solidFill>
              <a:round/>
            </a:ln>
            <a:effectLst/>
          </c:spPr>
          <c:marker>
            <c:symbol val="none"/>
          </c:marker>
          <c:xVal>
            <c:numRef>
              <c:f>'Mastercurve bestimmen'!$E$404:$E$434</c:f>
              <c:numCache>
                <c:formatCode>0.00E+00</c:formatCode>
                <c:ptCount val="31"/>
                <c:pt idx="0">
                  <c:v>7.4032079981345783E-31</c:v>
                </c:pt>
                <c:pt idx="1">
                  <c:v>7.4032079981345776E-30</c:v>
                </c:pt>
                <c:pt idx="2">
                  <c:v>7.4032079981345781E-29</c:v>
                </c:pt>
                <c:pt idx="3">
                  <c:v>7.4032079981345781E-28</c:v>
                </c:pt>
                <c:pt idx="4">
                  <c:v>7.4032079981345781E-27</c:v>
                </c:pt>
                <c:pt idx="5">
                  <c:v>7.4032079981345787E-26</c:v>
                </c:pt>
                <c:pt idx="6">
                  <c:v>7.4032079981345783E-25</c:v>
                </c:pt>
                <c:pt idx="7">
                  <c:v>7.4032079981345786E-24</c:v>
                </c:pt>
                <c:pt idx="8">
                  <c:v>7.403207998134578E-23</c:v>
                </c:pt>
                <c:pt idx="9">
                  <c:v>7.4032079981345776E-22</c:v>
                </c:pt>
                <c:pt idx="10">
                  <c:v>7.4032079981345793E-21</c:v>
                </c:pt>
                <c:pt idx="11">
                  <c:v>7.4032079981345784E-20</c:v>
                </c:pt>
                <c:pt idx="12">
                  <c:v>7.4032079981345781E-19</c:v>
                </c:pt>
                <c:pt idx="13">
                  <c:v>7.4032079981345781E-18</c:v>
                </c:pt>
                <c:pt idx="14">
                  <c:v>7.4032079981345781E-17</c:v>
                </c:pt>
                <c:pt idx="15">
                  <c:v>7.4032079981345779E-16</c:v>
                </c:pt>
                <c:pt idx="16">
                  <c:v>7.4032079981345777E-15</c:v>
                </c:pt>
                <c:pt idx="17">
                  <c:v>7.403207998134578E-14</c:v>
                </c:pt>
                <c:pt idx="18">
                  <c:v>7.4032079981345782E-13</c:v>
                </c:pt>
                <c:pt idx="19">
                  <c:v>7.4032079981345772E-12</c:v>
                </c:pt>
                <c:pt idx="20">
                  <c:v>7.4032079981345785E-11</c:v>
                </c:pt>
                <c:pt idx="21">
                  <c:v>7.4032079981345777E-10</c:v>
                </c:pt>
                <c:pt idx="22">
                  <c:v>7.4032079981345782E-9</c:v>
                </c:pt>
                <c:pt idx="23">
                  <c:v>7.4032079981345777E-8</c:v>
                </c:pt>
                <c:pt idx="24">
                  <c:v>7.4032079981345782E-7</c:v>
                </c:pt>
                <c:pt idx="25">
                  <c:v>7.4032079981345776E-6</c:v>
                </c:pt>
                <c:pt idx="26">
                  <c:v>7.4032079981345777E-5</c:v>
                </c:pt>
                <c:pt idx="27">
                  <c:v>7.403207998134578E-4</c:v>
                </c:pt>
                <c:pt idx="28">
                  <c:v>7.4032079981345778E-3</c:v>
                </c:pt>
                <c:pt idx="29">
                  <c:v>7.4032079981345783E-2</c:v>
                </c:pt>
                <c:pt idx="30">
                  <c:v>0.74032079981345777</c:v>
                </c:pt>
              </c:numCache>
            </c:numRef>
          </c:xVal>
          <c:yVal>
            <c:numRef>
              <c:f>'Mastercurve bestimmen'!$M$404:$M$434</c:f>
              <c:numCache>
                <c:formatCode>0.00E+00</c:formatCode>
                <c:ptCount val="31"/>
                <c:pt idx="0">
                  <c:v>6503.9509699618966</c:v>
                </c:pt>
                <c:pt idx="1">
                  <c:v>6504.0043184804708</c:v>
                </c:pt>
                <c:pt idx="2">
                  <c:v>6503.9713230315656</c:v>
                </c:pt>
                <c:pt idx="3">
                  <c:v>6503.9615090652051</c:v>
                </c:pt>
                <c:pt idx="4">
                  <c:v>6503.9584150129849</c:v>
                </c:pt>
                <c:pt idx="5">
                  <c:v>6503.9573030886877</c:v>
                </c:pt>
                <c:pt idx="6">
                  <c:v>6503.9546441408229</c:v>
                </c:pt>
                <c:pt idx="7">
                  <c:v>6503.932647473689</c:v>
                </c:pt>
                <c:pt idx="8">
                  <c:v>6503.7133657579243</c:v>
                </c:pt>
                <c:pt idx="9">
                  <c:v>6501.5374241274303</c:v>
                </c:pt>
                <c:pt idx="10">
                  <c:v>6481.233154233405</c:v>
                </c:pt>
                <c:pt idx="11">
                  <c:v>6364.7007036045688</c:v>
                </c:pt>
                <c:pt idx="12">
                  <c:v>6219.55344224686</c:v>
                </c:pt>
                <c:pt idx="13">
                  <c:v>6059.9785511387736</c:v>
                </c:pt>
                <c:pt idx="14">
                  <c:v>5870.6317266704709</c:v>
                </c:pt>
                <c:pt idx="15">
                  <c:v>5669.1325406322439</c:v>
                </c:pt>
                <c:pt idx="16">
                  <c:v>5423.4324257349326</c:v>
                </c:pt>
                <c:pt idx="17">
                  <c:v>5064.9009314494624</c:v>
                </c:pt>
                <c:pt idx="18">
                  <c:v>4580.1850776889687</c:v>
                </c:pt>
                <c:pt idx="19">
                  <c:v>4085.8663253030418</c:v>
                </c:pt>
                <c:pt idx="20">
                  <c:v>3641.7022773125063</c:v>
                </c:pt>
                <c:pt idx="21">
                  <c:v>3231.6591203117327</c:v>
                </c:pt>
                <c:pt idx="22">
                  <c:v>2785.7203085552951</c:v>
                </c:pt>
                <c:pt idx="23">
                  <c:v>2295.1533050928924</c:v>
                </c:pt>
                <c:pt idx="24">
                  <c:v>1754.5150163075152</c:v>
                </c:pt>
                <c:pt idx="25">
                  <c:v>1171.8757952014325</c:v>
                </c:pt>
                <c:pt idx="26">
                  <c:v>704.46209389908893</c:v>
                </c:pt>
                <c:pt idx="27">
                  <c:v>403.25761176970258</c:v>
                </c:pt>
                <c:pt idx="28">
                  <c:v>227.19076746573165</c:v>
                </c:pt>
                <c:pt idx="29">
                  <c:v>157.01371189082064</c:v>
                </c:pt>
                <c:pt idx="30">
                  <c:v>136.97082983111966</c:v>
                </c:pt>
              </c:numCache>
            </c:numRef>
          </c:yVal>
          <c:smooth val="1"/>
        </c:ser>
        <c:ser>
          <c:idx val="4"/>
          <c:order val="4"/>
          <c:tx>
            <c:v>80°C</c:v>
          </c:tx>
          <c:spPr>
            <a:ln w="19050" cap="rnd">
              <a:solidFill>
                <a:schemeClr val="accent5"/>
              </a:solidFill>
              <a:round/>
            </a:ln>
            <a:effectLst/>
          </c:spPr>
          <c:marker>
            <c:symbol val="none"/>
          </c:marker>
          <c:xVal>
            <c:numRef>
              <c:f>'Mastercurve bestimmen'!$F$404:$F$434</c:f>
              <c:numCache>
                <c:formatCode>0.00E+00</c:formatCode>
                <c:ptCount val="31"/>
                <c:pt idx="0">
                  <c:v>6.0624307747786309E-26</c:v>
                </c:pt>
                <c:pt idx="1">
                  <c:v>6.0624307747786307E-25</c:v>
                </c:pt>
                <c:pt idx="2">
                  <c:v>6.0624307747786307E-24</c:v>
                </c:pt>
                <c:pt idx="3">
                  <c:v>6.0624307747786305E-23</c:v>
                </c:pt>
                <c:pt idx="4">
                  <c:v>6.0624307747786305E-22</c:v>
                </c:pt>
                <c:pt idx="5">
                  <c:v>6.0624307747786307E-21</c:v>
                </c:pt>
                <c:pt idx="6">
                  <c:v>6.0624307747786304E-20</c:v>
                </c:pt>
                <c:pt idx="7">
                  <c:v>6.0624307747786306E-19</c:v>
                </c:pt>
                <c:pt idx="8">
                  <c:v>6.0624307747786304E-18</c:v>
                </c:pt>
                <c:pt idx="9">
                  <c:v>6.0624307747786301E-17</c:v>
                </c:pt>
                <c:pt idx="10">
                  <c:v>6.0624307747786309E-16</c:v>
                </c:pt>
                <c:pt idx="11">
                  <c:v>6.0624307747786307E-15</c:v>
                </c:pt>
                <c:pt idx="12">
                  <c:v>6.0624307747786305E-14</c:v>
                </c:pt>
                <c:pt idx="13">
                  <c:v>6.0624307747786305E-13</c:v>
                </c:pt>
                <c:pt idx="14">
                  <c:v>6.0624307747786311E-12</c:v>
                </c:pt>
                <c:pt idx="15">
                  <c:v>6.062430774778631E-11</c:v>
                </c:pt>
                <c:pt idx="16">
                  <c:v>6.0624307747786307E-10</c:v>
                </c:pt>
                <c:pt idx="17">
                  <c:v>6.0624307747786303E-9</c:v>
                </c:pt>
                <c:pt idx="18">
                  <c:v>6.0624307747786311E-8</c:v>
                </c:pt>
                <c:pt idx="19">
                  <c:v>6.0624307747786306E-7</c:v>
                </c:pt>
                <c:pt idx="20">
                  <c:v>6.0624307747786306E-6</c:v>
                </c:pt>
                <c:pt idx="21">
                  <c:v>6.0624307747786308E-5</c:v>
                </c:pt>
                <c:pt idx="22">
                  <c:v>6.0624307747786301E-4</c:v>
                </c:pt>
                <c:pt idx="23">
                  <c:v>6.0624307747786307E-3</c:v>
                </c:pt>
                <c:pt idx="24">
                  <c:v>6.0624307747786307E-2</c:v>
                </c:pt>
                <c:pt idx="25">
                  <c:v>0.6062430774778631</c:v>
                </c:pt>
                <c:pt idx="26">
                  <c:v>6.0624307747786306</c:v>
                </c:pt>
                <c:pt idx="27">
                  <c:v>60.624307747786304</c:v>
                </c:pt>
                <c:pt idx="28">
                  <c:v>606.24307747786304</c:v>
                </c:pt>
                <c:pt idx="29">
                  <c:v>6062.4307747786306</c:v>
                </c:pt>
                <c:pt idx="30">
                  <c:v>60624.307747786304</c:v>
                </c:pt>
              </c:numCache>
            </c:numRef>
          </c:xVal>
          <c:yVal>
            <c:numRef>
              <c:f>'Mastercurve bestimmen'!$N$404:$N$434</c:f>
              <c:numCache>
                <c:formatCode>0.00E+00</c:formatCode>
                <c:ptCount val="31"/>
                <c:pt idx="0">
                  <c:v>6479.0859474371819</c:v>
                </c:pt>
                <c:pt idx="1">
                  <c:v>6479.1324839978006</c:v>
                </c:pt>
                <c:pt idx="2">
                  <c:v>6479.041978197979</c:v>
                </c:pt>
                <c:pt idx="3">
                  <c:v>6478.4539559822069</c:v>
                </c:pt>
                <c:pt idx="4">
                  <c:v>6472.7726535549082</c:v>
                </c:pt>
                <c:pt idx="5">
                  <c:v>6425.3224026678754</c:v>
                </c:pt>
                <c:pt idx="6">
                  <c:v>6280.1372572444334</c:v>
                </c:pt>
                <c:pt idx="7">
                  <c:v>6130.7451181848783</c:v>
                </c:pt>
                <c:pt idx="8">
                  <c:v>5959.459898848826</c:v>
                </c:pt>
                <c:pt idx="9">
                  <c:v>5758.6320512376351</c:v>
                </c:pt>
                <c:pt idx="10">
                  <c:v>5553.7107715147085</c:v>
                </c:pt>
                <c:pt idx="11">
                  <c:v>5296.2160470219478</c:v>
                </c:pt>
                <c:pt idx="12">
                  <c:v>5014.3504980568096</c:v>
                </c:pt>
                <c:pt idx="13">
                  <c:v>4737.7084148388376</c:v>
                </c:pt>
                <c:pt idx="14">
                  <c:v>4438.626264954587</c:v>
                </c:pt>
                <c:pt idx="15">
                  <c:v>4115.3629839514006</c:v>
                </c:pt>
                <c:pt idx="16">
                  <c:v>3662.5886079597385</c:v>
                </c:pt>
                <c:pt idx="17">
                  <c:v>3039.7716426269371</c:v>
                </c:pt>
                <c:pt idx="18">
                  <c:v>2356.5178874385392</c:v>
                </c:pt>
                <c:pt idx="19">
                  <c:v>1664.6092730189016</c:v>
                </c:pt>
                <c:pt idx="20">
                  <c:v>1039.9214556238178</c:v>
                </c:pt>
                <c:pt idx="21">
                  <c:v>595.89522173414423</c:v>
                </c:pt>
                <c:pt idx="22">
                  <c:v>331.71701217899948</c:v>
                </c:pt>
                <c:pt idx="23">
                  <c:v>192.72704730170403</c:v>
                </c:pt>
                <c:pt idx="24">
                  <c:v>148.89299884614732</c:v>
                </c:pt>
                <c:pt idx="25">
                  <c:v>134.12130031566326</c:v>
                </c:pt>
                <c:pt idx="26">
                  <c:v>124.90206072555479</c:v>
                </c:pt>
                <c:pt idx="27">
                  <c:v>124.64007063602084</c:v>
                </c:pt>
                <c:pt idx="28">
                  <c:v>123.89500698166064</c:v>
                </c:pt>
                <c:pt idx="29">
                  <c:v>123.88320178471095</c:v>
                </c:pt>
                <c:pt idx="30">
                  <c:v>123.47472292148701</c:v>
                </c:pt>
              </c:numCache>
            </c:numRef>
          </c:yVal>
          <c:smooth val="1"/>
        </c:ser>
        <c:ser>
          <c:idx val="5"/>
          <c:order val="5"/>
          <c:tx>
            <c:v>125°C</c:v>
          </c:tx>
          <c:spPr>
            <a:ln w="19050" cap="rnd">
              <a:solidFill>
                <a:schemeClr val="accent6"/>
              </a:solidFill>
              <a:round/>
            </a:ln>
            <a:effectLst/>
          </c:spPr>
          <c:marker>
            <c:symbol val="none"/>
          </c:marker>
          <c:xVal>
            <c:numRef>
              <c:f>'Mastercurve bestimmen'!$G$404:$G$434</c:f>
              <c:numCache>
                <c:formatCode>0.00E+00</c:formatCode>
                <c:ptCount val="31"/>
                <c:pt idx="0">
                  <c:v>1.5363699097932881E-17</c:v>
                </c:pt>
                <c:pt idx="1">
                  <c:v>1.536369909793288E-16</c:v>
                </c:pt>
                <c:pt idx="2">
                  <c:v>1.536369909793288E-15</c:v>
                </c:pt>
                <c:pt idx="3">
                  <c:v>1.5363699097932878E-14</c:v>
                </c:pt>
                <c:pt idx="4">
                  <c:v>1.5363699097932877E-13</c:v>
                </c:pt>
                <c:pt idx="5">
                  <c:v>1.5363699097932879E-12</c:v>
                </c:pt>
                <c:pt idx="6">
                  <c:v>1.5363699097932881E-11</c:v>
                </c:pt>
                <c:pt idx="7">
                  <c:v>1.5363699097932878E-10</c:v>
                </c:pt>
                <c:pt idx="8">
                  <c:v>1.5363699097932879E-9</c:v>
                </c:pt>
                <c:pt idx="9">
                  <c:v>1.5363699097932878E-8</c:v>
                </c:pt>
                <c:pt idx="10">
                  <c:v>1.536369909793288E-7</c:v>
                </c:pt>
                <c:pt idx="11">
                  <c:v>1.5363699097932879E-6</c:v>
                </c:pt>
                <c:pt idx="12">
                  <c:v>1.5363699097932879E-5</c:v>
                </c:pt>
                <c:pt idx="13">
                  <c:v>1.5363699097932881E-4</c:v>
                </c:pt>
                <c:pt idx="14">
                  <c:v>1.5363699097932879E-3</c:v>
                </c:pt>
                <c:pt idx="15">
                  <c:v>1.5363699097932879E-2</c:v>
                </c:pt>
                <c:pt idx="16">
                  <c:v>0.15363699097932879</c:v>
                </c:pt>
                <c:pt idx="17">
                  <c:v>1.5363699097932879</c:v>
                </c:pt>
                <c:pt idx="18">
                  <c:v>15.36369909793288</c:v>
                </c:pt>
                <c:pt idx="19">
                  <c:v>153.6369909793288</c:v>
                </c:pt>
                <c:pt idx="20">
                  <c:v>1536.3699097932879</c:v>
                </c:pt>
                <c:pt idx="21">
                  <c:v>15363.699097932878</c:v>
                </c:pt>
                <c:pt idx="22">
                  <c:v>153636.99097932878</c:v>
                </c:pt>
                <c:pt idx="23">
                  <c:v>1536369.909793288</c:v>
                </c:pt>
                <c:pt idx="24">
                  <c:v>15363699.097932879</c:v>
                </c:pt>
                <c:pt idx="25">
                  <c:v>153636990.97932878</c:v>
                </c:pt>
                <c:pt idx="26">
                  <c:v>1536369909.793288</c:v>
                </c:pt>
                <c:pt idx="27">
                  <c:v>15363699097.932878</c:v>
                </c:pt>
                <c:pt idx="28">
                  <c:v>153636990979.3288</c:v>
                </c:pt>
                <c:pt idx="29">
                  <c:v>1536369909793.2878</c:v>
                </c:pt>
                <c:pt idx="30">
                  <c:v>15363699097932.879</c:v>
                </c:pt>
              </c:numCache>
            </c:numRef>
          </c:xVal>
          <c:yVal>
            <c:numRef>
              <c:f>'Mastercurve bestimmen'!$O$404:$O$434</c:f>
              <c:numCache>
                <c:formatCode>0.00E+00</c:formatCode>
                <c:ptCount val="31"/>
                <c:pt idx="0">
                  <c:v>5863.6829549380891</c:v>
                </c:pt>
                <c:pt idx="1">
                  <c:v>5609.1927579282792</c:v>
                </c:pt>
                <c:pt idx="2">
                  <c:v>5370.7345311781783</c:v>
                </c:pt>
                <c:pt idx="3">
                  <c:v>5097.9534912421213</c:v>
                </c:pt>
                <c:pt idx="4">
                  <c:v>4821.046341164677</c:v>
                </c:pt>
                <c:pt idx="5">
                  <c:v>4535.3452020984814</c:v>
                </c:pt>
                <c:pt idx="6">
                  <c:v>4228.4929725950406</c:v>
                </c:pt>
                <c:pt idx="7">
                  <c:v>3871.0057883923755</c:v>
                </c:pt>
                <c:pt idx="8">
                  <c:v>3401.7561264704505</c:v>
                </c:pt>
                <c:pt idx="9">
                  <c:v>2827.0529060658037</c:v>
                </c:pt>
                <c:pt idx="10">
                  <c:v>2150.7951483518323</c:v>
                </c:pt>
                <c:pt idx="11">
                  <c:v>1410.5199057082755</c:v>
                </c:pt>
                <c:pt idx="12">
                  <c:v>826.67973456797017</c:v>
                </c:pt>
                <c:pt idx="13">
                  <c:v>463.10914863390207</c:v>
                </c:pt>
                <c:pt idx="14">
                  <c:v>257.27368574751409</c:v>
                </c:pt>
                <c:pt idx="15">
                  <c:v>179.98076982609024</c:v>
                </c:pt>
                <c:pt idx="16">
                  <c:v>157.55849658546879</c:v>
                </c:pt>
                <c:pt idx="17">
                  <c:v>143.13037816485394</c:v>
                </c:pt>
                <c:pt idx="18">
                  <c:v>139.03929298884987</c:v>
                </c:pt>
                <c:pt idx="19">
                  <c:v>135.60631839895524</c:v>
                </c:pt>
                <c:pt idx="20">
                  <c:v>132.22937471479068</c:v>
                </c:pt>
                <c:pt idx="21">
                  <c:v>129.58780540541244</c:v>
                </c:pt>
                <c:pt idx="22">
                  <c:v>127.7135675720335</c:v>
                </c:pt>
                <c:pt idx="23">
                  <c:v>126.4367312836393</c:v>
                </c:pt>
                <c:pt idx="24">
                  <c:v>125.52960401951817</c:v>
                </c:pt>
                <c:pt idx="25">
                  <c:v>124.83927834622055</c:v>
                </c:pt>
                <c:pt idx="26">
                  <c:v>124.70417941781746</c:v>
                </c:pt>
                <c:pt idx="27">
                  <c:v>123.9260383626436</c:v>
                </c:pt>
                <c:pt idx="28">
                  <c:v>123.91358498832378</c:v>
                </c:pt>
                <c:pt idx="29">
                  <c:v>123.65466987195585</c:v>
                </c:pt>
                <c:pt idx="30">
                  <c:v>123.64094316844046</c:v>
                </c:pt>
              </c:numCache>
            </c:numRef>
          </c:yVal>
          <c:smooth val="1"/>
        </c:ser>
        <c:ser>
          <c:idx val="6"/>
          <c:order val="6"/>
          <c:tx>
            <c:v>160°C</c:v>
          </c:tx>
          <c:spPr>
            <a:ln w="19050" cap="rnd">
              <a:solidFill>
                <a:schemeClr val="accent1">
                  <a:lumMod val="60000"/>
                </a:schemeClr>
              </a:solidFill>
              <a:round/>
            </a:ln>
            <a:effectLst/>
          </c:spPr>
          <c:marker>
            <c:symbol val="none"/>
          </c:marker>
          <c:xVal>
            <c:numRef>
              <c:f>'Mastercurve bestimmen'!$H$404:$H$434</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'Mastercurve bestimmen'!$P$404:$P$434</c:f>
              <c:numCache>
                <c:formatCode>0.00E+00</c:formatCode>
                <c:ptCount val="31"/>
                <c:pt idx="0">
                  <c:v>5469.0375175567433</c:v>
                </c:pt>
                <c:pt idx="1">
                  <c:v>5144.4254375399241</c:v>
                </c:pt>
                <c:pt idx="2">
                  <c:v>4859.4796757955091</c:v>
                </c:pt>
                <c:pt idx="3">
                  <c:v>4579.0872874253573</c:v>
                </c:pt>
                <c:pt idx="4">
                  <c:v>4274.6287252900811</c:v>
                </c:pt>
                <c:pt idx="5">
                  <c:v>3938.1560081824523</c:v>
                </c:pt>
                <c:pt idx="6">
                  <c:v>3491.5925245283374</c:v>
                </c:pt>
                <c:pt idx="7">
                  <c:v>2939.5473684961994</c:v>
                </c:pt>
                <c:pt idx="8">
                  <c:v>2290.3210430692648</c:v>
                </c:pt>
                <c:pt idx="9">
                  <c:v>1556.8723374202477</c:v>
                </c:pt>
                <c:pt idx="10">
                  <c:v>939.61789874376836</c:v>
                </c:pt>
                <c:pt idx="11">
                  <c:v>532.22470015904992</c:v>
                </c:pt>
                <c:pt idx="12">
                  <c:v>294.61415856723238</c:v>
                </c:pt>
                <c:pt idx="13">
                  <c:v>191.85627557437303</c:v>
                </c:pt>
                <c:pt idx="14">
                  <c:v>162.27843823453597</c:v>
                </c:pt>
                <c:pt idx="15">
                  <c:v>147.30961753431595</c:v>
                </c:pt>
                <c:pt idx="16">
                  <c:v>142.06591803394016</c:v>
                </c:pt>
                <c:pt idx="17">
                  <c:v>140.2404472955443</c:v>
                </c:pt>
                <c:pt idx="18">
                  <c:v>137.13168564571805</c:v>
                </c:pt>
                <c:pt idx="19">
                  <c:v>133.5914564553571</c:v>
                </c:pt>
                <c:pt idx="20">
                  <c:v>130.60597118111332</c:v>
                </c:pt>
                <c:pt idx="21">
                  <c:v>128.42317853149575</c:v>
                </c:pt>
                <c:pt idx="22">
                  <c:v>126.92571513683149</c:v>
                </c:pt>
                <c:pt idx="23">
                  <c:v>125.87891264299097</c:v>
                </c:pt>
                <c:pt idx="24">
                  <c:v>125.11103067782525</c:v>
                </c:pt>
                <c:pt idx="25">
                  <c:v>124.96985459314666</c:v>
                </c:pt>
                <c:pt idx="26">
                  <c:v>124.77108605330615</c:v>
                </c:pt>
                <c:pt idx="27">
                  <c:v>123.93614365125383</c:v>
                </c:pt>
                <c:pt idx="28">
                  <c:v>123.92285545904397</c:v>
                </c:pt>
                <c:pt idx="29">
                  <c:v>123.48008539289999</c:v>
                </c:pt>
                <c:pt idx="30">
                  <c:v>123.46865182434244</c:v>
                </c:pt>
              </c:numCache>
            </c:numRef>
          </c:yVal>
          <c:smooth val="1"/>
        </c:ser>
        <c:dLbls>
          <c:showLegendKey val="0"/>
          <c:showVal val="0"/>
          <c:showCatName val="0"/>
          <c:showSerName val="0"/>
          <c:showPercent val="0"/>
          <c:showBubbleSize val="0"/>
        </c:dLbls>
        <c:axId val="547604128"/>
        <c:axId val="547603344"/>
      </c:scatterChart>
      <c:valAx>
        <c:axId val="547604128"/>
        <c:scaling>
          <c:logBase val="10"/>
          <c:orientation val="minMax"/>
          <c:max val="1000000000000000"/>
          <c:min val="1.0000000000000009E-15"/>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de-DE"/>
                  <a:t>t [s]</a:t>
                </a:r>
              </a:p>
            </c:rich>
          </c:tx>
          <c:layout>
            <c:manualLayout>
              <c:xMode val="edge"/>
              <c:yMode val="edge"/>
              <c:x val="0.47598832011663517"/>
              <c:y val="0.92960629921259841"/>
            </c:manualLayout>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0.E+00" sourceLinked="0"/>
        <c:majorTickMark val="none"/>
        <c:minorTickMark val="none"/>
        <c:tickLblPos val="nextTo"/>
        <c:spPr>
          <a:noFill/>
          <a:ln w="9525" cap="flat" cmpd="sng" algn="ctr">
            <a:solidFill>
              <a:schemeClr val="tx1">
                <a:lumMod val="25000"/>
                <a:lumOff val="75000"/>
              </a:schemeClr>
            </a:solidFill>
            <a:round/>
          </a:ln>
          <a:effectLst/>
        </c:spPr>
        <c:txPr>
          <a:bodyPr rot="-540000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547603344"/>
        <c:crosses val="autoZero"/>
        <c:crossBetween val="midCat"/>
      </c:valAx>
      <c:valAx>
        <c:axId val="547603344"/>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de-DE"/>
                  <a:t>G(t,T)</a:t>
                </a:r>
                <a:r>
                  <a:rPr lang="de-DE" baseline="0"/>
                  <a:t> [MPa]</a:t>
                </a:r>
              </a:p>
            </c:rich>
          </c:tx>
          <c:layout>
            <c:manualLayout>
              <c:xMode val="edge"/>
              <c:yMode val="edge"/>
              <c:x val="1.0825440706248341E-2"/>
              <c:y val="0.35791756477367703"/>
            </c:manualLayout>
          </c:layout>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0.E+00"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547604128"/>
        <c:crossesAt val="1.0000000000000012E-22"/>
        <c:crossBetween val="midCat"/>
      </c:valAx>
      <c:spPr>
        <a:noFill/>
        <a:ln>
          <a:noFill/>
        </a:ln>
        <a:effectLst/>
      </c:spPr>
    </c:plotArea>
    <c:legend>
      <c:legendPos val="r"/>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de-DE"/>
    </a:p>
  </c:txPr>
  <c:printSettings>
    <c:headerFooter/>
    <c:pageMargins b="0.78740157499999996" l="0.7" r="0.7" t="0.78740157499999996"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smoothMarker"/>
        <c:varyColors val="0"/>
        <c:ser>
          <c:idx val="0"/>
          <c:order val="0"/>
          <c:spPr>
            <a:ln w="19050" cap="rnd">
              <a:solidFill>
                <a:schemeClr val="accent1"/>
              </a:solidFill>
              <a:round/>
            </a:ln>
            <a:effectLst/>
          </c:spPr>
          <c:marker>
            <c:symbol val="none"/>
          </c:marker>
          <c:xVal>
            <c:numRef>
              <c:f>'Shiftfunktion bestimmen'!$A$15:$A$215</c:f>
              <c:numCache>
                <c:formatCode>General</c:formatCode>
                <c:ptCount val="201"/>
                <c:pt idx="0">
                  <c:v>-40</c:v>
                </c:pt>
                <c:pt idx="1">
                  <c:v>-39</c:v>
                </c:pt>
                <c:pt idx="2">
                  <c:v>-38</c:v>
                </c:pt>
                <c:pt idx="3">
                  <c:v>-37</c:v>
                </c:pt>
                <c:pt idx="4">
                  <c:v>-36</c:v>
                </c:pt>
                <c:pt idx="5">
                  <c:v>-35</c:v>
                </c:pt>
                <c:pt idx="6">
                  <c:v>-34</c:v>
                </c:pt>
                <c:pt idx="7">
                  <c:v>-33</c:v>
                </c:pt>
                <c:pt idx="8">
                  <c:v>-32</c:v>
                </c:pt>
                <c:pt idx="9">
                  <c:v>-31</c:v>
                </c:pt>
                <c:pt idx="10">
                  <c:v>-30</c:v>
                </c:pt>
                <c:pt idx="11">
                  <c:v>-29</c:v>
                </c:pt>
                <c:pt idx="12">
                  <c:v>-28</c:v>
                </c:pt>
                <c:pt idx="13">
                  <c:v>-27</c:v>
                </c:pt>
                <c:pt idx="14">
                  <c:v>-26</c:v>
                </c:pt>
                <c:pt idx="15">
                  <c:v>-25</c:v>
                </c:pt>
                <c:pt idx="16">
                  <c:v>-24</c:v>
                </c:pt>
                <c:pt idx="17">
                  <c:v>-23</c:v>
                </c:pt>
                <c:pt idx="18">
                  <c:v>-22</c:v>
                </c:pt>
                <c:pt idx="19">
                  <c:v>-21</c:v>
                </c:pt>
                <c:pt idx="20">
                  <c:v>-20</c:v>
                </c:pt>
                <c:pt idx="21">
                  <c:v>-19</c:v>
                </c:pt>
                <c:pt idx="22">
                  <c:v>-18</c:v>
                </c:pt>
                <c:pt idx="23">
                  <c:v>-17</c:v>
                </c:pt>
                <c:pt idx="24">
                  <c:v>-16</c:v>
                </c:pt>
                <c:pt idx="25">
                  <c:v>-15</c:v>
                </c:pt>
                <c:pt idx="26">
                  <c:v>-14</c:v>
                </c:pt>
                <c:pt idx="27">
                  <c:v>-13</c:v>
                </c:pt>
                <c:pt idx="28">
                  <c:v>-12</c:v>
                </c:pt>
                <c:pt idx="29">
                  <c:v>-11</c:v>
                </c:pt>
                <c:pt idx="30">
                  <c:v>-10</c:v>
                </c:pt>
                <c:pt idx="31">
                  <c:v>-9</c:v>
                </c:pt>
                <c:pt idx="32">
                  <c:v>-8</c:v>
                </c:pt>
                <c:pt idx="33">
                  <c:v>-7</c:v>
                </c:pt>
                <c:pt idx="34">
                  <c:v>-6</c:v>
                </c:pt>
                <c:pt idx="35">
                  <c:v>-5</c:v>
                </c:pt>
                <c:pt idx="36">
                  <c:v>-4</c:v>
                </c:pt>
                <c:pt idx="37">
                  <c:v>-3</c:v>
                </c:pt>
                <c:pt idx="38">
                  <c:v>-2</c:v>
                </c:pt>
                <c:pt idx="39">
                  <c:v>-1</c:v>
                </c:pt>
                <c:pt idx="40">
                  <c:v>0</c:v>
                </c:pt>
                <c:pt idx="41">
                  <c:v>1</c:v>
                </c:pt>
                <c:pt idx="42">
                  <c:v>2</c:v>
                </c:pt>
                <c:pt idx="43">
                  <c:v>3</c:v>
                </c:pt>
                <c:pt idx="44">
                  <c:v>4</c:v>
                </c:pt>
                <c:pt idx="45">
                  <c:v>5</c:v>
                </c:pt>
                <c:pt idx="46">
                  <c:v>6</c:v>
                </c:pt>
                <c:pt idx="47">
                  <c:v>7</c:v>
                </c:pt>
                <c:pt idx="48">
                  <c:v>8</c:v>
                </c:pt>
                <c:pt idx="49">
                  <c:v>9</c:v>
                </c:pt>
                <c:pt idx="50">
                  <c:v>10</c:v>
                </c:pt>
                <c:pt idx="51">
                  <c:v>11</c:v>
                </c:pt>
                <c:pt idx="52">
                  <c:v>12</c:v>
                </c:pt>
                <c:pt idx="53">
                  <c:v>13</c:v>
                </c:pt>
                <c:pt idx="54">
                  <c:v>14</c:v>
                </c:pt>
                <c:pt idx="55">
                  <c:v>15</c:v>
                </c:pt>
                <c:pt idx="56">
                  <c:v>16</c:v>
                </c:pt>
                <c:pt idx="57">
                  <c:v>17</c:v>
                </c:pt>
                <c:pt idx="58">
                  <c:v>18</c:v>
                </c:pt>
                <c:pt idx="59">
                  <c:v>19</c:v>
                </c:pt>
                <c:pt idx="60">
                  <c:v>20</c:v>
                </c:pt>
                <c:pt idx="61">
                  <c:v>21</c:v>
                </c:pt>
                <c:pt idx="62">
                  <c:v>22</c:v>
                </c:pt>
                <c:pt idx="63">
                  <c:v>23</c:v>
                </c:pt>
                <c:pt idx="64">
                  <c:v>24</c:v>
                </c:pt>
                <c:pt idx="65">
                  <c:v>25</c:v>
                </c:pt>
                <c:pt idx="66">
                  <c:v>26</c:v>
                </c:pt>
                <c:pt idx="67">
                  <c:v>27</c:v>
                </c:pt>
                <c:pt idx="68">
                  <c:v>28</c:v>
                </c:pt>
                <c:pt idx="69">
                  <c:v>29</c:v>
                </c:pt>
                <c:pt idx="70">
                  <c:v>30</c:v>
                </c:pt>
                <c:pt idx="71">
                  <c:v>31</c:v>
                </c:pt>
                <c:pt idx="72">
                  <c:v>32</c:v>
                </c:pt>
                <c:pt idx="73">
                  <c:v>33</c:v>
                </c:pt>
                <c:pt idx="74">
                  <c:v>34</c:v>
                </c:pt>
                <c:pt idx="75">
                  <c:v>35</c:v>
                </c:pt>
                <c:pt idx="76">
                  <c:v>36</c:v>
                </c:pt>
                <c:pt idx="77">
                  <c:v>37</c:v>
                </c:pt>
                <c:pt idx="78">
                  <c:v>38</c:v>
                </c:pt>
                <c:pt idx="79">
                  <c:v>39</c:v>
                </c:pt>
                <c:pt idx="80">
                  <c:v>40</c:v>
                </c:pt>
                <c:pt idx="81">
                  <c:v>41</c:v>
                </c:pt>
                <c:pt idx="82">
                  <c:v>42</c:v>
                </c:pt>
                <c:pt idx="83">
                  <c:v>43</c:v>
                </c:pt>
                <c:pt idx="84">
                  <c:v>44</c:v>
                </c:pt>
                <c:pt idx="85">
                  <c:v>45</c:v>
                </c:pt>
                <c:pt idx="86">
                  <c:v>46</c:v>
                </c:pt>
                <c:pt idx="87">
                  <c:v>47</c:v>
                </c:pt>
                <c:pt idx="88">
                  <c:v>48</c:v>
                </c:pt>
                <c:pt idx="89">
                  <c:v>49</c:v>
                </c:pt>
                <c:pt idx="90">
                  <c:v>50</c:v>
                </c:pt>
                <c:pt idx="91">
                  <c:v>51</c:v>
                </c:pt>
                <c:pt idx="92">
                  <c:v>52</c:v>
                </c:pt>
                <c:pt idx="93">
                  <c:v>53</c:v>
                </c:pt>
                <c:pt idx="94">
                  <c:v>54</c:v>
                </c:pt>
                <c:pt idx="95">
                  <c:v>55</c:v>
                </c:pt>
                <c:pt idx="96">
                  <c:v>56</c:v>
                </c:pt>
                <c:pt idx="97">
                  <c:v>57</c:v>
                </c:pt>
                <c:pt idx="98">
                  <c:v>58</c:v>
                </c:pt>
                <c:pt idx="99">
                  <c:v>59</c:v>
                </c:pt>
                <c:pt idx="100">
                  <c:v>60</c:v>
                </c:pt>
                <c:pt idx="101">
                  <c:v>61</c:v>
                </c:pt>
                <c:pt idx="102">
                  <c:v>62</c:v>
                </c:pt>
                <c:pt idx="103">
                  <c:v>63</c:v>
                </c:pt>
                <c:pt idx="104">
                  <c:v>64</c:v>
                </c:pt>
                <c:pt idx="105">
                  <c:v>65</c:v>
                </c:pt>
                <c:pt idx="106">
                  <c:v>66</c:v>
                </c:pt>
                <c:pt idx="107">
                  <c:v>67</c:v>
                </c:pt>
                <c:pt idx="108">
                  <c:v>68</c:v>
                </c:pt>
                <c:pt idx="109">
                  <c:v>69</c:v>
                </c:pt>
                <c:pt idx="110">
                  <c:v>70</c:v>
                </c:pt>
                <c:pt idx="111">
                  <c:v>71</c:v>
                </c:pt>
                <c:pt idx="112">
                  <c:v>72</c:v>
                </c:pt>
                <c:pt idx="113">
                  <c:v>73</c:v>
                </c:pt>
                <c:pt idx="114">
                  <c:v>74</c:v>
                </c:pt>
                <c:pt idx="115">
                  <c:v>75</c:v>
                </c:pt>
                <c:pt idx="116">
                  <c:v>76</c:v>
                </c:pt>
                <c:pt idx="117">
                  <c:v>77</c:v>
                </c:pt>
                <c:pt idx="118">
                  <c:v>78</c:v>
                </c:pt>
                <c:pt idx="119">
                  <c:v>79</c:v>
                </c:pt>
                <c:pt idx="120">
                  <c:v>80</c:v>
                </c:pt>
                <c:pt idx="121">
                  <c:v>81</c:v>
                </c:pt>
                <c:pt idx="122">
                  <c:v>82</c:v>
                </c:pt>
                <c:pt idx="123">
                  <c:v>83</c:v>
                </c:pt>
                <c:pt idx="124">
                  <c:v>84</c:v>
                </c:pt>
                <c:pt idx="125">
                  <c:v>85</c:v>
                </c:pt>
                <c:pt idx="126">
                  <c:v>86</c:v>
                </c:pt>
                <c:pt idx="127">
                  <c:v>87</c:v>
                </c:pt>
                <c:pt idx="128">
                  <c:v>88</c:v>
                </c:pt>
                <c:pt idx="129">
                  <c:v>89</c:v>
                </c:pt>
                <c:pt idx="130">
                  <c:v>90</c:v>
                </c:pt>
                <c:pt idx="131">
                  <c:v>91</c:v>
                </c:pt>
                <c:pt idx="132">
                  <c:v>92</c:v>
                </c:pt>
                <c:pt idx="133">
                  <c:v>93</c:v>
                </c:pt>
                <c:pt idx="134">
                  <c:v>94</c:v>
                </c:pt>
                <c:pt idx="135">
                  <c:v>95</c:v>
                </c:pt>
                <c:pt idx="136">
                  <c:v>96</c:v>
                </c:pt>
                <c:pt idx="137">
                  <c:v>97</c:v>
                </c:pt>
                <c:pt idx="138">
                  <c:v>98</c:v>
                </c:pt>
                <c:pt idx="139">
                  <c:v>99</c:v>
                </c:pt>
                <c:pt idx="140">
                  <c:v>100</c:v>
                </c:pt>
                <c:pt idx="141">
                  <c:v>101</c:v>
                </c:pt>
                <c:pt idx="142">
                  <c:v>102</c:v>
                </c:pt>
                <c:pt idx="143">
                  <c:v>103</c:v>
                </c:pt>
                <c:pt idx="144">
                  <c:v>104</c:v>
                </c:pt>
                <c:pt idx="145">
                  <c:v>105</c:v>
                </c:pt>
                <c:pt idx="146">
                  <c:v>106</c:v>
                </c:pt>
                <c:pt idx="147">
                  <c:v>107</c:v>
                </c:pt>
                <c:pt idx="148">
                  <c:v>108</c:v>
                </c:pt>
                <c:pt idx="149">
                  <c:v>109</c:v>
                </c:pt>
                <c:pt idx="150">
                  <c:v>110</c:v>
                </c:pt>
                <c:pt idx="151">
                  <c:v>111</c:v>
                </c:pt>
                <c:pt idx="152">
                  <c:v>112</c:v>
                </c:pt>
                <c:pt idx="153">
                  <c:v>113</c:v>
                </c:pt>
                <c:pt idx="154">
                  <c:v>114</c:v>
                </c:pt>
                <c:pt idx="155">
                  <c:v>115</c:v>
                </c:pt>
                <c:pt idx="156">
                  <c:v>116</c:v>
                </c:pt>
                <c:pt idx="157">
                  <c:v>117</c:v>
                </c:pt>
                <c:pt idx="158">
                  <c:v>118</c:v>
                </c:pt>
                <c:pt idx="159">
                  <c:v>119</c:v>
                </c:pt>
                <c:pt idx="160">
                  <c:v>120</c:v>
                </c:pt>
                <c:pt idx="161">
                  <c:v>121</c:v>
                </c:pt>
                <c:pt idx="162">
                  <c:v>122</c:v>
                </c:pt>
                <c:pt idx="163">
                  <c:v>123</c:v>
                </c:pt>
                <c:pt idx="164">
                  <c:v>124</c:v>
                </c:pt>
                <c:pt idx="165">
                  <c:v>125</c:v>
                </c:pt>
                <c:pt idx="166">
                  <c:v>126</c:v>
                </c:pt>
                <c:pt idx="167">
                  <c:v>127</c:v>
                </c:pt>
                <c:pt idx="168">
                  <c:v>128</c:v>
                </c:pt>
                <c:pt idx="169">
                  <c:v>129</c:v>
                </c:pt>
                <c:pt idx="170">
                  <c:v>130</c:v>
                </c:pt>
                <c:pt idx="171">
                  <c:v>131</c:v>
                </c:pt>
                <c:pt idx="172">
                  <c:v>132</c:v>
                </c:pt>
                <c:pt idx="173">
                  <c:v>133</c:v>
                </c:pt>
                <c:pt idx="174">
                  <c:v>134</c:v>
                </c:pt>
                <c:pt idx="175">
                  <c:v>135</c:v>
                </c:pt>
                <c:pt idx="176">
                  <c:v>136</c:v>
                </c:pt>
                <c:pt idx="177">
                  <c:v>137</c:v>
                </c:pt>
                <c:pt idx="178">
                  <c:v>138</c:v>
                </c:pt>
                <c:pt idx="179">
                  <c:v>139</c:v>
                </c:pt>
                <c:pt idx="180">
                  <c:v>140</c:v>
                </c:pt>
                <c:pt idx="181">
                  <c:v>141</c:v>
                </c:pt>
                <c:pt idx="182">
                  <c:v>142</c:v>
                </c:pt>
                <c:pt idx="183">
                  <c:v>143</c:v>
                </c:pt>
                <c:pt idx="184">
                  <c:v>144</c:v>
                </c:pt>
                <c:pt idx="185">
                  <c:v>145</c:v>
                </c:pt>
                <c:pt idx="186">
                  <c:v>146</c:v>
                </c:pt>
                <c:pt idx="187">
                  <c:v>147</c:v>
                </c:pt>
                <c:pt idx="188">
                  <c:v>148</c:v>
                </c:pt>
                <c:pt idx="189">
                  <c:v>149</c:v>
                </c:pt>
                <c:pt idx="190">
                  <c:v>150</c:v>
                </c:pt>
                <c:pt idx="191">
                  <c:v>151</c:v>
                </c:pt>
                <c:pt idx="192">
                  <c:v>152</c:v>
                </c:pt>
                <c:pt idx="193">
                  <c:v>153</c:v>
                </c:pt>
                <c:pt idx="194">
                  <c:v>154</c:v>
                </c:pt>
                <c:pt idx="195">
                  <c:v>155</c:v>
                </c:pt>
                <c:pt idx="196">
                  <c:v>156</c:v>
                </c:pt>
                <c:pt idx="197">
                  <c:v>157</c:v>
                </c:pt>
                <c:pt idx="198">
                  <c:v>158</c:v>
                </c:pt>
                <c:pt idx="199">
                  <c:v>159</c:v>
                </c:pt>
                <c:pt idx="200">
                  <c:v>160</c:v>
                </c:pt>
              </c:numCache>
            </c:numRef>
          </c:xVal>
          <c:yVal>
            <c:numRef>
              <c:f>'Shiftfunktion bestimmen'!$B$15:$B$215</c:f>
              <c:numCache>
                <c:formatCode>General</c:formatCode>
                <c:ptCount val="201"/>
                <c:pt idx="0">
                  <c:v>-48.643117255443507</c:v>
                </c:pt>
                <c:pt idx="1">
                  <c:v>-48.592924975743593</c:v>
                </c:pt>
                <c:pt idx="2">
                  <c:v>-48.542649270236375</c:v>
                </c:pt>
                <c:pt idx="3">
                  <c:v>-48.492206713114584</c:v>
                </c:pt>
                <c:pt idx="4">
                  <c:v>-48.44151387857093</c:v>
                </c:pt>
                <c:pt idx="5">
                  <c:v>-48.390487340798103</c:v>
                </c:pt>
                <c:pt idx="6">
                  <c:v>-48.339043673988812</c:v>
                </c:pt>
                <c:pt idx="7">
                  <c:v>-48.287099452335788</c:v>
                </c:pt>
                <c:pt idx="8">
                  <c:v>-48.234571250031721</c:v>
                </c:pt>
                <c:pt idx="9">
                  <c:v>-48.181375641269327</c:v>
                </c:pt>
                <c:pt idx="10">
                  <c:v>-48.127429200241309</c:v>
                </c:pt>
                <c:pt idx="11">
                  <c:v>-48.072648501140385</c:v>
                </c:pt>
                <c:pt idx="12">
                  <c:v>-48.016950118159258</c:v>
                </c:pt>
                <c:pt idx="13">
                  <c:v>-47.960250625490644</c:v>
                </c:pt>
                <c:pt idx="14">
                  <c:v>-47.902466597327248</c:v>
                </c:pt>
                <c:pt idx="15">
                  <c:v>-47.843514607861771</c:v>
                </c:pt>
                <c:pt idx="16">
                  <c:v>-47.78331123128693</c:v>
                </c:pt>
                <c:pt idx="17">
                  <c:v>-47.72177304179543</c:v>
                </c:pt>
                <c:pt idx="18">
                  <c:v>-47.658816613579987</c:v>
                </c:pt>
                <c:pt idx="19">
                  <c:v>-47.594358520833303</c:v>
                </c:pt>
                <c:pt idx="20">
                  <c:v>-47.52831533774809</c:v>
                </c:pt>
                <c:pt idx="21">
                  <c:v>-47.460603638517057</c:v>
                </c:pt>
                <c:pt idx="22">
                  <c:v>-47.391139997332914</c:v>
                </c:pt>
                <c:pt idx="23">
                  <c:v>-47.319840988388364</c:v>
                </c:pt>
                <c:pt idx="24">
                  <c:v>-47.246623185876125</c:v>
                </c:pt>
                <c:pt idx="25">
                  <c:v>-47.171403163988899</c:v>
                </c:pt>
                <c:pt idx="26">
                  <c:v>-47.094097496919396</c:v>
                </c:pt>
                <c:pt idx="27">
                  <c:v>-47.014622758860334</c:v>
                </c:pt>
                <c:pt idx="28">
                  <c:v>-46.932895524004408</c:v>
                </c:pt>
                <c:pt idx="29">
                  <c:v>-46.848832366544329</c:v>
                </c:pt>
                <c:pt idx="30">
                  <c:v>-46.762349860672821</c:v>
                </c:pt>
                <c:pt idx="31">
                  <c:v>-46.673364580582572</c:v>
                </c:pt>
                <c:pt idx="32">
                  <c:v>-46.581793100466307</c:v>
                </c:pt>
                <c:pt idx="33">
                  <c:v>-46.487551994516728</c:v>
                </c:pt>
                <c:pt idx="34">
                  <c:v>-46.39055783692654</c:v>
                </c:pt>
                <c:pt idx="35">
                  <c:v>-46.290727201888465</c:v>
                </c:pt>
                <c:pt idx="36">
                  <c:v>-46.187976663595201</c:v>
                </c:pt>
                <c:pt idx="37">
                  <c:v>-46.082222796239463</c:v>
                </c:pt>
                <c:pt idx="38">
                  <c:v>-45.973382174013949</c:v>
                </c:pt>
                <c:pt idx="39">
                  <c:v>-45.861371371111389</c:v>
                </c:pt>
                <c:pt idx="40">
                  <c:v>-45.746106961724472</c:v>
                </c:pt>
                <c:pt idx="41">
                  <c:v>-45.611943881020323</c:v>
                </c:pt>
                <c:pt idx="42">
                  <c:v>-45.474441697814903</c:v>
                </c:pt>
                <c:pt idx="43">
                  <c:v>-45.333598341898586</c:v>
                </c:pt>
                <c:pt idx="44">
                  <c:v>-45.189411743061726</c:v>
                </c:pt>
                <c:pt idx="45">
                  <c:v>-45.041879831094718</c:v>
                </c:pt>
                <c:pt idx="46">
                  <c:v>-44.891000535787896</c:v>
                </c:pt>
                <c:pt idx="47">
                  <c:v>-44.736771786931655</c:v>
                </c:pt>
                <c:pt idx="48">
                  <c:v>-44.579191514316349</c:v>
                </c:pt>
                <c:pt idx="49">
                  <c:v>-44.418257647732361</c:v>
                </c:pt>
                <c:pt idx="50">
                  <c:v>-44.253968116970043</c:v>
                </c:pt>
                <c:pt idx="51">
                  <c:v>-44.086320851819778</c:v>
                </c:pt>
                <c:pt idx="52">
                  <c:v>-43.915313782071941</c:v>
                </c:pt>
                <c:pt idx="53">
                  <c:v>-43.740944837516878</c:v>
                </c:pt>
                <c:pt idx="54">
                  <c:v>-43.563211947944971</c:v>
                </c:pt>
                <c:pt idx="55">
                  <c:v>-43.382113043146589</c:v>
                </c:pt>
                <c:pt idx="56">
                  <c:v>-43.197646052912106</c:v>
                </c:pt>
                <c:pt idx="57">
                  <c:v>-43.009808907031868</c:v>
                </c:pt>
                <c:pt idx="58">
                  <c:v>-42.818599535296272</c:v>
                </c:pt>
                <c:pt idx="59">
                  <c:v>-42.624015867495672</c:v>
                </c:pt>
                <c:pt idx="60">
                  <c:v>-42.426055833420449</c:v>
                </c:pt>
                <c:pt idx="61">
                  <c:v>-42.224717362860957</c:v>
                </c:pt>
                <c:pt idx="62">
                  <c:v>-42.019998385607565</c:v>
                </c:pt>
                <c:pt idx="63">
                  <c:v>-41.81189683145066</c:v>
                </c:pt>
                <c:pt idx="64">
                  <c:v>-41.600410630180598</c:v>
                </c:pt>
                <c:pt idx="65">
                  <c:v>-41.385537711587737</c:v>
                </c:pt>
                <c:pt idx="66">
                  <c:v>-41.167271683658612</c:v>
                </c:pt>
                <c:pt idx="67">
                  <c:v>-40.945588867164268</c:v>
                </c:pt>
                <c:pt idx="68">
                  <c:v>-40.720461261071918</c:v>
                </c:pt>
                <c:pt idx="69">
                  <c:v>-40.491860864348773</c:v>
                </c:pt>
                <c:pt idx="70">
                  <c:v>-40.259759675962044</c:v>
                </c:pt>
                <c:pt idx="71">
                  <c:v>-40.02412969487893</c:v>
                </c:pt>
                <c:pt idx="72">
                  <c:v>-39.784942920066641</c:v>
                </c:pt>
                <c:pt idx="73">
                  <c:v>-39.542171350492389</c:v>
                </c:pt>
                <c:pt idx="74">
                  <c:v>-39.295786985123371</c:v>
                </c:pt>
                <c:pt idx="75">
                  <c:v>-39.045761822926806</c:v>
                </c:pt>
                <c:pt idx="76">
                  <c:v>-38.792067862869892</c:v>
                </c:pt>
                <c:pt idx="77">
                  <c:v>-38.534677103919847</c:v>
                </c:pt>
                <c:pt idx="78">
                  <c:v>-38.273561545043862</c:v>
                </c:pt>
                <c:pt idx="79">
                  <c:v>-38.008693185209154</c:v>
                </c:pt>
                <c:pt idx="80">
                  <c:v>-37.740044023382929</c:v>
                </c:pt>
                <c:pt idx="81">
                  <c:v>-37.467586058532397</c:v>
                </c:pt>
                <c:pt idx="82">
                  <c:v>-37.191291289624772</c:v>
                </c:pt>
                <c:pt idx="83">
                  <c:v>-36.911131715627235</c:v>
                </c:pt>
                <c:pt idx="84">
                  <c:v>-36.62707933550702</c:v>
                </c:pt>
                <c:pt idx="85">
                  <c:v>-36.33910614823133</c:v>
                </c:pt>
                <c:pt idx="86">
                  <c:v>-36.047184152767358</c:v>
                </c:pt>
                <c:pt idx="87">
                  <c:v>-35.751285348082327</c:v>
                </c:pt>
                <c:pt idx="88">
                  <c:v>-35.451381733143435</c:v>
                </c:pt>
                <c:pt idx="89">
                  <c:v>-35.147445306917888</c:v>
                </c:pt>
                <c:pt idx="90">
                  <c:v>-34.83944806837291</c:v>
                </c:pt>
                <c:pt idx="91">
                  <c:v>-34.527360311183998</c:v>
                </c:pt>
                <c:pt idx="92">
                  <c:v>-34.211145507859946</c:v>
                </c:pt>
                <c:pt idx="93">
                  <c:v>-33.890765425617857</c:v>
                </c:pt>
                <c:pt idx="94">
                  <c:v>-33.566181831674811</c:v>
                </c:pt>
                <c:pt idx="95">
                  <c:v>-33.237356493247916</c:v>
                </c:pt>
                <c:pt idx="96">
                  <c:v>-32.904251177554258</c:v>
                </c:pt>
                <c:pt idx="97">
                  <c:v>-32.566827651810954</c:v>
                </c:pt>
                <c:pt idx="98">
                  <c:v>-32.225047683235076</c:v>
                </c:pt>
                <c:pt idx="99">
                  <c:v>-31.878873039043732</c:v>
                </c:pt>
                <c:pt idx="100">
                  <c:v>-31.528265486454018</c:v>
                </c:pt>
                <c:pt idx="101">
                  <c:v>-31.173186792683023</c:v>
                </c:pt>
                <c:pt idx="102">
                  <c:v>-30.813598724947848</c:v>
                </c:pt>
                <c:pt idx="103">
                  <c:v>-30.449463050465592</c:v>
                </c:pt>
                <c:pt idx="104">
                  <c:v>-30.080741536453342</c:v>
                </c:pt>
                <c:pt idx="105">
                  <c:v>-29.707395950128202</c:v>
                </c:pt>
                <c:pt idx="106">
                  <c:v>-29.32938805870727</c:v>
                </c:pt>
                <c:pt idx="107">
                  <c:v>-28.946679629407633</c:v>
                </c:pt>
                <c:pt idx="108">
                  <c:v>-28.559232429446389</c:v>
                </c:pt>
                <c:pt idx="109">
                  <c:v>-28.167008226040643</c:v>
                </c:pt>
                <c:pt idx="110">
                  <c:v>-27.769968786407482</c:v>
                </c:pt>
                <c:pt idx="111">
                  <c:v>-27.368075877764003</c:v>
                </c:pt>
                <c:pt idx="112">
                  <c:v>-26.961291267327304</c:v>
                </c:pt>
                <c:pt idx="113">
                  <c:v>-26.549576722314484</c:v>
                </c:pt>
                <c:pt idx="114">
                  <c:v>-26.132894009942632</c:v>
                </c:pt>
                <c:pt idx="115">
                  <c:v>-25.71120489742885</c:v>
                </c:pt>
                <c:pt idx="116">
                  <c:v>-25.284471151990232</c:v>
                </c:pt>
                <c:pt idx="117">
                  <c:v>-24.852654540843869</c:v>
                </c:pt>
                <c:pt idx="118">
                  <c:v>-24.415716831206865</c:v>
                </c:pt>
                <c:pt idx="119">
                  <c:v>-23.973619790296311</c:v>
                </c:pt>
                <c:pt idx="120">
                  <c:v>-23.526325185329309</c:v>
                </c:pt>
                <c:pt idx="121">
                  <c:v>-23.073869155025445</c:v>
                </c:pt>
                <c:pt idx="122">
                  <c:v>-22.616585324114297</c:v>
                </c:pt>
                <c:pt idx="123">
                  <c:v>-22.154881688827938</c:v>
                </c:pt>
                <c:pt idx="124">
                  <c:v>-21.689166245398447</c:v>
                </c:pt>
                <c:pt idx="125">
                  <c:v>-21.219846990057889</c:v>
                </c:pt>
                <c:pt idx="126">
                  <c:v>-20.747331919038345</c:v>
                </c:pt>
                <c:pt idx="127">
                  <c:v>-20.272029028571886</c:v>
                </c:pt>
                <c:pt idx="128">
                  <c:v>-19.794346314890586</c:v>
                </c:pt>
                <c:pt idx="129">
                  <c:v>-19.314691774226514</c:v>
                </c:pt>
                <c:pt idx="130">
                  <c:v>-18.833473402811752</c:v>
                </c:pt>
                <c:pt idx="131">
                  <c:v>-18.351099196878366</c:v>
                </c:pt>
                <c:pt idx="132">
                  <c:v>-17.86797715265843</c:v>
                </c:pt>
                <c:pt idx="133">
                  <c:v>-17.384515266384021</c:v>
                </c:pt>
                <c:pt idx="134">
                  <c:v>-16.901121534287213</c:v>
                </c:pt>
                <c:pt idx="135">
                  <c:v>-16.418203952600077</c:v>
                </c:pt>
                <c:pt idx="136">
                  <c:v>-15.936170517554688</c:v>
                </c:pt>
                <c:pt idx="137">
                  <c:v>-15.455429225383117</c:v>
                </c:pt>
                <c:pt idx="138">
                  <c:v>-14.976388072317437</c:v>
                </c:pt>
                <c:pt idx="139">
                  <c:v>-14.499455054589729</c:v>
                </c:pt>
                <c:pt idx="140">
                  <c:v>-14.02503816843206</c:v>
                </c:pt>
                <c:pt idx="141">
                  <c:v>-13.553545410076502</c:v>
                </c:pt>
                <c:pt idx="142">
                  <c:v>-13.085384775755132</c:v>
                </c:pt>
                <c:pt idx="143">
                  <c:v>-12.620964261700024</c:v>
                </c:pt>
                <c:pt idx="144">
                  <c:v>-12.160691864143251</c:v>
                </c:pt>
                <c:pt idx="145">
                  <c:v>-11.704975579316883</c:v>
                </c:pt>
                <c:pt idx="146">
                  <c:v>-11.254223403452999</c:v>
                </c:pt>
                <c:pt idx="147">
                  <c:v>-10.808843332783667</c:v>
                </c:pt>
                <c:pt idx="148">
                  <c:v>-10.369243363540965</c:v>
                </c:pt>
                <c:pt idx="149">
                  <c:v>-9.9358314919569644</c:v>
                </c:pt>
                <c:pt idx="150">
                  <c:v>-9.5090157142637377</c:v>
                </c:pt>
                <c:pt idx="151">
                  <c:v>-9.0892040266933609</c:v>
                </c:pt>
                <c:pt idx="152">
                  <c:v>-8.6768044254779078</c:v>
                </c:pt>
                <c:pt idx="153">
                  <c:v>-8.2722249068494484</c:v>
                </c:pt>
                <c:pt idx="154">
                  <c:v>-7.8758734670400594</c:v>
                </c:pt>
                <c:pt idx="155">
                  <c:v>-7.4881581022818109</c:v>
                </c:pt>
                <c:pt idx="156">
                  <c:v>-7.109486808806782</c:v>
                </c:pt>
                <c:pt idx="157">
                  <c:v>-6.7402675828470402</c:v>
                </c:pt>
                <c:pt idx="158">
                  <c:v>-6.380908420634662</c:v>
                </c:pt>
                <c:pt idx="159">
                  <c:v>-6.0318173184017221</c:v>
                </c:pt>
                <c:pt idx="160">
                  <c:v>-5.6934022723802897</c:v>
                </c:pt>
                <c:pt idx="161">
                  <c:v>-5.3660712788024441</c:v>
                </c:pt>
                <c:pt idx="162">
                  <c:v>-5.0502323339002544</c:v>
                </c:pt>
                <c:pt idx="163">
                  <c:v>-4.7462934339057954</c:v>
                </c:pt>
                <c:pt idx="164">
                  <c:v>-4.4546625750511408</c:v>
                </c:pt>
                <c:pt idx="165">
                  <c:v>-4.1757477535683636</c:v>
                </c:pt>
                <c:pt idx="166">
                  <c:v>-3.909826470919413</c:v>
                </c:pt>
                <c:pt idx="167">
                  <c:v>-3.6566542494857277</c:v>
                </c:pt>
                <c:pt idx="168">
                  <c:v>-3.4158561168786257</c:v>
                </c:pt>
                <c:pt idx="169">
                  <c:v>-3.1870571007094215</c:v>
                </c:pt>
                <c:pt idx="170">
                  <c:v>-2.969882228589432</c:v>
                </c:pt>
                <c:pt idx="171">
                  <c:v>-2.7639565281299716</c:v>
                </c:pt>
                <c:pt idx="172">
                  <c:v>-2.5689050269423568</c:v>
                </c:pt>
                <c:pt idx="173">
                  <c:v>-2.3843527526379029</c:v>
                </c:pt>
                <c:pt idx="174">
                  <c:v>-2.2099247328279255</c:v>
                </c:pt>
                <c:pt idx="175">
                  <c:v>-2.0452459951237407</c:v>
                </c:pt>
                <c:pt idx="176">
                  <c:v>-1.8899415671366639</c:v>
                </c:pt>
                <c:pt idx="177">
                  <c:v>-1.7436364764780108</c:v>
                </c:pt>
                <c:pt idx="178">
                  <c:v>-1.6059557507590974</c:v>
                </c:pt>
                <c:pt idx="179">
                  <c:v>-1.4765244175912389</c:v>
                </c:pt>
                <c:pt idx="180">
                  <c:v>-1.354967504585751</c:v>
                </c:pt>
                <c:pt idx="181">
                  <c:v>-1.2409100393539496</c:v>
                </c:pt>
                <c:pt idx="182">
                  <c:v>-1.1339770495071504</c:v>
                </c:pt>
                <c:pt idx="183">
                  <c:v>-1.033793562656669</c:v>
                </c:pt>
                <c:pt idx="184">
                  <c:v>-0.93998460641382109</c:v>
                </c:pt>
                <c:pt idx="185">
                  <c:v>-0.85217520838992222</c:v>
                </c:pt>
                <c:pt idx="186">
                  <c:v>-0.7699903961962884</c:v>
                </c:pt>
                <c:pt idx="187">
                  <c:v>-0.69305519744423494</c:v>
                </c:pt>
                <c:pt idx="188">
                  <c:v>-0.62099463974507763</c:v>
                </c:pt>
                <c:pt idx="189">
                  <c:v>-0.55343375071013223</c:v>
                </c:pt>
                <c:pt idx="190">
                  <c:v>-0.48999755795071442</c:v>
                </c:pt>
                <c:pt idx="191">
                  <c:v>-0.43031108907813981</c:v>
                </c:pt>
                <c:pt idx="192">
                  <c:v>-0.3739993717037241</c:v>
                </c:pt>
                <c:pt idx="193">
                  <c:v>-0.32068743343878292</c:v>
                </c:pt>
                <c:pt idx="194">
                  <c:v>-0.27000030189463203</c:v>
                </c:pt>
                <c:pt idx="195">
                  <c:v>-0.22156300468258708</c:v>
                </c:pt>
                <c:pt idx="196">
                  <c:v>-0.17500056941396372</c:v>
                </c:pt>
                <c:pt idx="197">
                  <c:v>-0.12993802370007768</c:v>
                </c:pt>
                <c:pt idx="198">
                  <c:v>-8.6000395152244571E-2</c:v>
                </c:pt>
                <c:pt idx="199">
                  <c:v>-4.2812711381780125E-2</c:v>
                </c:pt>
                <c:pt idx="200">
                  <c:v>0</c:v>
                </c:pt>
              </c:numCache>
            </c:numRef>
          </c:yVal>
          <c:smooth val="1"/>
        </c:ser>
        <c:ser>
          <c:idx val="1"/>
          <c:order val="1"/>
          <c:spPr>
            <a:ln w="19050" cap="rnd">
              <a:noFill/>
              <a:round/>
            </a:ln>
            <a:effectLst/>
          </c:spPr>
          <c:marker>
            <c:symbol val="square"/>
            <c:size val="5"/>
            <c:spPr>
              <a:solidFill>
                <a:schemeClr val="accent2"/>
              </a:solidFill>
              <a:ln w="9525">
                <a:solidFill>
                  <a:schemeClr val="accent2"/>
                </a:solidFill>
              </a:ln>
              <a:effectLst/>
            </c:spPr>
          </c:marker>
          <c:xVal>
            <c:numRef>
              <c:f>'Shiftfunktion bestimmen'!$A$1:$A$7</c:f>
              <c:numCache>
                <c:formatCode>General</c:formatCode>
                <c:ptCount val="7"/>
                <c:pt idx="0">
                  <c:v>-40</c:v>
                </c:pt>
                <c:pt idx="1">
                  <c:v>0</c:v>
                </c:pt>
                <c:pt idx="2">
                  <c:v>25</c:v>
                </c:pt>
                <c:pt idx="3">
                  <c:v>50</c:v>
                </c:pt>
                <c:pt idx="4">
                  <c:v>80</c:v>
                </c:pt>
                <c:pt idx="5">
                  <c:v>125</c:v>
                </c:pt>
                <c:pt idx="6">
                  <c:v>160</c:v>
                </c:pt>
              </c:numCache>
            </c:numRef>
          </c:xVal>
          <c:yVal>
            <c:numRef>
              <c:f>'Shiftfunktion bestimmen'!$B$1:$B$7</c:f>
              <c:numCache>
                <c:formatCode>General</c:formatCode>
                <c:ptCount val="7"/>
                <c:pt idx="0">
                  <c:v>-48.643117255443507</c:v>
                </c:pt>
                <c:pt idx="1">
                  <c:v>-45.746106961724465</c:v>
                </c:pt>
                <c:pt idx="2">
                  <c:v>-41.385537711587737</c:v>
                </c:pt>
                <c:pt idx="3">
                  <c:v>-34.839448068372903</c:v>
                </c:pt>
                <c:pt idx="4">
                  <c:v>-23.526325185329309</c:v>
                </c:pt>
                <c:pt idx="5">
                  <c:v>-4.1757477535683645</c:v>
                </c:pt>
                <c:pt idx="6">
                  <c:v>0</c:v>
                </c:pt>
              </c:numCache>
            </c:numRef>
          </c:yVal>
          <c:smooth val="1"/>
        </c:ser>
        <c:ser>
          <c:idx val="2"/>
          <c:order val="2"/>
          <c:spPr>
            <a:ln w="19050" cap="rnd">
              <a:solidFill>
                <a:schemeClr val="accent3"/>
              </a:solidFill>
              <a:round/>
            </a:ln>
            <a:effectLst/>
          </c:spPr>
          <c:marker>
            <c:symbol val="none"/>
          </c:marker>
          <c:xVal>
            <c:numRef>
              <c:f>'Shiftfunktion bestimmen'!$E$222:$E$422</c:f>
              <c:numCache>
                <c:formatCode>General</c:formatCode>
                <c:ptCount val="201"/>
                <c:pt idx="0">
                  <c:v>-200</c:v>
                </c:pt>
                <c:pt idx="1">
                  <c:v>-199</c:v>
                </c:pt>
                <c:pt idx="2">
                  <c:v>-198</c:v>
                </c:pt>
                <c:pt idx="3">
                  <c:v>-197</c:v>
                </c:pt>
                <c:pt idx="4">
                  <c:v>-196</c:v>
                </c:pt>
                <c:pt idx="5">
                  <c:v>-195</c:v>
                </c:pt>
                <c:pt idx="6">
                  <c:v>-194</c:v>
                </c:pt>
                <c:pt idx="7">
                  <c:v>-193</c:v>
                </c:pt>
                <c:pt idx="8">
                  <c:v>-192</c:v>
                </c:pt>
                <c:pt idx="9">
                  <c:v>-191</c:v>
                </c:pt>
                <c:pt idx="10">
                  <c:v>-190</c:v>
                </c:pt>
                <c:pt idx="11">
                  <c:v>-189</c:v>
                </c:pt>
                <c:pt idx="12">
                  <c:v>-188</c:v>
                </c:pt>
                <c:pt idx="13">
                  <c:v>-187</c:v>
                </c:pt>
                <c:pt idx="14">
                  <c:v>-186</c:v>
                </c:pt>
                <c:pt idx="15">
                  <c:v>-185</c:v>
                </c:pt>
                <c:pt idx="16">
                  <c:v>-184</c:v>
                </c:pt>
                <c:pt idx="17">
                  <c:v>-183</c:v>
                </c:pt>
                <c:pt idx="18">
                  <c:v>-182</c:v>
                </c:pt>
                <c:pt idx="19">
                  <c:v>-181</c:v>
                </c:pt>
                <c:pt idx="20">
                  <c:v>-180</c:v>
                </c:pt>
                <c:pt idx="21">
                  <c:v>-179</c:v>
                </c:pt>
                <c:pt idx="22">
                  <c:v>-178</c:v>
                </c:pt>
                <c:pt idx="23">
                  <c:v>-177</c:v>
                </c:pt>
                <c:pt idx="24">
                  <c:v>-176</c:v>
                </c:pt>
                <c:pt idx="25">
                  <c:v>-175</c:v>
                </c:pt>
                <c:pt idx="26">
                  <c:v>-174</c:v>
                </c:pt>
                <c:pt idx="27">
                  <c:v>-173</c:v>
                </c:pt>
                <c:pt idx="28">
                  <c:v>-172</c:v>
                </c:pt>
                <c:pt idx="29">
                  <c:v>-171</c:v>
                </c:pt>
                <c:pt idx="30">
                  <c:v>-170</c:v>
                </c:pt>
                <c:pt idx="31">
                  <c:v>-169</c:v>
                </c:pt>
                <c:pt idx="32">
                  <c:v>-168</c:v>
                </c:pt>
                <c:pt idx="33">
                  <c:v>-167</c:v>
                </c:pt>
                <c:pt idx="34">
                  <c:v>-166</c:v>
                </c:pt>
                <c:pt idx="35">
                  <c:v>-165</c:v>
                </c:pt>
                <c:pt idx="36">
                  <c:v>-164</c:v>
                </c:pt>
                <c:pt idx="37">
                  <c:v>-163</c:v>
                </c:pt>
                <c:pt idx="38">
                  <c:v>-162</c:v>
                </c:pt>
                <c:pt idx="39">
                  <c:v>-161</c:v>
                </c:pt>
                <c:pt idx="40">
                  <c:v>-160</c:v>
                </c:pt>
                <c:pt idx="41">
                  <c:v>-159</c:v>
                </c:pt>
                <c:pt idx="42">
                  <c:v>-158</c:v>
                </c:pt>
                <c:pt idx="43">
                  <c:v>-157</c:v>
                </c:pt>
                <c:pt idx="44">
                  <c:v>-156</c:v>
                </c:pt>
                <c:pt idx="45">
                  <c:v>-155</c:v>
                </c:pt>
                <c:pt idx="46">
                  <c:v>-154</c:v>
                </c:pt>
                <c:pt idx="47">
                  <c:v>-153</c:v>
                </c:pt>
                <c:pt idx="48">
                  <c:v>-152</c:v>
                </c:pt>
                <c:pt idx="49">
                  <c:v>-151</c:v>
                </c:pt>
                <c:pt idx="50">
                  <c:v>-150</c:v>
                </c:pt>
                <c:pt idx="51">
                  <c:v>-149</c:v>
                </c:pt>
                <c:pt idx="52">
                  <c:v>-148</c:v>
                </c:pt>
                <c:pt idx="53">
                  <c:v>-147</c:v>
                </c:pt>
                <c:pt idx="54">
                  <c:v>-146</c:v>
                </c:pt>
                <c:pt idx="55">
                  <c:v>-145</c:v>
                </c:pt>
                <c:pt idx="56">
                  <c:v>-144</c:v>
                </c:pt>
                <c:pt idx="57">
                  <c:v>-143</c:v>
                </c:pt>
                <c:pt idx="58">
                  <c:v>-142</c:v>
                </c:pt>
                <c:pt idx="59">
                  <c:v>-141</c:v>
                </c:pt>
                <c:pt idx="60">
                  <c:v>-140</c:v>
                </c:pt>
                <c:pt idx="61">
                  <c:v>-139</c:v>
                </c:pt>
                <c:pt idx="62">
                  <c:v>-138</c:v>
                </c:pt>
                <c:pt idx="63">
                  <c:v>-137</c:v>
                </c:pt>
                <c:pt idx="64">
                  <c:v>-136</c:v>
                </c:pt>
                <c:pt idx="65">
                  <c:v>-135</c:v>
                </c:pt>
                <c:pt idx="66">
                  <c:v>-134</c:v>
                </c:pt>
                <c:pt idx="67">
                  <c:v>-133</c:v>
                </c:pt>
                <c:pt idx="68">
                  <c:v>-132</c:v>
                </c:pt>
                <c:pt idx="69">
                  <c:v>-131</c:v>
                </c:pt>
                <c:pt idx="70">
                  <c:v>-130</c:v>
                </c:pt>
                <c:pt idx="71">
                  <c:v>-129</c:v>
                </c:pt>
                <c:pt idx="72">
                  <c:v>-128</c:v>
                </c:pt>
                <c:pt idx="73">
                  <c:v>-127</c:v>
                </c:pt>
                <c:pt idx="74">
                  <c:v>-126</c:v>
                </c:pt>
                <c:pt idx="75">
                  <c:v>-125</c:v>
                </c:pt>
                <c:pt idx="76">
                  <c:v>-124</c:v>
                </c:pt>
                <c:pt idx="77">
                  <c:v>-123</c:v>
                </c:pt>
                <c:pt idx="78">
                  <c:v>-122</c:v>
                </c:pt>
                <c:pt idx="79">
                  <c:v>-121</c:v>
                </c:pt>
                <c:pt idx="80">
                  <c:v>-120</c:v>
                </c:pt>
                <c:pt idx="81">
                  <c:v>-119</c:v>
                </c:pt>
                <c:pt idx="82">
                  <c:v>-118</c:v>
                </c:pt>
                <c:pt idx="83">
                  <c:v>-117</c:v>
                </c:pt>
                <c:pt idx="84">
                  <c:v>-116</c:v>
                </c:pt>
                <c:pt idx="85">
                  <c:v>-115</c:v>
                </c:pt>
                <c:pt idx="86">
                  <c:v>-114</c:v>
                </c:pt>
                <c:pt idx="87">
                  <c:v>-113</c:v>
                </c:pt>
                <c:pt idx="88">
                  <c:v>-112</c:v>
                </c:pt>
                <c:pt idx="89">
                  <c:v>-111</c:v>
                </c:pt>
                <c:pt idx="90">
                  <c:v>-110</c:v>
                </c:pt>
                <c:pt idx="91">
                  <c:v>-109</c:v>
                </c:pt>
                <c:pt idx="92">
                  <c:v>-108</c:v>
                </c:pt>
                <c:pt idx="93">
                  <c:v>-107</c:v>
                </c:pt>
                <c:pt idx="94">
                  <c:v>-106</c:v>
                </c:pt>
                <c:pt idx="95">
                  <c:v>-105</c:v>
                </c:pt>
                <c:pt idx="96">
                  <c:v>-104</c:v>
                </c:pt>
                <c:pt idx="97">
                  <c:v>-103</c:v>
                </c:pt>
                <c:pt idx="98">
                  <c:v>-102</c:v>
                </c:pt>
                <c:pt idx="99">
                  <c:v>-101</c:v>
                </c:pt>
                <c:pt idx="100">
                  <c:v>-100</c:v>
                </c:pt>
                <c:pt idx="101">
                  <c:v>-99</c:v>
                </c:pt>
                <c:pt idx="102">
                  <c:v>-98</c:v>
                </c:pt>
                <c:pt idx="103">
                  <c:v>-97</c:v>
                </c:pt>
                <c:pt idx="104">
                  <c:v>-96</c:v>
                </c:pt>
                <c:pt idx="105">
                  <c:v>-95</c:v>
                </c:pt>
                <c:pt idx="106">
                  <c:v>-94</c:v>
                </c:pt>
                <c:pt idx="107">
                  <c:v>-93</c:v>
                </c:pt>
                <c:pt idx="108">
                  <c:v>-92</c:v>
                </c:pt>
                <c:pt idx="109">
                  <c:v>-91</c:v>
                </c:pt>
                <c:pt idx="110">
                  <c:v>-90</c:v>
                </c:pt>
                <c:pt idx="111">
                  <c:v>-89</c:v>
                </c:pt>
                <c:pt idx="112">
                  <c:v>-88</c:v>
                </c:pt>
                <c:pt idx="113">
                  <c:v>-87</c:v>
                </c:pt>
                <c:pt idx="114">
                  <c:v>-86</c:v>
                </c:pt>
                <c:pt idx="115">
                  <c:v>-85</c:v>
                </c:pt>
                <c:pt idx="116">
                  <c:v>-84</c:v>
                </c:pt>
                <c:pt idx="117">
                  <c:v>-83</c:v>
                </c:pt>
                <c:pt idx="118">
                  <c:v>-82</c:v>
                </c:pt>
                <c:pt idx="119">
                  <c:v>-81</c:v>
                </c:pt>
                <c:pt idx="120">
                  <c:v>-80</c:v>
                </c:pt>
                <c:pt idx="121">
                  <c:v>-79</c:v>
                </c:pt>
                <c:pt idx="122">
                  <c:v>-78</c:v>
                </c:pt>
                <c:pt idx="123">
                  <c:v>-77</c:v>
                </c:pt>
                <c:pt idx="124">
                  <c:v>-76</c:v>
                </c:pt>
                <c:pt idx="125">
                  <c:v>-75</c:v>
                </c:pt>
                <c:pt idx="126">
                  <c:v>-74</c:v>
                </c:pt>
                <c:pt idx="127">
                  <c:v>-73</c:v>
                </c:pt>
                <c:pt idx="128">
                  <c:v>-72</c:v>
                </c:pt>
                <c:pt idx="129">
                  <c:v>-71</c:v>
                </c:pt>
                <c:pt idx="130">
                  <c:v>-70</c:v>
                </c:pt>
                <c:pt idx="131">
                  <c:v>-69</c:v>
                </c:pt>
                <c:pt idx="132">
                  <c:v>-68</c:v>
                </c:pt>
                <c:pt idx="133">
                  <c:v>-67</c:v>
                </c:pt>
                <c:pt idx="134">
                  <c:v>-66</c:v>
                </c:pt>
                <c:pt idx="135">
                  <c:v>-65</c:v>
                </c:pt>
                <c:pt idx="136">
                  <c:v>-64</c:v>
                </c:pt>
                <c:pt idx="137">
                  <c:v>-63</c:v>
                </c:pt>
                <c:pt idx="138">
                  <c:v>-62</c:v>
                </c:pt>
                <c:pt idx="139">
                  <c:v>-61</c:v>
                </c:pt>
                <c:pt idx="140">
                  <c:v>-60</c:v>
                </c:pt>
                <c:pt idx="141">
                  <c:v>-59</c:v>
                </c:pt>
                <c:pt idx="142">
                  <c:v>-58</c:v>
                </c:pt>
                <c:pt idx="143">
                  <c:v>-57</c:v>
                </c:pt>
                <c:pt idx="144">
                  <c:v>-56</c:v>
                </c:pt>
                <c:pt idx="145">
                  <c:v>-55</c:v>
                </c:pt>
                <c:pt idx="146">
                  <c:v>-54</c:v>
                </c:pt>
                <c:pt idx="147">
                  <c:v>-53</c:v>
                </c:pt>
                <c:pt idx="148">
                  <c:v>-52</c:v>
                </c:pt>
                <c:pt idx="149">
                  <c:v>-51</c:v>
                </c:pt>
                <c:pt idx="150">
                  <c:v>-50</c:v>
                </c:pt>
                <c:pt idx="151">
                  <c:v>-49</c:v>
                </c:pt>
                <c:pt idx="152">
                  <c:v>-48</c:v>
                </c:pt>
                <c:pt idx="153">
                  <c:v>-47</c:v>
                </c:pt>
                <c:pt idx="154">
                  <c:v>-46</c:v>
                </c:pt>
                <c:pt idx="155">
                  <c:v>-45</c:v>
                </c:pt>
                <c:pt idx="156">
                  <c:v>-44</c:v>
                </c:pt>
                <c:pt idx="157">
                  <c:v>-43</c:v>
                </c:pt>
                <c:pt idx="158">
                  <c:v>-42</c:v>
                </c:pt>
                <c:pt idx="159">
                  <c:v>-41</c:v>
                </c:pt>
                <c:pt idx="160">
                  <c:v>-40</c:v>
                </c:pt>
                <c:pt idx="161">
                  <c:v>-39</c:v>
                </c:pt>
                <c:pt idx="162">
                  <c:v>-38</c:v>
                </c:pt>
                <c:pt idx="163">
                  <c:v>-37</c:v>
                </c:pt>
                <c:pt idx="164">
                  <c:v>-36</c:v>
                </c:pt>
                <c:pt idx="165">
                  <c:v>-35</c:v>
                </c:pt>
                <c:pt idx="166">
                  <c:v>-34</c:v>
                </c:pt>
                <c:pt idx="167">
                  <c:v>-33</c:v>
                </c:pt>
                <c:pt idx="168">
                  <c:v>-32</c:v>
                </c:pt>
                <c:pt idx="169">
                  <c:v>-31</c:v>
                </c:pt>
                <c:pt idx="170">
                  <c:v>-30</c:v>
                </c:pt>
                <c:pt idx="171">
                  <c:v>-29</c:v>
                </c:pt>
                <c:pt idx="172">
                  <c:v>-28</c:v>
                </c:pt>
                <c:pt idx="173">
                  <c:v>-27</c:v>
                </c:pt>
                <c:pt idx="174">
                  <c:v>-26</c:v>
                </c:pt>
                <c:pt idx="175">
                  <c:v>-25</c:v>
                </c:pt>
                <c:pt idx="176">
                  <c:v>-24</c:v>
                </c:pt>
                <c:pt idx="177">
                  <c:v>-23</c:v>
                </c:pt>
                <c:pt idx="178">
                  <c:v>-22</c:v>
                </c:pt>
                <c:pt idx="179">
                  <c:v>-21</c:v>
                </c:pt>
                <c:pt idx="180">
                  <c:v>-20</c:v>
                </c:pt>
                <c:pt idx="181">
                  <c:v>-19</c:v>
                </c:pt>
                <c:pt idx="182">
                  <c:v>-18</c:v>
                </c:pt>
                <c:pt idx="183">
                  <c:v>-17</c:v>
                </c:pt>
                <c:pt idx="184">
                  <c:v>-16</c:v>
                </c:pt>
                <c:pt idx="185">
                  <c:v>-15</c:v>
                </c:pt>
                <c:pt idx="186">
                  <c:v>-14</c:v>
                </c:pt>
                <c:pt idx="187">
                  <c:v>-13</c:v>
                </c:pt>
                <c:pt idx="188">
                  <c:v>-12</c:v>
                </c:pt>
                <c:pt idx="189">
                  <c:v>-11</c:v>
                </c:pt>
                <c:pt idx="190">
                  <c:v>-10</c:v>
                </c:pt>
                <c:pt idx="191">
                  <c:v>-9</c:v>
                </c:pt>
                <c:pt idx="192">
                  <c:v>-8</c:v>
                </c:pt>
                <c:pt idx="193">
                  <c:v>-7</c:v>
                </c:pt>
                <c:pt idx="194">
                  <c:v>-6</c:v>
                </c:pt>
                <c:pt idx="195">
                  <c:v>-5</c:v>
                </c:pt>
                <c:pt idx="196">
                  <c:v>-4</c:v>
                </c:pt>
                <c:pt idx="197">
                  <c:v>-3</c:v>
                </c:pt>
                <c:pt idx="198">
                  <c:v>-2</c:v>
                </c:pt>
                <c:pt idx="199">
                  <c:v>-1</c:v>
                </c:pt>
                <c:pt idx="200">
                  <c:v>0</c:v>
                </c:pt>
              </c:numCache>
            </c:numRef>
          </c:xVal>
          <c:yVal>
            <c:numRef>
              <c:f>'Shiftfunktion bestimmen'!$F$222:$F$422</c:f>
              <c:numCache>
                <c:formatCode>General</c:formatCode>
                <c:ptCount val="201"/>
                <c:pt idx="0">
                  <c:v>-48.78594169031831</c:v>
                </c:pt>
                <c:pt idx="1">
                  <c:v>-48.678016024075262</c:v>
                </c:pt>
                <c:pt idx="2">
                  <c:v>-48.580852944829914</c:v>
                </c:pt>
                <c:pt idx="3">
                  <c:v>-48.49317509921184</c:v>
                </c:pt>
                <c:pt idx="4">
                  <c:v>-48.413786546708295</c:v>
                </c:pt>
                <c:pt idx="5">
                  <c:v>-48.341569267528683</c:v>
                </c:pt>
                <c:pt idx="6">
                  <c:v>-48.275479761148674</c:v>
                </c:pt>
                <c:pt idx="7">
                  <c:v>-48.214545734392615</c:v>
                </c:pt>
                <c:pt idx="8">
                  <c:v>-48.157862877997189</c:v>
                </c:pt>
                <c:pt idx="9">
                  <c:v>-48.104591730487414</c:v>
                </c:pt>
                <c:pt idx="10">
                  <c:v>-48.053954628263099</c:v>
                </c:pt>
                <c:pt idx="11">
                  <c:v>-48.005232740781523</c:v>
                </c:pt>
                <c:pt idx="12">
                  <c:v>-47.95776318973769</c:v>
                </c:pt>
                <c:pt idx="13">
                  <c:v>-47.910936251108524</c:v>
                </c:pt>
                <c:pt idx="14">
                  <c:v>-47.864192638957505</c:v>
                </c:pt>
                <c:pt idx="15">
                  <c:v>-47.817020869935178</c:v>
                </c:pt>
                <c:pt idx="16">
                  <c:v>-47.768954707284635</c:v>
                </c:pt>
                <c:pt idx="17">
                  <c:v>-47.719570683357134</c:v>
                </c:pt>
                <c:pt idx="18">
                  <c:v>-47.668485699445704</c:v>
                </c:pt>
                <c:pt idx="19">
                  <c:v>-47.615354701900607</c:v>
                </c:pt>
                <c:pt idx="20">
                  <c:v>-47.559868433392921</c:v>
                </c:pt>
                <c:pt idx="21">
                  <c:v>-47.501751258264939</c:v>
                </c:pt>
                <c:pt idx="22">
                  <c:v>-47.440759060848769</c:v>
                </c:pt>
                <c:pt idx="23">
                  <c:v>-47.376677215682413</c:v>
                </c:pt>
                <c:pt idx="24">
                  <c:v>-47.30931862851368</c:v>
                </c:pt>
                <c:pt idx="25">
                  <c:v>-47.238521847055765</c:v>
                </c:pt>
                <c:pt idx="26">
                  <c:v>-47.164149240337117</c:v>
                </c:pt>
                <c:pt idx="27">
                  <c:v>-47.086085245643474</c:v>
                </c:pt>
                <c:pt idx="28">
                  <c:v>-47.004234681909601</c:v>
                </c:pt>
                <c:pt idx="29">
                  <c:v>-46.918521128527807</c:v>
                </c:pt>
                <c:pt idx="30">
                  <c:v>-46.828885368473635</c:v>
                </c:pt>
                <c:pt idx="31">
                  <c:v>-46.735283894685473</c:v>
                </c:pt>
                <c:pt idx="32">
                  <c:v>-46.637687478631328</c:v>
                </c:pt>
                <c:pt idx="33">
                  <c:v>-46.536079799985345</c:v>
                </c:pt>
                <c:pt idx="34">
                  <c:v>-46.430456136352149</c:v>
                </c:pt>
                <c:pt idx="35">
                  <c:v>-46.320822111985308</c:v>
                </c:pt>
                <c:pt idx="36">
                  <c:v>-46.207192504413356</c:v>
                </c:pt>
                <c:pt idx="37">
                  <c:v>-46.089590107945085</c:v>
                </c:pt>
                <c:pt idx="38">
                  <c:v>-45.968044652962213</c:v>
                </c:pt>
                <c:pt idx="39">
                  <c:v>-45.842591779979628</c:v>
                </c:pt>
                <c:pt idx="40">
                  <c:v>-45.713272067383016</c:v>
                </c:pt>
                <c:pt idx="41">
                  <c:v>-45.580130111830854</c:v>
                </c:pt>
                <c:pt idx="42">
                  <c:v>-45.443213660233006</c:v>
                </c:pt>
                <c:pt idx="43">
                  <c:v>-45.30257279228482</c:v>
                </c:pt>
                <c:pt idx="44">
                  <c:v>-45.158259152509544</c:v>
                </c:pt>
                <c:pt idx="45">
                  <c:v>-45.010325230750482</c:v>
                </c:pt>
                <c:pt idx="46">
                  <c:v>-44.858823690082914</c:v>
                </c:pt>
                <c:pt idx="47">
                  <c:v>-44.703806741111961</c:v>
                </c:pt>
                <c:pt idx="48">
                  <c:v>-44.54532556160504</c:v>
                </c:pt>
                <c:pt idx="49">
                  <c:v>-44.383429760439149</c:v>
                </c:pt>
                <c:pt idx="50">
                  <c:v>-44.218166884818118</c:v>
                </c:pt>
                <c:pt idx="51">
                  <c:v>-44.049581969734476</c:v>
                </c:pt>
                <c:pt idx="52">
                  <c:v>-43.877717128652371</c:v>
                </c:pt>
                <c:pt idx="53">
                  <c:v>-43.702611184373318</c:v>
                </c:pt>
                <c:pt idx="54">
                  <c:v>-43.524299339072904</c:v>
                </c:pt>
                <c:pt idx="55">
                  <c:v>-43.342812882479876</c:v>
                </c:pt>
                <c:pt idx="56">
                  <c:v>-43.158178937172167</c:v>
                </c:pt>
                <c:pt idx="57">
                  <c:v>-42.970420239986829</c:v>
                </c:pt>
                <c:pt idx="58">
                  <c:v>-42.779554958510722</c:v>
                </c:pt>
                <c:pt idx="59">
                  <c:v>-42.58559654165434</c:v>
                </c:pt>
                <c:pt idx="60">
                  <c:v>-42.388553603282098</c:v>
                </c:pt>
                <c:pt idx="61">
                  <c:v>-42.188429837899434</c:v>
                </c:pt>
                <c:pt idx="62">
                  <c:v>-41.985223967386325</c:v>
                </c:pt>
                <c:pt idx="63">
                  <c:v>-41.778929717768591</c:v>
                </c:pt>
                <c:pt idx="64">
                  <c:v>-41.569535825032354</c:v>
                </c:pt>
                <c:pt idx="65">
                  <c:v>-41.357026068966498</c:v>
                </c:pt>
                <c:pt idx="66">
                  <c:v>-41.14137933404696</c:v>
                </c:pt>
                <c:pt idx="67">
                  <c:v>-40.922569696359503</c:v>
                </c:pt>
                <c:pt idx="68">
                  <c:v>-40.700566535566963</c:v>
                </c:pt>
                <c:pt idx="69">
                  <c:v>-40.475334670926038</c:v>
                </c:pt>
                <c:pt idx="70">
                  <c:v>-40.246834520366782</c:v>
                </c:pt>
                <c:pt idx="71">
                  <c:v>-40.015022281643787</c:v>
                </c:pt>
                <c:pt idx="72">
                  <c:v>-39.779850134571021</c:v>
                </c:pt>
                <c:pt idx="73">
                  <c:v>-39.54126646335785</c:v>
                </c:pt>
                <c:pt idx="74">
                  <c:v>-39.299216098063852</c:v>
                </c:pt>
                <c:pt idx="75">
                  <c:v>-39.053640574189529</c:v>
                </c:pt>
                <c:pt idx="76">
                  <c:v>-38.804478409427546</c:v>
                </c:pt>
                <c:pt idx="77">
                  <c:v>-38.551665396596945</c:v>
                </c:pt>
                <c:pt idx="78">
                  <c:v>-38.295134911783613</c:v>
                </c:pt>
                <c:pt idx="79">
                  <c:v>-38.034818236721513</c:v>
                </c:pt>
                <c:pt idx="80">
                  <c:v>-37.77064489443778</c:v>
                </c:pt>
                <c:pt idx="81">
                  <c:v>-37.502542997197018</c:v>
                </c:pt>
                <c:pt idx="82">
                  <c:v>-37.230439605779225</c:v>
                </c:pt>
                <c:pt idx="83">
                  <c:v>-36.95426109912669</c:v>
                </c:pt>
                <c:pt idx="84">
                  <c:v>-36.673933553399706</c:v>
                </c:pt>
                <c:pt idx="85">
                  <c:v>-36.389383129477082</c:v>
                </c:pt>
                <c:pt idx="86">
                  <c:v>-36.100536467952139</c:v>
                </c:pt>
                <c:pt idx="87">
                  <c:v>-35.807321090659975</c:v>
                </c:pt>
                <c:pt idx="88">
                  <c:v>-35.5096658077887</c:v>
                </c:pt>
                <c:pt idx="89">
                  <c:v>-35.207501129622507</c:v>
                </c:pt>
                <c:pt idx="90">
                  <c:v>-34.900759681963564</c:v>
                </c:pt>
                <c:pt idx="91">
                  <c:v>-34.589376624291702</c:v>
                </c:pt>
                <c:pt idx="92">
                  <c:v>-34.27329006971258</c:v>
                </c:pt>
                <c:pt idx="93">
                  <c:v>-33.952441505753491</c:v>
                </c:pt>
                <c:pt idx="94">
                  <c:v>-33.62677621506441</c:v>
                </c:pt>
                <c:pt idx="95">
                  <c:v>-33.296243695088947</c:v>
                </c:pt>
                <c:pt idx="96">
                  <c:v>-32.960798075764387</c:v>
                </c:pt>
                <c:pt idx="97">
                  <c:v>-32.620398534319328</c:v>
                </c:pt>
                <c:pt idx="98">
                  <c:v>-32.275009706235899</c:v>
                </c:pt>
                <c:pt idx="99">
                  <c:v>-31.924602091445756</c:v>
                </c:pt>
                <c:pt idx="100">
                  <c:v>-31.569152454832025</c:v>
                </c:pt>
                <c:pt idx="101">
                  <c:v>-31.208644220110866</c:v>
                </c:pt>
                <c:pt idx="102">
                  <c:v>-30.843067856169259</c:v>
                </c:pt>
                <c:pt idx="103">
                  <c:v>-30.472421254935863</c:v>
                </c:pt>
                <c:pt idx="104">
                  <c:v>-30.096710099867281</c:v>
                </c:pt>
                <c:pt idx="105">
                  <c:v>-29.715948224128944</c:v>
                </c:pt>
                <c:pt idx="106">
                  <c:v>-29.33015795755767</c:v>
                </c:pt>
                <c:pt idx="107">
                  <c:v>-28.939370461491325</c:v>
                </c:pt>
                <c:pt idx="108">
                  <c:v>-28.543626050553637</c:v>
                </c:pt>
                <c:pt idx="109">
                  <c:v>-28.142974500484804</c:v>
                </c:pt>
                <c:pt idx="110">
                  <c:v>-27.73747534111282</c:v>
                </c:pt>
                <c:pt idx="111">
                  <c:v>-27.327198133556006</c:v>
                </c:pt>
                <c:pt idx="112">
                  <c:v>-26.912222730758479</c:v>
                </c:pt>
                <c:pt idx="113">
                  <c:v>-26.49263952045337</c:v>
                </c:pt>
                <c:pt idx="114">
                  <c:v>-26.068549649657722</c:v>
                </c:pt>
                <c:pt idx="115">
                  <c:v>-25.640065229800953</c:v>
                </c:pt>
                <c:pt idx="116">
                  <c:v>-25.207309521592254</c:v>
                </c:pt>
                <c:pt idx="117">
                  <c:v>-24.770417098734235</c:v>
                </c:pt>
                <c:pt idx="118">
                  <c:v>-24.329533989592491</c:v>
                </c:pt>
                <c:pt idx="119">
                  <c:v>-23.884817795932719</c:v>
                </c:pt>
                <c:pt idx="120">
                  <c:v>-23.436437787838177</c:v>
                </c:pt>
                <c:pt idx="121">
                  <c:v>-22.984574973923994</c:v>
                </c:pt>
                <c:pt idx="122">
                  <c:v>-22.529422145965999</c:v>
                </c:pt>
                <c:pt idx="123">
                  <c:v>-22.071183897063833</c:v>
                </c:pt>
                <c:pt idx="124">
                  <c:v>-21.610076612459569</c:v>
                </c:pt>
                <c:pt idx="125">
                  <c:v>-21.146328432137413</c:v>
                </c:pt>
                <c:pt idx="126">
                  <c:v>-20.680179184329461</c:v>
                </c:pt>
                <c:pt idx="127">
                  <c:v>-20.21188028905571</c:v>
                </c:pt>
                <c:pt idx="128">
                  <c:v>-19.741694630829755</c:v>
                </c:pt>
                <c:pt idx="129">
                  <c:v>-19.269896399661025</c:v>
                </c:pt>
                <c:pt idx="130">
                  <c:v>-18.796770899489275</c:v>
                </c:pt>
                <c:pt idx="131">
                  <c:v>-18.322614323187576</c:v>
                </c:pt>
                <c:pt idx="132">
                  <c:v>-17.847733493271946</c:v>
                </c:pt>
                <c:pt idx="133">
                  <c:v>-17.372445567459376</c:v>
                </c:pt>
                <c:pt idx="134">
                  <c:v>-16.897077708216116</c:v>
                </c:pt>
                <c:pt idx="135">
                  <c:v>-16.42196671544184</c:v>
                </c:pt>
                <c:pt idx="136">
                  <c:v>-15.947458621436475</c:v>
                </c:pt>
                <c:pt idx="137">
                  <c:v>-15.473908247298734</c:v>
                </c:pt>
                <c:pt idx="138">
                  <c:v>-15.001678719907812</c:v>
                </c:pt>
                <c:pt idx="139">
                  <c:v>-14.531140948641303</c:v>
                </c:pt>
                <c:pt idx="140">
                  <c:v>-14.062673060984782</c:v>
                </c:pt>
                <c:pt idx="141">
                  <c:v>-13.596659796190764</c:v>
                </c:pt>
                <c:pt idx="142">
                  <c:v>-13.133491856146268</c:v>
                </c:pt>
                <c:pt idx="143">
                  <c:v>-12.673565212610853</c:v>
                </c:pt>
                <c:pt idx="144">
                  <c:v>-12.217280369988821</c:v>
                </c:pt>
                <c:pt idx="145">
                  <c:v>-11.765041582801461</c:v>
                </c:pt>
                <c:pt idx="146">
                  <c:v>-11.31725602702722</c:v>
                </c:pt>
                <c:pt idx="147">
                  <c:v>-10.874332924479853</c:v>
                </c:pt>
                <c:pt idx="148">
                  <c:v>-10.436682619396594</c:v>
                </c:pt>
                <c:pt idx="149">
                  <c:v>-10.004715606410617</c:v>
                </c:pt>
                <c:pt idx="150">
                  <c:v>-9.5788415090841408</c:v>
                </c:pt>
                <c:pt idx="151">
                  <c:v>-9.1594680081803261</c:v>
                </c:pt>
                <c:pt idx="152">
                  <c:v>-8.7469997188546174</c:v>
                </c:pt>
                <c:pt idx="153">
                  <c:v>-8.3418370159481174</c:v>
                </c:pt>
                <c:pt idx="154">
                  <c:v>-7.9443748065674651</c:v>
                </c:pt>
                <c:pt idx="155">
                  <c:v>-7.5550012491380727</c:v>
                </c:pt>
                <c:pt idx="156">
                  <c:v>-7.1740964181195519</c:v>
                </c:pt>
                <c:pt idx="157">
                  <c:v>-6.8020309135742156</c:v>
                </c:pt>
                <c:pt idx="158">
                  <c:v>-6.439164414781569</c:v>
                </c:pt>
                <c:pt idx="159">
                  <c:v>-6.0858441770941196</c:v>
                </c:pt>
                <c:pt idx="160">
                  <c:v>-5.7424034712313974</c:v>
                </c:pt>
                <c:pt idx="161">
                  <c:v>-5.4091599642116819</c:v>
                </c:pt>
                <c:pt idx="162">
                  <c:v>-5.0864140411227243</c:v>
                </c:pt>
                <c:pt idx="163">
                  <c:v>-4.7744470669348278</c:v>
                </c:pt>
                <c:pt idx="164">
                  <c:v>-4.473519587562004</c:v>
                </c:pt>
                <c:pt idx="165">
                  <c:v>-4.183869469378684</c:v>
                </c:pt>
                <c:pt idx="166">
                  <c:v>-3.9057099764017642</c:v>
                </c:pt>
                <c:pt idx="167">
                  <c:v>-3.6392277843498122</c:v>
                </c:pt>
                <c:pt idx="168">
                  <c:v>-3.3845809307932844</c:v>
                </c:pt>
                <c:pt idx="169">
                  <c:v>-3.1418967006118081</c:v>
                </c:pt>
                <c:pt idx="170">
                  <c:v>-2.9112694459765303</c:v>
                </c:pt>
                <c:pt idx="171">
                  <c:v>-2.6927583400777677</c:v>
                </c:pt>
                <c:pt idx="172">
                  <c:v>-2.4863850638201774</c:v>
                </c:pt>
                <c:pt idx="173">
                  <c:v>-2.2921314247098072</c:v>
                </c:pt>
                <c:pt idx="174">
                  <c:v>-2.109936907159462</c:v>
                </c:pt>
                <c:pt idx="175">
                  <c:v>-1.9396961534409067</c:v>
                </c:pt>
                <c:pt idx="176">
                  <c:v>-1.7812563745145373</c:v>
                </c:pt>
                <c:pt idx="177">
                  <c:v>-1.6344146899691938</c:v>
                </c:pt>
                <c:pt idx="178">
                  <c:v>-1.4989153963069473</c:v>
                </c:pt>
                <c:pt idx="179">
                  <c:v>-1.3744471628097228</c:v>
                </c:pt>
                <c:pt idx="180">
                  <c:v>-1.2606401542267269</c:v>
                </c:pt>
                <c:pt idx="181">
                  <c:v>-1.1570630795237675</c:v>
                </c:pt>
                <c:pt idx="182">
                  <c:v>-1.0632201659375908</c:v>
                </c:pt>
                <c:pt idx="183">
                  <c:v>-0.97854805758050301</c:v>
                </c:pt>
                <c:pt idx="184">
                  <c:v>-0.90241263784258618</c:v>
                </c:pt>
                <c:pt idx="185">
                  <c:v>-0.83410577484094783</c:v>
                </c:pt>
                <c:pt idx="186">
                  <c:v>-0.77284198916750424</c:v>
                </c:pt>
                <c:pt idx="187">
                  <c:v>-0.71775504318890482</c:v>
                </c:pt>
                <c:pt idx="188">
                  <c:v>-0.66789445115428114</c:v>
                </c:pt>
                <c:pt idx="189">
                  <c:v>-0.62222190936860833</c:v>
                </c:pt>
                <c:pt idx="190">
                  <c:v>-0.57960764569153933</c:v>
                </c:pt>
                <c:pt idx="191">
                  <c:v>-0.53882668762367958</c:v>
                </c:pt>
                <c:pt idx="192">
                  <c:v>-0.4985550482443426</c:v>
                </c:pt>
                <c:pt idx="193">
                  <c:v>-0.4573658292669322</c:v>
                </c:pt>
                <c:pt idx="194">
                  <c:v>-0.41372524048017018</c:v>
                </c:pt>
                <c:pt idx="195">
                  <c:v>-0.36598853484549509</c:v>
                </c:pt>
                <c:pt idx="196">
                  <c:v>-0.31239585852303242</c:v>
                </c:pt>
                <c:pt idx="197">
                  <c:v>-0.25106801510063581</c:v>
                </c:pt>
                <c:pt idx="198">
                  <c:v>-0.18000214330258288</c:v>
                </c:pt>
                <c:pt idx="199">
                  <c:v>-9.7067307456602983E-2</c:v>
                </c:pt>
                <c:pt idx="200">
                  <c:v>0</c:v>
                </c:pt>
              </c:numCache>
            </c:numRef>
          </c:yVal>
          <c:smooth val="1"/>
        </c:ser>
        <c:dLbls>
          <c:showLegendKey val="0"/>
          <c:showVal val="0"/>
          <c:showCatName val="0"/>
          <c:showSerName val="0"/>
          <c:showPercent val="0"/>
          <c:showBubbleSize val="0"/>
        </c:dLbls>
        <c:axId val="547597856"/>
        <c:axId val="547600992"/>
      </c:scatterChart>
      <c:valAx>
        <c:axId val="547597856"/>
        <c:scaling>
          <c:orientation val="minMax"/>
          <c:min val="-120"/>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547600992"/>
        <c:crossesAt val="-1000"/>
        <c:crossBetween val="midCat"/>
      </c:valAx>
      <c:valAx>
        <c:axId val="54760099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547597856"/>
        <c:crossesAt val="-1000"/>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de-DE"/>
    </a:p>
  </c:txPr>
  <c:printSettings>
    <c:headerFooter/>
    <c:pageMargins b="0.78740157499999996" l="0.7" r="0.7" t="0.78740157499999996"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5" Type="http://schemas.openxmlformats.org/officeDocument/2006/relationships/chart" Target="../charts/chart5.xml"/><Relationship Id="rId4" Type="http://schemas.openxmlformats.org/officeDocument/2006/relationships/chart" Target="../charts/chart4.xml"/></Relationships>
</file>

<file path=xl/drawings/_rels/drawing2.xml.rels><?xml version="1.0" encoding="UTF-8" standalone="yes"?>
<Relationships xmlns="http://schemas.openxmlformats.org/package/2006/relationships"><Relationship Id="rId3" Type="http://schemas.openxmlformats.org/officeDocument/2006/relationships/chart" Target="../charts/chart8.xml"/><Relationship Id="rId7" Type="http://schemas.openxmlformats.org/officeDocument/2006/relationships/chart" Target="../charts/chart12.xml"/><Relationship Id="rId2" Type="http://schemas.openxmlformats.org/officeDocument/2006/relationships/chart" Target="../charts/chart7.xml"/><Relationship Id="rId1" Type="http://schemas.openxmlformats.org/officeDocument/2006/relationships/chart" Target="../charts/chart6.xml"/><Relationship Id="rId6" Type="http://schemas.openxmlformats.org/officeDocument/2006/relationships/chart" Target="../charts/chart11.xml"/><Relationship Id="rId5" Type="http://schemas.openxmlformats.org/officeDocument/2006/relationships/chart" Target="../charts/chart10.xml"/><Relationship Id="rId4" Type="http://schemas.openxmlformats.org/officeDocument/2006/relationships/chart" Target="../charts/chart9.xml"/></Relationships>
</file>

<file path=xl/drawings/_rels/drawing3.xml.rels><?xml version="1.0" encoding="UTF-8" standalone="yes"?>
<Relationships xmlns="http://schemas.openxmlformats.org/package/2006/relationships"><Relationship Id="rId1" Type="http://schemas.openxmlformats.org/officeDocument/2006/relationships/chart" Target="../charts/chart13.xml"/></Relationships>
</file>

<file path=xl/drawings/drawing1.xml><?xml version="1.0" encoding="utf-8"?>
<xdr:wsDr xmlns:xdr="http://schemas.openxmlformats.org/drawingml/2006/spreadsheetDrawing" xmlns:a="http://schemas.openxmlformats.org/drawingml/2006/main">
  <xdr:twoCellAnchor>
    <xdr:from>
      <xdr:col>0</xdr:col>
      <xdr:colOff>0</xdr:colOff>
      <xdr:row>35</xdr:row>
      <xdr:rowOff>4762</xdr:rowOff>
    </xdr:from>
    <xdr:to>
      <xdr:col>10</xdr:col>
      <xdr:colOff>304800</xdr:colOff>
      <xdr:row>49</xdr:row>
      <xdr:rowOff>80962</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0</xdr:colOff>
      <xdr:row>35</xdr:row>
      <xdr:rowOff>4762</xdr:rowOff>
    </xdr:from>
    <xdr:to>
      <xdr:col>23</xdr:col>
      <xdr:colOff>600808</xdr:colOff>
      <xdr:row>49</xdr:row>
      <xdr:rowOff>57150</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49</xdr:col>
      <xdr:colOff>0</xdr:colOff>
      <xdr:row>35</xdr:row>
      <xdr:rowOff>4762</xdr:rowOff>
    </xdr:from>
    <xdr:to>
      <xdr:col>59</xdr:col>
      <xdr:colOff>600808</xdr:colOff>
      <xdr:row>49</xdr:row>
      <xdr:rowOff>80962</xdr:rowOff>
    </xdr:to>
    <xdr:graphicFrame macro="">
      <xdr:nvGraphicFramePr>
        <xdr:cNvPr id="7" name="Chart 6"/>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25</xdr:col>
      <xdr:colOff>0</xdr:colOff>
      <xdr:row>34</xdr:row>
      <xdr:rowOff>185737</xdr:rowOff>
    </xdr:from>
    <xdr:to>
      <xdr:col>36</xdr:col>
      <xdr:colOff>0</xdr:colOff>
      <xdr:row>49</xdr:row>
      <xdr:rowOff>71437</xdr:rowOff>
    </xdr:to>
    <xdr:graphicFrame macro="">
      <xdr:nvGraphicFramePr>
        <xdr:cNvPr id="6" name="Chart 5"/>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37</xdr:col>
      <xdr:colOff>0</xdr:colOff>
      <xdr:row>35</xdr:row>
      <xdr:rowOff>0</xdr:rowOff>
    </xdr:from>
    <xdr:to>
      <xdr:col>47</xdr:col>
      <xdr:colOff>601541</xdr:colOff>
      <xdr:row>49</xdr:row>
      <xdr:rowOff>28575</xdr:rowOff>
    </xdr:to>
    <xdr:graphicFrame macro="">
      <xdr:nvGraphicFramePr>
        <xdr:cNvPr id="9" name="Chart 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5</xdr:col>
      <xdr:colOff>816428</xdr:colOff>
      <xdr:row>84</xdr:row>
      <xdr:rowOff>0</xdr:rowOff>
    </xdr:from>
    <xdr:to>
      <xdr:col>18</xdr:col>
      <xdr:colOff>451757</xdr:colOff>
      <xdr:row>105</xdr:row>
      <xdr:rowOff>76200</xdr:rowOff>
    </xdr:to>
    <xdr:graphicFrame macro="">
      <xdr:nvGraphicFramePr>
        <xdr:cNvPr id="3" name="Diagramm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5</xdr:col>
      <xdr:colOff>816428</xdr:colOff>
      <xdr:row>59</xdr:row>
      <xdr:rowOff>0</xdr:rowOff>
    </xdr:from>
    <xdr:to>
      <xdr:col>20</xdr:col>
      <xdr:colOff>346982</xdr:colOff>
      <xdr:row>81</xdr:row>
      <xdr:rowOff>138113</xdr:rowOff>
    </xdr:to>
    <xdr:graphicFrame macro="">
      <xdr:nvGraphicFramePr>
        <xdr:cNvPr id="4" name="Diagramm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33</xdr:col>
      <xdr:colOff>0</xdr:colOff>
      <xdr:row>158</xdr:row>
      <xdr:rowOff>142875</xdr:rowOff>
    </xdr:from>
    <xdr:to>
      <xdr:col>42</xdr:col>
      <xdr:colOff>198438</xdr:colOff>
      <xdr:row>174</xdr:row>
      <xdr:rowOff>138113</xdr:rowOff>
    </xdr:to>
    <xdr:graphicFrame macro="">
      <xdr:nvGraphicFramePr>
        <xdr:cNvPr id="9" name="Diagramm 8"/>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14</xdr:col>
      <xdr:colOff>452438</xdr:colOff>
      <xdr:row>112</xdr:row>
      <xdr:rowOff>61119</xdr:rowOff>
    </xdr:from>
    <xdr:to>
      <xdr:col>20</xdr:col>
      <xdr:colOff>452438</xdr:colOff>
      <xdr:row>126</xdr:row>
      <xdr:rowOff>137319</xdr:rowOff>
    </xdr:to>
    <xdr:graphicFrame macro="">
      <xdr:nvGraphicFramePr>
        <xdr:cNvPr id="5" name="Diagramm 4"/>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31</xdr:col>
      <xdr:colOff>722313</xdr:colOff>
      <xdr:row>111</xdr:row>
      <xdr:rowOff>5555</xdr:rowOff>
    </xdr:from>
    <xdr:to>
      <xdr:col>37</xdr:col>
      <xdr:colOff>722313</xdr:colOff>
      <xdr:row>125</xdr:row>
      <xdr:rowOff>81755</xdr:rowOff>
    </xdr:to>
    <xdr:graphicFrame macro="">
      <xdr:nvGraphicFramePr>
        <xdr:cNvPr id="2" name="Diagramm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4</xdr:col>
      <xdr:colOff>468313</xdr:colOff>
      <xdr:row>436</xdr:row>
      <xdr:rowOff>188118</xdr:rowOff>
    </xdr:from>
    <xdr:to>
      <xdr:col>9</xdr:col>
      <xdr:colOff>206375</xdr:colOff>
      <xdr:row>451</xdr:row>
      <xdr:rowOff>73818</xdr:rowOff>
    </xdr:to>
    <xdr:graphicFrame macro="">
      <xdr:nvGraphicFramePr>
        <xdr:cNvPr id="6" name="Diagramm 5"/>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0</xdr:col>
      <xdr:colOff>0</xdr:colOff>
      <xdr:row>102</xdr:row>
      <xdr:rowOff>7938</xdr:rowOff>
    </xdr:from>
    <xdr:to>
      <xdr:col>5</xdr:col>
      <xdr:colOff>809624</xdr:colOff>
      <xdr:row>119</xdr:row>
      <xdr:rowOff>179388</xdr:rowOff>
    </xdr:to>
    <xdr:graphicFrame macro="">
      <xdr:nvGraphicFramePr>
        <xdr:cNvPr id="8" name="Diagramm 7"/>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4</xdr:col>
      <xdr:colOff>0</xdr:colOff>
      <xdr:row>0</xdr:row>
      <xdr:rowOff>0</xdr:rowOff>
    </xdr:from>
    <xdr:to>
      <xdr:col>10</xdr:col>
      <xdr:colOff>0</xdr:colOff>
      <xdr:row>9</xdr:row>
      <xdr:rowOff>95250</xdr:rowOff>
    </xdr:to>
    <xdr:graphicFrame macro="">
      <xdr:nvGraphicFramePr>
        <xdr:cNvPr id="3" name="Diagramm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queryTables/queryTable1.xml><?xml version="1.0" encoding="utf-8"?>
<queryTable xmlns="http://schemas.openxmlformats.org/spreadsheetml/2006/main" name="CTE_res100" connectionId="7" autoFormatId="16" applyNumberFormats="0" applyBorderFormats="0" applyFontFormats="0" applyPatternFormats="0" applyAlignmentFormats="0" applyWidthHeightFormats="0"/>
</file>

<file path=xl/queryTables/queryTable2.xml><?xml version="1.0" encoding="utf-8"?>
<queryTable xmlns="http://schemas.openxmlformats.org/spreadsheetml/2006/main" name="STUTT" connectionId="9" autoFormatId="16" applyNumberFormats="0" applyBorderFormats="0" applyFontFormats="0" applyPatternFormats="0" applyAlignmentFormats="0" applyWidthHeightFormats="0"/>
</file>

<file path=xl/queryTables/queryTable3.xml><?xml version="1.0" encoding="utf-8"?>
<queryTable xmlns="http://schemas.openxmlformats.org/spreadsheetml/2006/main" name="creep_res-25" connectionId="3" autoFormatId="16" applyNumberFormats="0" applyBorderFormats="0" applyFontFormats="0" applyPatternFormats="0" applyAlignmentFormats="0" applyWidthHeightFormats="0"/>
</file>

<file path=xl/queryTables/queryTable4.xml><?xml version="1.0" encoding="utf-8"?>
<queryTable xmlns="http://schemas.openxmlformats.org/spreadsheetml/2006/main" name="creep_res50" connectionId="4" autoFormatId="16" applyNumberFormats="0" applyBorderFormats="0" applyFontFormats="0" applyPatternFormats="0" applyAlignmentFormats="0" applyWidthHeightFormats="0"/>
</file>

<file path=xl/queryTables/queryTable5.xml><?xml version="1.0" encoding="utf-8"?>
<queryTable xmlns="http://schemas.openxmlformats.org/spreadsheetml/2006/main" name="creep_res75_1" connectionId="5" autoFormatId="16" applyNumberFormats="0" applyBorderFormats="0" applyFontFormats="0" applyPatternFormats="0" applyAlignmentFormats="0" applyWidthHeightFormats="0"/>
</file>

<file path=xl/queryTables/queryTable6.xml><?xml version="1.0" encoding="utf-8"?>
<queryTable xmlns="http://schemas.openxmlformats.org/spreadsheetml/2006/main" name="creep_res80" connectionId="6" autoFormatId="16" applyNumberFormats="0" applyBorderFormats="0" applyFontFormats="0" applyPatternFormats="0" applyAlignmentFormats="0" applyWidthHeightFormats="0"/>
</file>

<file path=xl/queryTables/queryTable7.xml><?xml version="1.0" encoding="utf-8"?>
<queryTable xmlns="http://schemas.openxmlformats.org/spreadsheetml/2006/main" name="res_z80" connectionId="8" autoFormatId="16" applyNumberFormats="0" applyBorderFormats="0" applyFontFormats="0" applyPatternFormats="0" applyAlignmentFormats="0" applyWidthHeightFormats="0"/>
</file>

<file path=xl/queryTables/queryTable8.xml><?xml version="1.0" encoding="utf-8"?>
<queryTable xmlns="http://schemas.openxmlformats.org/spreadsheetml/2006/main" name="creep_res120" connectionId="2" autoFormatId="16" applyNumberFormats="0" applyBorderFormats="0" applyFontFormats="0" applyPatternFormats="0" applyAlignmentFormats="0" applyWidthHeightFormats="0"/>
</file>

<file path=xl/queryTables/queryTable9.xml><?xml version="1.0" encoding="utf-8"?>
<queryTable xmlns="http://schemas.openxmlformats.org/spreadsheetml/2006/main" name="creep_res110" connectionId="1" autoFormatId="16" applyNumberFormats="0" applyBorderFormats="0" applyFontFormats="0" applyPatternFormats="0" applyAlignmentFormats="0" applyWidthHeightFormats="0"/>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1" Type="http://schemas.openxmlformats.org/officeDocument/2006/relationships/queryTable" Target="../queryTables/queryTable1.xml"/></Relationships>
</file>

<file path=xl/worksheets/_rels/sheet4.xml.rels><?xml version="1.0" encoding="UTF-8" standalone="yes"?>
<Relationships xmlns="http://schemas.openxmlformats.org/package/2006/relationships"><Relationship Id="rId1" Type="http://schemas.openxmlformats.org/officeDocument/2006/relationships/queryTable" Target="../queryTables/queryTable2.xml"/></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3.bin"/></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8.xml.rels><?xml version="1.0" encoding="UTF-8" standalone="yes"?>
<Relationships xmlns="http://schemas.openxmlformats.org/package/2006/relationships"><Relationship Id="rId1" Type="http://schemas.openxmlformats.org/officeDocument/2006/relationships/queryTable" Target="../queryTables/queryTable3.xml"/></Relationships>
</file>

<file path=xl/worksheets/_rels/sheet9.xml.rels><?xml version="1.0" encoding="UTF-8" standalone="yes"?>
<Relationships xmlns="http://schemas.openxmlformats.org/package/2006/relationships"><Relationship Id="rId1" Type="http://schemas.openxmlformats.org/officeDocument/2006/relationships/queryTable" Target="../queryTables/queryTable4.xml"/></Relationships>
</file>

<file path=xl/worksheets/_rels/sheet10.xml.rels><?xml version="1.0" encoding="UTF-8" standalone="yes"?>
<Relationships xmlns="http://schemas.openxmlformats.org/package/2006/relationships"><Relationship Id="rId1" Type="http://schemas.openxmlformats.org/officeDocument/2006/relationships/queryTable" Target="../queryTables/queryTable5.xml"/></Relationships>
</file>

<file path=xl/worksheets/_rels/sheet11.xml.rels><?xml version="1.0" encoding="UTF-8" standalone="yes"?>
<Relationships xmlns="http://schemas.openxmlformats.org/package/2006/relationships"><Relationship Id="rId1" Type="http://schemas.openxmlformats.org/officeDocument/2006/relationships/queryTable" Target="../queryTables/queryTable6.xml"/></Relationships>
</file>

<file path=xl/worksheets/_rels/sheet12.xml.rels><?xml version="1.0" encoding="UTF-8" standalone="yes"?>
<Relationships xmlns="http://schemas.openxmlformats.org/package/2006/relationships"><Relationship Id="rId1" Type="http://schemas.openxmlformats.org/officeDocument/2006/relationships/queryTable" Target="../queryTables/queryTable7.xml"/></Relationships>
</file>

<file path=xl/worksheets/_rels/sheet13.xml.rels><?xml version="1.0" encoding="UTF-8" standalone="yes"?>
<Relationships xmlns="http://schemas.openxmlformats.org/package/2006/relationships"><Relationship Id="rId1" Type="http://schemas.openxmlformats.org/officeDocument/2006/relationships/queryTable" Target="../queryTables/queryTable8.xml"/></Relationships>
</file>

<file path=xl/worksheets/_rels/sheet14.xml.rels><?xml version="1.0" encoding="UTF-8" standalone="yes"?>
<Relationships xmlns="http://schemas.openxmlformats.org/package/2006/relationships"><Relationship Id="rId1" Type="http://schemas.openxmlformats.org/officeDocument/2006/relationships/queryTable" Target="../queryTables/queryTable9.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19"/>
  <dimension ref="A1:M6"/>
  <sheetViews>
    <sheetView workbookViewId="0">
      <selection activeCell="C17" sqref="C17"/>
    </sheetView>
  </sheetViews>
  <sheetFormatPr baseColWidth="10" defaultRowHeight="15" x14ac:dyDescent="0.25"/>
  <cols>
    <col min="1" max="1" width="22.140625" customWidth="1"/>
  </cols>
  <sheetData>
    <row r="1" spans="1:13" x14ac:dyDescent="0.25">
      <c r="A1" s="13" t="s">
        <v>102</v>
      </c>
      <c r="B1" s="63" t="s">
        <v>103</v>
      </c>
      <c r="D1" t="s">
        <v>104</v>
      </c>
    </row>
    <row r="2" spans="1:13" x14ac:dyDescent="0.25">
      <c r="A2" s="13" t="s">
        <v>105</v>
      </c>
      <c r="B2" s="63" t="s">
        <v>106</v>
      </c>
      <c r="D2" s="111" t="s">
        <v>107</v>
      </c>
      <c r="E2" s="111"/>
      <c r="F2" s="111"/>
      <c r="G2" s="111"/>
      <c r="H2" s="111"/>
      <c r="I2" s="111"/>
      <c r="J2" s="111"/>
      <c r="K2" s="111"/>
      <c r="L2" s="111"/>
      <c r="M2" s="111"/>
    </row>
    <row r="3" spans="1:13" x14ac:dyDescent="0.25">
      <c r="D3" s="111"/>
      <c r="E3" s="111"/>
      <c r="F3" s="111"/>
      <c r="G3" s="111"/>
      <c r="H3" s="111"/>
      <c r="I3" s="111"/>
      <c r="J3" s="111"/>
      <c r="K3" s="111"/>
      <c r="L3" s="111"/>
      <c r="M3" s="111"/>
    </row>
    <row r="5" spans="1:13" x14ac:dyDescent="0.25">
      <c r="A5" s="15"/>
      <c r="B5" s="42"/>
      <c r="C5" s="15"/>
      <c r="D5" s="43"/>
      <c r="E5" s="43"/>
      <c r="F5" s="43"/>
      <c r="G5" s="43"/>
      <c r="H5" s="43"/>
      <c r="I5" s="15"/>
    </row>
    <row r="6" spans="1:13" x14ac:dyDescent="0.25">
      <c r="A6" s="15"/>
      <c r="B6" s="42"/>
      <c r="C6" s="15"/>
      <c r="D6" s="15"/>
      <c r="E6" s="15"/>
      <c r="F6" s="15"/>
      <c r="G6" s="15"/>
      <c r="H6" s="15"/>
      <c r="I6" s="15"/>
    </row>
  </sheetData>
  <mergeCells count="1">
    <mergeCell ref="D2:M3"/>
  </mergeCells>
  <pageMargins left="0.7" right="0.7" top="0.78740157499999996" bottom="0.78740157499999996"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2"/>
  <dimension ref="A1:E158"/>
  <sheetViews>
    <sheetView topLeftCell="A19" workbookViewId="0">
      <selection activeCell="I11" sqref="A1:XFD1048576"/>
    </sheetView>
  </sheetViews>
  <sheetFormatPr baseColWidth="10" defaultRowHeight="15" x14ac:dyDescent="0.25"/>
  <cols>
    <col min="1" max="1" width="15.42578125" customWidth="1"/>
    <col min="2" max="2" width="23.85546875" customWidth="1"/>
    <col min="3" max="3" width="3" customWidth="1"/>
    <col min="4" max="4" width="13.140625" bestFit="1" customWidth="1"/>
    <col min="5" max="5" width="28.140625" customWidth="1"/>
  </cols>
  <sheetData>
    <row r="1" spans="1:4" s="11" customFormat="1" x14ac:dyDescent="0.25">
      <c r="A1" s="11" t="s">
        <v>43</v>
      </c>
    </row>
    <row r="2" spans="1:4" s="11" customFormat="1" x14ac:dyDescent="0.25">
      <c r="A2" s="11" t="s">
        <v>44</v>
      </c>
    </row>
    <row r="3" spans="1:4" s="11" customFormat="1" x14ac:dyDescent="0.25"/>
    <row r="4" spans="1:4" s="11" customFormat="1" x14ac:dyDescent="0.25">
      <c r="A4" s="11" t="s">
        <v>45</v>
      </c>
    </row>
    <row r="5" spans="1:4" s="11" customFormat="1" x14ac:dyDescent="0.25">
      <c r="A5" s="11" t="s">
        <v>46</v>
      </c>
    </row>
    <row r="6" spans="1:4" s="11" customFormat="1" x14ac:dyDescent="0.25">
      <c r="A6" s="11" t="s">
        <v>47</v>
      </c>
    </row>
    <row r="7" spans="1:4" s="11" customFormat="1" x14ac:dyDescent="0.25"/>
    <row r="8" spans="1:4" s="11" customFormat="1" x14ac:dyDescent="0.25"/>
    <row r="9" spans="1:4" s="11" customFormat="1" x14ac:dyDescent="0.25">
      <c r="A9" s="11" t="s">
        <v>48</v>
      </c>
    </row>
    <row r="10" spans="1:4" s="11" customFormat="1" x14ac:dyDescent="0.25">
      <c r="A10" s="11" t="s">
        <v>49</v>
      </c>
    </row>
    <row r="11" spans="1:4" s="11" customFormat="1" x14ac:dyDescent="0.25">
      <c r="A11" s="11" t="s">
        <v>50</v>
      </c>
      <c r="D11" s="11" t="s">
        <v>51</v>
      </c>
    </row>
    <row r="12" spans="1:4" s="11" customFormat="1" x14ac:dyDescent="0.25"/>
    <row r="13" spans="1:4" s="11" customFormat="1" x14ac:dyDescent="0.25">
      <c r="A13" s="11" t="s">
        <v>52</v>
      </c>
    </row>
    <row r="14" spans="1:4" s="11" customFormat="1" x14ac:dyDescent="0.25"/>
    <row r="15" spans="1:4" s="11" customFormat="1" x14ac:dyDescent="0.25">
      <c r="A15" s="11" t="s">
        <v>53</v>
      </c>
    </row>
    <row r="16" spans="1:4" s="11" customFormat="1" x14ac:dyDescent="0.25"/>
    <row r="17" spans="1:2" s="11" customFormat="1" x14ac:dyDescent="0.25">
      <c r="A17" s="11" t="s">
        <v>54</v>
      </c>
    </row>
    <row r="18" spans="1:2" s="11" customFormat="1" x14ac:dyDescent="0.25"/>
    <row r="19" spans="1:2" s="11" customFormat="1" x14ac:dyDescent="0.25">
      <c r="A19" s="11" t="s">
        <v>55</v>
      </c>
    </row>
    <row r="20" spans="1:2" s="11" customFormat="1" x14ac:dyDescent="0.25">
      <c r="A20" s="61" t="s">
        <v>155</v>
      </c>
      <c r="B20" s="99">
        <f>CTE!N5</f>
        <v>0.5</v>
      </c>
    </row>
    <row r="21" spans="1:2" s="11" customFormat="1" x14ac:dyDescent="0.25">
      <c r="A21" s="61" t="s">
        <v>156</v>
      </c>
      <c r="B21" s="99">
        <f>CTE!N6-0.5</f>
        <v>85</v>
      </c>
    </row>
    <row r="22" spans="1:2" s="11" customFormat="1" x14ac:dyDescent="0.25">
      <c r="A22" s="61" t="s">
        <v>157</v>
      </c>
      <c r="B22" s="99">
        <f>CTE!N8-0.5</f>
        <v>95</v>
      </c>
    </row>
    <row r="23" spans="1:2" s="11" customFormat="1" x14ac:dyDescent="0.25">
      <c r="A23" s="61" t="s">
        <v>158</v>
      </c>
      <c r="B23" s="99">
        <f>CTE!N9</f>
        <v>180.5</v>
      </c>
    </row>
    <row r="24" spans="1:2" s="11" customFormat="1" x14ac:dyDescent="0.25"/>
    <row r="25" spans="1:2" s="11" customFormat="1" x14ac:dyDescent="0.25">
      <c r="A25" s="61" t="s">
        <v>147</v>
      </c>
      <c r="B25" s="53">
        <f>CTE!O5</f>
        <v>2.5270250571428573E-5</v>
      </c>
    </row>
    <row r="26" spans="1:2" s="11" customFormat="1" x14ac:dyDescent="0.25">
      <c r="A26" s="61" t="s">
        <v>148</v>
      </c>
      <c r="B26" s="53">
        <f>CTE!O6</f>
        <v>2.7904964857142861E-5</v>
      </c>
    </row>
    <row r="27" spans="1:2" s="11" customFormat="1" x14ac:dyDescent="0.25">
      <c r="A27" s="61" t="s">
        <v>149</v>
      </c>
      <c r="B27" s="53">
        <f>CTE!O8</f>
        <v>7.0197717142857148E-5</v>
      </c>
    </row>
    <row r="28" spans="1:2" s="11" customFormat="1" x14ac:dyDescent="0.25">
      <c r="A28" s="61" t="s">
        <v>150</v>
      </c>
      <c r="B28" s="53">
        <f>CTE!O9</f>
        <v>6.9821937142857152E-5</v>
      </c>
    </row>
    <row r="29" spans="1:2" s="11" customFormat="1" x14ac:dyDescent="0.25">
      <c r="A29" s="61"/>
    </row>
    <row r="30" spans="1:2" s="11" customFormat="1" x14ac:dyDescent="0.25">
      <c r="A30" s="61" t="s">
        <v>151</v>
      </c>
      <c r="B30" s="52">
        <f>CTE!P5</f>
        <v>2.2752914736842108E-5</v>
      </c>
    </row>
    <row r="31" spans="1:2" s="11" customFormat="1" x14ac:dyDescent="0.25">
      <c r="A31" s="61" t="s">
        <v>152</v>
      </c>
      <c r="B31" s="52">
        <f>CTE!P6</f>
        <v>2.4298146315789474E-5</v>
      </c>
    </row>
    <row r="32" spans="1:2" s="11" customFormat="1" x14ac:dyDescent="0.25">
      <c r="A32" s="61" t="s">
        <v>153</v>
      </c>
      <c r="B32" s="52">
        <f>CTE!P8</f>
        <v>4.5848989473684213E-5</v>
      </c>
    </row>
    <row r="33" spans="1:2" s="11" customFormat="1" x14ac:dyDescent="0.25">
      <c r="A33" s="61" t="s">
        <v>154</v>
      </c>
      <c r="B33" s="52">
        <f>CTE!P9</f>
        <v>4.720299789473684E-5</v>
      </c>
    </row>
    <row r="34" spans="1:2" s="11" customFormat="1" x14ac:dyDescent="0.25"/>
    <row r="35" spans="1:2" s="11" customFormat="1" x14ac:dyDescent="0.25">
      <c r="A35" s="11" t="s">
        <v>56</v>
      </c>
    </row>
    <row r="36" spans="1:2" s="11" customFormat="1" x14ac:dyDescent="0.25">
      <c r="A36" s="11" t="s">
        <v>159</v>
      </c>
    </row>
    <row r="37" spans="1:2" s="11" customFormat="1" x14ac:dyDescent="0.25">
      <c r="A37" s="11" t="s">
        <v>160</v>
      </c>
    </row>
    <row r="38" spans="1:2" s="11" customFormat="1" x14ac:dyDescent="0.25">
      <c r="A38" s="11" t="s">
        <v>161</v>
      </c>
    </row>
    <row r="39" spans="1:2" s="11" customFormat="1" x14ac:dyDescent="0.25">
      <c r="A39" s="11" t="s">
        <v>162</v>
      </c>
    </row>
    <row r="40" spans="1:2" s="11" customFormat="1" x14ac:dyDescent="0.25"/>
    <row r="41" spans="1:2" s="11" customFormat="1" x14ac:dyDescent="0.25">
      <c r="A41" s="11" t="s">
        <v>57</v>
      </c>
    </row>
    <row r="42" spans="1:2" s="11" customFormat="1" x14ac:dyDescent="0.25">
      <c r="A42" s="11" t="s">
        <v>114</v>
      </c>
      <c r="B42" s="52">
        <f>273.15+'Mastercurve bestimmen'!B2</f>
        <v>433.15</v>
      </c>
    </row>
    <row r="43" spans="1:2" s="11" customFormat="1" x14ac:dyDescent="0.25">
      <c r="A43" s="11" t="s">
        <v>58</v>
      </c>
    </row>
    <row r="44" spans="1:2" s="11" customFormat="1" x14ac:dyDescent="0.25">
      <c r="A44" s="11" t="s">
        <v>59</v>
      </c>
      <c r="B44" s="11" t="s">
        <v>60</v>
      </c>
    </row>
    <row r="45" spans="1:2" s="11" customFormat="1" x14ac:dyDescent="0.25">
      <c r="A45" s="11" t="s">
        <v>61</v>
      </c>
    </row>
    <row r="46" spans="1:2" s="11" customFormat="1" x14ac:dyDescent="0.25">
      <c r="A46" s="11" t="s">
        <v>62</v>
      </c>
    </row>
    <row r="47" spans="1:2" s="11" customFormat="1" x14ac:dyDescent="0.25">
      <c r="A47" s="11" t="s">
        <v>63</v>
      </c>
    </row>
    <row r="48" spans="1:2" s="11" customFormat="1" x14ac:dyDescent="0.25">
      <c r="A48" s="11" t="s">
        <v>64</v>
      </c>
    </row>
    <row r="49" spans="1:4" s="11" customFormat="1" x14ac:dyDescent="0.25">
      <c r="A49" s="11" t="s">
        <v>65</v>
      </c>
    </row>
    <row r="50" spans="1:4" s="11" customFormat="1" x14ac:dyDescent="0.25">
      <c r="A50" s="11" t="s">
        <v>66</v>
      </c>
    </row>
    <row r="51" spans="1:4" s="11" customFormat="1" x14ac:dyDescent="0.25">
      <c r="A51" s="11" t="s">
        <v>67</v>
      </c>
    </row>
    <row r="52" spans="1:4" s="11" customFormat="1" x14ac:dyDescent="0.25">
      <c r="A52" s="11" t="s">
        <v>68</v>
      </c>
    </row>
    <row r="53" spans="1:4" s="11" customFormat="1" x14ac:dyDescent="0.25">
      <c r="A53" s="11" t="s">
        <v>69</v>
      </c>
    </row>
    <row r="54" spans="1:4" s="11" customFormat="1" x14ac:dyDescent="0.25">
      <c r="A54" s="11" t="s">
        <v>70</v>
      </c>
    </row>
    <row r="55" spans="1:4" s="11" customFormat="1" x14ac:dyDescent="0.25">
      <c r="A55" s="11" t="s">
        <v>71</v>
      </c>
    </row>
    <row r="56" spans="1:4" s="11" customFormat="1" x14ac:dyDescent="0.25"/>
    <row r="57" spans="1:4" s="11" customFormat="1" x14ac:dyDescent="0.25">
      <c r="A57" s="11" t="s">
        <v>72</v>
      </c>
      <c r="B57" s="11" t="s">
        <v>73</v>
      </c>
    </row>
    <row r="58" spans="1:4" s="11" customFormat="1" x14ac:dyDescent="0.25">
      <c r="A58" s="11" t="s">
        <v>74</v>
      </c>
    </row>
    <row r="59" spans="1:4" s="11" customFormat="1" x14ac:dyDescent="0.25">
      <c r="A59" s="54">
        <v>1</v>
      </c>
      <c r="B59" s="56">
        <f>'Shiftfunktion bestimmen'!N1</f>
        <v>0.10492210301683248</v>
      </c>
      <c r="D59" s="55">
        <v>1</v>
      </c>
    </row>
    <row r="60" spans="1:4" s="11" customFormat="1" x14ac:dyDescent="0.25">
      <c r="A60" s="54">
        <v>2</v>
      </c>
      <c r="B60" s="56">
        <f>'Shiftfunktion bestimmen'!N2</f>
        <v>8.260659383952703E-3</v>
      </c>
      <c r="D60" s="55">
        <v>2</v>
      </c>
    </row>
    <row r="61" spans="1:4" s="11" customFormat="1" x14ac:dyDescent="0.25">
      <c r="A61" s="54">
        <v>3</v>
      </c>
      <c r="B61" s="56">
        <f>'Shiftfunktion bestimmen'!N3</f>
        <v>4.1173372095884602E-4</v>
      </c>
      <c r="D61" s="55">
        <v>3</v>
      </c>
    </row>
    <row r="62" spans="1:4" s="11" customFormat="1" x14ac:dyDescent="0.25">
      <c r="A62" s="54">
        <v>4</v>
      </c>
      <c r="B62" s="56">
        <f>'Shiftfunktion bestimmen'!N4</f>
        <v>5.9091087352515111E-6</v>
      </c>
      <c r="D62" s="55">
        <v>4</v>
      </c>
    </row>
    <row r="63" spans="1:4" s="11" customFormat="1" x14ac:dyDescent="0.25">
      <c r="A63" s="54">
        <v>5</v>
      </c>
      <c r="B63" s="56">
        <f>'Shiftfunktion bestimmen'!N5</f>
        <v>3.9336506351585157E-8</v>
      </c>
      <c r="D63" s="55">
        <v>5</v>
      </c>
    </row>
    <row r="64" spans="1:4" s="11" customFormat="1" x14ac:dyDescent="0.25">
      <c r="A64" s="54">
        <v>6</v>
      </c>
      <c r="B64" s="56">
        <f>'Shiftfunktion bestimmen'!N6</f>
        <v>1.2514804860287318E-10</v>
      </c>
      <c r="D64" s="55">
        <v>6</v>
      </c>
    </row>
    <row r="65" spans="1:5" s="11" customFormat="1" x14ac:dyDescent="0.25">
      <c r="A65" s="54">
        <v>7</v>
      </c>
      <c r="B65" s="56">
        <f>'Shiftfunktion bestimmen'!N7</f>
        <v>1.4125431797838395E-13</v>
      </c>
      <c r="D65" s="55">
        <v>7</v>
      </c>
    </row>
    <row r="66" spans="1:5" x14ac:dyDescent="0.25">
      <c r="A66" s="54">
        <v>8</v>
      </c>
      <c r="B66" s="56">
        <f>'Shiftfunktion bestimmen'!N8</f>
        <v>-5.1824184816417648E-17</v>
      </c>
      <c r="D66" s="55">
        <v>8</v>
      </c>
    </row>
    <row r="67" spans="1:5" x14ac:dyDescent="0.25">
      <c r="A67" s="54">
        <v>9</v>
      </c>
      <c r="B67" s="56">
        <f>'Shiftfunktion bestimmen'!N9</f>
        <v>0</v>
      </c>
      <c r="D67" s="55">
        <v>0</v>
      </c>
    </row>
    <row r="70" spans="1:5" x14ac:dyDescent="0.25">
      <c r="A70" s="61"/>
      <c r="B70" s="83"/>
    </row>
    <row r="71" spans="1:5" x14ac:dyDescent="0.25">
      <c r="A71" s="61"/>
      <c r="B71" s="84"/>
    </row>
    <row r="72" spans="1:5" x14ac:dyDescent="0.25">
      <c r="A72" t="s">
        <v>42</v>
      </c>
    </row>
    <row r="73" spans="1:5" x14ac:dyDescent="0.25">
      <c r="A73" s="61" t="s">
        <v>101</v>
      </c>
      <c r="B73" s="62">
        <f>A104</f>
        <v>31</v>
      </c>
    </row>
    <row r="74" spans="1:5" x14ac:dyDescent="0.25">
      <c r="A74" s="50">
        <v>1</v>
      </c>
      <c r="B74" s="56">
        <f>'Mastercurve bestimmen'!C18</f>
        <v>0.17334292587920061</v>
      </c>
      <c r="D74" s="51">
        <v>1</v>
      </c>
      <c r="E74" s="56">
        <f>'Mastercurve bestimmen'!A18</f>
        <v>1.0000000000000001E-20</v>
      </c>
    </row>
    <row r="75" spans="1:5" x14ac:dyDescent="0.25">
      <c r="A75" s="50">
        <f>A74+1</f>
        <v>2</v>
      </c>
      <c r="B75" s="56">
        <f>'Mastercurve bestimmen'!C19</f>
        <v>8.5701557636401818E-2</v>
      </c>
      <c r="D75" s="51">
        <v>2</v>
      </c>
      <c r="E75" s="56">
        <f>'Mastercurve bestimmen'!A19</f>
        <v>3.9038946506297401E-14</v>
      </c>
    </row>
    <row r="76" spans="1:5" x14ac:dyDescent="0.25">
      <c r="A76" s="50">
        <f t="shared" ref="A76:A104" si="0">A75+1</f>
        <v>3</v>
      </c>
      <c r="B76" s="56">
        <f>'Mastercurve bestimmen'!C20</f>
        <v>3.0493834764101356E-2</v>
      </c>
      <c r="D76" s="51">
        <v>3</v>
      </c>
      <c r="E76" s="56">
        <f>'Mastercurve bestimmen'!A20</f>
        <v>4.3276437088188502E-13</v>
      </c>
    </row>
    <row r="77" spans="1:5" x14ac:dyDescent="0.25">
      <c r="A77" s="50">
        <f t="shared" si="0"/>
        <v>4</v>
      </c>
      <c r="B77" s="56">
        <f>'Mastercurve bestimmen'!C21</f>
        <v>5.1956618575789072E-2</v>
      </c>
      <c r="D77" s="51">
        <v>4</v>
      </c>
      <c r="E77" s="56">
        <f>'Mastercurve bestimmen'!A21</f>
        <v>4.7973886968128502E-12</v>
      </c>
    </row>
    <row r="78" spans="1:5" x14ac:dyDescent="0.25">
      <c r="A78" s="50">
        <f t="shared" si="0"/>
        <v>5</v>
      </c>
      <c r="B78" s="56">
        <f>'Mastercurve bestimmen'!C22</f>
        <v>4.953314033701034E-2</v>
      </c>
      <c r="D78" s="51">
        <v>5</v>
      </c>
      <c r="E78" s="56">
        <f>'Mastercurve bestimmen'!A22</f>
        <v>5.31812225239524E-11</v>
      </c>
    </row>
    <row r="79" spans="1:5" x14ac:dyDescent="0.25">
      <c r="A79" s="50">
        <f t="shared" si="0"/>
        <v>6</v>
      </c>
      <c r="B79" s="56">
        <f>'Mastercurve bestimmen'!C23</f>
        <v>7.2790684842208797E-2</v>
      </c>
      <c r="D79" s="51">
        <v>6</v>
      </c>
      <c r="E79" s="56">
        <f>'Mastercurve bestimmen'!A23</f>
        <v>5.8953789402578301E-10</v>
      </c>
    </row>
    <row r="80" spans="1:5" x14ac:dyDescent="0.25">
      <c r="A80" s="50">
        <f t="shared" si="0"/>
        <v>7</v>
      </c>
      <c r="B80" s="56">
        <f>'Mastercurve bestimmen'!C24</f>
        <v>8.9662910534614892E-2</v>
      </c>
      <c r="D80" s="51">
        <v>7</v>
      </c>
      <c r="E80" s="56">
        <f>'Mastercurve bestimmen'!A24</f>
        <v>6.5352940755699598E-9</v>
      </c>
    </row>
    <row r="81" spans="1:5" x14ac:dyDescent="0.25">
      <c r="A81" s="50">
        <f t="shared" si="0"/>
        <v>8</v>
      </c>
      <c r="B81" s="56">
        <f>'Mastercurve bestimmen'!C25</f>
        <v>0.1059802083256471</v>
      </c>
      <c r="D81" s="51">
        <v>8</v>
      </c>
      <c r="E81" s="56">
        <f>'Mastercurve bestimmen'!A25</f>
        <v>7.2446689325643296E-8</v>
      </c>
    </row>
    <row r="82" spans="1:5" x14ac:dyDescent="0.25">
      <c r="A82" s="50">
        <f t="shared" si="0"/>
        <v>9</v>
      </c>
      <c r="B82" s="56">
        <f>'Mastercurve bestimmen'!C26</f>
        <v>0.12848084538695642</v>
      </c>
      <c r="D82" s="51">
        <f>A82</f>
        <v>9</v>
      </c>
      <c r="E82" s="56">
        <f>'Mastercurve bestimmen'!A26</f>
        <v>8.03104303120212E-7</v>
      </c>
    </row>
    <row r="83" spans="1:5" x14ac:dyDescent="0.25">
      <c r="A83" s="50">
        <f t="shared" si="0"/>
        <v>10</v>
      </c>
      <c r="B83" s="56">
        <f>'Mastercurve bestimmen'!C27</f>
        <v>9.2499277670536229E-2</v>
      </c>
      <c r="C83" s="11"/>
      <c r="D83" s="51">
        <f t="shared" ref="D83:D104" si="1">A83</f>
        <v>10</v>
      </c>
      <c r="E83" s="56">
        <f>'Mastercurve bestimmen'!A27</f>
        <v>8.9027742702096099E-6</v>
      </c>
    </row>
    <row r="84" spans="1:5" x14ac:dyDescent="0.25">
      <c r="A84" s="50">
        <f t="shared" si="0"/>
        <v>11</v>
      </c>
      <c r="B84" s="56">
        <f>'Mastercurve bestimmen'!C28</f>
        <v>5.52958361106754E-2</v>
      </c>
      <c r="C84" s="11"/>
      <c r="D84" s="51">
        <f t="shared" si="1"/>
        <v>11</v>
      </c>
      <c r="E84" s="56">
        <f>'Mastercurve bestimmen'!A28</f>
        <v>9.86912775817142E-5</v>
      </c>
    </row>
    <row r="85" spans="1:5" x14ac:dyDescent="0.25">
      <c r="A85" s="50">
        <f t="shared" si="0"/>
        <v>12</v>
      </c>
      <c r="B85" s="56">
        <f>'Mastercurve bestimmen'!C29</f>
        <v>3.0991280928739252E-2</v>
      </c>
      <c r="C85" s="11"/>
      <c r="D85" s="51">
        <f t="shared" si="1"/>
        <v>12</v>
      </c>
      <c r="E85" s="56">
        <f>'Mastercurve bestimmen'!A29</f>
        <v>1.0940374286813801E-3</v>
      </c>
    </row>
    <row r="86" spans="1:5" x14ac:dyDescent="0.25">
      <c r="A86" s="50">
        <f t="shared" si="0"/>
        <v>13</v>
      </c>
      <c r="B86" s="56">
        <f>'Mastercurve bestimmen'!C30</f>
        <v>6.4185010590350885E-3</v>
      </c>
      <c r="C86" s="11"/>
      <c r="D86" s="51">
        <f t="shared" si="1"/>
        <v>13</v>
      </c>
      <c r="E86" s="56">
        <f>'Mastercurve bestimmen'!A30</f>
        <v>1.2127899493091E-2</v>
      </c>
    </row>
    <row r="87" spans="1:5" x14ac:dyDescent="0.25">
      <c r="A87" s="50">
        <f t="shared" si="0"/>
        <v>14</v>
      </c>
      <c r="B87" s="56">
        <f>'Mastercurve bestimmen'!C31</f>
        <v>3.5931837599499803E-3</v>
      </c>
      <c r="C87" s="11"/>
      <c r="D87" s="51">
        <f t="shared" si="1"/>
        <v>14</v>
      </c>
      <c r="E87" s="56">
        <f>'Mastercurve bestimmen'!A31</f>
        <v>0.13444324870292301</v>
      </c>
    </row>
    <row r="88" spans="1:5" x14ac:dyDescent="0.25">
      <c r="A88" s="50">
        <f t="shared" si="0"/>
        <v>15</v>
      </c>
      <c r="B88" s="56">
        <f>'Mastercurve bestimmen'!C32</f>
        <v>1.3759911447272116E-3</v>
      </c>
      <c r="C88" s="11"/>
      <c r="D88" s="51">
        <f t="shared" si="1"/>
        <v>15</v>
      </c>
      <c r="E88" s="56">
        <f>'Mastercurve bestimmen'!A32</f>
        <v>1.49036419143257</v>
      </c>
    </row>
    <row r="89" spans="1:5" x14ac:dyDescent="0.25">
      <c r="A89" s="50">
        <f t="shared" si="0"/>
        <v>16</v>
      </c>
      <c r="B89" s="56">
        <f>'Mastercurve bestimmen'!C33</f>
        <v>1.7729334570218164E-4</v>
      </c>
      <c r="C89" s="11"/>
      <c r="D89" s="51">
        <f t="shared" si="1"/>
        <v>16</v>
      </c>
      <c r="E89" s="56">
        <f>'Mastercurve bestimmen'!A33</f>
        <v>16.521360830937301</v>
      </c>
    </row>
    <row r="90" spans="1:5" x14ac:dyDescent="0.25">
      <c r="A90" s="50">
        <f t="shared" si="0"/>
        <v>17</v>
      </c>
      <c r="B90" s="56">
        <f>'Mastercurve bestimmen'!C34</f>
        <v>4.3065005159432222E-4</v>
      </c>
      <c r="C90" s="11"/>
      <c r="D90" s="51">
        <f t="shared" si="1"/>
        <v>17</v>
      </c>
      <c r="E90" s="56">
        <f>'Mastercurve bestimmen'!A34</f>
        <v>183.146753843879</v>
      </c>
    </row>
    <row r="91" spans="1:5" x14ac:dyDescent="0.25">
      <c r="A91" s="50">
        <f t="shared" si="0"/>
        <v>18</v>
      </c>
      <c r="B91" s="56">
        <f>'Mastercurve bestimmen'!C35</f>
        <v>5.9717869572018282E-4</v>
      </c>
      <c r="C91" s="11"/>
      <c r="D91" s="51">
        <f t="shared" si="1"/>
        <v>18</v>
      </c>
      <c r="E91" s="56">
        <f>'Mastercurve bestimmen'!A35</f>
        <v>2030.26456396616</v>
      </c>
    </row>
    <row r="92" spans="1:5" x14ac:dyDescent="0.25">
      <c r="A92" s="50">
        <f t="shared" si="0"/>
        <v>19</v>
      </c>
      <c r="B92" s="56">
        <f>'Mastercurve bestimmen'!C36</f>
        <v>5.2966364389967348E-4</v>
      </c>
      <c r="C92" s="11"/>
      <c r="D92" s="51">
        <f t="shared" si="1"/>
        <v>19</v>
      </c>
      <c r="E92" s="56">
        <f>'Mastercurve bestimmen'!A36</f>
        <v>22506.400540467101</v>
      </c>
    </row>
    <row r="93" spans="1:5" x14ac:dyDescent="0.25">
      <c r="A93" s="50">
        <f t="shared" si="0"/>
        <v>20</v>
      </c>
      <c r="B93" s="56">
        <f>'Mastercurve bestimmen'!C37</f>
        <v>3.7946363748828321E-4</v>
      </c>
      <c r="C93" s="11"/>
      <c r="D93" s="51">
        <f t="shared" si="1"/>
        <v>20</v>
      </c>
      <c r="E93" s="56">
        <f>'Mastercurve bestimmen'!A37</f>
        <v>249493.62476110301</v>
      </c>
    </row>
    <row r="94" spans="1:5" x14ac:dyDescent="0.25">
      <c r="A94" s="50">
        <f t="shared" si="0"/>
        <v>21</v>
      </c>
      <c r="B94" s="56">
        <f>'Mastercurve bestimmen'!C38</f>
        <v>2.9006625777866605E-4</v>
      </c>
      <c r="C94" s="11"/>
      <c r="D94" s="51">
        <f t="shared" si="1"/>
        <v>21</v>
      </c>
      <c r="E94" s="56">
        <f>'Mastercurve bestimmen'!A38</f>
        <v>2765749.6224023802</v>
      </c>
    </row>
    <row r="95" spans="1:5" x14ac:dyDescent="0.25">
      <c r="A95" s="50">
        <f t="shared" si="0"/>
        <v>22</v>
      </c>
      <c r="B95" s="56">
        <f>'Mastercurve bestimmen'!C39</f>
        <v>0</v>
      </c>
      <c r="C95" s="11"/>
      <c r="D95" s="51">
        <f t="shared" si="1"/>
        <v>22</v>
      </c>
      <c r="E95" s="56">
        <f>'Mastercurve bestimmen'!A39</f>
        <v>10000000</v>
      </c>
    </row>
    <row r="96" spans="1:5" x14ac:dyDescent="0.25">
      <c r="A96" s="50">
        <f t="shared" si="0"/>
        <v>23</v>
      </c>
      <c r="B96" s="56">
        <f>'Mastercurve bestimmen'!C40</f>
        <v>3.0334619433978663E-4</v>
      </c>
      <c r="C96" s="11"/>
      <c r="D96" s="51">
        <f t="shared" si="1"/>
        <v>23</v>
      </c>
      <c r="E96" s="56">
        <f>'Mastercurve bestimmen'!A40</f>
        <v>100000000</v>
      </c>
    </row>
    <row r="97" spans="1:5" x14ac:dyDescent="0.25">
      <c r="A97" s="50">
        <f t="shared" si="0"/>
        <v>24</v>
      </c>
      <c r="B97" s="56">
        <f>'Mastercurve bestimmen'!C41</f>
        <v>0</v>
      </c>
      <c r="C97" s="11"/>
      <c r="D97" s="51">
        <f t="shared" si="1"/>
        <v>24</v>
      </c>
      <c r="E97" s="56">
        <f>'Mastercurve bestimmen'!A41</f>
        <v>1000000000</v>
      </c>
    </row>
    <row r="98" spans="1:5" x14ac:dyDescent="0.25">
      <c r="A98" s="50">
        <f t="shared" si="0"/>
        <v>25</v>
      </c>
      <c r="B98" s="56">
        <f>'Mastercurve bestimmen'!C42</f>
        <v>0</v>
      </c>
      <c r="C98" s="11"/>
      <c r="D98" s="51">
        <f t="shared" si="1"/>
        <v>25</v>
      </c>
      <c r="E98" s="56">
        <f>'Mastercurve bestimmen'!A42</f>
        <v>10000000000</v>
      </c>
    </row>
    <row r="99" spans="1:5" x14ac:dyDescent="0.25">
      <c r="A99" s="50">
        <f t="shared" si="0"/>
        <v>26</v>
      </c>
      <c r="B99" s="56">
        <f>'Mastercurve bestimmen'!C43</f>
        <v>7.7330920795246901E-5</v>
      </c>
      <c r="C99" s="11"/>
      <c r="D99" s="51">
        <f t="shared" si="1"/>
        <v>26</v>
      </c>
      <c r="E99" s="56">
        <f>'Mastercurve bestimmen'!A43</f>
        <v>100000000000</v>
      </c>
    </row>
    <row r="100" spans="1:5" x14ac:dyDescent="0.25">
      <c r="A100" s="50">
        <f t="shared" si="0"/>
        <v>27</v>
      </c>
      <c r="B100" s="56">
        <f>'Mastercurve bestimmen'!C44</f>
        <v>1.3850961695873314E-4</v>
      </c>
      <c r="C100" s="11"/>
      <c r="D100" s="51">
        <f t="shared" si="1"/>
        <v>27</v>
      </c>
      <c r="E100" s="56">
        <f>'Mastercurve bestimmen'!A44</f>
        <v>1000000000000</v>
      </c>
    </row>
    <row r="101" spans="1:5" x14ac:dyDescent="0.25">
      <c r="A101" s="50">
        <f t="shared" si="0"/>
        <v>28</v>
      </c>
      <c r="B101" s="56">
        <f>'Mastercurve bestimmen'!C45</f>
        <v>0</v>
      </c>
      <c r="C101" s="11"/>
      <c r="D101" s="51">
        <f t="shared" si="1"/>
        <v>28</v>
      </c>
      <c r="E101" s="56">
        <f>'Mastercurve bestimmen'!A45</f>
        <v>10000000000000</v>
      </c>
    </row>
    <row r="102" spans="1:5" x14ac:dyDescent="0.25">
      <c r="A102" s="50">
        <f t="shared" si="0"/>
        <v>29</v>
      </c>
      <c r="B102" s="56">
        <f>'Mastercurve bestimmen'!C46</f>
        <v>0</v>
      </c>
      <c r="C102" s="11"/>
      <c r="D102" s="51">
        <f t="shared" si="1"/>
        <v>29</v>
      </c>
      <c r="E102" s="56">
        <f>'Mastercurve bestimmen'!A46</f>
        <v>100000000000000</v>
      </c>
    </row>
    <row r="103" spans="1:5" x14ac:dyDescent="0.25">
      <c r="A103" s="50">
        <f t="shared" si="0"/>
        <v>30</v>
      </c>
      <c r="B103" s="56">
        <f>'Mastercurve bestimmen'!C47</f>
        <v>0</v>
      </c>
      <c r="C103" s="11"/>
      <c r="D103" s="51">
        <f t="shared" si="1"/>
        <v>30</v>
      </c>
      <c r="E103" s="56">
        <f>'Mastercurve bestimmen'!A47</f>
        <v>1000000000000000</v>
      </c>
    </row>
    <row r="104" spans="1:5" x14ac:dyDescent="0.25">
      <c r="A104" s="50">
        <f t="shared" si="0"/>
        <v>31</v>
      </c>
      <c r="B104" s="56">
        <f>'Mastercurve bestimmen'!C48</f>
        <v>3.8158806353945737E-4</v>
      </c>
      <c r="C104" s="11"/>
      <c r="D104" s="51">
        <f t="shared" si="1"/>
        <v>31</v>
      </c>
      <c r="E104" s="56">
        <f>'Mastercurve bestimmen'!A48</f>
        <v>1E+16</v>
      </c>
    </row>
    <row r="105" spans="1:5" x14ac:dyDescent="0.25">
      <c r="A105" s="11"/>
    </row>
    <row r="106" spans="1:5" s="11" customFormat="1" x14ac:dyDescent="0.25"/>
    <row r="107" spans="1:5" s="11" customFormat="1" x14ac:dyDescent="0.25">
      <c r="A107" s="61" t="str">
        <f>STUTT!B2</f>
        <v>mp,ex,MatID,</v>
      </c>
      <c r="B107" s="52">
        <f>STUTT!C2</f>
        <v>17746.768</v>
      </c>
    </row>
    <row r="108" spans="1:5" s="11" customFormat="1" x14ac:dyDescent="0.25">
      <c r="A108" s="61" t="str">
        <f>STUTT!B3</f>
        <v>mp,PRXY,MatID,</v>
      </c>
      <c r="B108" s="52">
        <f>STUTT!C3</f>
        <v>0.29104294000000003</v>
      </c>
    </row>
    <row r="109" spans="1:5" s="11" customFormat="1" x14ac:dyDescent="0.25">
      <c r="A109" s="61" t="str">
        <f>STUTT!B4</f>
        <v>mp,ey,MatID,</v>
      </c>
      <c r="B109" s="52">
        <f>STUTT!C4</f>
        <v>21858.703000000001</v>
      </c>
    </row>
    <row r="110" spans="1:5" s="11" customFormat="1" x14ac:dyDescent="0.25">
      <c r="A110" s="61" t="str">
        <f>STUTT!B5</f>
        <v>mp,PRYZ,MatID,</v>
      </c>
      <c r="B110" s="52">
        <f>STUTT!C5</f>
        <v>0.35853411000000002</v>
      </c>
    </row>
    <row r="111" spans="1:5" s="11" customFormat="1" x14ac:dyDescent="0.25">
      <c r="A111" s="61" t="str">
        <f>STUTT!B6</f>
        <v>mp,ez,MatID,</v>
      </c>
      <c r="B111" s="52">
        <f>STUTT!C6</f>
        <v>17746.768</v>
      </c>
    </row>
    <row r="112" spans="1:5" s="11" customFormat="1" x14ac:dyDescent="0.25">
      <c r="A112" s="61" t="str">
        <f>STUTT!B7</f>
        <v>mp,PRXZ,MatID,</v>
      </c>
      <c r="B112" s="52">
        <f>STUTT!C7</f>
        <v>0.36009481999999998</v>
      </c>
    </row>
    <row r="113" spans="1:4" s="11" customFormat="1" x14ac:dyDescent="0.25">
      <c r="A113" s="61" t="str">
        <f>STUTT!B8</f>
        <v>MP,GXZ,</v>
      </c>
      <c r="B113" s="52" t="str">
        <f>STUTT!C8</f>
        <v>MatID,</v>
      </c>
      <c r="C113" s="112">
        <f>STUTT!D8</f>
        <v>6524.0923000000003</v>
      </c>
      <c r="D113" s="112"/>
    </row>
    <row r="114" spans="1:4" s="11" customFormat="1" x14ac:dyDescent="0.25">
      <c r="A114" s="61" t="str">
        <f>STUTT!B9</f>
        <v>MP,GXY,</v>
      </c>
      <c r="B114" s="52" t="str">
        <f>STUTT!C9</f>
        <v>MatID,</v>
      </c>
      <c r="C114" s="112">
        <f>STUTT!D9</f>
        <v>8117.2861999999996</v>
      </c>
      <c r="D114" s="112"/>
    </row>
    <row r="115" spans="1:4" x14ac:dyDescent="0.25">
      <c r="A115" s="61" t="str">
        <f>STUTT!B10</f>
        <v>MP,GYZ,</v>
      </c>
      <c r="B115" s="52" t="str">
        <f>STUTT!C10</f>
        <v>MatID,</v>
      </c>
      <c r="C115" s="112">
        <f>STUTT!D10</f>
        <v>8117.2861999999996</v>
      </c>
      <c r="D115" s="112"/>
    </row>
    <row r="116" spans="1:4" x14ac:dyDescent="0.25">
      <c r="A116" s="11"/>
    </row>
    <row r="117" spans="1:4" x14ac:dyDescent="0.25">
      <c r="A117" s="11"/>
    </row>
    <row r="118" spans="1:4" x14ac:dyDescent="0.25">
      <c r="A118" s="11" t="s">
        <v>75</v>
      </c>
    </row>
    <row r="119" spans="1:4" x14ac:dyDescent="0.25">
      <c r="A119" s="11" t="s">
        <v>99</v>
      </c>
    </row>
    <row r="120" spans="1:4" x14ac:dyDescent="0.25">
      <c r="A120" s="11" t="s">
        <v>76</v>
      </c>
    </row>
    <row r="121" spans="1:4" x14ac:dyDescent="0.25">
      <c r="A121" s="11" t="s">
        <v>77</v>
      </c>
    </row>
    <row r="122" spans="1:4" x14ac:dyDescent="0.25">
      <c r="A122" s="11" t="s">
        <v>78</v>
      </c>
    </row>
    <row r="123" spans="1:4" x14ac:dyDescent="0.25">
      <c r="A123" s="11" t="s">
        <v>79</v>
      </c>
    </row>
    <row r="124" spans="1:4" x14ac:dyDescent="0.25">
      <c r="A124" t="s">
        <v>80</v>
      </c>
    </row>
    <row r="126" spans="1:4" x14ac:dyDescent="0.25">
      <c r="A126" t="s">
        <v>81</v>
      </c>
    </row>
    <row r="127" spans="1:4" x14ac:dyDescent="0.25">
      <c r="A127" t="s">
        <v>77</v>
      </c>
    </row>
    <row r="128" spans="1:4" x14ac:dyDescent="0.25">
      <c r="A128" t="s">
        <v>82</v>
      </c>
      <c r="B128" t="s">
        <v>83</v>
      </c>
    </row>
    <row r="129" spans="1:1" x14ac:dyDescent="0.25">
      <c r="A129" t="s">
        <v>80</v>
      </c>
    </row>
    <row r="142" spans="1:1" x14ac:dyDescent="0.25">
      <c r="A142" t="s">
        <v>100</v>
      </c>
    </row>
    <row r="143" spans="1:1" x14ac:dyDescent="0.25">
      <c r="A143" t="s">
        <v>84</v>
      </c>
    </row>
    <row r="144" spans="1:1" x14ac:dyDescent="0.25">
      <c r="A144" t="s">
        <v>85</v>
      </c>
    </row>
    <row r="145" spans="1:4" x14ac:dyDescent="0.25">
      <c r="A145" t="s">
        <v>75</v>
      </c>
      <c r="B145" t="s">
        <v>86</v>
      </c>
      <c r="D145" t="s">
        <v>87</v>
      </c>
    </row>
    <row r="146" spans="1:4" x14ac:dyDescent="0.25">
      <c r="A146" t="s">
        <v>80</v>
      </c>
    </row>
    <row r="148" spans="1:4" x14ac:dyDescent="0.25">
      <c r="A148" t="s">
        <v>88</v>
      </c>
    </row>
    <row r="149" spans="1:4" x14ac:dyDescent="0.25">
      <c r="A149" t="s">
        <v>89</v>
      </c>
    </row>
    <row r="150" spans="1:4" x14ac:dyDescent="0.25">
      <c r="A150" t="s">
        <v>75</v>
      </c>
      <c r="B150" t="s">
        <v>90</v>
      </c>
      <c r="D150" t="s">
        <v>91</v>
      </c>
    </row>
    <row r="151" spans="1:4" x14ac:dyDescent="0.25">
      <c r="A151" t="s">
        <v>75</v>
      </c>
      <c r="B151" t="s">
        <v>92</v>
      </c>
    </row>
    <row r="152" spans="1:4" x14ac:dyDescent="0.25">
      <c r="A152" t="s">
        <v>93</v>
      </c>
    </row>
    <row r="153" spans="1:4" x14ac:dyDescent="0.25">
      <c r="A153" t="s">
        <v>75</v>
      </c>
      <c r="B153" t="s">
        <v>94</v>
      </c>
      <c r="D153" t="s">
        <v>95</v>
      </c>
    </row>
    <row r="154" spans="1:4" x14ac:dyDescent="0.25">
      <c r="B154" s="52" t="s">
        <v>108</v>
      </c>
    </row>
    <row r="155" spans="1:4" x14ac:dyDescent="0.25">
      <c r="A155" t="s">
        <v>109</v>
      </c>
    </row>
    <row r="156" spans="1:4" x14ac:dyDescent="0.25">
      <c r="A156" t="s">
        <v>96</v>
      </c>
      <c r="B156" t="s">
        <v>97</v>
      </c>
    </row>
    <row r="157" spans="1:4" x14ac:dyDescent="0.25">
      <c r="A157" s="52" t="s">
        <v>80</v>
      </c>
    </row>
    <row r="158" spans="1:4" x14ac:dyDescent="0.25">
      <c r="A158" t="s">
        <v>98</v>
      </c>
    </row>
  </sheetData>
  <mergeCells count="3">
    <mergeCell ref="C113:D113"/>
    <mergeCell ref="C114:D114"/>
    <mergeCell ref="C115:D115"/>
  </mergeCells>
  <pageMargins left="0.7" right="0.7" top="0.78740157499999996" bottom="0.78740157499999996"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18"/>
  <dimension ref="A1:R214"/>
  <sheetViews>
    <sheetView workbookViewId="0">
      <selection activeCell="Q17" sqref="Q17"/>
    </sheetView>
  </sheetViews>
  <sheetFormatPr baseColWidth="10" defaultRowHeight="15" x14ac:dyDescent="0.25"/>
  <cols>
    <col min="1" max="1" width="6.85546875" bestFit="1" customWidth="1"/>
    <col min="2" max="8" width="9" bestFit="1" customWidth="1"/>
    <col min="9" max="9" width="12.28515625" bestFit="1" customWidth="1"/>
    <col min="10" max="10" width="9" bestFit="1" customWidth="1"/>
    <col min="12" max="12" width="14.85546875" customWidth="1"/>
    <col min="18" max="18" width="12" bestFit="1" customWidth="1"/>
  </cols>
  <sheetData>
    <row r="1" spans="1:18" x14ac:dyDescent="0.25">
      <c r="A1" t="s">
        <v>13</v>
      </c>
      <c r="K1" t="s">
        <v>129</v>
      </c>
      <c r="L1">
        <v>0.35</v>
      </c>
      <c r="Q1" t="s">
        <v>130</v>
      </c>
      <c r="R1">
        <v>9.5000000000000001E-2</v>
      </c>
    </row>
    <row r="2" spans="1:18" x14ac:dyDescent="0.25">
      <c r="A2" t="s">
        <v>27</v>
      </c>
      <c r="B2" t="s">
        <v>14</v>
      </c>
      <c r="C2" t="s">
        <v>15</v>
      </c>
      <c r="D2" t="s">
        <v>16</v>
      </c>
      <c r="E2" t="s">
        <v>33</v>
      </c>
      <c r="F2" t="s">
        <v>34</v>
      </c>
      <c r="G2" t="s">
        <v>35</v>
      </c>
      <c r="H2" t="s">
        <v>36</v>
      </c>
      <c r="I2" t="s">
        <v>37</v>
      </c>
      <c r="J2" t="s">
        <v>38</v>
      </c>
    </row>
    <row r="3" spans="1:18" x14ac:dyDescent="0.25">
      <c r="A3">
        <v>-40</v>
      </c>
      <c r="B3" s="3">
        <v>-2.206E-7</v>
      </c>
      <c r="C3" s="3">
        <v>2.537E-6</v>
      </c>
      <c r="D3" s="3">
        <v>-2.206E-7</v>
      </c>
      <c r="E3" s="3">
        <v>-1.415E-5</v>
      </c>
      <c r="F3" s="3">
        <v>-1.415E-5</v>
      </c>
      <c r="G3" s="3">
        <v>-1.415E-5</v>
      </c>
      <c r="H3" s="3">
        <v>-4.4272276999999998E-6</v>
      </c>
      <c r="I3" s="3">
        <v>-1.0771048000000001E-6</v>
      </c>
      <c r="J3" s="3">
        <v>-4.4272276999999998E-6</v>
      </c>
      <c r="L3" s="48">
        <f>ABS(H3/(-0.5)/$L$1)</f>
        <v>2.5298444000000002E-5</v>
      </c>
      <c r="R3">
        <f>ABS(I3/(-0.5)/$R$1)</f>
        <v>2.2675890526315791E-5</v>
      </c>
    </row>
    <row r="4" spans="1:18" x14ac:dyDescent="0.25">
      <c r="A4">
        <v>-39</v>
      </c>
      <c r="B4" s="3">
        <v>2.2030000000000001E-7</v>
      </c>
      <c r="C4" s="3">
        <v>-2.5359999999999999E-6</v>
      </c>
      <c r="D4" s="3">
        <v>2.2030000000000001E-7</v>
      </c>
      <c r="E4" s="3">
        <v>1.415E-5</v>
      </c>
      <c r="F4" s="3">
        <v>1.415E-5</v>
      </c>
      <c r="G4" s="3">
        <v>1.415E-5</v>
      </c>
      <c r="H4" s="3">
        <v>4.4271084000000003E-6</v>
      </c>
      <c r="I4" s="3">
        <v>1.0771928999999999E-6</v>
      </c>
      <c r="J4" s="3">
        <v>4.4271084000000003E-6</v>
      </c>
      <c r="L4" s="48">
        <f t="shared" ref="L4:L14" si="0">ABS(H4/(-0.5)/$L$1)</f>
        <v>2.5297762285714289E-5</v>
      </c>
      <c r="N4" s="39" t="s">
        <v>27</v>
      </c>
      <c r="O4" s="39" t="s">
        <v>131</v>
      </c>
      <c r="P4" s="85" t="s">
        <v>132</v>
      </c>
      <c r="R4" s="11">
        <f t="shared" ref="R4:R14" si="1">ABS(I4/(-0.5)/$R$1)</f>
        <v>2.2677745263157891E-5</v>
      </c>
    </row>
    <row r="5" spans="1:18" x14ac:dyDescent="0.25">
      <c r="A5">
        <v>0</v>
      </c>
      <c r="B5" s="3">
        <v>-2.0980000000000001E-7</v>
      </c>
      <c r="C5" s="3">
        <v>2.5040000000000001E-6</v>
      </c>
      <c r="D5" s="3">
        <v>-2.0980000000000001E-7</v>
      </c>
      <c r="E5" s="3">
        <v>-1.415E-5</v>
      </c>
      <c r="F5" s="3">
        <v>-1.415E-5</v>
      </c>
      <c r="G5" s="3">
        <v>-1.415E-5</v>
      </c>
      <c r="H5" s="3">
        <v>-4.4223560999999998E-6</v>
      </c>
      <c r="I5" s="3">
        <v>-1.0807171000000001E-6</v>
      </c>
      <c r="J5" s="3">
        <v>-4.4223560999999998E-6</v>
      </c>
      <c r="L5" s="48">
        <f t="shared" si="0"/>
        <v>2.5270606285714287E-5</v>
      </c>
      <c r="M5" s="48"/>
      <c r="N5" s="10">
        <f>(INDEX(A:A,ROW(A2)*2+1)+INDEX(A:A,ROW(A2)*2+2))/2</f>
        <v>0.5</v>
      </c>
      <c r="O5" s="89">
        <f>(INDEX(L:L,ROW(L2)*2+1)+INDEX(L:L,ROW(L2)*2+2))/2</f>
        <v>2.5270250571428573E-5</v>
      </c>
      <c r="P5" s="89">
        <f>(INDEX(R:R,ROW(M2)*2+1)+INDEX(R:R,ROW(R2)*2+2))/2</f>
        <v>2.2752914736842108E-5</v>
      </c>
      <c r="R5" s="11">
        <f t="shared" si="1"/>
        <v>2.2751938947368423E-5</v>
      </c>
    </row>
    <row r="6" spans="1:18" x14ac:dyDescent="0.25">
      <c r="A6">
        <v>1</v>
      </c>
      <c r="B6" s="3">
        <v>2.0949999999999999E-7</v>
      </c>
      <c r="C6" s="3">
        <v>-2.503E-6</v>
      </c>
      <c r="D6" s="3">
        <v>2.0949999999999999E-7</v>
      </c>
      <c r="E6" s="3">
        <v>1.415E-5</v>
      </c>
      <c r="F6" s="3">
        <v>1.415E-5</v>
      </c>
      <c r="G6" s="3">
        <v>1.415E-5</v>
      </c>
      <c r="H6" s="3">
        <v>4.4222316000000001E-6</v>
      </c>
      <c r="I6" s="3">
        <v>1.0808098000000001E-6</v>
      </c>
      <c r="J6" s="3">
        <v>4.4222316000000001E-6</v>
      </c>
      <c r="L6" s="48">
        <f t="shared" si="0"/>
        <v>2.5269894857142858E-5</v>
      </c>
      <c r="M6" s="49"/>
      <c r="N6" s="10">
        <f>(INDEX(A:A,ROW(A3)*2+1)+INDEX(A:A,ROW(A3)*2+2))/2</f>
        <v>85.5</v>
      </c>
      <c r="O6" s="89">
        <f t="shared" ref="O6:O7" si="2">(INDEX(L:L,ROW(L3)*2+1)+INDEX(L:L,ROW(L3)*2+2))/2</f>
        <v>2.7904964857142861E-5</v>
      </c>
      <c r="P6" s="89">
        <f t="shared" ref="P6:P9" si="3">(INDEX(R:R,ROW(M3)*2+1)+INDEX(R:R,ROW(R3)*2+2))/2</f>
        <v>2.4298146315789474E-5</v>
      </c>
      <c r="R6" s="11">
        <f t="shared" si="1"/>
        <v>2.2753890526315792E-5</v>
      </c>
    </row>
    <row r="7" spans="1:18" x14ac:dyDescent="0.25">
      <c r="A7">
        <v>85</v>
      </c>
      <c r="B7" s="3">
        <v>-2.7080000000000002E-7</v>
      </c>
      <c r="C7" s="3">
        <v>3.083E-6</v>
      </c>
      <c r="D7" s="3">
        <v>-2.7080000000000002E-7</v>
      </c>
      <c r="E7" s="3">
        <v>-1.525E-5</v>
      </c>
      <c r="F7" s="3">
        <v>-1.525E-5</v>
      </c>
      <c r="G7" s="3">
        <v>-1.525E-5</v>
      </c>
      <c r="H7" s="3">
        <v>-4.6867119999999999E-6</v>
      </c>
      <c r="I7" s="3">
        <v>-1.1269766E-6</v>
      </c>
      <c r="J7" s="3">
        <v>-4.6867119999999999E-6</v>
      </c>
      <c r="L7" s="48">
        <f t="shared" si="0"/>
        <v>2.6781211428571431E-5</v>
      </c>
      <c r="M7" s="48"/>
      <c r="N7" s="10">
        <f>(INDEX(A:A,ROW(A4)*2+1)+INDEX(A:A,ROW(A4)*2+2))/2</f>
        <v>90.5</v>
      </c>
      <c r="O7" s="89">
        <f t="shared" si="2"/>
        <v>5.0383506285714289E-5</v>
      </c>
      <c r="P7" s="89">
        <f t="shared" si="3"/>
        <v>3.5754844210526318E-5</v>
      </c>
      <c r="R7" s="11">
        <f t="shared" si="1"/>
        <v>2.3725823157894736E-5</v>
      </c>
    </row>
    <row r="8" spans="1:18" x14ac:dyDescent="0.25">
      <c r="A8">
        <v>86</v>
      </c>
      <c r="B8" s="3">
        <v>3.9289999999999998E-7</v>
      </c>
      <c r="C8" s="3">
        <v>-4.0199999999999996E-6</v>
      </c>
      <c r="D8" s="3">
        <v>3.9289999999999998E-7</v>
      </c>
      <c r="E8" s="3">
        <v>1.681E-5</v>
      </c>
      <c r="F8" s="3">
        <v>1.681E-5</v>
      </c>
      <c r="G8" s="3">
        <v>1.681E-5</v>
      </c>
      <c r="H8" s="3">
        <v>5.0800257000000001E-6</v>
      </c>
      <c r="I8" s="3">
        <v>1.1813473000000001E-6</v>
      </c>
      <c r="J8" s="3">
        <v>5.0800257000000001E-6</v>
      </c>
      <c r="L8" s="48">
        <f t="shared" si="0"/>
        <v>2.9028718285714287E-5</v>
      </c>
      <c r="M8" s="49"/>
      <c r="N8" s="10">
        <f>(INDEX(A:A,ROW(A5)*2+1)+INDEX(A:A,ROW(A5)*2+2))/2</f>
        <v>95.5</v>
      </c>
      <c r="O8" s="89">
        <f t="shared" ref="O8:O9" si="4">(INDEX(L:L,ROW(L5)*2+1)+INDEX(L:L,ROW(L5)*2+2))/2</f>
        <v>7.0197717142857148E-5</v>
      </c>
      <c r="P8" s="89">
        <f t="shared" si="3"/>
        <v>4.5848989473684213E-5</v>
      </c>
      <c r="R8" s="11">
        <f t="shared" si="1"/>
        <v>2.4870469473684213E-5</v>
      </c>
    </row>
    <row r="9" spans="1:18" x14ac:dyDescent="0.25">
      <c r="A9">
        <v>90</v>
      </c>
      <c r="B9" s="3">
        <v>-1.4899999999999999E-6</v>
      </c>
      <c r="C9" s="3">
        <v>1.2449999999999999E-5</v>
      </c>
      <c r="D9" s="3">
        <v>-1.4899999999999999E-6</v>
      </c>
      <c r="E9" s="3">
        <v>-3.0899999999999999E-5</v>
      </c>
      <c r="F9" s="3">
        <v>-3.0899999999999999E-5</v>
      </c>
      <c r="G9" s="3">
        <v>-3.0899999999999999E-5</v>
      </c>
      <c r="H9" s="3">
        <v>-8.6203071000000002E-6</v>
      </c>
      <c r="I9" s="3">
        <v>-1.6710444000000001E-6</v>
      </c>
      <c r="J9" s="3">
        <v>-8.6203071000000002E-6</v>
      </c>
      <c r="L9" s="48">
        <f t="shared" si="0"/>
        <v>4.9258897714285715E-5</v>
      </c>
      <c r="M9" s="48"/>
      <c r="N9" s="10">
        <f>(INDEX(A:A,ROW(A6)*2+1)+INDEX(A:A,ROW(A6)*2+2))/2</f>
        <v>180.5</v>
      </c>
      <c r="O9" s="89">
        <f t="shared" si="4"/>
        <v>6.9821937142857152E-5</v>
      </c>
      <c r="P9" s="89">
        <f t="shared" si="3"/>
        <v>4.720299789473684E-5</v>
      </c>
      <c r="R9" s="11">
        <f t="shared" si="1"/>
        <v>3.5179882105263159E-5</v>
      </c>
    </row>
    <row r="10" spans="1:18" x14ac:dyDescent="0.25">
      <c r="A10">
        <v>91</v>
      </c>
      <c r="B10" s="3">
        <v>1.612E-6</v>
      </c>
      <c r="C10" s="3">
        <v>-1.3380000000000001E-5</v>
      </c>
      <c r="D10" s="3">
        <v>1.612E-6</v>
      </c>
      <c r="E10" s="3">
        <v>3.2459999999999998E-5</v>
      </c>
      <c r="F10" s="3">
        <v>3.2459999999999998E-5</v>
      </c>
      <c r="G10" s="3">
        <v>3.2459999999999998E-5</v>
      </c>
      <c r="H10" s="3">
        <v>9.0139200999999999E-6</v>
      </c>
      <c r="I10" s="3">
        <v>1.7256658000000001E-6</v>
      </c>
      <c r="J10" s="3">
        <v>9.0139200999999999E-6</v>
      </c>
      <c r="L10" s="48">
        <f t="shared" si="0"/>
        <v>5.1508114857142862E-5</v>
      </c>
      <c r="M10" s="49"/>
      <c r="N10" s="10"/>
      <c r="O10" s="3"/>
      <c r="R10" s="11">
        <f t="shared" si="1"/>
        <v>3.6329806315789477E-5</v>
      </c>
    </row>
    <row r="11" spans="1:18" x14ac:dyDescent="0.25">
      <c r="A11">
        <v>95</v>
      </c>
      <c r="B11" s="3">
        <v>-2.6340000000000001E-6</v>
      </c>
      <c r="C11" s="3">
        <v>2.1149999999999999E-5</v>
      </c>
      <c r="D11" s="3">
        <v>-2.6340000000000001E-6</v>
      </c>
      <c r="E11" s="3">
        <v>-4.545E-5</v>
      </c>
      <c r="F11" s="3">
        <v>-4.545E-5</v>
      </c>
      <c r="G11" s="3">
        <v>-4.545E-5</v>
      </c>
      <c r="H11" s="3">
        <v>-1.2284985000000001E-5</v>
      </c>
      <c r="I11" s="3">
        <v>-2.1774679999999999E-6</v>
      </c>
      <c r="J11" s="3">
        <v>-1.2284985000000001E-5</v>
      </c>
      <c r="L11" s="48">
        <f t="shared" si="0"/>
        <v>7.01999142857143E-5</v>
      </c>
      <c r="M11" s="48"/>
      <c r="N11" s="10"/>
      <c r="O11" s="3"/>
      <c r="R11" s="11">
        <f t="shared" si="1"/>
        <v>4.5841431578947368E-5</v>
      </c>
    </row>
    <row r="12" spans="1:18" x14ac:dyDescent="0.25">
      <c r="A12">
        <v>96</v>
      </c>
      <c r="B12" s="3">
        <v>2.632E-6</v>
      </c>
      <c r="C12" s="3">
        <v>-2.1149999999999999E-5</v>
      </c>
      <c r="D12" s="3">
        <v>2.632E-6</v>
      </c>
      <c r="E12" s="3">
        <v>4.545E-5</v>
      </c>
      <c r="F12" s="3">
        <v>4.545E-5</v>
      </c>
      <c r="G12" s="3">
        <v>4.545E-5</v>
      </c>
      <c r="H12" s="3">
        <v>1.2284216E-5</v>
      </c>
      <c r="I12" s="3">
        <v>2.1781860000000002E-6</v>
      </c>
      <c r="J12" s="3">
        <v>1.2284216E-5</v>
      </c>
      <c r="L12" s="48">
        <f t="shared" si="0"/>
        <v>7.0195520000000011E-5</v>
      </c>
      <c r="M12" s="49"/>
      <c r="N12" s="10"/>
      <c r="O12" s="3"/>
      <c r="R12" s="11">
        <f t="shared" si="1"/>
        <v>4.5856547368421059E-5</v>
      </c>
    </row>
    <row r="13" spans="1:18" x14ac:dyDescent="0.25">
      <c r="A13">
        <v>180</v>
      </c>
      <c r="B13" s="3">
        <v>-2.4600000000000002E-6</v>
      </c>
      <c r="C13" s="3">
        <v>2.056E-5</v>
      </c>
      <c r="D13" s="3">
        <v>-2.4600000000000002E-6</v>
      </c>
      <c r="E13" s="3">
        <v>-4.545E-5</v>
      </c>
      <c r="F13" s="3">
        <v>-4.545E-5</v>
      </c>
      <c r="G13" s="3">
        <v>-4.545E-5</v>
      </c>
      <c r="H13" s="3">
        <v>-1.2219225999999999E-5</v>
      </c>
      <c r="I13" s="3">
        <v>-2.2417489999999999E-6</v>
      </c>
      <c r="J13" s="3">
        <v>-1.2219225999999999E-5</v>
      </c>
      <c r="L13" s="48">
        <f t="shared" si="0"/>
        <v>6.9824148571428571E-5</v>
      </c>
      <c r="M13" s="48"/>
      <c r="N13" s="10"/>
      <c r="O13" s="3"/>
      <c r="R13" s="11">
        <f t="shared" si="1"/>
        <v>4.7194715789473682E-5</v>
      </c>
    </row>
    <row r="14" spans="1:18" x14ac:dyDescent="0.25">
      <c r="A14" s="11">
        <v>181</v>
      </c>
      <c r="B14" s="3">
        <v>2.458E-6</v>
      </c>
      <c r="C14" s="3">
        <v>-2.0550000000000001E-5</v>
      </c>
      <c r="D14" s="3">
        <v>2.458E-6</v>
      </c>
      <c r="E14" s="3">
        <v>4.545E-5</v>
      </c>
      <c r="F14" s="3">
        <v>4.545E-5</v>
      </c>
      <c r="G14" s="3">
        <v>4.545E-5</v>
      </c>
      <c r="H14" s="3">
        <v>1.2218452E-5</v>
      </c>
      <c r="I14" s="3">
        <v>2.2425358E-6</v>
      </c>
      <c r="J14" s="3">
        <v>1.2218452E-5</v>
      </c>
      <c r="L14" s="48">
        <f t="shared" si="0"/>
        <v>6.981972571428572E-5</v>
      </c>
      <c r="M14" s="49"/>
      <c r="N14" s="10"/>
      <c r="O14" s="3"/>
      <c r="R14" s="11">
        <f t="shared" si="1"/>
        <v>4.7211279999999998E-5</v>
      </c>
    </row>
    <row r="15" spans="1:18" x14ac:dyDescent="0.25">
      <c r="L15" s="48"/>
      <c r="M15" s="48"/>
      <c r="N15" s="10"/>
      <c r="O15" s="3"/>
    </row>
    <row r="16" spans="1:18" x14ac:dyDescent="0.25">
      <c r="L16" s="48"/>
      <c r="M16" s="49"/>
      <c r="N16" s="10"/>
      <c r="O16" s="3"/>
    </row>
    <row r="17" spans="2:15" x14ac:dyDescent="0.25">
      <c r="B17" s="88" t="s">
        <v>128</v>
      </c>
      <c r="C17" s="88"/>
      <c r="D17" s="88"/>
      <c r="E17" s="88"/>
      <c r="F17" s="88"/>
      <c r="G17" s="88"/>
      <c r="H17" s="88"/>
      <c r="L17" s="48"/>
      <c r="M17" s="48"/>
      <c r="N17" s="10"/>
      <c r="O17" s="3"/>
    </row>
    <row r="18" spans="2:15" x14ac:dyDescent="0.25">
      <c r="L18" s="48"/>
      <c r="M18" s="49"/>
      <c r="N18" s="10"/>
      <c r="O18" s="3"/>
    </row>
    <row r="19" spans="2:15" x14ac:dyDescent="0.25">
      <c r="L19" s="48"/>
      <c r="M19" s="48"/>
      <c r="N19" s="10"/>
      <c r="O19" s="3"/>
    </row>
    <row r="20" spans="2:15" x14ac:dyDescent="0.25">
      <c r="L20" s="48"/>
      <c r="M20" s="49"/>
      <c r="N20" s="10"/>
      <c r="O20" s="3"/>
    </row>
    <row r="21" spans="2:15" x14ac:dyDescent="0.25">
      <c r="L21" s="48"/>
      <c r="M21" s="48"/>
      <c r="N21" s="10"/>
      <c r="O21" s="3"/>
    </row>
    <row r="22" spans="2:15" x14ac:dyDescent="0.25">
      <c r="L22" s="48"/>
      <c r="M22" s="49"/>
      <c r="N22" s="10"/>
      <c r="O22" s="3"/>
    </row>
    <row r="23" spans="2:15" x14ac:dyDescent="0.25">
      <c r="L23" s="48"/>
      <c r="M23" s="48"/>
      <c r="N23" s="10"/>
      <c r="O23" s="3"/>
    </row>
    <row r="24" spans="2:15" x14ac:dyDescent="0.25">
      <c r="L24" s="48"/>
      <c r="M24" s="49"/>
      <c r="N24" s="10"/>
      <c r="O24" s="3"/>
    </row>
    <row r="25" spans="2:15" x14ac:dyDescent="0.25">
      <c r="L25" s="48"/>
      <c r="M25" s="48"/>
      <c r="N25" s="10"/>
      <c r="O25" s="3"/>
    </row>
    <row r="26" spans="2:15" x14ac:dyDescent="0.25">
      <c r="L26" s="48"/>
      <c r="M26" s="49"/>
      <c r="N26" s="10"/>
      <c r="O26" s="3"/>
    </row>
    <row r="27" spans="2:15" x14ac:dyDescent="0.25">
      <c r="L27" s="48"/>
      <c r="M27" s="48"/>
      <c r="N27" s="10"/>
      <c r="O27" s="3"/>
    </row>
    <row r="28" spans="2:15" x14ac:dyDescent="0.25">
      <c r="L28" s="48"/>
      <c r="M28" s="49"/>
      <c r="N28" s="10"/>
      <c r="O28" s="3"/>
    </row>
    <row r="29" spans="2:15" x14ac:dyDescent="0.25">
      <c r="L29" s="48"/>
      <c r="M29" s="48"/>
      <c r="N29" s="10"/>
      <c r="O29" s="3"/>
    </row>
    <row r="30" spans="2:15" x14ac:dyDescent="0.25">
      <c r="L30" s="48"/>
      <c r="M30" s="49"/>
      <c r="N30" s="10"/>
      <c r="O30" s="3"/>
    </row>
    <row r="31" spans="2:15" x14ac:dyDescent="0.25">
      <c r="L31" s="48"/>
      <c r="M31" s="48"/>
      <c r="N31" s="10"/>
      <c r="O31" s="3"/>
    </row>
    <row r="32" spans="2:15" x14ac:dyDescent="0.25">
      <c r="L32" s="48"/>
      <c r="M32" s="49"/>
      <c r="N32" s="10"/>
      <c r="O32" s="3"/>
    </row>
    <row r="33" spans="12:15" x14ac:dyDescent="0.25">
      <c r="L33" s="48"/>
      <c r="M33" s="48"/>
      <c r="N33" s="10"/>
      <c r="O33" s="3"/>
    </row>
    <row r="34" spans="12:15" x14ac:dyDescent="0.25">
      <c r="L34" s="48"/>
      <c r="M34" s="49"/>
      <c r="N34" s="10"/>
      <c r="O34" s="3"/>
    </row>
    <row r="35" spans="12:15" x14ac:dyDescent="0.25">
      <c r="L35" s="48"/>
      <c r="M35" s="48"/>
      <c r="N35" s="10"/>
      <c r="O35" s="3"/>
    </row>
    <row r="36" spans="12:15" x14ac:dyDescent="0.25">
      <c r="L36" s="48"/>
      <c r="M36" s="49"/>
      <c r="N36" s="10"/>
      <c r="O36" s="3"/>
    </row>
    <row r="37" spans="12:15" x14ac:dyDescent="0.25">
      <c r="L37" s="48"/>
      <c r="M37" s="48"/>
      <c r="N37" s="10"/>
      <c r="O37" s="3"/>
    </row>
    <row r="38" spans="12:15" x14ac:dyDescent="0.25">
      <c r="L38" s="48"/>
      <c r="M38" s="49"/>
      <c r="N38" s="10"/>
      <c r="O38" s="3"/>
    </row>
    <row r="39" spans="12:15" x14ac:dyDescent="0.25">
      <c r="L39" s="48"/>
      <c r="M39" s="48"/>
      <c r="N39" s="10"/>
      <c r="O39" s="3"/>
    </row>
    <row r="40" spans="12:15" x14ac:dyDescent="0.25">
      <c r="L40" s="48"/>
      <c r="M40" s="49"/>
      <c r="N40" s="10"/>
      <c r="O40" s="3"/>
    </row>
    <row r="41" spans="12:15" x14ac:dyDescent="0.25">
      <c r="L41" s="48"/>
      <c r="M41" s="48"/>
      <c r="N41" s="10"/>
      <c r="O41" s="3"/>
    </row>
    <row r="42" spans="12:15" x14ac:dyDescent="0.25">
      <c r="L42" s="48"/>
      <c r="M42" s="49"/>
      <c r="N42" s="10"/>
      <c r="O42" s="3"/>
    </row>
    <row r="43" spans="12:15" x14ac:dyDescent="0.25">
      <c r="L43" s="48"/>
      <c r="M43" s="48"/>
      <c r="N43" s="10"/>
      <c r="O43" s="3"/>
    </row>
    <row r="44" spans="12:15" x14ac:dyDescent="0.25">
      <c r="L44" s="48"/>
      <c r="M44" s="49"/>
      <c r="N44" s="10"/>
      <c r="O44" s="3"/>
    </row>
    <row r="45" spans="12:15" x14ac:dyDescent="0.25">
      <c r="L45" s="48"/>
      <c r="M45" s="48"/>
      <c r="N45" s="10"/>
      <c r="O45" s="3"/>
    </row>
    <row r="46" spans="12:15" x14ac:dyDescent="0.25">
      <c r="L46" s="48"/>
      <c r="M46" s="49"/>
      <c r="N46" s="10"/>
      <c r="O46" s="3"/>
    </row>
    <row r="47" spans="12:15" x14ac:dyDescent="0.25">
      <c r="L47" s="48"/>
      <c r="M47" s="48"/>
      <c r="N47" s="10"/>
      <c r="O47" s="3"/>
    </row>
    <row r="48" spans="12:15" x14ac:dyDescent="0.25">
      <c r="L48" s="48"/>
      <c r="M48" s="49"/>
      <c r="N48" s="10"/>
      <c r="O48" s="3"/>
    </row>
    <row r="49" spans="12:15" x14ac:dyDescent="0.25">
      <c r="L49" s="48"/>
      <c r="M49" s="48"/>
      <c r="N49" s="10"/>
      <c r="O49" s="3"/>
    </row>
    <row r="50" spans="12:15" x14ac:dyDescent="0.25">
      <c r="L50" s="48"/>
      <c r="M50" s="49"/>
      <c r="N50" s="10"/>
      <c r="O50" s="3"/>
    </row>
    <row r="51" spans="12:15" x14ac:dyDescent="0.25">
      <c r="L51" s="48"/>
      <c r="M51" s="48"/>
      <c r="N51" s="10"/>
      <c r="O51" s="3"/>
    </row>
    <row r="52" spans="12:15" x14ac:dyDescent="0.25">
      <c r="L52" s="48"/>
      <c r="M52" s="49"/>
      <c r="N52" s="10"/>
      <c r="O52" s="3"/>
    </row>
    <row r="53" spans="12:15" x14ac:dyDescent="0.25">
      <c r="L53" s="48"/>
      <c r="M53" s="48"/>
      <c r="N53" s="10"/>
      <c r="O53" s="3"/>
    </row>
    <row r="54" spans="12:15" x14ac:dyDescent="0.25">
      <c r="L54" s="48"/>
      <c r="M54" s="49"/>
      <c r="N54" s="10"/>
      <c r="O54" s="3"/>
    </row>
    <row r="55" spans="12:15" x14ac:dyDescent="0.25">
      <c r="L55" s="48"/>
      <c r="M55" s="48"/>
      <c r="N55" s="10"/>
      <c r="O55" s="3"/>
    </row>
    <row r="56" spans="12:15" x14ac:dyDescent="0.25">
      <c r="L56" s="48"/>
      <c r="M56" s="49"/>
      <c r="N56" s="10"/>
      <c r="O56" s="3"/>
    </row>
    <row r="57" spans="12:15" x14ac:dyDescent="0.25">
      <c r="L57" s="48"/>
      <c r="M57" s="48"/>
      <c r="N57" s="10"/>
      <c r="O57" s="3"/>
    </row>
    <row r="58" spans="12:15" x14ac:dyDescent="0.25">
      <c r="L58" s="48"/>
      <c r="M58" s="49"/>
      <c r="N58" s="10"/>
      <c r="O58" s="3"/>
    </row>
    <row r="59" spans="12:15" x14ac:dyDescent="0.25">
      <c r="L59" s="48"/>
      <c r="M59" s="48"/>
      <c r="N59" s="10"/>
      <c r="O59" s="3"/>
    </row>
    <row r="60" spans="12:15" x14ac:dyDescent="0.25">
      <c r="L60" s="48"/>
      <c r="M60" s="49"/>
      <c r="N60" s="10"/>
      <c r="O60" s="3"/>
    </row>
    <row r="61" spans="12:15" x14ac:dyDescent="0.25">
      <c r="L61" s="48"/>
      <c r="M61" s="48"/>
      <c r="N61" s="10"/>
      <c r="O61" s="3"/>
    </row>
    <row r="62" spans="12:15" x14ac:dyDescent="0.25">
      <c r="L62" s="48"/>
      <c r="M62" s="49"/>
      <c r="N62" s="10"/>
      <c r="O62" s="3"/>
    </row>
    <row r="63" spans="12:15" x14ac:dyDescent="0.25">
      <c r="L63" s="48"/>
      <c r="M63" s="48"/>
      <c r="N63" s="10"/>
      <c r="O63" s="3"/>
    </row>
    <row r="64" spans="12:15" x14ac:dyDescent="0.25">
      <c r="L64" s="48"/>
      <c r="M64" s="49"/>
      <c r="N64" s="10"/>
      <c r="O64" s="3"/>
    </row>
    <row r="65" spans="12:15" x14ac:dyDescent="0.25">
      <c r="L65" s="48"/>
      <c r="M65" s="48"/>
      <c r="N65" s="10"/>
      <c r="O65" s="3"/>
    </row>
    <row r="66" spans="12:15" x14ac:dyDescent="0.25">
      <c r="L66" s="48"/>
      <c r="M66" s="49"/>
      <c r="N66" s="10"/>
      <c r="O66" s="3"/>
    </row>
    <row r="67" spans="12:15" x14ac:dyDescent="0.25">
      <c r="L67" s="48"/>
      <c r="M67" s="48"/>
      <c r="N67" s="10"/>
      <c r="O67" s="3"/>
    </row>
    <row r="68" spans="12:15" x14ac:dyDescent="0.25">
      <c r="L68" s="48"/>
      <c r="M68" s="49"/>
      <c r="N68" s="10"/>
      <c r="O68" s="3"/>
    </row>
    <row r="69" spans="12:15" x14ac:dyDescent="0.25">
      <c r="L69" s="48"/>
      <c r="M69" s="48"/>
      <c r="N69" s="10"/>
      <c r="O69" s="3"/>
    </row>
    <row r="70" spans="12:15" x14ac:dyDescent="0.25">
      <c r="L70" s="48"/>
      <c r="M70" s="49"/>
      <c r="N70" s="10"/>
      <c r="O70" s="3"/>
    </row>
    <row r="71" spans="12:15" x14ac:dyDescent="0.25">
      <c r="L71" s="48"/>
      <c r="M71" s="48"/>
      <c r="N71" s="10"/>
      <c r="O71" s="3"/>
    </row>
    <row r="72" spans="12:15" x14ac:dyDescent="0.25">
      <c r="L72" s="48"/>
      <c r="M72" s="49"/>
      <c r="N72" s="10"/>
      <c r="O72" s="3"/>
    </row>
    <row r="73" spans="12:15" x14ac:dyDescent="0.25">
      <c r="L73" s="48"/>
      <c r="M73" s="48"/>
      <c r="N73" s="10"/>
      <c r="O73" s="3"/>
    </row>
    <row r="74" spans="12:15" x14ac:dyDescent="0.25">
      <c r="L74" s="48"/>
      <c r="M74" s="49"/>
      <c r="N74" s="10"/>
      <c r="O74" s="3"/>
    </row>
    <row r="75" spans="12:15" x14ac:dyDescent="0.25">
      <c r="L75" s="48"/>
      <c r="M75" s="48"/>
      <c r="N75" s="10"/>
      <c r="O75" s="3"/>
    </row>
    <row r="76" spans="12:15" x14ac:dyDescent="0.25">
      <c r="L76" s="48"/>
      <c r="M76" s="49"/>
      <c r="N76" s="10"/>
      <c r="O76" s="3"/>
    </row>
    <row r="77" spans="12:15" x14ac:dyDescent="0.25">
      <c r="L77" s="48"/>
      <c r="M77" s="48"/>
      <c r="N77" s="10"/>
      <c r="O77" s="3"/>
    </row>
    <row r="78" spans="12:15" x14ac:dyDescent="0.25">
      <c r="L78" s="48"/>
      <c r="M78" s="49"/>
      <c r="N78" s="10"/>
      <c r="O78" s="3"/>
    </row>
    <row r="79" spans="12:15" x14ac:dyDescent="0.25">
      <c r="L79" s="48"/>
      <c r="M79" s="48"/>
      <c r="N79" s="10"/>
      <c r="O79" s="3"/>
    </row>
    <row r="80" spans="12:15" x14ac:dyDescent="0.25">
      <c r="L80" s="48"/>
      <c r="M80" s="49"/>
      <c r="N80" s="10"/>
      <c r="O80" s="3"/>
    </row>
    <row r="81" spans="12:15" x14ac:dyDescent="0.25">
      <c r="L81" s="48"/>
      <c r="M81" s="48"/>
      <c r="N81" s="10"/>
      <c r="O81" s="3"/>
    </row>
    <row r="82" spans="12:15" x14ac:dyDescent="0.25">
      <c r="L82" s="48"/>
      <c r="M82" s="49"/>
      <c r="N82" s="10"/>
      <c r="O82" s="3"/>
    </row>
    <row r="83" spans="12:15" x14ac:dyDescent="0.25">
      <c r="L83" s="48"/>
      <c r="M83" s="48"/>
      <c r="N83" s="10"/>
      <c r="O83" s="3"/>
    </row>
    <row r="84" spans="12:15" x14ac:dyDescent="0.25">
      <c r="L84" s="48"/>
      <c r="M84" s="49"/>
      <c r="N84" s="10"/>
      <c r="O84" s="3"/>
    </row>
    <row r="85" spans="12:15" x14ac:dyDescent="0.25">
      <c r="L85" s="48"/>
      <c r="M85" s="48"/>
      <c r="N85" s="10"/>
      <c r="O85" s="3"/>
    </row>
    <row r="86" spans="12:15" x14ac:dyDescent="0.25">
      <c r="L86" s="48"/>
      <c r="M86" s="49"/>
      <c r="N86" s="10"/>
      <c r="O86" s="3"/>
    </row>
    <row r="87" spans="12:15" x14ac:dyDescent="0.25">
      <c r="L87" s="48"/>
      <c r="M87" s="48"/>
      <c r="N87" s="10"/>
      <c r="O87" s="3"/>
    </row>
    <row r="88" spans="12:15" x14ac:dyDescent="0.25">
      <c r="L88" s="48"/>
      <c r="M88" s="49"/>
      <c r="N88" s="10"/>
      <c r="O88" s="3"/>
    </row>
    <row r="89" spans="12:15" x14ac:dyDescent="0.25">
      <c r="L89" s="48"/>
      <c r="M89" s="48"/>
      <c r="N89" s="10"/>
      <c r="O89" s="3"/>
    </row>
    <row r="90" spans="12:15" x14ac:dyDescent="0.25">
      <c r="L90" s="48"/>
      <c r="M90" s="49"/>
      <c r="N90" s="10"/>
      <c r="O90" s="3"/>
    </row>
    <row r="91" spans="12:15" x14ac:dyDescent="0.25">
      <c r="L91" s="48"/>
      <c r="M91" s="48"/>
      <c r="N91" s="10"/>
      <c r="O91" s="3"/>
    </row>
    <row r="92" spans="12:15" x14ac:dyDescent="0.25">
      <c r="L92" s="48"/>
      <c r="M92" s="49"/>
      <c r="N92" s="10"/>
      <c r="O92" s="3"/>
    </row>
    <row r="93" spans="12:15" x14ac:dyDescent="0.25">
      <c r="L93" s="48"/>
      <c r="M93" s="48"/>
      <c r="N93" s="10"/>
      <c r="O93" s="3"/>
    </row>
    <row r="94" spans="12:15" x14ac:dyDescent="0.25">
      <c r="L94" s="48"/>
      <c r="M94" s="49"/>
      <c r="N94" s="10"/>
      <c r="O94" s="3"/>
    </row>
    <row r="95" spans="12:15" x14ac:dyDescent="0.25">
      <c r="L95" s="48"/>
      <c r="M95" s="48"/>
      <c r="N95" s="10"/>
      <c r="O95" s="3"/>
    </row>
    <row r="96" spans="12:15" x14ac:dyDescent="0.25">
      <c r="L96" s="48"/>
      <c r="M96" s="49"/>
      <c r="N96" s="10"/>
      <c r="O96" s="3"/>
    </row>
    <row r="97" spans="12:15" x14ac:dyDescent="0.25">
      <c r="L97" s="48"/>
      <c r="M97" s="48"/>
      <c r="N97" s="10"/>
      <c r="O97" s="3"/>
    </row>
    <row r="98" spans="12:15" x14ac:dyDescent="0.25">
      <c r="L98" s="48"/>
      <c r="M98" s="49"/>
      <c r="N98" s="10"/>
      <c r="O98" s="3"/>
    </row>
    <row r="99" spans="12:15" x14ac:dyDescent="0.25">
      <c r="L99" s="48"/>
      <c r="M99" s="48"/>
      <c r="N99" s="10"/>
      <c r="O99" s="3"/>
    </row>
    <row r="100" spans="12:15" x14ac:dyDescent="0.25">
      <c r="L100" s="48"/>
      <c r="M100" s="49"/>
      <c r="N100" s="10"/>
      <c r="O100" s="3"/>
    </row>
    <row r="101" spans="12:15" x14ac:dyDescent="0.25">
      <c r="L101" s="48"/>
      <c r="M101" s="48"/>
      <c r="N101" s="10"/>
      <c r="O101" s="3"/>
    </row>
    <row r="102" spans="12:15" x14ac:dyDescent="0.25">
      <c r="L102" s="48"/>
      <c r="M102" s="49"/>
      <c r="N102" s="10"/>
      <c r="O102" s="3"/>
    </row>
    <row r="103" spans="12:15" x14ac:dyDescent="0.25">
      <c r="L103" s="48"/>
      <c r="M103" s="48"/>
      <c r="N103" s="10"/>
      <c r="O103" s="3"/>
    </row>
    <row r="104" spans="12:15" x14ac:dyDescent="0.25">
      <c r="L104" s="48"/>
      <c r="M104" s="49"/>
      <c r="N104" s="10"/>
      <c r="O104" s="3"/>
    </row>
    <row r="105" spans="12:15" x14ac:dyDescent="0.25">
      <c r="L105" s="48"/>
      <c r="M105" s="48"/>
      <c r="N105" s="10"/>
      <c r="O105" s="3"/>
    </row>
    <row r="106" spans="12:15" x14ac:dyDescent="0.25">
      <c r="L106" s="48"/>
      <c r="M106" s="49"/>
      <c r="N106" s="10"/>
      <c r="O106" s="3"/>
    </row>
    <row r="107" spans="12:15" x14ac:dyDescent="0.25">
      <c r="L107" s="48"/>
      <c r="M107" s="48"/>
      <c r="N107" s="10"/>
      <c r="O107" s="3"/>
    </row>
    <row r="108" spans="12:15" x14ac:dyDescent="0.25">
      <c r="L108" s="48"/>
      <c r="M108" s="49"/>
      <c r="N108" s="10"/>
      <c r="O108" s="3"/>
    </row>
    <row r="109" spans="12:15" x14ac:dyDescent="0.25">
      <c r="L109" s="48"/>
      <c r="M109" s="48"/>
      <c r="N109" s="10"/>
      <c r="O109" s="3"/>
    </row>
    <row r="110" spans="12:15" x14ac:dyDescent="0.25">
      <c r="L110" s="48"/>
      <c r="M110" s="49"/>
      <c r="N110" s="10"/>
      <c r="O110" s="3"/>
    </row>
    <row r="111" spans="12:15" x14ac:dyDescent="0.25">
      <c r="L111" s="48"/>
      <c r="M111" s="48"/>
      <c r="N111" s="10"/>
      <c r="O111" s="3"/>
    </row>
    <row r="112" spans="12:15" x14ac:dyDescent="0.25">
      <c r="L112" s="48"/>
      <c r="M112" s="49"/>
      <c r="N112" s="10"/>
      <c r="O112" s="3"/>
    </row>
    <row r="113" spans="12:15" x14ac:dyDescent="0.25">
      <c r="L113" s="48"/>
      <c r="M113" s="48"/>
      <c r="N113" s="10"/>
      <c r="O113" s="3"/>
    </row>
    <row r="114" spans="12:15" x14ac:dyDescent="0.25">
      <c r="L114" s="48"/>
      <c r="M114" s="49"/>
      <c r="N114" s="10"/>
      <c r="O114" s="3"/>
    </row>
    <row r="115" spans="12:15" x14ac:dyDescent="0.25">
      <c r="L115" s="48"/>
      <c r="M115" s="48"/>
      <c r="N115" s="10"/>
      <c r="O115" s="3"/>
    </row>
    <row r="116" spans="12:15" x14ac:dyDescent="0.25">
      <c r="L116" s="48"/>
      <c r="M116" s="49"/>
      <c r="N116" s="10"/>
      <c r="O116" s="3"/>
    </row>
    <row r="117" spans="12:15" x14ac:dyDescent="0.25">
      <c r="L117" s="48"/>
      <c r="M117" s="48"/>
      <c r="N117" s="10"/>
      <c r="O117" s="3"/>
    </row>
    <row r="118" spans="12:15" x14ac:dyDescent="0.25">
      <c r="L118" s="48"/>
      <c r="M118" s="49"/>
      <c r="N118" s="10"/>
      <c r="O118" s="3"/>
    </row>
    <row r="119" spans="12:15" x14ac:dyDescent="0.25">
      <c r="L119" s="48"/>
      <c r="M119" s="48"/>
      <c r="N119" s="10"/>
      <c r="O119" s="3"/>
    </row>
    <row r="120" spans="12:15" x14ac:dyDescent="0.25">
      <c r="L120" s="48"/>
      <c r="M120" s="49"/>
      <c r="N120" s="10"/>
      <c r="O120" s="3"/>
    </row>
    <row r="121" spans="12:15" x14ac:dyDescent="0.25">
      <c r="L121" s="48"/>
      <c r="M121" s="48"/>
      <c r="N121" s="10"/>
      <c r="O121" s="3"/>
    </row>
    <row r="122" spans="12:15" x14ac:dyDescent="0.25">
      <c r="L122" s="48"/>
      <c r="M122" s="49"/>
      <c r="N122" s="10"/>
      <c r="O122" s="3"/>
    </row>
    <row r="123" spans="12:15" x14ac:dyDescent="0.25">
      <c r="L123" s="48"/>
      <c r="M123" s="48"/>
      <c r="N123" s="10"/>
      <c r="O123" s="3"/>
    </row>
    <row r="124" spans="12:15" x14ac:dyDescent="0.25">
      <c r="L124" s="48"/>
      <c r="M124" s="49"/>
      <c r="N124" s="10"/>
      <c r="O124" s="3"/>
    </row>
    <row r="125" spans="12:15" x14ac:dyDescent="0.25">
      <c r="L125" s="48"/>
      <c r="M125" s="48"/>
      <c r="N125" s="10"/>
      <c r="O125" s="3"/>
    </row>
    <row r="126" spans="12:15" x14ac:dyDescent="0.25">
      <c r="L126" s="48"/>
      <c r="M126" s="49"/>
      <c r="N126" s="10"/>
      <c r="O126" s="3"/>
    </row>
    <row r="127" spans="12:15" x14ac:dyDescent="0.25">
      <c r="L127" s="48"/>
      <c r="M127" s="48"/>
      <c r="N127" s="10"/>
      <c r="O127" s="3"/>
    </row>
    <row r="128" spans="12:15" x14ac:dyDescent="0.25">
      <c r="L128" s="48"/>
      <c r="M128" s="49"/>
      <c r="N128" s="10"/>
      <c r="O128" s="3"/>
    </row>
    <row r="129" spans="12:15" x14ac:dyDescent="0.25">
      <c r="L129" s="48"/>
      <c r="M129" s="48"/>
      <c r="N129" s="10"/>
      <c r="O129" s="3"/>
    </row>
    <row r="130" spans="12:15" x14ac:dyDescent="0.25">
      <c r="L130" s="48"/>
      <c r="M130" s="49"/>
      <c r="N130" s="10"/>
      <c r="O130" s="3"/>
    </row>
    <row r="131" spans="12:15" x14ac:dyDescent="0.25">
      <c r="L131" s="48"/>
      <c r="M131" s="48"/>
      <c r="N131" s="10"/>
      <c r="O131" s="3"/>
    </row>
    <row r="132" spans="12:15" x14ac:dyDescent="0.25">
      <c r="L132" s="48"/>
      <c r="M132" s="49"/>
      <c r="N132" s="10"/>
      <c r="O132" s="3"/>
    </row>
    <row r="133" spans="12:15" x14ac:dyDescent="0.25">
      <c r="L133" s="48"/>
      <c r="M133" s="48"/>
      <c r="N133" s="10"/>
      <c r="O133" s="3"/>
    </row>
    <row r="134" spans="12:15" x14ac:dyDescent="0.25">
      <c r="L134" s="48"/>
      <c r="M134" s="49"/>
      <c r="N134" s="10"/>
      <c r="O134" s="3"/>
    </row>
    <row r="135" spans="12:15" x14ac:dyDescent="0.25">
      <c r="L135" s="48"/>
      <c r="M135" s="48"/>
      <c r="N135" s="10"/>
      <c r="O135" s="3"/>
    </row>
    <row r="136" spans="12:15" x14ac:dyDescent="0.25">
      <c r="L136" s="48"/>
      <c r="M136" s="49"/>
      <c r="N136" s="10"/>
      <c r="O136" s="3"/>
    </row>
    <row r="137" spans="12:15" x14ac:dyDescent="0.25">
      <c r="L137" s="48"/>
      <c r="M137" s="48"/>
      <c r="N137" s="10"/>
      <c r="O137" s="3"/>
    </row>
    <row r="138" spans="12:15" x14ac:dyDescent="0.25">
      <c r="L138" s="48"/>
      <c r="M138" s="49"/>
      <c r="N138" s="10"/>
      <c r="O138" s="3"/>
    </row>
    <row r="139" spans="12:15" x14ac:dyDescent="0.25">
      <c r="L139" s="48"/>
      <c r="M139" s="48"/>
      <c r="N139" s="10"/>
      <c r="O139" s="3"/>
    </row>
    <row r="140" spans="12:15" x14ac:dyDescent="0.25">
      <c r="L140" s="48"/>
      <c r="M140" s="49"/>
      <c r="N140" s="10"/>
      <c r="O140" s="3"/>
    </row>
    <row r="141" spans="12:15" x14ac:dyDescent="0.25">
      <c r="L141" s="48"/>
      <c r="M141" s="48"/>
      <c r="N141" s="10"/>
      <c r="O141" s="3"/>
    </row>
    <row r="142" spans="12:15" x14ac:dyDescent="0.25">
      <c r="L142" s="48"/>
      <c r="M142" s="49"/>
      <c r="N142" s="10"/>
      <c r="O142" s="3"/>
    </row>
    <row r="143" spans="12:15" x14ac:dyDescent="0.25">
      <c r="L143" s="48"/>
      <c r="M143" s="48"/>
      <c r="N143" s="10"/>
      <c r="O143" s="3"/>
    </row>
    <row r="144" spans="12:15" x14ac:dyDescent="0.25">
      <c r="L144" s="48"/>
      <c r="M144" s="49"/>
      <c r="N144" s="10"/>
      <c r="O144" s="3"/>
    </row>
    <row r="145" spans="12:15" x14ac:dyDescent="0.25">
      <c r="L145" s="48"/>
      <c r="M145" s="48"/>
      <c r="N145" s="10"/>
      <c r="O145" s="3"/>
    </row>
    <row r="146" spans="12:15" x14ac:dyDescent="0.25">
      <c r="L146" s="48"/>
      <c r="M146" s="49"/>
      <c r="N146" s="10"/>
      <c r="O146" s="3"/>
    </row>
    <row r="147" spans="12:15" x14ac:dyDescent="0.25">
      <c r="L147" s="48"/>
      <c r="M147" s="48"/>
      <c r="N147" s="10"/>
      <c r="O147" s="3"/>
    </row>
    <row r="148" spans="12:15" x14ac:dyDescent="0.25">
      <c r="L148" s="48"/>
      <c r="M148" s="49"/>
      <c r="N148" s="10"/>
      <c r="O148" s="3"/>
    </row>
    <row r="149" spans="12:15" x14ac:dyDescent="0.25">
      <c r="L149" s="48"/>
      <c r="M149" s="48"/>
      <c r="N149" s="10"/>
      <c r="O149" s="3"/>
    </row>
    <row r="150" spans="12:15" x14ac:dyDescent="0.25">
      <c r="L150" s="48"/>
      <c r="M150" s="49"/>
      <c r="N150" s="10"/>
      <c r="O150" s="3"/>
    </row>
    <row r="151" spans="12:15" x14ac:dyDescent="0.25">
      <c r="L151" s="48"/>
      <c r="M151" s="48"/>
      <c r="N151" s="10"/>
      <c r="O151" s="3"/>
    </row>
    <row r="152" spans="12:15" x14ac:dyDescent="0.25">
      <c r="L152" s="48"/>
      <c r="M152" s="49"/>
      <c r="N152" s="10"/>
      <c r="O152" s="3"/>
    </row>
    <row r="153" spans="12:15" x14ac:dyDescent="0.25">
      <c r="L153" s="48"/>
      <c r="M153" s="48"/>
      <c r="N153" s="10"/>
      <c r="O153" s="3"/>
    </row>
    <row r="154" spans="12:15" x14ac:dyDescent="0.25">
      <c r="L154" s="48"/>
      <c r="M154" s="49"/>
      <c r="N154" s="10"/>
      <c r="O154" s="3"/>
    </row>
    <row r="155" spans="12:15" x14ac:dyDescent="0.25">
      <c r="L155" s="48"/>
      <c r="M155" s="48"/>
      <c r="N155" s="10"/>
      <c r="O155" s="3"/>
    </row>
    <row r="156" spans="12:15" x14ac:dyDescent="0.25">
      <c r="L156" s="48"/>
      <c r="M156" s="49"/>
      <c r="N156" s="10"/>
      <c r="O156" s="3"/>
    </row>
    <row r="157" spans="12:15" x14ac:dyDescent="0.25">
      <c r="L157" s="48"/>
      <c r="M157" s="48"/>
      <c r="N157" s="10"/>
      <c r="O157" s="3"/>
    </row>
    <row r="158" spans="12:15" x14ac:dyDescent="0.25">
      <c r="L158" s="48"/>
      <c r="M158" s="49"/>
      <c r="N158" s="10"/>
      <c r="O158" s="3"/>
    </row>
    <row r="159" spans="12:15" x14ac:dyDescent="0.25">
      <c r="L159" s="48"/>
      <c r="M159" s="48"/>
      <c r="N159" s="10"/>
      <c r="O159" s="3"/>
    </row>
    <row r="160" spans="12:15" x14ac:dyDescent="0.25">
      <c r="L160" s="48"/>
      <c r="M160" s="49"/>
      <c r="N160" s="10"/>
      <c r="O160" s="3"/>
    </row>
    <row r="161" spans="12:15" x14ac:dyDescent="0.25">
      <c r="L161" s="48"/>
      <c r="M161" s="48"/>
      <c r="N161" s="10"/>
      <c r="O161" s="3"/>
    </row>
    <row r="162" spans="12:15" x14ac:dyDescent="0.25">
      <c r="L162" s="48"/>
      <c r="M162" s="49"/>
      <c r="N162" s="10"/>
      <c r="O162" s="3"/>
    </row>
    <row r="163" spans="12:15" x14ac:dyDescent="0.25">
      <c r="L163" s="48"/>
      <c r="M163" s="48"/>
      <c r="N163" s="10"/>
      <c r="O163" s="3"/>
    </row>
    <row r="164" spans="12:15" x14ac:dyDescent="0.25">
      <c r="L164" s="48"/>
      <c r="M164" s="49"/>
      <c r="N164" s="10"/>
      <c r="O164" s="3"/>
    </row>
    <row r="165" spans="12:15" x14ac:dyDescent="0.25">
      <c r="L165" s="48"/>
      <c r="M165" s="48"/>
      <c r="N165" s="10"/>
      <c r="O165" s="3"/>
    </row>
    <row r="166" spans="12:15" x14ac:dyDescent="0.25">
      <c r="L166" s="48"/>
      <c r="M166" s="49"/>
      <c r="N166" s="10"/>
      <c r="O166" s="3"/>
    </row>
    <row r="167" spans="12:15" x14ac:dyDescent="0.25">
      <c r="L167" s="48"/>
      <c r="M167" s="48"/>
      <c r="N167" s="10"/>
      <c r="O167" s="3"/>
    </row>
    <row r="168" spans="12:15" x14ac:dyDescent="0.25">
      <c r="L168" s="48"/>
      <c r="M168" s="49"/>
      <c r="N168" s="10"/>
      <c r="O168" s="3"/>
    </row>
    <row r="169" spans="12:15" x14ac:dyDescent="0.25">
      <c r="L169" s="48"/>
      <c r="M169" s="48"/>
      <c r="N169" s="10"/>
      <c r="O169" s="3"/>
    </row>
    <row r="170" spans="12:15" x14ac:dyDescent="0.25">
      <c r="L170" s="48"/>
      <c r="M170" s="49"/>
      <c r="N170" s="10"/>
      <c r="O170" s="3"/>
    </row>
    <row r="171" spans="12:15" x14ac:dyDescent="0.25">
      <c r="L171" s="48"/>
      <c r="M171" s="48"/>
      <c r="N171" s="10"/>
      <c r="O171" s="3"/>
    </row>
    <row r="172" spans="12:15" x14ac:dyDescent="0.25">
      <c r="L172" s="48"/>
      <c r="M172" s="49"/>
      <c r="N172" s="10"/>
      <c r="O172" s="3"/>
    </row>
    <row r="173" spans="12:15" x14ac:dyDescent="0.25">
      <c r="L173" s="48"/>
      <c r="M173" s="48"/>
      <c r="N173" s="10"/>
      <c r="O173" s="3"/>
    </row>
    <row r="174" spans="12:15" x14ac:dyDescent="0.25">
      <c r="L174" s="48"/>
      <c r="M174" s="49"/>
      <c r="N174" s="10"/>
      <c r="O174" s="3"/>
    </row>
    <row r="175" spans="12:15" x14ac:dyDescent="0.25">
      <c r="L175" s="48"/>
      <c r="M175" s="48"/>
      <c r="N175" s="10"/>
      <c r="O175" s="3"/>
    </row>
    <row r="176" spans="12:15" x14ac:dyDescent="0.25">
      <c r="L176" s="48"/>
      <c r="M176" s="49"/>
      <c r="N176" s="10"/>
      <c r="O176" s="3"/>
    </row>
    <row r="177" spans="12:15" x14ac:dyDescent="0.25">
      <c r="L177" s="48"/>
      <c r="M177" s="48"/>
      <c r="N177" s="10"/>
      <c r="O177" s="3"/>
    </row>
    <row r="178" spans="12:15" x14ac:dyDescent="0.25">
      <c r="L178" s="48"/>
      <c r="M178" s="49"/>
      <c r="N178" s="10"/>
      <c r="O178" s="3"/>
    </row>
    <row r="179" spans="12:15" x14ac:dyDescent="0.25">
      <c r="L179" s="48"/>
      <c r="M179" s="48"/>
      <c r="N179" s="10"/>
      <c r="O179" s="3"/>
    </row>
    <row r="180" spans="12:15" x14ac:dyDescent="0.25">
      <c r="L180" s="48"/>
      <c r="M180" s="49"/>
      <c r="N180" s="10"/>
      <c r="O180" s="3"/>
    </row>
    <row r="181" spans="12:15" x14ac:dyDescent="0.25">
      <c r="L181" s="48"/>
      <c r="M181" s="48"/>
      <c r="N181" s="10"/>
      <c r="O181" s="3"/>
    </row>
    <row r="182" spans="12:15" x14ac:dyDescent="0.25">
      <c r="L182" s="48"/>
      <c r="M182" s="49"/>
      <c r="N182" s="10"/>
      <c r="O182" s="3"/>
    </row>
    <row r="183" spans="12:15" x14ac:dyDescent="0.25">
      <c r="L183" s="48"/>
      <c r="M183" s="48"/>
      <c r="N183" s="10"/>
      <c r="O183" s="3"/>
    </row>
    <row r="184" spans="12:15" x14ac:dyDescent="0.25">
      <c r="L184" s="48"/>
      <c r="M184" s="49"/>
      <c r="N184" s="10"/>
      <c r="O184" s="3"/>
    </row>
    <row r="185" spans="12:15" x14ac:dyDescent="0.25">
      <c r="L185" s="48"/>
      <c r="M185" s="48"/>
      <c r="N185" s="10"/>
      <c r="O185" s="3"/>
    </row>
    <row r="186" spans="12:15" x14ac:dyDescent="0.25">
      <c r="L186" s="48"/>
      <c r="M186" s="49"/>
      <c r="N186" s="10"/>
      <c r="O186" s="3"/>
    </row>
    <row r="187" spans="12:15" x14ac:dyDescent="0.25">
      <c r="L187" s="48"/>
      <c r="M187" s="48"/>
      <c r="N187" s="10"/>
      <c r="O187" s="3"/>
    </row>
    <row r="188" spans="12:15" x14ac:dyDescent="0.25">
      <c r="L188" s="48"/>
      <c r="M188" s="49"/>
      <c r="N188" s="10"/>
      <c r="O188" s="3"/>
    </row>
    <row r="189" spans="12:15" x14ac:dyDescent="0.25">
      <c r="L189" s="48"/>
      <c r="M189" s="48"/>
      <c r="N189" s="10"/>
      <c r="O189" s="3"/>
    </row>
    <row r="190" spans="12:15" x14ac:dyDescent="0.25">
      <c r="L190" s="48"/>
      <c r="M190" s="49"/>
      <c r="N190" s="10"/>
      <c r="O190" s="3"/>
    </row>
    <row r="191" spans="12:15" x14ac:dyDescent="0.25">
      <c r="L191" s="48"/>
      <c r="M191" s="48"/>
      <c r="N191" s="10"/>
      <c r="O191" s="3"/>
    </row>
    <row r="192" spans="12:15" x14ac:dyDescent="0.25">
      <c r="L192" s="48"/>
      <c r="M192" s="49"/>
      <c r="N192" s="10"/>
      <c r="O192" s="3"/>
    </row>
    <row r="193" spans="12:15" x14ac:dyDescent="0.25">
      <c r="L193" s="48"/>
      <c r="M193" s="48"/>
      <c r="N193" s="10"/>
      <c r="O193" s="3"/>
    </row>
    <row r="194" spans="12:15" x14ac:dyDescent="0.25">
      <c r="L194" s="48"/>
      <c r="M194" s="49"/>
      <c r="N194" s="10"/>
      <c r="O194" s="3"/>
    </row>
    <row r="195" spans="12:15" x14ac:dyDescent="0.25">
      <c r="L195" s="48"/>
      <c r="M195" s="48"/>
      <c r="N195" s="10"/>
      <c r="O195" s="3"/>
    </row>
    <row r="196" spans="12:15" x14ac:dyDescent="0.25">
      <c r="L196" s="48"/>
      <c r="M196" s="49"/>
      <c r="N196" s="10"/>
      <c r="O196" s="3"/>
    </row>
    <row r="197" spans="12:15" x14ac:dyDescent="0.25">
      <c r="L197" s="48"/>
      <c r="M197" s="48"/>
      <c r="N197" s="10"/>
      <c r="O197" s="3"/>
    </row>
    <row r="198" spans="12:15" x14ac:dyDescent="0.25">
      <c r="L198" s="48"/>
      <c r="M198" s="49"/>
      <c r="N198" s="10"/>
      <c r="O198" s="3"/>
    </row>
    <row r="199" spans="12:15" x14ac:dyDescent="0.25">
      <c r="L199" s="48"/>
      <c r="M199" s="48"/>
      <c r="N199" s="10"/>
      <c r="O199" s="3"/>
    </row>
    <row r="200" spans="12:15" x14ac:dyDescent="0.25">
      <c r="L200" s="48"/>
      <c r="M200" s="49"/>
      <c r="N200" s="10"/>
      <c r="O200" s="3"/>
    </row>
    <row r="201" spans="12:15" x14ac:dyDescent="0.25">
      <c r="L201" s="48"/>
      <c r="M201" s="48"/>
      <c r="N201" s="10"/>
      <c r="O201" s="3"/>
    </row>
    <row r="202" spans="12:15" x14ac:dyDescent="0.25">
      <c r="L202" s="48"/>
      <c r="M202" s="49"/>
      <c r="N202" s="10"/>
      <c r="O202" s="3"/>
    </row>
    <row r="203" spans="12:15" x14ac:dyDescent="0.25">
      <c r="L203" s="48"/>
      <c r="M203" s="48"/>
      <c r="N203" s="10"/>
      <c r="O203" s="3"/>
    </row>
    <row r="204" spans="12:15" x14ac:dyDescent="0.25">
      <c r="L204" s="48"/>
      <c r="M204" s="49"/>
      <c r="N204" s="10"/>
      <c r="O204" s="3"/>
    </row>
    <row r="205" spans="12:15" x14ac:dyDescent="0.25">
      <c r="L205" s="48"/>
      <c r="M205" s="48"/>
      <c r="N205" s="10"/>
      <c r="O205" s="3"/>
    </row>
    <row r="206" spans="12:15" x14ac:dyDescent="0.25">
      <c r="L206" s="48"/>
      <c r="M206" s="49"/>
      <c r="N206" s="10"/>
      <c r="O206" s="3"/>
    </row>
    <row r="207" spans="12:15" x14ac:dyDescent="0.25">
      <c r="L207" s="48"/>
      <c r="M207" s="48"/>
      <c r="N207" s="10"/>
      <c r="O207" s="3"/>
    </row>
    <row r="208" spans="12:15" x14ac:dyDescent="0.25">
      <c r="L208" s="48"/>
      <c r="M208" s="49"/>
      <c r="N208" s="10"/>
      <c r="O208" s="3"/>
    </row>
    <row r="209" spans="12:15" x14ac:dyDescent="0.25">
      <c r="L209" s="48"/>
      <c r="M209" s="48"/>
      <c r="N209" s="10"/>
      <c r="O209" s="3"/>
    </row>
    <row r="210" spans="12:15" x14ac:dyDescent="0.25">
      <c r="L210" s="48"/>
      <c r="M210" s="49"/>
      <c r="N210" s="10"/>
      <c r="O210" s="3"/>
    </row>
    <row r="211" spans="12:15" x14ac:dyDescent="0.25">
      <c r="L211" s="48"/>
      <c r="M211" s="48"/>
      <c r="N211" s="10"/>
      <c r="O211" s="3"/>
    </row>
    <row r="212" spans="12:15" x14ac:dyDescent="0.25">
      <c r="L212" s="48"/>
      <c r="M212" s="49"/>
      <c r="N212" s="10"/>
      <c r="O212" s="3"/>
    </row>
    <row r="213" spans="12:15" x14ac:dyDescent="0.25">
      <c r="L213" s="48"/>
      <c r="M213" s="48"/>
      <c r="N213" s="10"/>
      <c r="O213" s="3"/>
    </row>
    <row r="214" spans="12:15" x14ac:dyDescent="0.25">
      <c r="L214" s="48"/>
      <c r="M214" s="49"/>
      <c r="N214" s="10"/>
      <c r="O214" s="3"/>
    </row>
  </sheetData>
  <pageMargins left="0.7" right="0.7" top="0.78740157499999996" bottom="0.78740157499999996"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5"/>
  <dimension ref="B2:D10"/>
  <sheetViews>
    <sheetView workbookViewId="0">
      <selection activeCell="D8" sqref="D8"/>
    </sheetView>
  </sheetViews>
  <sheetFormatPr baseColWidth="10" defaultRowHeight="15" x14ac:dyDescent="0.25"/>
  <cols>
    <col min="2" max="2" width="15.28515625" bestFit="1" customWidth="1"/>
    <col min="3" max="4" width="8.5703125" bestFit="1" customWidth="1"/>
  </cols>
  <sheetData>
    <row r="2" spans="2:4" x14ac:dyDescent="0.25">
      <c r="B2" t="s">
        <v>118</v>
      </c>
      <c r="C2" s="3">
        <v>17746.768</v>
      </c>
    </row>
    <row r="3" spans="2:4" x14ac:dyDescent="0.25">
      <c r="B3" t="s">
        <v>119</v>
      </c>
      <c r="C3" s="3">
        <v>0.29104294000000003</v>
      </c>
    </row>
    <row r="4" spans="2:4" x14ac:dyDescent="0.25">
      <c r="B4" t="s">
        <v>120</v>
      </c>
      <c r="C4" s="3">
        <v>21858.703000000001</v>
      </c>
    </row>
    <row r="5" spans="2:4" x14ac:dyDescent="0.25">
      <c r="B5" t="s">
        <v>121</v>
      </c>
      <c r="C5" s="3">
        <v>0.35853411000000002</v>
      </c>
    </row>
    <row r="6" spans="2:4" x14ac:dyDescent="0.25">
      <c r="B6" t="s">
        <v>122</v>
      </c>
      <c r="C6" s="3">
        <v>17746.768</v>
      </c>
    </row>
    <row r="7" spans="2:4" x14ac:dyDescent="0.25">
      <c r="B7" t="s">
        <v>123</v>
      </c>
      <c r="C7" s="3">
        <v>0.36009481999999998</v>
      </c>
    </row>
    <row r="8" spans="2:4" x14ac:dyDescent="0.25">
      <c r="B8" t="s">
        <v>124</v>
      </c>
      <c r="C8" t="s">
        <v>125</v>
      </c>
      <c r="D8" s="3">
        <v>6524.0923000000003</v>
      </c>
    </row>
    <row r="9" spans="2:4" x14ac:dyDescent="0.25">
      <c r="B9" t="s">
        <v>126</v>
      </c>
      <c r="C9" t="s">
        <v>125</v>
      </c>
      <c r="D9" s="3">
        <v>8117.2861999999996</v>
      </c>
    </row>
    <row r="10" spans="2:4" x14ac:dyDescent="0.25">
      <c r="B10" t="s">
        <v>127</v>
      </c>
      <c r="C10" t="s">
        <v>125</v>
      </c>
      <c r="D10" s="3">
        <v>8117.2861999999996</v>
      </c>
    </row>
  </sheetData>
  <pageMargins left="0.7" right="0.7" top="0.78740157499999996" bottom="0.78740157499999996"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3"/>
  <dimension ref="A1:KV35"/>
  <sheetViews>
    <sheetView topLeftCell="AD1" zoomScaleNormal="100" workbookViewId="0">
      <selection activeCell="L49" sqref="L49"/>
    </sheetView>
  </sheetViews>
  <sheetFormatPr baseColWidth="10" defaultColWidth="9.140625" defaultRowHeight="15" x14ac:dyDescent="0.25"/>
  <cols>
    <col min="1" max="11" width="9.140625" style="2"/>
    <col min="12" max="12" width="7.140625" style="2" customWidth="1"/>
    <col min="13" max="13" width="11.42578125" style="9" customWidth="1"/>
    <col min="14" max="14" width="9.140625" style="2"/>
    <col min="15" max="15" width="9.5703125" style="2" bestFit="1" customWidth="1"/>
    <col min="16" max="32" width="9.140625" style="2"/>
    <col min="33" max="33" width="9.5703125" style="2" bestFit="1" customWidth="1"/>
    <col min="34" max="38" width="9.140625" style="2"/>
    <col min="39" max="39" width="9.5703125" style="2" bestFit="1" customWidth="1"/>
    <col min="40" max="50" width="9.140625" style="2"/>
    <col min="51" max="51" width="11.140625" style="2" customWidth="1"/>
    <col min="52" max="16384" width="9.140625" style="2"/>
  </cols>
  <sheetData>
    <row r="1" spans="1:308" x14ac:dyDescent="0.25">
      <c r="A1" s="113" t="s">
        <v>7</v>
      </c>
      <c r="B1" s="113"/>
      <c r="C1" s="113"/>
      <c r="D1" s="113"/>
      <c r="E1" s="113"/>
      <c r="F1" s="113"/>
      <c r="G1" s="113"/>
      <c r="H1" s="113"/>
      <c r="I1" s="113"/>
      <c r="J1" s="113"/>
      <c r="K1" s="113"/>
      <c r="M1" s="113" t="s">
        <v>8</v>
      </c>
      <c r="N1" s="113"/>
      <c r="O1" s="113"/>
      <c r="P1" s="113"/>
      <c r="Q1" s="113"/>
      <c r="R1" s="113"/>
      <c r="S1" s="113"/>
      <c r="T1" s="113"/>
      <c r="U1" s="113"/>
      <c r="V1" s="113"/>
      <c r="W1" s="113"/>
      <c r="X1" s="113"/>
      <c r="Z1" s="114" t="s">
        <v>10</v>
      </c>
      <c r="AA1" s="114"/>
      <c r="AB1" s="114"/>
      <c r="AC1" s="114"/>
      <c r="AD1" s="114"/>
      <c r="AE1" s="114"/>
      <c r="AF1" s="114"/>
      <c r="AG1" s="114"/>
      <c r="AH1" s="114"/>
      <c r="AI1" s="114"/>
      <c r="AJ1" s="114"/>
      <c r="AL1" s="113" t="s">
        <v>11</v>
      </c>
      <c r="AM1" s="113"/>
      <c r="AN1" s="113"/>
      <c r="AO1" s="113"/>
      <c r="AP1" s="113"/>
      <c r="AQ1" s="113"/>
      <c r="AR1" s="113"/>
      <c r="AS1" s="113"/>
      <c r="AT1" s="113"/>
      <c r="AU1" s="113"/>
      <c r="AV1" s="113"/>
      <c r="AX1" s="113" t="s">
        <v>12</v>
      </c>
      <c r="AY1" s="113"/>
      <c r="AZ1" s="113"/>
      <c r="BA1" s="113"/>
      <c r="BB1" s="113"/>
      <c r="BC1" s="113"/>
      <c r="BD1" s="113"/>
      <c r="BE1" s="113"/>
      <c r="BF1" s="113"/>
      <c r="BG1" s="113"/>
      <c r="BH1" s="113"/>
    </row>
    <row r="2" spans="1:308" s="7" customFormat="1" x14ac:dyDescent="0.25">
      <c r="A2" s="7" t="s">
        <v>0</v>
      </c>
      <c r="B2" s="7">
        <v>-40</v>
      </c>
      <c r="C2" s="7">
        <v>0</v>
      </c>
      <c r="D2" s="7">
        <v>25</v>
      </c>
      <c r="E2" s="7">
        <v>50</v>
      </c>
      <c r="F2" s="7">
        <v>80</v>
      </c>
      <c r="G2" s="7">
        <v>125</v>
      </c>
      <c r="H2" s="7">
        <v>160</v>
      </c>
      <c r="L2" s="36"/>
      <c r="M2" s="8" t="s">
        <v>9</v>
      </c>
      <c r="N2" s="7" t="s">
        <v>6</v>
      </c>
      <c r="O2" s="7">
        <f t="shared" ref="O2:U2" si="0">B2</f>
        <v>-40</v>
      </c>
      <c r="P2" s="7">
        <f t="shared" si="0"/>
        <v>0</v>
      </c>
      <c r="Q2" s="7">
        <f t="shared" si="0"/>
        <v>25</v>
      </c>
      <c r="R2" s="7">
        <f t="shared" si="0"/>
        <v>50</v>
      </c>
      <c r="S2" s="7">
        <f t="shared" si="0"/>
        <v>80</v>
      </c>
      <c r="T2" s="7">
        <f t="shared" si="0"/>
        <v>125</v>
      </c>
      <c r="U2" s="7">
        <f t="shared" si="0"/>
        <v>160</v>
      </c>
      <c r="Y2" s="36"/>
      <c r="Z2" s="7" t="s">
        <v>6</v>
      </c>
      <c r="AA2" s="7">
        <f t="shared" ref="AA2:AG2" si="1">B2</f>
        <v>-40</v>
      </c>
      <c r="AB2" s="7">
        <f t="shared" si="1"/>
        <v>0</v>
      </c>
      <c r="AC2" s="7">
        <f t="shared" si="1"/>
        <v>25</v>
      </c>
      <c r="AD2" s="7">
        <f t="shared" si="1"/>
        <v>50</v>
      </c>
      <c r="AE2" s="7">
        <f t="shared" si="1"/>
        <v>80</v>
      </c>
      <c r="AF2" s="7">
        <f t="shared" si="1"/>
        <v>125</v>
      </c>
      <c r="AG2" s="7">
        <f t="shared" si="1"/>
        <v>160</v>
      </c>
      <c r="AK2" s="36"/>
      <c r="AL2" s="7" t="s">
        <v>0</v>
      </c>
      <c r="AM2" s="7">
        <f t="shared" ref="AM2:AS2" si="2">B2</f>
        <v>-40</v>
      </c>
      <c r="AN2" s="7">
        <f t="shared" si="2"/>
        <v>0</v>
      </c>
      <c r="AO2" s="7">
        <f t="shared" si="2"/>
        <v>25</v>
      </c>
      <c r="AP2" s="7">
        <f t="shared" si="2"/>
        <v>50</v>
      </c>
      <c r="AQ2" s="7">
        <f t="shared" si="2"/>
        <v>80</v>
      </c>
      <c r="AR2" s="7">
        <f t="shared" si="2"/>
        <v>125</v>
      </c>
      <c r="AS2" s="7">
        <f t="shared" si="2"/>
        <v>160</v>
      </c>
      <c r="AW2" s="36"/>
      <c r="AX2" s="7" t="s">
        <v>0</v>
      </c>
      <c r="AY2" s="7">
        <f t="shared" ref="AY2:BE2" si="3">B2</f>
        <v>-40</v>
      </c>
      <c r="AZ2" s="7">
        <f t="shared" si="3"/>
        <v>0</v>
      </c>
      <c r="BA2" s="7">
        <f t="shared" si="3"/>
        <v>25</v>
      </c>
      <c r="BB2" s="7">
        <f t="shared" si="3"/>
        <v>50</v>
      </c>
      <c r="BC2" s="7">
        <f t="shared" si="3"/>
        <v>80</v>
      </c>
      <c r="BD2" s="7">
        <f t="shared" si="3"/>
        <v>125</v>
      </c>
      <c r="BE2" s="7">
        <f t="shared" si="3"/>
        <v>160</v>
      </c>
      <c r="BF2" s="36"/>
      <c r="BG2" s="36"/>
      <c r="BH2" s="36"/>
      <c r="BI2" s="36"/>
      <c r="BJ2" s="36"/>
      <c r="BK2" s="36"/>
      <c r="BL2" s="36"/>
      <c r="BM2" s="36"/>
      <c r="BN2" s="36"/>
      <c r="BO2" s="36"/>
      <c r="BP2" s="36"/>
      <c r="BQ2" s="36"/>
      <c r="BR2" s="36"/>
      <c r="BS2" s="36"/>
      <c r="BT2" s="36"/>
      <c r="BU2" s="36"/>
      <c r="BV2" s="36"/>
      <c r="BW2" s="36"/>
      <c r="BX2" s="36"/>
      <c r="BY2" s="36"/>
      <c r="BZ2" s="36"/>
      <c r="CA2" s="36"/>
      <c r="CB2" s="36"/>
      <c r="CC2" s="36"/>
      <c r="CD2" s="36"/>
      <c r="CE2" s="36"/>
      <c r="CF2" s="36"/>
      <c r="CG2" s="36"/>
      <c r="CH2" s="36"/>
      <c r="CI2" s="36"/>
      <c r="CJ2" s="36"/>
      <c r="CK2" s="36"/>
      <c r="CL2" s="36"/>
      <c r="CM2" s="36"/>
      <c r="CN2" s="36"/>
      <c r="CO2" s="36"/>
      <c r="CP2" s="36"/>
      <c r="CQ2" s="36"/>
      <c r="CR2" s="36"/>
      <c r="CS2" s="36"/>
      <c r="CT2" s="36"/>
      <c r="CU2" s="36"/>
      <c r="CV2" s="36"/>
      <c r="CW2" s="36"/>
      <c r="CX2" s="36"/>
      <c r="CY2" s="36"/>
      <c r="CZ2" s="36"/>
      <c r="DA2" s="36"/>
      <c r="DB2" s="36"/>
      <c r="DC2" s="36"/>
      <c r="DD2" s="36"/>
      <c r="DE2" s="36"/>
      <c r="DF2" s="36"/>
      <c r="DG2" s="36"/>
      <c r="DH2" s="36"/>
      <c r="DI2" s="36"/>
      <c r="DJ2" s="36"/>
      <c r="DK2" s="36"/>
      <c r="DL2" s="36"/>
      <c r="DM2" s="36"/>
      <c r="DN2" s="36"/>
      <c r="DO2" s="36"/>
      <c r="DP2" s="36"/>
      <c r="DQ2" s="36"/>
      <c r="DR2" s="36"/>
      <c r="DS2" s="36"/>
      <c r="DT2" s="36"/>
      <c r="DU2" s="36"/>
      <c r="DV2" s="36"/>
      <c r="DW2" s="36"/>
      <c r="DX2" s="36"/>
      <c r="DY2" s="36"/>
      <c r="DZ2" s="36"/>
      <c r="EA2" s="36"/>
      <c r="EB2" s="36"/>
      <c r="EC2" s="36"/>
      <c r="ED2" s="36"/>
      <c r="EE2" s="36"/>
      <c r="EF2" s="36"/>
      <c r="EG2" s="36"/>
      <c r="EH2" s="36"/>
      <c r="EI2" s="36"/>
      <c r="EJ2" s="36"/>
      <c r="EK2" s="36"/>
      <c r="EL2" s="36"/>
      <c r="EM2" s="36"/>
      <c r="EN2" s="36"/>
      <c r="EO2" s="36"/>
      <c r="EP2" s="36"/>
      <c r="EQ2" s="36"/>
      <c r="ER2" s="36"/>
      <c r="ES2" s="36"/>
      <c r="ET2" s="36"/>
      <c r="EU2" s="36"/>
      <c r="EV2" s="36"/>
      <c r="EW2" s="36"/>
      <c r="EX2" s="36"/>
      <c r="EY2" s="36"/>
      <c r="EZ2" s="36"/>
      <c r="FA2" s="36"/>
      <c r="FB2" s="36"/>
      <c r="FC2" s="36"/>
      <c r="FD2" s="36"/>
      <c r="FE2" s="36"/>
      <c r="FF2" s="36"/>
      <c r="FG2" s="36"/>
      <c r="FH2" s="36"/>
      <c r="FI2" s="36"/>
      <c r="FJ2" s="36"/>
      <c r="FK2" s="36"/>
      <c r="FL2" s="36"/>
      <c r="FM2" s="36"/>
      <c r="FN2" s="36"/>
      <c r="FO2" s="36"/>
      <c r="FP2" s="36"/>
      <c r="FQ2" s="36"/>
      <c r="FR2" s="36"/>
      <c r="FS2" s="36"/>
      <c r="FT2" s="36"/>
      <c r="FU2" s="36"/>
      <c r="FV2" s="36"/>
      <c r="FW2" s="36"/>
      <c r="FX2" s="36"/>
      <c r="FY2" s="36"/>
      <c r="FZ2" s="36"/>
      <c r="GA2" s="36"/>
      <c r="GB2" s="36"/>
      <c r="GC2" s="36"/>
      <c r="GD2" s="36"/>
      <c r="GE2" s="36"/>
      <c r="GF2" s="36"/>
      <c r="GG2" s="36"/>
      <c r="GH2" s="36"/>
      <c r="GI2" s="36"/>
      <c r="GJ2" s="36"/>
      <c r="GK2" s="36"/>
      <c r="GL2" s="36"/>
      <c r="GM2" s="36"/>
      <c r="GN2" s="36"/>
      <c r="GO2" s="36"/>
      <c r="GP2" s="36"/>
      <c r="GQ2" s="36"/>
      <c r="GR2" s="36"/>
      <c r="GS2" s="36"/>
      <c r="GT2" s="36"/>
      <c r="GU2" s="36"/>
      <c r="GV2" s="36"/>
      <c r="GW2" s="36"/>
      <c r="GX2" s="36"/>
      <c r="GY2" s="36"/>
      <c r="GZ2" s="36"/>
      <c r="HA2" s="36"/>
      <c r="HB2" s="36"/>
      <c r="HC2" s="36"/>
      <c r="HD2" s="36"/>
      <c r="HE2" s="36"/>
      <c r="HF2" s="36"/>
      <c r="HG2" s="36"/>
      <c r="HH2" s="36"/>
      <c r="HI2" s="36"/>
      <c r="HJ2" s="36"/>
      <c r="HK2" s="36"/>
      <c r="HL2" s="36"/>
      <c r="HM2" s="36"/>
      <c r="HN2" s="36"/>
      <c r="HO2" s="36"/>
      <c r="HP2" s="36"/>
      <c r="HQ2" s="36"/>
      <c r="HR2" s="36"/>
      <c r="HS2" s="36"/>
      <c r="HT2" s="36"/>
      <c r="HU2" s="36"/>
      <c r="HV2" s="36"/>
      <c r="HW2" s="36"/>
      <c r="HX2" s="36"/>
      <c r="HY2" s="36"/>
      <c r="HZ2" s="36"/>
      <c r="IA2" s="36"/>
      <c r="IB2" s="36"/>
      <c r="IC2" s="36"/>
      <c r="ID2" s="36"/>
      <c r="IE2" s="36"/>
      <c r="IF2" s="36"/>
      <c r="IG2" s="36"/>
      <c r="IH2" s="36"/>
      <c r="II2" s="36"/>
      <c r="IJ2" s="36"/>
      <c r="IK2" s="36"/>
      <c r="IL2" s="36"/>
      <c r="IM2" s="36"/>
      <c r="IN2" s="36"/>
      <c r="IO2" s="36"/>
      <c r="IP2" s="36"/>
      <c r="IQ2" s="36"/>
      <c r="IR2" s="36"/>
      <c r="IS2" s="36"/>
      <c r="IT2" s="36"/>
      <c r="IU2" s="36"/>
      <c r="IV2" s="36"/>
      <c r="IW2" s="36"/>
      <c r="IX2" s="36"/>
      <c r="IY2" s="36"/>
      <c r="IZ2" s="36"/>
      <c r="JA2" s="36"/>
      <c r="JB2" s="36"/>
      <c r="JC2" s="36"/>
      <c r="JD2" s="36"/>
      <c r="JE2" s="36"/>
      <c r="JF2" s="36"/>
      <c r="JG2" s="36"/>
      <c r="JH2" s="36"/>
      <c r="JI2" s="36"/>
      <c r="JJ2" s="36"/>
      <c r="JK2" s="36"/>
      <c r="JL2" s="36"/>
      <c r="JM2" s="36"/>
      <c r="JN2" s="36"/>
      <c r="JO2" s="36"/>
      <c r="JP2" s="36"/>
      <c r="JQ2" s="36"/>
      <c r="JR2" s="36"/>
      <c r="JS2" s="36"/>
      <c r="JT2" s="36"/>
      <c r="JU2" s="36"/>
      <c r="JV2" s="36"/>
      <c r="JW2" s="36"/>
      <c r="JX2" s="36"/>
      <c r="JY2" s="36"/>
      <c r="JZ2" s="36"/>
      <c r="KA2" s="36"/>
      <c r="KB2" s="36"/>
      <c r="KC2" s="36"/>
      <c r="KD2" s="36"/>
      <c r="KE2" s="36"/>
      <c r="KF2" s="36"/>
      <c r="KG2" s="36"/>
      <c r="KH2" s="36"/>
      <c r="KI2" s="36"/>
      <c r="KJ2" s="36"/>
      <c r="KK2" s="36"/>
      <c r="KL2" s="36"/>
      <c r="KM2" s="36"/>
      <c r="KN2" s="36"/>
      <c r="KO2" s="36"/>
      <c r="KP2" s="36"/>
      <c r="KQ2" s="36"/>
      <c r="KR2" s="36"/>
      <c r="KS2" s="36"/>
      <c r="KT2" s="36"/>
      <c r="KU2" s="36"/>
      <c r="KV2" s="36"/>
    </row>
    <row r="3" spans="1:308" x14ac:dyDescent="0.25">
      <c r="A3" s="2">
        <f>'creep_res-40'!A3</f>
        <v>1.0000000000000001E-15</v>
      </c>
      <c r="B3" s="3">
        <f>'creep_res-40'!O3</f>
        <v>-5.5892037142857146E-4</v>
      </c>
      <c r="C3" s="2">
        <f>IF('Modell einstellen'!$B$2="Ja",creep_res0!O3,creep_res0!C3)</f>
        <v>-5.6168965714285715E-4</v>
      </c>
      <c r="D3" s="2">
        <f>IF('Modell einstellen'!$B$2="Ja",creep_res25!O3,creep_res25!C3)</f>
        <v>-5.6348934285714288E-4</v>
      </c>
      <c r="E3" s="2">
        <f>IF('Modell einstellen'!$B$2="Ja",creep_res50!O3,creep_res50!C3)</f>
        <v>-5.6534522857142858E-4</v>
      </c>
      <c r="F3" s="2">
        <f>IF('Modell einstellen'!$B$2="Ja",creep_res80!O3,creep_res80!C3)</f>
        <v>-5.6765062857142858E-4</v>
      </c>
      <c r="G3" s="2">
        <f>IF('Modell einstellen'!$B$2="Ja",creep_res125!O3,creep_res125!C3)</f>
        <v>-6.1840197142857146E-4</v>
      </c>
      <c r="H3" s="2">
        <f>IF('Modell einstellen'!$B$2="Ja",creep_res160!O3,creep_res160!C3)</f>
        <v>-6.5662397142857143E-4</v>
      </c>
      <c r="M3" s="9">
        <v>-10</v>
      </c>
      <c r="N3" s="2">
        <f t="shared" ref="N3:N33" si="4">A3</f>
        <v>1.0000000000000001E-15</v>
      </c>
      <c r="O3" s="2">
        <f t="shared" ref="O3:O33" si="5">$M$3/B3</f>
        <v>17891.636288798203</v>
      </c>
      <c r="P3" s="2">
        <f t="shared" ref="P3:P33" si="6">$M$3/C3</f>
        <v>17803.425562199114</v>
      </c>
      <c r="Q3" s="2">
        <f t="shared" ref="Q3:Q33" si="7">$M$3/D3</f>
        <v>17746.564556652535</v>
      </c>
      <c r="R3" s="2">
        <f t="shared" ref="R3:R33" si="8">$M$3/E3</f>
        <v>17688.307063754673</v>
      </c>
      <c r="S3" s="2">
        <f t="shared" ref="S3:S33" si="9">$M$3/F3</f>
        <v>17616.469526628349</v>
      </c>
      <c r="T3" s="2">
        <f t="shared" ref="T3:T33" si="10">$M$3/G3</f>
        <v>16170.711708597861</v>
      </c>
      <c r="U3" s="2">
        <f t="shared" ref="U3:U33" si="11">$M$3/H3</f>
        <v>15229.41658411235</v>
      </c>
      <c r="Z3" s="2">
        <v>1.0000000000000001E-15</v>
      </c>
      <c r="AA3" s="3">
        <f>IF('Modell einstellen'!$B$2="Ja",'creep_res-40'!P3,'creep_res-40'!L3)</f>
        <v>0.36075821278502584</v>
      </c>
      <c r="AB3" s="2">
        <f>IF('Modell einstellen'!$B$2="Ja",creep_res0!P3,creep_res0!L3)</f>
        <v>0.36034330192910802</v>
      </c>
      <c r="AC3" s="2">
        <f>IF('Modell einstellen'!$B$2="Ja",creep_res25!P3,creep_res25!L3)</f>
        <v>0.36007959993361766</v>
      </c>
      <c r="AD3" s="2">
        <f>IF('Modell einstellen'!$B$2="Ja",creep_res50!P3,creep_res50!L3)</f>
        <v>0.35981245441786447</v>
      </c>
      <c r="AE3" s="2">
        <f>IF('Modell einstellen'!$B$2="Ja",creep_res80!P3,creep_res80!L3)</f>
        <v>0.35948725403130255</v>
      </c>
      <c r="AF3" s="2">
        <f>IF('Modell einstellen'!$B$2="Ja",creep_res125!P3,creep_res125!L3)</f>
        <v>0.37888694126783645</v>
      </c>
      <c r="AG3" s="2">
        <f>IF('Modell einstellen'!$B$2="Ja",creep_res160!P3,creep_res160!L3)</f>
        <v>0.39233060069735937</v>
      </c>
      <c r="AL3" s="2">
        <f t="shared" ref="AL3:AL33" si="12">Z3</f>
        <v>1.0000000000000001E-15</v>
      </c>
      <c r="AM3" s="2">
        <f t="shared" ref="AM3:AM33" si="13">O3/(2*(1+AA3))</f>
        <v>6574.1423129756067</v>
      </c>
      <c r="AN3" s="2">
        <f t="shared" ref="AN3:AN33" si="14">P3/(2*(1+AB3))</f>
        <v>6543.7252261807771</v>
      </c>
      <c r="AO3" s="2">
        <f t="shared" ref="AO3:AO33" si="15">Q3/(2*(1+AC3))</f>
        <v>6524.0904126194901</v>
      </c>
      <c r="AP3" s="2">
        <f t="shared" ref="AP3:AP33" si="16">R3/(2*(1+AD3))</f>
        <v>6503.9509699618966</v>
      </c>
      <c r="AQ3" s="2">
        <f t="shared" ref="AQ3:AQ33" si="17">S3/(2*(1+AE3))</f>
        <v>6479.0859474371819</v>
      </c>
      <c r="AR3" s="2">
        <f t="shared" ref="AR3:AR33" si="18">T3/(2*(1+AF3))</f>
        <v>5863.6829549380891</v>
      </c>
      <c r="AS3" s="2">
        <f t="shared" ref="AS3:AS33" si="19">U3/(2*(1+AG3))</f>
        <v>5469.0375175567433</v>
      </c>
      <c r="AX3" s="2">
        <f>AL3</f>
        <v>1.0000000000000001E-15</v>
      </c>
      <c r="AY3" s="37">
        <f t="shared" ref="AY3:AY33" si="20">O3/(3*(1-(2*AA3)))</f>
        <v>21415.549463341617</v>
      </c>
      <c r="AZ3" s="37">
        <f t="shared" ref="AZ3:AZ33" si="21">P3/(3*(1-(2*AB3)))</f>
        <v>21246.654365218023</v>
      </c>
      <c r="BA3" s="37">
        <f t="shared" ref="BA3:BA33" si="22">Q3/(3*(1-(2*AC3)))</f>
        <v>21138.881521485364</v>
      </c>
      <c r="BB3" s="37">
        <f t="shared" ref="BB3:BB33" si="23">R3/(3*(1-(2*AD3)))</f>
        <v>21029.337271371158</v>
      </c>
      <c r="BC3" s="37">
        <f t="shared" ref="BC3:BC33" si="24">S3/(3*(1-(2*AE3)))</f>
        <v>20895.458516568593</v>
      </c>
      <c r="BD3" s="37">
        <f t="shared" ref="BD3:BD33" si="25">T3/(3*(1-(2*AF3)))</f>
        <v>22252.915138241082</v>
      </c>
      <c r="BE3" s="37">
        <f t="shared" ref="BE3:BE33" si="26">U3/(3*(1-(2*AG3)))</f>
        <v>23574.349943362293</v>
      </c>
    </row>
    <row r="4" spans="1:308" x14ac:dyDescent="0.25">
      <c r="A4" s="2">
        <f>'creep_res-40'!A4</f>
        <v>1E-14</v>
      </c>
      <c r="B4" s="3">
        <f>'creep_res-40'!O4</f>
        <v>-5.5890980000000007E-4</v>
      </c>
      <c r="C4" s="2">
        <f>IF('Modell einstellen'!$B$2="Ja",creep_res0!O4,creep_res0!C4)</f>
        <v>-5.6167891428571433E-4</v>
      </c>
      <c r="D4" s="2">
        <f>IF('Modell einstellen'!$B$2="Ja",creep_res25!O4,creep_res25!C4)</f>
        <v>-5.6347848571428581E-4</v>
      </c>
      <c r="E4" s="2">
        <f>IF('Modell einstellen'!$B$2="Ja",creep_res50!O4,creep_res50!C4)</f>
        <v>-5.6533422857142862E-4</v>
      </c>
      <c r="F4" s="2">
        <f>IF('Modell einstellen'!$B$2="Ja",creep_res80!O4,creep_res80!C4)</f>
        <v>-5.6763991428571429E-4</v>
      </c>
      <c r="G4" s="2">
        <f>IF('Modell einstellen'!$B$2="Ja",creep_res125!O4,creep_res125!C4)</f>
        <v>-6.4192477142857151E-4</v>
      </c>
      <c r="H4" s="2">
        <f>IF('Modell einstellen'!$B$2="Ja",creep_res160!O4,creep_res160!C4)</f>
        <v>-6.9128320000000007E-4</v>
      </c>
      <c r="M4" s="9">
        <f t="shared" ref="M4:M31" si="27">M3</f>
        <v>-10</v>
      </c>
      <c r="N4" s="2">
        <f t="shared" si="4"/>
        <v>1E-14</v>
      </c>
      <c r="O4" s="2">
        <f t="shared" si="5"/>
        <v>17891.97469788506</v>
      </c>
      <c r="P4" s="2">
        <f t="shared" si="6"/>
        <v>17803.766076419255</v>
      </c>
      <c r="Q4" s="2">
        <f t="shared" si="7"/>
        <v>17746.906498699122</v>
      </c>
      <c r="R4" s="2">
        <f t="shared" si="8"/>
        <v>17688.651234278703</v>
      </c>
      <c r="S4" s="2">
        <f t="shared" si="9"/>
        <v>17616.802040045808</v>
      </c>
      <c r="T4" s="2">
        <f t="shared" si="10"/>
        <v>15578.149411099215</v>
      </c>
      <c r="U4" s="2">
        <f t="shared" si="11"/>
        <v>14465.85133270995</v>
      </c>
      <c r="Z4" s="2">
        <v>1E-14</v>
      </c>
      <c r="AA4" s="3">
        <f>IF('Modell einstellen'!$B$2="Ja",'creep_res-40'!P4,'creep_res-40'!L4)</f>
        <v>0.36077235156217125</v>
      </c>
      <c r="AB4" s="2">
        <f>IF('Modell einstellen'!$B$2="Ja",creep_res0!P4,creep_res0!L4)</f>
        <v>0.36035794624300349</v>
      </c>
      <c r="AC4" s="2">
        <f>IF('Modell einstellen'!$B$2="Ja",creep_res25!P4,creep_res25!L4)</f>
        <v>0.36009455957426084</v>
      </c>
      <c r="AD4" s="2">
        <f>IF('Modell einstellen'!$B$2="Ja",creep_res50!P4,creep_res50!L4)</f>
        <v>0.35982775903286135</v>
      </c>
      <c r="AE4" s="2">
        <f>IF('Modell einstellen'!$B$2="Ja",creep_res80!P4,creep_res80!L4)</f>
        <v>0.35950314980870418</v>
      </c>
      <c r="AF4" s="2">
        <f>IF('Modell einstellen'!$B$2="Ja",creep_res125!P4,creep_res125!L4)</f>
        <v>0.38862667797254569</v>
      </c>
      <c r="AG4" s="2">
        <f>IF('Modell einstellen'!$B$2="Ja",creep_res160!P4,creep_res160!L4)</f>
        <v>0.40597346665282347</v>
      </c>
      <c r="AL4" s="2">
        <f t="shared" si="12"/>
        <v>1E-14</v>
      </c>
      <c r="AM4" s="2">
        <f t="shared" si="13"/>
        <v>6574.1983504239388</v>
      </c>
      <c r="AN4" s="2">
        <f t="shared" si="14"/>
        <v>6543.7799387981568</v>
      </c>
      <c r="AO4" s="2">
        <f t="shared" si="15"/>
        <v>6524.1443595856636</v>
      </c>
      <c r="AP4" s="2">
        <f t="shared" si="16"/>
        <v>6504.0043184804708</v>
      </c>
      <c r="AQ4" s="2">
        <f t="shared" si="17"/>
        <v>6479.1324839978006</v>
      </c>
      <c r="AR4" s="2">
        <f t="shared" si="18"/>
        <v>5609.1927579282792</v>
      </c>
      <c r="AS4" s="2">
        <f t="shared" si="19"/>
        <v>5144.4254375399241</v>
      </c>
      <c r="AX4" s="2">
        <f t="shared" ref="AX4:AX32" si="28">AL4</f>
        <v>1E-14</v>
      </c>
      <c r="AY4" s="37">
        <f t="shared" si="20"/>
        <v>21418.129347436585</v>
      </c>
      <c r="AZ4" s="37">
        <f t="shared" si="21"/>
        <v>21249.288922902317</v>
      </c>
      <c r="BA4" s="37">
        <f t="shared" si="22"/>
        <v>21141.54918337987</v>
      </c>
      <c r="BB4" s="37">
        <f t="shared" si="23"/>
        <v>21032.04256923874</v>
      </c>
      <c r="BC4" s="37">
        <f t="shared" si="24"/>
        <v>20898.217072790078</v>
      </c>
      <c r="BD4" s="37">
        <f t="shared" si="25"/>
        <v>23312.20967390361</v>
      </c>
      <c r="BE4" s="37">
        <f t="shared" si="26"/>
        <v>25641.434776886017</v>
      </c>
      <c r="BF4" s="5"/>
      <c r="BG4" s="5"/>
    </row>
    <row r="5" spans="1:308" x14ac:dyDescent="0.25">
      <c r="A5" s="2">
        <f>'creep_res-40'!A5</f>
        <v>1E-13</v>
      </c>
      <c r="B5" s="3">
        <f>'creep_res-40'!O5</f>
        <v>-5.5891268571428576E-4</v>
      </c>
      <c r="C5" s="2">
        <f>IF('Modell einstellen'!$B$2="Ja",creep_res0!O5,creep_res0!C5)</f>
        <v>-5.6168177142857149E-4</v>
      </c>
      <c r="D5" s="2">
        <f>IF('Modell einstellen'!$B$2="Ja",creep_res25!O5,creep_res25!C5)</f>
        <v>-5.6348131428571432E-4</v>
      </c>
      <c r="E5" s="2">
        <f>IF('Modell einstellen'!$B$2="Ja",creep_res50!O5,creep_res50!C5)</f>
        <v>-5.6533705714285724E-4</v>
      </c>
      <c r="F5" s="2">
        <f>IF('Modell einstellen'!$B$2="Ja",creep_res80!O5,creep_res80!C5)</f>
        <v>-5.6764697142857147E-4</v>
      </c>
      <c r="G5" s="2">
        <f>IF('Modell einstellen'!$B$2="Ja",creep_res125!O5,creep_res125!C5)</f>
        <v>-6.6578565714285718E-4</v>
      </c>
      <c r="H5" s="2">
        <f>IF('Modell einstellen'!$B$2="Ja",creep_res160!O5,creep_res160!C5)</f>
        <v>-7.2510685714285712E-4</v>
      </c>
      <c r="M5" s="9">
        <f t="shared" si="27"/>
        <v>-10</v>
      </c>
      <c r="N5" s="2">
        <f t="shared" si="4"/>
        <v>1E-13</v>
      </c>
      <c r="O5" s="2">
        <f t="shared" si="5"/>
        <v>17891.882320080251</v>
      </c>
      <c r="P5" s="2">
        <f t="shared" si="6"/>
        <v>17803.675512855218</v>
      </c>
      <c r="Q5" s="2">
        <f t="shared" si="7"/>
        <v>17746.817412528217</v>
      </c>
      <c r="R5" s="2">
        <f t="shared" si="8"/>
        <v>17688.562732007609</v>
      </c>
      <c r="S5" s="2">
        <f t="shared" si="9"/>
        <v>17616.583023130472</v>
      </c>
      <c r="T5" s="2">
        <f t="shared" si="10"/>
        <v>15019.848944950021</v>
      </c>
      <c r="U5" s="2">
        <f t="shared" si="11"/>
        <v>13791.070793900722</v>
      </c>
      <c r="Z5" s="2">
        <v>1E-13</v>
      </c>
      <c r="AA5" s="3">
        <f>IF('Modell einstellen'!$B$2="Ja",'creep_res-40'!P5,'creep_res-40'!L5)</f>
        <v>0.3607724109628368</v>
      </c>
      <c r="AB5" s="2">
        <f>IF('Modell einstellen'!$B$2="Ja",creep_res0!P5,creep_res0!L5)</f>
        <v>0.36035802072368178</v>
      </c>
      <c r="AC5" s="2">
        <f>IF('Modell einstellen'!$B$2="Ja",creep_res25!P5,creep_res25!L5)</f>
        <v>0.36009465848176681</v>
      </c>
      <c r="AD5" s="2">
        <f>IF('Modell einstellen'!$B$2="Ja",creep_res50!P5,creep_res50!L5)</f>
        <v>0.35982785389671706</v>
      </c>
      <c r="AE5" s="2">
        <f>IF('Modell einstellen'!$B$2="Ja",creep_res80!P5,creep_res80!L5)</f>
        <v>0.35950523876912627</v>
      </c>
      <c r="AF5" s="2">
        <f>IF('Modell einstellen'!$B$2="Ja",creep_res125!P5,creep_res125!L5)</f>
        <v>0.39830491134469787</v>
      </c>
      <c r="AG5" s="2">
        <f>IF('Modell einstellen'!$B$2="Ja",creep_res160!P5,creep_res160!L5)</f>
        <v>0.41898636417726026</v>
      </c>
      <c r="AL5" s="2">
        <f t="shared" si="12"/>
        <v>1E-13</v>
      </c>
      <c r="AM5" s="2">
        <f t="shared" si="13"/>
        <v>6574.1641202956771</v>
      </c>
      <c r="AN5" s="2">
        <f t="shared" si="14"/>
        <v>6543.7462938558028</v>
      </c>
      <c r="AO5" s="2">
        <f t="shared" si="15"/>
        <v>6524.1111351538066</v>
      </c>
      <c r="AP5" s="2">
        <f t="shared" si="16"/>
        <v>6503.9713230315656</v>
      </c>
      <c r="AQ5" s="2">
        <f t="shared" si="17"/>
        <v>6479.041978197979</v>
      </c>
      <c r="AR5" s="2">
        <f t="shared" si="18"/>
        <v>5370.7345311781783</v>
      </c>
      <c r="AS5" s="2">
        <f t="shared" si="19"/>
        <v>4859.4796757955091</v>
      </c>
      <c r="AX5" s="2">
        <f t="shared" si="28"/>
        <v>1E-13</v>
      </c>
      <c r="AY5" s="37">
        <f t="shared" si="20"/>
        <v>21418.027901668822</v>
      </c>
      <c r="AZ5" s="37">
        <f t="shared" si="21"/>
        <v>21249.192166425808</v>
      </c>
      <c r="BA5" s="37">
        <f t="shared" si="22"/>
        <v>21141.458002892334</v>
      </c>
      <c r="BB5" s="37">
        <f t="shared" si="23"/>
        <v>21031.951572573435</v>
      </c>
      <c r="BC5" s="37">
        <f t="shared" si="24"/>
        <v>20898.267983792535</v>
      </c>
      <c r="BD5" s="37">
        <f t="shared" si="25"/>
        <v>24615.821575972968</v>
      </c>
      <c r="BE5" s="37">
        <f t="shared" si="26"/>
        <v>28371.912649528116</v>
      </c>
    </row>
    <row r="6" spans="1:308" x14ac:dyDescent="0.25">
      <c r="A6" s="2">
        <f>'creep_res-40'!A6</f>
        <v>9.9999999999999998E-13</v>
      </c>
      <c r="B6" s="3">
        <f>'creep_res-40'!O6</f>
        <v>-5.5891354285714288E-4</v>
      </c>
      <c r="C6" s="2">
        <f>IF('Modell einstellen'!$B$2="Ja",creep_res0!O6,creep_res0!C6)</f>
        <v>-5.6168260000000008E-4</v>
      </c>
      <c r="D6" s="2">
        <f>IF('Modell einstellen'!$B$2="Ja",creep_res25!O6,creep_res25!C6)</f>
        <v>-5.6348214285714291E-4</v>
      </c>
      <c r="E6" s="2">
        <f>IF('Modell einstellen'!$B$2="Ja",creep_res50!O6,creep_res50!C6)</f>
        <v>-5.6533788571428573E-4</v>
      </c>
      <c r="F6" s="2">
        <f>IF('Modell einstellen'!$B$2="Ja",creep_res80!O6,creep_res80!C6)</f>
        <v>-5.6769022857142864E-4</v>
      </c>
      <c r="G6" s="2">
        <f>IF('Modell einstellen'!$B$2="Ja",creep_res125!O6,creep_res125!C6)</f>
        <v>-6.9553491428571434E-4</v>
      </c>
      <c r="H6" s="2">
        <f>IF('Modell einstellen'!$B$2="Ja",creep_res160!O6,creep_res160!C6)</f>
        <v>-7.6208288571428585E-4</v>
      </c>
      <c r="M6" s="9">
        <f t="shared" si="27"/>
        <v>-10</v>
      </c>
      <c r="N6" s="2">
        <f t="shared" si="4"/>
        <v>9.9999999999999998E-13</v>
      </c>
      <c r="O6" s="2">
        <f t="shared" si="5"/>
        <v>17891.85488131208</v>
      </c>
      <c r="P6" s="2">
        <f t="shared" si="6"/>
        <v>17803.649249593986</v>
      </c>
      <c r="Q6" s="2">
        <f t="shared" si="7"/>
        <v>17746.791316748531</v>
      </c>
      <c r="R6" s="2">
        <f t="shared" si="8"/>
        <v>17688.536807267625</v>
      </c>
      <c r="S6" s="2">
        <f t="shared" si="9"/>
        <v>17615.24066596078</v>
      </c>
      <c r="T6" s="2">
        <f t="shared" si="10"/>
        <v>14377.423468769482</v>
      </c>
      <c r="U6" s="2">
        <f t="shared" si="11"/>
        <v>13121.932256262637</v>
      </c>
      <c r="Z6" s="2">
        <v>9.9999999999999998E-13</v>
      </c>
      <c r="AA6" s="3">
        <f>IF('Modell einstellen'!$B$2="Ja",'creep_res-40'!P6,'creep_res-40'!L6)</f>
        <v>0.36077245067394526</v>
      </c>
      <c r="AB6" s="2">
        <f>IF('Modell einstellen'!$B$2="Ja",creep_res0!P6,creep_res0!L6)</f>
        <v>0.36035808428868132</v>
      </c>
      <c r="AC6" s="2">
        <f>IF('Modell einstellen'!$B$2="Ja",creep_res25!P6,creep_res25!L6)</f>
        <v>0.36009471716051339</v>
      </c>
      <c r="AD6" s="2">
        <f>IF('Modell einstellen'!$B$2="Ja",creep_res50!P6,creep_res50!L6)</f>
        <v>0.35982791277388299</v>
      </c>
      <c r="AE6" s="2">
        <f>IF('Modell einstellen'!$B$2="Ja",creep_res80!P6,creep_res80!L6)</f>
        <v>0.35952503372311995</v>
      </c>
      <c r="AF6" s="2">
        <f>IF('Modell einstellen'!$B$2="Ja",creep_res125!P6,creep_res125!L6)</f>
        <v>0.41011716696403283</v>
      </c>
      <c r="AG6" s="2">
        <f>IF('Modell einstellen'!$B$2="Ja",creep_res160!P6,creep_res160!L6)</f>
        <v>0.43281088922423544</v>
      </c>
      <c r="AL6" s="2">
        <f t="shared" si="12"/>
        <v>9.9999999999999998E-13</v>
      </c>
      <c r="AM6" s="2">
        <f t="shared" si="13"/>
        <v>6574.1538463873376</v>
      </c>
      <c r="AN6" s="2">
        <f t="shared" si="14"/>
        <v>6543.7363350192272</v>
      </c>
      <c r="AO6" s="2">
        <f t="shared" si="15"/>
        <v>6524.1012603146964</v>
      </c>
      <c r="AP6" s="2">
        <f t="shared" si="16"/>
        <v>6503.9615090652051</v>
      </c>
      <c r="AQ6" s="2">
        <f t="shared" si="17"/>
        <v>6478.4539559822069</v>
      </c>
      <c r="AR6" s="2">
        <f t="shared" si="18"/>
        <v>5097.9534912421213</v>
      </c>
      <c r="AS6" s="2">
        <f t="shared" si="19"/>
        <v>4579.0872874253573</v>
      </c>
      <c r="AX6" s="2">
        <f t="shared" si="28"/>
        <v>9.9999999999999998E-13</v>
      </c>
      <c r="AY6" s="37">
        <f t="shared" si="20"/>
        <v>21418.001164184629</v>
      </c>
      <c r="AZ6" s="37">
        <f t="shared" si="21"/>
        <v>21249.170493095851</v>
      </c>
      <c r="BA6" s="37">
        <f t="shared" si="22"/>
        <v>21141.435782556586</v>
      </c>
      <c r="BB6" s="37">
        <f t="shared" si="23"/>
        <v>21031.929581830798</v>
      </c>
      <c r="BC6" s="37">
        <f t="shared" si="24"/>
        <v>20899.620210907251</v>
      </c>
      <c r="BD6" s="37">
        <f t="shared" si="25"/>
        <v>26659.565167867426</v>
      </c>
      <c r="BE6" s="37">
        <f t="shared" si="26"/>
        <v>32549.74926928135</v>
      </c>
    </row>
    <row r="7" spans="1:308" x14ac:dyDescent="0.25">
      <c r="A7" s="2">
        <f>'creep_res-40'!A7</f>
        <v>9.9999999999999994E-12</v>
      </c>
      <c r="B7" s="3">
        <f>'creep_res-40'!O7</f>
        <v>-5.5891380000000002E-4</v>
      </c>
      <c r="C7" s="2">
        <f>IF('Modell einstellen'!$B$2="Ja",creep_res0!O7,creep_res0!C7)</f>
        <v>-5.6168285714285721E-4</v>
      </c>
      <c r="D7" s="2">
        <f>IF('Modell einstellen'!$B$2="Ja",creep_res25!O7,creep_res25!C7)</f>
        <v>-5.6348240000000005E-4</v>
      </c>
      <c r="E7" s="2">
        <f>IF('Modell einstellen'!$B$2="Ja",creep_res50!O7,creep_res50!C7)</f>
        <v>-5.6533814285714286E-4</v>
      </c>
      <c r="F7" s="2">
        <f>IF('Modell einstellen'!$B$2="Ja",creep_res80!O7,creep_res80!C7)</f>
        <v>-5.6810754285714291E-4</v>
      </c>
      <c r="G7" s="2">
        <f>IF('Modell einstellen'!$B$2="Ja",creep_res125!O7,creep_res125!C7)</f>
        <v>-7.2880822857142866E-4</v>
      </c>
      <c r="H7" s="2">
        <f>IF('Modell einstellen'!$B$2="Ja",creep_res160!O7,creep_res160!C7)</f>
        <v>-8.0717060000000005E-4</v>
      </c>
      <c r="M7" s="9">
        <f t="shared" si="27"/>
        <v>-10</v>
      </c>
      <c r="N7" s="2">
        <f t="shared" si="4"/>
        <v>9.9999999999999994E-12</v>
      </c>
      <c r="O7" s="2">
        <f t="shared" si="5"/>
        <v>17891.84664969804</v>
      </c>
      <c r="P7" s="2">
        <f t="shared" si="6"/>
        <v>17803.641098942462</v>
      </c>
      <c r="Q7" s="2">
        <f t="shared" si="7"/>
        <v>17746.783218073891</v>
      </c>
      <c r="R7" s="2">
        <f t="shared" si="8"/>
        <v>17688.528761674112</v>
      </c>
      <c r="S7" s="2">
        <f t="shared" si="9"/>
        <v>17602.301053261344</v>
      </c>
      <c r="T7" s="2">
        <f t="shared" si="10"/>
        <v>13721.030592096184</v>
      </c>
      <c r="U7" s="2">
        <f t="shared" si="11"/>
        <v>12388.954701769366</v>
      </c>
      <c r="Z7" s="2">
        <v>9.9999999999999994E-12</v>
      </c>
      <c r="AA7" s="3">
        <f>IF('Modell einstellen'!$B$2="Ja",'creep_res-40'!P7,'creep_res-40'!L7)</f>
        <v>0.36077248405747009</v>
      </c>
      <c r="AB7" s="2">
        <f>IF('Modell einstellen'!$B$2="Ja",creep_res0!P7,creep_res0!L7)</f>
        <v>0.36035811261057327</v>
      </c>
      <c r="AC7" s="2">
        <f>IF('Modell einstellen'!$B$2="Ja",creep_res25!P7,creep_res25!L7)</f>
        <v>0.36009474551214277</v>
      </c>
      <c r="AD7" s="2">
        <f>IF('Modell einstellen'!$B$2="Ja",creep_res50!P7,creep_res50!L7)</f>
        <v>0.35982794115380251</v>
      </c>
      <c r="AE7" s="2">
        <f>IF('Modell einstellen'!$B$2="Ja",creep_res80!P7,creep_res80!L7)</f>
        <v>0.35971877859745266</v>
      </c>
      <c r="AF7" s="2">
        <f>IF('Modell einstellen'!$B$2="Ja",creep_res125!P7,creep_res125!L7)</f>
        <v>0.42303450549092125</v>
      </c>
      <c r="AG7" s="2">
        <f>IF('Modell einstellen'!$B$2="Ja",creep_res160!P7,creep_res160!L7)</f>
        <v>0.44912640347830879</v>
      </c>
      <c r="AL7" s="2">
        <f t="shared" si="12"/>
        <v>9.9999999999999994E-12</v>
      </c>
      <c r="AM7" s="2">
        <f t="shared" si="13"/>
        <v>6574.1506604943988</v>
      </c>
      <c r="AN7" s="2">
        <f t="shared" si="14"/>
        <v>6543.7332030080934</v>
      </c>
      <c r="AO7" s="2">
        <f t="shared" si="15"/>
        <v>6524.0981470711258</v>
      </c>
      <c r="AP7" s="2">
        <f t="shared" si="16"/>
        <v>6503.9584150129849</v>
      </c>
      <c r="AQ7" s="2">
        <f t="shared" si="17"/>
        <v>6472.7726535549082</v>
      </c>
      <c r="AR7" s="2">
        <f t="shared" si="18"/>
        <v>4821.046341164677</v>
      </c>
      <c r="AS7" s="2">
        <f t="shared" si="19"/>
        <v>4274.6287252900811</v>
      </c>
      <c r="AX7" s="2">
        <f t="shared" si="28"/>
        <v>9.9999999999999994E-12</v>
      </c>
      <c r="AY7" s="37">
        <f t="shared" si="20"/>
        <v>21417.996445812005</v>
      </c>
      <c r="AZ7" s="37">
        <f t="shared" si="21"/>
        <v>21249.165074770277</v>
      </c>
      <c r="BA7" s="37">
        <f t="shared" si="22"/>
        <v>21141.430419034266</v>
      </c>
      <c r="BB7" s="37">
        <f t="shared" si="23"/>
        <v>21031.924273727393</v>
      </c>
      <c r="BC7" s="37">
        <f t="shared" si="24"/>
        <v>20913.111625908266</v>
      </c>
      <c r="BD7" s="37">
        <f t="shared" si="25"/>
        <v>29712.515284966801</v>
      </c>
      <c r="BE7" s="37">
        <f t="shared" si="26"/>
        <v>40587.375864960486</v>
      </c>
    </row>
    <row r="8" spans="1:308" x14ac:dyDescent="0.25">
      <c r="A8" s="2">
        <f>'creep_res-40'!A8</f>
        <v>1E-10</v>
      </c>
      <c r="B8" s="3">
        <f>'creep_res-40'!O8</f>
        <v>-5.5891388571428573E-4</v>
      </c>
      <c r="C8" s="2">
        <f>IF('Modell einstellen'!$B$2="Ja",creep_res0!O8,creep_res0!C8)</f>
        <v>-5.6168294285714293E-4</v>
      </c>
      <c r="D8" s="2">
        <f>IF('Modell einstellen'!$B$2="Ja",creep_res25!O8,creep_res25!C8)</f>
        <v>-5.6348248571428576E-4</v>
      </c>
      <c r="E8" s="2">
        <f>IF('Modell einstellen'!$B$2="Ja",creep_res50!O8,creep_res50!C8)</f>
        <v>-5.6533822857142858E-4</v>
      </c>
      <c r="F8" s="2">
        <f>IF('Modell einstellen'!$B$2="Ja",creep_res80!O8,creep_res80!C8)</f>
        <v>-5.7162008571428572E-4</v>
      </c>
      <c r="G8" s="2">
        <f>IF('Modell einstellen'!$B$2="Ja",creep_res125!O8,creep_res125!C8)</f>
        <v>-7.6696551428571426E-4</v>
      </c>
      <c r="H8" s="2">
        <f>IF('Modell einstellen'!$B$2="Ja",creep_res160!O8,creep_res160!C8)</f>
        <v>-8.6432000000000013E-4</v>
      </c>
      <c r="M8" s="9">
        <f t="shared" si="27"/>
        <v>-10</v>
      </c>
      <c r="N8" s="2">
        <f t="shared" si="4"/>
        <v>1E-10</v>
      </c>
      <c r="O8" s="2">
        <f t="shared" si="5"/>
        <v>17891.843905828377</v>
      </c>
      <c r="P8" s="2">
        <f t="shared" si="6"/>
        <v>17803.638382060279</v>
      </c>
      <c r="Q8" s="2">
        <f t="shared" si="7"/>
        <v>17746.78051851732</v>
      </c>
      <c r="R8" s="2">
        <f t="shared" si="8"/>
        <v>17688.526079811236</v>
      </c>
      <c r="S8" s="2">
        <f t="shared" si="9"/>
        <v>17494.13684003806</v>
      </c>
      <c r="T8" s="2">
        <f t="shared" si="10"/>
        <v>13038.395877959572</v>
      </c>
      <c r="U8" s="2">
        <f t="shared" si="11"/>
        <v>11569.788967049239</v>
      </c>
      <c r="Z8" s="2">
        <v>1E-10</v>
      </c>
      <c r="AA8" s="3">
        <f>IF('Modell einstellen'!$B$2="Ja",'creep_res-40'!P8,'creep_res-40'!L8)</f>
        <v>0.36077249518530485</v>
      </c>
      <c r="AB8" s="2">
        <f>IF('Modell einstellen'!$B$2="Ja",creep_res0!P8,creep_res0!L8)</f>
        <v>0.36035812374678278</v>
      </c>
      <c r="AC8" s="2">
        <f>IF('Modell einstellen'!$B$2="Ja",creep_res25!P8,creep_res25!L8)</f>
        <v>0.36009475665284973</v>
      </c>
      <c r="AD8" s="2">
        <f>IF('Modell einstellen'!$B$2="Ja",creep_res50!P8,creep_res50!L8)</f>
        <v>0.3598279674599853</v>
      </c>
      <c r="AE8" s="2">
        <f>IF('Modell einstellen'!$B$2="Ja",creep_res80!P8,creep_res80!L8)</f>
        <v>0.36134311585472129</v>
      </c>
      <c r="AF8" s="2">
        <f>IF('Modell einstellen'!$B$2="Ja",creep_res125!P8,creep_res125!L8)</f>
        <v>0.4374204494871497</v>
      </c>
      <c r="AG8" s="2">
        <f>IF('Modell einstellen'!$B$2="Ja",creep_res160!P8,creep_res160!L8)</f>
        <v>0.4689348191146136</v>
      </c>
      <c r="AL8" s="2">
        <f t="shared" si="12"/>
        <v>1E-10</v>
      </c>
      <c r="AM8" s="2">
        <f t="shared" si="13"/>
        <v>6574.149598530772</v>
      </c>
      <c r="AN8" s="2">
        <f t="shared" si="14"/>
        <v>6543.7321508487757</v>
      </c>
      <c r="AO8" s="2">
        <f t="shared" si="15"/>
        <v>6524.0971012165301</v>
      </c>
      <c r="AP8" s="2">
        <f t="shared" si="16"/>
        <v>6503.9573030886877</v>
      </c>
      <c r="AQ8" s="2">
        <f t="shared" si="17"/>
        <v>6425.3224026678754</v>
      </c>
      <c r="AR8" s="2">
        <f t="shared" si="18"/>
        <v>4535.3452020984814</v>
      </c>
      <c r="AS8" s="2">
        <f t="shared" si="19"/>
        <v>3938.1560081824523</v>
      </c>
      <c r="AX8" s="2">
        <f t="shared" si="28"/>
        <v>1E-10</v>
      </c>
      <c r="AY8" s="37">
        <f t="shared" si="20"/>
        <v>21417.994873021591</v>
      </c>
      <c r="AZ8" s="37">
        <f t="shared" si="21"/>
        <v>21249.163526677763</v>
      </c>
      <c r="BA8" s="37">
        <f t="shared" si="22"/>
        <v>21141.428886599821</v>
      </c>
      <c r="BB8" s="37">
        <f t="shared" si="23"/>
        <v>21031.925032027721</v>
      </c>
      <c r="BC8" s="37">
        <f t="shared" si="24"/>
        <v>21028.090248189499</v>
      </c>
      <c r="BD8" s="37">
        <f t="shared" si="25"/>
        <v>34724.857590878732</v>
      </c>
      <c r="BE8" s="37">
        <f t="shared" si="26"/>
        <v>62072.651960059178</v>
      </c>
    </row>
    <row r="9" spans="1:308" x14ac:dyDescent="0.25">
      <c r="A9" s="2">
        <f>'creep_res-40'!A9</f>
        <v>1.0000000000000001E-9</v>
      </c>
      <c r="B9" s="3">
        <f>'creep_res-40'!O9</f>
        <v>-5.5891391428571438E-4</v>
      </c>
      <c r="C9" s="2">
        <f>IF('Modell einstellen'!$B$2="Ja",creep_res0!O9,creep_res0!C9)</f>
        <v>-5.6168297142857146E-4</v>
      </c>
      <c r="D9" s="2">
        <f>IF('Modell einstellen'!$B$2="Ja",creep_res25!O9,creep_res25!C9)</f>
        <v>-5.634825142857143E-4</v>
      </c>
      <c r="E9" s="2">
        <f>IF('Modell einstellen'!$B$2="Ja",creep_res50!O9,creep_res50!C9)</f>
        <v>-5.6533842857142854E-4</v>
      </c>
      <c r="F9" s="2">
        <f>IF('Modell einstellen'!$B$2="Ja",creep_res80!O9,creep_res80!C9)</f>
        <v>-5.8276582857142865E-4</v>
      </c>
      <c r="G9" s="2">
        <f>IF('Modell einstellen'!$B$2="Ja",creep_res125!O9,creep_res125!C9)</f>
        <v>-8.1310145714285709E-4</v>
      </c>
      <c r="H9" s="2">
        <f>IF('Modell einstellen'!$B$2="Ja",creep_res160!O9,creep_res160!C9)</f>
        <v>-9.5559037142857147E-4</v>
      </c>
      <c r="M9" s="9">
        <f t="shared" si="27"/>
        <v>-10</v>
      </c>
      <c r="N9" s="2">
        <f t="shared" si="4"/>
        <v>1.0000000000000001E-9</v>
      </c>
      <c r="O9" s="2">
        <f t="shared" si="5"/>
        <v>17891.84299120534</v>
      </c>
      <c r="P9" s="2">
        <f t="shared" si="6"/>
        <v>17803.637476433069</v>
      </c>
      <c r="Q9" s="2">
        <f t="shared" si="7"/>
        <v>17746.77961866531</v>
      </c>
      <c r="R9" s="2">
        <f t="shared" si="8"/>
        <v>17688.519822134353</v>
      </c>
      <c r="S9" s="2">
        <f t="shared" si="9"/>
        <v>17159.551074766416</v>
      </c>
      <c r="T9" s="2">
        <f t="shared" si="10"/>
        <v>12298.588216947519</v>
      </c>
      <c r="U9" s="2">
        <f t="shared" si="11"/>
        <v>10464.734994190427</v>
      </c>
      <c r="Z9" s="2">
        <v>1.0000000000000001E-9</v>
      </c>
      <c r="AA9" s="3">
        <f>IF('Modell einstellen'!$B$2="Ja",'creep_res-40'!P9,'creep_res-40'!L9)</f>
        <v>0.36077249719059723</v>
      </c>
      <c r="AB9" s="2">
        <f>IF('Modell einstellen'!$B$2="Ja",creep_res0!P9,creep_res0!L9)</f>
        <v>0.36035812576326737</v>
      </c>
      <c r="AC9" s="2">
        <f>IF('Modell einstellen'!$B$2="Ja",creep_res25!P9,creep_res25!L9)</f>
        <v>0.36009475867624846</v>
      </c>
      <c r="AD9" s="2">
        <f>IF('Modell einstellen'!$B$2="Ja",creep_res50!P9,creep_res50!L9)</f>
        <v>0.35982804231801491</v>
      </c>
      <c r="AE9" s="2">
        <f>IF('Modell einstellen'!$B$2="Ja",creep_res80!P9,creep_res80!L9)</f>
        <v>0.3661764362691331</v>
      </c>
      <c r="AF9" s="2">
        <f>IF('Modell einstellen'!$B$2="Ja",creep_res125!P9,creep_res125!L9)</f>
        <v>0.45425193995295127</v>
      </c>
      <c r="AG9" s="2">
        <f>IF('Modell einstellen'!$B$2="Ja",creep_res160!P9,creep_res160!L9)</f>
        <v>0.49856189126823414</v>
      </c>
      <c r="AL9" s="2">
        <f t="shared" si="12"/>
        <v>1.0000000000000001E-9</v>
      </c>
      <c r="AM9" s="2">
        <f t="shared" si="13"/>
        <v>6574.1492527752453</v>
      </c>
      <c r="AN9" s="2">
        <f t="shared" si="14"/>
        <v>6543.7318082853499</v>
      </c>
      <c r="AO9" s="2">
        <f t="shared" si="15"/>
        <v>6524.0967607058046</v>
      </c>
      <c r="AP9" s="2">
        <f t="shared" si="16"/>
        <v>6503.9546441408229</v>
      </c>
      <c r="AQ9" s="2">
        <f t="shared" si="17"/>
        <v>6280.1372572444334</v>
      </c>
      <c r="AR9" s="2">
        <f t="shared" si="18"/>
        <v>4228.4929725950406</v>
      </c>
      <c r="AS9" s="2">
        <f t="shared" si="19"/>
        <v>3491.5925245283374</v>
      </c>
      <c r="AX9" s="2">
        <f t="shared" si="28"/>
        <v>1.0000000000000001E-9</v>
      </c>
      <c r="AY9" s="37">
        <f t="shared" si="20"/>
        <v>21417.994086626455</v>
      </c>
      <c r="AZ9" s="37">
        <f t="shared" si="21"/>
        <v>21249.162752631597</v>
      </c>
      <c r="BA9" s="37">
        <f t="shared" si="22"/>
        <v>21141.428120382676</v>
      </c>
      <c r="BB9" s="37">
        <f t="shared" si="23"/>
        <v>21031.928823530161</v>
      </c>
      <c r="BC9" s="37">
        <f t="shared" si="24"/>
        <v>21370.863989837715</v>
      </c>
      <c r="BD9" s="37">
        <f t="shared" si="25"/>
        <v>44805.499964731716</v>
      </c>
      <c r="BE9" s="37">
        <f t="shared" si="26"/>
        <v>1212789.0336150853</v>
      </c>
    </row>
    <row r="10" spans="1:308" x14ac:dyDescent="0.25">
      <c r="A10" s="2">
        <f>'creep_res-40'!A10</f>
        <v>1E-8</v>
      </c>
      <c r="B10" s="3">
        <f>'creep_res-40'!O10</f>
        <v>-5.5891391428571438E-4</v>
      </c>
      <c r="C10" s="2">
        <f>IF('Modell einstellen'!$B$2="Ja",creep_res0!O10,creep_res0!C10)</f>
        <v>-5.6168297142857146E-4</v>
      </c>
      <c r="D10" s="2">
        <f>IF('Modell einstellen'!$B$2="Ja",creep_res25!O10,creep_res25!C10)</f>
        <v>-5.634825142857143E-4</v>
      </c>
      <c r="E10" s="2">
        <f>IF('Modell einstellen'!$B$2="Ja",creep_res50!O10,creep_res50!C10)</f>
        <v>-5.6534002857142865E-4</v>
      </c>
      <c r="F10" s="2">
        <f>IF('Modell einstellen'!$B$2="Ja",creep_res80!O10,creep_res80!C10)</f>
        <v>-5.9470314285714281E-4</v>
      </c>
      <c r="G10" s="2">
        <f>IF('Modell einstellen'!$B$2="Ja",creep_res125!O10,creep_res125!C10)</f>
        <v>-8.7520179999999999E-4</v>
      </c>
      <c r="H10" s="2">
        <f>IF('Modell einstellen'!$B$2="Ja",creep_res160!O10,creep_res160!C10)</f>
        <v>-1.1032781142857142E-3</v>
      </c>
      <c r="M10" s="9">
        <f t="shared" si="27"/>
        <v>-10</v>
      </c>
      <c r="N10" s="2">
        <f t="shared" si="4"/>
        <v>1E-8</v>
      </c>
      <c r="O10" s="2">
        <f t="shared" si="5"/>
        <v>17891.84299120534</v>
      </c>
      <c r="P10" s="2">
        <f t="shared" si="6"/>
        <v>17803.637476433069</v>
      </c>
      <c r="Q10" s="2">
        <f t="shared" si="7"/>
        <v>17746.77961866531</v>
      </c>
      <c r="R10" s="2">
        <f t="shared" si="8"/>
        <v>17688.46976087867</v>
      </c>
      <c r="S10" s="2">
        <f t="shared" si="9"/>
        <v>16815.112077526315</v>
      </c>
      <c r="T10" s="2">
        <f t="shared" si="10"/>
        <v>11425.936281209659</v>
      </c>
      <c r="U10" s="2">
        <f t="shared" si="11"/>
        <v>9063.8977339582361</v>
      </c>
      <c r="Z10" s="2">
        <v>1E-8</v>
      </c>
      <c r="AA10" s="3">
        <f>IF('Modell einstellen'!$B$2="Ja",'creep_res-40'!P10,'creep_res-40'!L10)</f>
        <v>0.36077250741450745</v>
      </c>
      <c r="AB10" s="2">
        <f>IF('Modell einstellen'!$B$2="Ja",creep_res0!P10,creep_res0!L10)</f>
        <v>0.36035813593677452</v>
      </c>
      <c r="AC10" s="2">
        <f>IF('Modell einstellen'!$B$2="Ja",creep_res25!P10,creep_res25!L10)</f>
        <v>0.36009476881726538</v>
      </c>
      <c r="AD10" s="2">
        <f>IF('Modell einstellen'!$B$2="Ja",creep_res50!P10,creep_res50!L10)</f>
        <v>0.3598287927957996</v>
      </c>
      <c r="AE10" s="2">
        <f>IF('Modell einstellen'!$B$2="Ja",creep_res80!P10,creep_res80!L10)</f>
        <v>0.37137588933926702</v>
      </c>
      <c r="AF10" s="2">
        <f>IF('Modell einstellen'!$B$2="Ja",creep_res125!P10,creep_res125!L10)</f>
        <v>0.47583559749142595</v>
      </c>
      <c r="AG10" s="2">
        <f>IF('Modell einstellen'!$B$2="Ja",creep_res160!P10,creep_res160!L10)</f>
        <v>0.54171656342369212</v>
      </c>
      <c r="AL10" s="2">
        <f t="shared" si="12"/>
        <v>1E-8</v>
      </c>
      <c r="AM10" s="2">
        <f t="shared" si="13"/>
        <v>6574.149203381603</v>
      </c>
      <c r="AN10" s="2">
        <f t="shared" si="14"/>
        <v>6543.7317593477201</v>
      </c>
      <c r="AO10" s="2">
        <f t="shared" si="15"/>
        <v>6524.0967120614177</v>
      </c>
      <c r="AP10" s="2">
        <f t="shared" si="16"/>
        <v>6503.932647473689</v>
      </c>
      <c r="AQ10" s="2">
        <f t="shared" si="17"/>
        <v>6130.7451181848783</v>
      </c>
      <c r="AR10" s="2">
        <f t="shared" si="18"/>
        <v>3871.0057883923755</v>
      </c>
      <c r="AS10" s="2">
        <f t="shared" si="19"/>
        <v>2939.5473684961994</v>
      </c>
      <c r="AX10" s="2">
        <f t="shared" si="28"/>
        <v>1E-8</v>
      </c>
      <c r="AY10" s="37">
        <f t="shared" si="20"/>
        <v>21417.995659416745</v>
      </c>
      <c r="AZ10" s="37">
        <f t="shared" si="21"/>
        <v>21249.164300724002</v>
      </c>
      <c r="BA10" s="37">
        <f t="shared" si="22"/>
        <v>21141.429652817013</v>
      </c>
      <c r="BB10" s="37">
        <f t="shared" si="23"/>
        <v>21031.981904707714</v>
      </c>
      <c r="BC10" s="37">
        <f t="shared" si="24"/>
        <v>21788.439703811193</v>
      </c>
      <c r="BD10" s="37">
        <f t="shared" si="25"/>
        <v>78806.943927508604</v>
      </c>
      <c r="BE10" s="37">
        <f t="shared" si="26"/>
        <v>-36212.225992432257</v>
      </c>
    </row>
    <row r="11" spans="1:308" x14ac:dyDescent="0.25">
      <c r="A11" s="2">
        <f>'creep_res-40'!A11</f>
        <v>9.9999999999999995E-8</v>
      </c>
      <c r="B11" s="3">
        <f>'creep_res-40'!O11</f>
        <v>-5.5891391428571438E-4</v>
      </c>
      <c r="C11" s="2">
        <f>IF('Modell einstellen'!$B$2="Ja",creep_res0!O11,creep_res0!C11)</f>
        <v>-5.61683E-4</v>
      </c>
      <c r="D11" s="2">
        <f>IF('Modell einstellen'!$B$2="Ja",creep_res25!O11,creep_res25!C11)</f>
        <v>-5.6348254285714294E-4</v>
      </c>
      <c r="E11" s="2">
        <f>IF('Modell einstellen'!$B$2="Ja",creep_res50!O11,creep_res50!C11)</f>
        <v>-5.6535597142857151E-4</v>
      </c>
      <c r="F11" s="2">
        <f>IF('Modell einstellen'!$B$2="Ja",creep_res80!O11,creep_res80!C11)</f>
        <v>-6.0905660000000006E-4</v>
      </c>
      <c r="G11" s="2">
        <f>IF('Modell einstellen'!$B$2="Ja",creep_res125!O11,creep_res125!C11)</f>
        <v>-9.7467042857142863E-4</v>
      </c>
      <c r="H11" s="2">
        <f>IF('Modell einstellen'!$B$2="Ja",creep_res160!O11,creep_res160!C11)</f>
        <v>-1.3608547142857144E-3</v>
      </c>
      <c r="M11" s="9">
        <f t="shared" si="27"/>
        <v>-10</v>
      </c>
      <c r="N11" s="2">
        <f t="shared" si="4"/>
        <v>9.9999999999999995E-8</v>
      </c>
      <c r="O11" s="2">
        <f t="shared" si="5"/>
        <v>17891.84299120534</v>
      </c>
      <c r="P11" s="2">
        <f t="shared" si="6"/>
        <v>17803.636570805953</v>
      </c>
      <c r="Q11" s="2">
        <f t="shared" si="7"/>
        <v>17746.778718813392</v>
      </c>
      <c r="R11" s="2">
        <f t="shared" si="8"/>
        <v>17687.970951702286</v>
      </c>
      <c r="S11" s="2">
        <f t="shared" si="9"/>
        <v>16418.835293796994</v>
      </c>
      <c r="T11" s="2">
        <f t="shared" si="10"/>
        <v>10259.878320774509</v>
      </c>
      <c r="U11" s="2">
        <f t="shared" si="11"/>
        <v>7348.3230024659915</v>
      </c>
      <c r="Z11" s="2">
        <v>9.9999999999999995E-8</v>
      </c>
      <c r="AA11" s="3">
        <f>IF('Modell einstellen'!$B$2="Ja",'creep_res-40'!P11,'creep_res-40'!L11)</f>
        <v>0.36077250741450745</v>
      </c>
      <c r="AB11" s="2">
        <f>IF('Modell einstellen'!$B$2="Ja",creep_res0!P11,creep_res0!L11)</f>
        <v>0.36035811760624514</v>
      </c>
      <c r="AC11" s="2">
        <f>IF('Modell einstellen'!$B$2="Ja",creep_res25!P11,creep_res25!L11)</f>
        <v>0.36009477084066338</v>
      </c>
      <c r="AD11" s="2">
        <f>IF('Modell einstellen'!$B$2="Ja",creep_res50!P11,creep_res50!L11)</f>
        <v>0.35983629328050659</v>
      </c>
      <c r="AE11" s="2">
        <f>IF('Modell einstellen'!$B$2="Ja",creep_res80!P11,creep_res80!L11)</f>
        <v>0.37754390267552423</v>
      </c>
      <c r="AF11" s="2">
        <f>IF('Modell einstellen'!$B$2="Ja",creep_res125!P11,creep_res125!L11)</f>
        <v>0.50802672786244374</v>
      </c>
      <c r="AG11" s="2">
        <f>IF('Modell einstellen'!$B$2="Ja",creep_res160!P11,creep_res160!L11)</f>
        <v>0.60421243665876778</v>
      </c>
      <c r="AL11" s="2">
        <f t="shared" si="12"/>
        <v>9.9999999999999995E-8</v>
      </c>
      <c r="AM11" s="2">
        <f t="shared" si="13"/>
        <v>6574.149203381603</v>
      </c>
      <c r="AN11" s="2">
        <f t="shared" si="14"/>
        <v>6543.7315146595847</v>
      </c>
      <c r="AO11" s="2">
        <f t="shared" si="15"/>
        <v>6524.0963715507314</v>
      </c>
      <c r="AP11" s="2">
        <f t="shared" si="16"/>
        <v>6503.7133657579243</v>
      </c>
      <c r="AQ11" s="2">
        <f t="shared" si="17"/>
        <v>5959.459898848826</v>
      </c>
      <c r="AR11" s="2">
        <f t="shared" si="18"/>
        <v>3401.7561264704505</v>
      </c>
      <c r="AS11" s="2">
        <f t="shared" si="19"/>
        <v>2290.3210430692648</v>
      </c>
      <c r="AX11" s="2">
        <f t="shared" si="28"/>
        <v>9.9999999999999995E-8</v>
      </c>
      <c r="AY11" s="37">
        <f t="shared" si="20"/>
        <v>21417.995659416745</v>
      </c>
      <c r="AZ11" s="37">
        <f t="shared" si="21"/>
        <v>21249.160430493426</v>
      </c>
      <c r="BA11" s="37">
        <f t="shared" si="22"/>
        <v>21141.42888659981</v>
      </c>
      <c r="BB11" s="37">
        <f t="shared" si="23"/>
        <v>21032.514247905889</v>
      </c>
      <c r="BC11" s="37">
        <f t="shared" si="24"/>
        <v>22346.560185690454</v>
      </c>
      <c r="BD11" s="37">
        <f t="shared" si="25"/>
        <v>-213035.71635085696</v>
      </c>
      <c r="BE11" s="37">
        <f t="shared" si="26"/>
        <v>-11752.153002824527</v>
      </c>
    </row>
    <row r="12" spans="1:308" x14ac:dyDescent="0.25">
      <c r="A12" s="2">
        <f>'creep_res-40'!A12</f>
        <v>9.9999999999999995E-7</v>
      </c>
      <c r="B12" s="3">
        <f>'creep_res-40'!O12</f>
        <v>-5.5891391428571438E-4</v>
      </c>
      <c r="C12" s="2">
        <f>IF('Modell einstellen'!$B$2="Ja",creep_res0!O12,creep_res0!C12)</f>
        <v>-5.61683E-4</v>
      </c>
      <c r="D12" s="2">
        <f>IF('Modell einstellen'!$B$2="Ja",creep_res25!O12,creep_res25!C12)</f>
        <v>-5.6348271428571437E-4</v>
      </c>
      <c r="E12" s="2">
        <f>IF('Modell einstellen'!$B$2="Ja",creep_res50!O12,creep_res50!C12)</f>
        <v>-5.6551417142857146E-4</v>
      </c>
      <c r="F12" s="2">
        <f>IF('Modell einstellen'!$B$2="Ja",creep_res80!O12,creep_res80!C12)</f>
        <v>-6.2686451428571436E-4</v>
      </c>
      <c r="G12" s="2">
        <f>IF('Modell einstellen'!$B$2="Ja",creep_res125!O12,creep_res125!C12)</f>
        <v>-1.1375140571428571E-3</v>
      </c>
      <c r="H12" s="2">
        <f>IF('Modell einstellen'!$B$2="Ja",creep_res160!O12,creep_res160!C12)</f>
        <v>-1.8943430571428572E-3</v>
      </c>
      <c r="M12" s="9">
        <f t="shared" si="27"/>
        <v>-10</v>
      </c>
      <c r="N12" s="2">
        <f t="shared" si="4"/>
        <v>9.9999999999999995E-7</v>
      </c>
      <c r="O12" s="2">
        <f t="shared" si="5"/>
        <v>17891.84299120534</v>
      </c>
      <c r="P12" s="2">
        <f t="shared" si="6"/>
        <v>17803.636570805953</v>
      </c>
      <c r="Q12" s="2">
        <f t="shared" si="7"/>
        <v>17746.773319703811</v>
      </c>
      <c r="R12" s="2">
        <f t="shared" si="8"/>
        <v>17683.02282282076</v>
      </c>
      <c r="S12" s="2">
        <f t="shared" si="9"/>
        <v>15952.410404654309</v>
      </c>
      <c r="T12" s="2">
        <f t="shared" si="10"/>
        <v>8791.100151427956</v>
      </c>
      <c r="U12" s="2">
        <f t="shared" si="11"/>
        <v>5278.8748913739519</v>
      </c>
      <c r="Z12" s="2">
        <v>9.9999999999999995E-7</v>
      </c>
      <c r="AA12" s="3">
        <f>IF('Modell einstellen'!$B$2="Ja",'creep_res-40'!P12,'creep_res-40'!L12)</f>
        <v>0.36077250741450745</v>
      </c>
      <c r="AB12" s="2">
        <f>IF('Modell einstellen'!$B$2="Ja",creep_res0!P12,creep_res0!L12)</f>
        <v>0.36035812269299844</v>
      </c>
      <c r="AC12" s="2">
        <f>IF('Modell einstellen'!$B$2="Ja",creep_res25!P12,creep_res25!L12)</f>
        <v>0.36009486410915376</v>
      </c>
      <c r="AD12" s="2">
        <f>IF('Modell einstellen'!$B$2="Ja",creep_res50!P12,creep_res50!L12)</f>
        <v>0.35991086948130546</v>
      </c>
      <c r="AE12" s="2">
        <f>IF('Modell einstellen'!$B$2="Ja",creep_res80!P12,creep_res80!L12)</f>
        <v>0.38508679341874646</v>
      </c>
      <c r="AF12" s="2">
        <f>IF('Modell einstellen'!$B$2="Ja",creep_res125!P12,creep_res125!L12)</f>
        <v>0.55481705569880313</v>
      </c>
      <c r="AG12" s="2">
        <f>IF('Modell einstellen'!$B$2="Ja",creep_res160!P12,creep_res160!L12)</f>
        <v>0.69534610015651555</v>
      </c>
      <c r="AL12" s="2">
        <f t="shared" si="12"/>
        <v>9.9999999999999995E-7</v>
      </c>
      <c r="AM12" s="2">
        <f t="shared" si="13"/>
        <v>6574.149203381603</v>
      </c>
      <c r="AN12" s="2">
        <f t="shared" si="14"/>
        <v>6543.731490190773</v>
      </c>
      <c r="AO12" s="2">
        <f t="shared" si="15"/>
        <v>6524.0939393325853</v>
      </c>
      <c r="AP12" s="2">
        <f t="shared" si="16"/>
        <v>6501.5374241274303</v>
      </c>
      <c r="AQ12" s="2">
        <f t="shared" si="17"/>
        <v>5758.6320512376351</v>
      </c>
      <c r="AR12" s="2">
        <f t="shared" si="18"/>
        <v>2827.0529060658037</v>
      </c>
      <c r="AS12" s="2">
        <f t="shared" si="19"/>
        <v>1556.8723374202477</v>
      </c>
      <c r="AX12" s="2">
        <f t="shared" si="28"/>
        <v>9.9999999999999995E-7</v>
      </c>
      <c r="AY12" s="37">
        <f t="shared" si="20"/>
        <v>21417.995659416745</v>
      </c>
      <c r="AZ12" s="37">
        <f t="shared" si="21"/>
        <v>21249.161204539429</v>
      </c>
      <c r="BA12" s="37">
        <f t="shared" si="22"/>
        <v>21141.436548774276</v>
      </c>
      <c r="BB12" s="37">
        <f t="shared" si="23"/>
        <v>21037.823987899148</v>
      </c>
      <c r="BC12" s="37">
        <f t="shared" si="24"/>
        <v>23136.897372735224</v>
      </c>
      <c r="BD12" s="37">
        <f t="shared" si="25"/>
        <v>-26728.603714542747</v>
      </c>
      <c r="BE12" s="37">
        <f t="shared" si="26"/>
        <v>-4503.8650947765718</v>
      </c>
    </row>
    <row r="13" spans="1:308" x14ac:dyDescent="0.25">
      <c r="A13" s="2">
        <f>'creep_res-40'!A13</f>
        <v>1.0000000000000001E-5</v>
      </c>
      <c r="B13" s="3">
        <f>'creep_res-40'!O13</f>
        <v>-5.5891391428571438E-4</v>
      </c>
      <c r="C13" s="2">
        <f>IF('Modell einstellen'!$B$2="Ja",creep_res0!O13,creep_res0!C13)</f>
        <v>-5.61683E-4</v>
      </c>
      <c r="D13" s="2">
        <f>IF('Modell einstellen'!$B$2="Ja",creep_res25!O13,creep_res25!C13)</f>
        <v>-5.6348448571428569E-4</v>
      </c>
      <c r="E13" s="2">
        <f>IF('Modell einstellen'!$B$2="Ja",creep_res50!O13,creep_res50!C13)</f>
        <v>-5.6699531428571425E-4</v>
      </c>
      <c r="F13" s="2">
        <f>IF('Modell einstellen'!$B$2="Ja",creep_res80!O13,creep_res80!C13)</f>
        <v>-6.4622380000000008E-4</v>
      </c>
      <c r="G13" s="2">
        <f>IF('Modell einstellen'!$B$2="Ja",creep_res125!O13,creep_res125!C13)</f>
        <v>-1.4322549714285717E-3</v>
      </c>
      <c r="H13" s="2">
        <f>IF('Modell einstellen'!$B$2="Ja",creep_res160!O13,creep_res160!C13)</f>
        <v>-2.9633485714285718E-3</v>
      </c>
      <c r="M13" s="9">
        <f t="shared" si="27"/>
        <v>-10</v>
      </c>
      <c r="N13" s="2">
        <f t="shared" si="4"/>
        <v>1.0000000000000001E-5</v>
      </c>
      <c r="O13" s="2">
        <f t="shared" si="5"/>
        <v>17891.84299120534</v>
      </c>
      <c r="P13" s="2">
        <f t="shared" si="6"/>
        <v>17803.636570805953</v>
      </c>
      <c r="Q13" s="2">
        <f t="shared" si="7"/>
        <v>17746.717529097139</v>
      </c>
      <c r="R13" s="2">
        <f t="shared" si="8"/>
        <v>17636.830054932176</v>
      </c>
      <c r="S13" s="2">
        <f t="shared" si="9"/>
        <v>15474.515175702285</v>
      </c>
      <c r="T13" s="2">
        <f t="shared" si="10"/>
        <v>6981.997060220162</v>
      </c>
      <c r="U13" s="2">
        <f t="shared" si="11"/>
        <v>3374.5608250126302</v>
      </c>
      <c r="Z13" s="2">
        <v>1.0000000000000001E-5</v>
      </c>
      <c r="AA13" s="3">
        <f>IF('Modell einstellen'!$B$2="Ja",'creep_res-40'!P13,'creep_res-40'!L13)</f>
        <v>0.3607725125264627</v>
      </c>
      <c r="AB13" s="2">
        <f>IF('Modell einstellen'!$B$2="Ja",creep_res0!P13,creep_res0!L13)</f>
        <v>0.36035814304001162</v>
      </c>
      <c r="AC13" s="2">
        <f>IF('Modell einstellen'!$B$2="Ja",creep_res25!P13,creep_res25!L13)</f>
        <v>0.36009570449829092</v>
      </c>
      <c r="AD13" s="2">
        <f>IF('Modell einstellen'!$B$2="Ja",creep_res50!P13,creep_res50!L13)</f>
        <v>0.36060759081103017</v>
      </c>
      <c r="AE13" s="2">
        <f>IF('Modell einstellen'!$B$2="Ja",creep_res80!P13,creep_res80!L13)</f>
        <v>0.39316898307631853</v>
      </c>
      <c r="AF13" s="2">
        <f>IF('Modell einstellen'!$B$2="Ja",creep_res125!P13,creep_res125!L13)</f>
        <v>0.62311995765159445</v>
      </c>
      <c r="AG13" s="2">
        <f>IF('Modell einstellen'!$B$2="Ja",creep_res160!P13,creep_res160!L13)</f>
        <v>0.79570910128696104</v>
      </c>
      <c r="AL13" s="2">
        <f t="shared" si="12"/>
        <v>1.0000000000000001E-5</v>
      </c>
      <c r="AM13" s="2">
        <f t="shared" si="13"/>
        <v>6574.1491786847801</v>
      </c>
      <c r="AN13" s="2">
        <f t="shared" si="14"/>
        <v>6543.7313923155243</v>
      </c>
      <c r="AO13" s="2">
        <f t="shared" si="15"/>
        <v>6524.06939835293</v>
      </c>
      <c r="AP13" s="2">
        <f t="shared" si="16"/>
        <v>6481.233154233405</v>
      </c>
      <c r="AQ13" s="2">
        <f t="shared" si="17"/>
        <v>5553.7107715147085</v>
      </c>
      <c r="AR13" s="2">
        <f t="shared" si="18"/>
        <v>2150.7951483518323</v>
      </c>
      <c r="AS13" s="2">
        <f t="shared" si="19"/>
        <v>939.61789874376836</v>
      </c>
      <c r="AX13" s="2">
        <f t="shared" si="28"/>
        <v>1.0000000000000001E-5</v>
      </c>
      <c r="AY13" s="37">
        <f t="shared" si="20"/>
        <v>21417.996445811998</v>
      </c>
      <c r="AZ13" s="37">
        <f t="shared" si="21"/>
        <v>21249.164300723998</v>
      </c>
      <c r="BA13" s="37">
        <f t="shared" si="22"/>
        <v>21141.497080147841</v>
      </c>
      <c r="BB13" s="37">
        <f t="shared" si="23"/>
        <v>21087.745688053081</v>
      </c>
      <c r="BC13" s="37">
        <f t="shared" si="24"/>
        <v>24141.732774663273</v>
      </c>
      <c r="BD13" s="37">
        <f t="shared" si="25"/>
        <v>-9451.4829187669911</v>
      </c>
      <c r="BE13" s="37">
        <f t="shared" si="26"/>
        <v>-1901.9597358384426</v>
      </c>
    </row>
    <row r="14" spans="1:308" x14ac:dyDescent="0.25">
      <c r="A14" s="2">
        <f>'creep_res-40'!A14</f>
        <v>1E-4</v>
      </c>
      <c r="B14" s="3">
        <f>'creep_res-40'!O14</f>
        <v>-5.5891394285714291E-4</v>
      </c>
      <c r="C14" s="2">
        <f>IF('Modell einstellen'!$B$2="Ja",creep_res0!O14,creep_res0!C14)</f>
        <v>-5.6168320000000006E-4</v>
      </c>
      <c r="D14" s="2">
        <f>IF('Modell einstellen'!$B$2="Ja",creep_res25!O14,creep_res25!C14)</f>
        <v>-5.6350217142857144E-4</v>
      </c>
      <c r="E14" s="2">
        <f>IF('Modell einstellen'!$B$2="Ja",creep_res50!O14,creep_res50!C14)</f>
        <v>-5.7573442857142862E-4</v>
      </c>
      <c r="F14" s="2">
        <f>IF('Modell einstellen'!$B$2="Ja",creep_res80!O14,creep_res80!C14)</f>
        <v>-6.724639142857144E-4</v>
      </c>
      <c r="G14" s="2">
        <f>IF('Modell einstellen'!$B$2="Ja",creep_res125!O14,creep_res125!C14)</f>
        <v>-2.0606296285714289E-3</v>
      </c>
      <c r="H14" s="2">
        <f>IF('Modell einstellen'!$B$2="Ja",creep_res160!O14,creep_res160!C14)</f>
        <v>-5.0025814285714291E-3</v>
      </c>
      <c r="M14" s="9">
        <f t="shared" si="27"/>
        <v>-10</v>
      </c>
      <c r="N14" s="2">
        <f t="shared" si="4"/>
        <v>1E-4</v>
      </c>
      <c r="O14" s="2">
        <f t="shared" si="5"/>
        <v>17891.842076582398</v>
      </c>
      <c r="P14" s="2">
        <f t="shared" si="6"/>
        <v>17803.630231418705</v>
      </c>
      <c r="Q14" s="2">
        <f t="shared" si="7"/>
        <v>17746.160542111738</v>
      </c>
      <c r="R14" s="2">
        <f t="shared" si="8"/>
        <v>17369.119343467137</v>
      </c>
      <c r="S14" s="2">
        <f t="shared" si="9"/>
        <v>14870.686422812616</v>
      </c>
      <c r="T14" s="2">
        <f t="shared" si="10"/>
        <v>4852.8856721004695</v>
      </c>
      <c r="U14" s="2">
        <f t="shared" si="11"/>
        <v>1998.967961398215</v>
      </c>
      <c r="Z14" s="2">
        <v>1E-4</v>
      </c>
      <c r="AA14" s="3">
        <f>IF('Modell einstellen'!$B$2="Ja",'creep_res-40'!P14,'creep_res-40'!L14)</f>
        <v>0.36077249919588944</v>
      </c>
      <c r="AB14" s="2">
        <f>IF('Modell einstellen'!$B$2="Ja",creep_res0!P14,creep_res0!L14)</f>
        <v>0.36035822836991183</v>
      </c>
      <c r="AC14" s="2">
        <f>IF('Modell einstellen'!$B$2="Ja",creep_res25!P14,creep_res25!L14)</f>
        <v>0.36010412635753059</v>
      </c>
      <c r="AD14" s="2">
        <f>IF('Modell einstellen'!$B$2="Ja",creep_res50!P14,creep_res50!L14)</f>
        <v>0.36448830450349007</v>
      </c>
      <c r="AE14" s="2">
        <f>IF('Modell einstellen'!$B$2="Ja",creep_res80!P14,creep_res80!L14)</f>
        <v>0.40389726276124766</v>
      </c>
      <c r="AF14" s="2">
        <f>IF('Modell einstellen'!$B$2="Ja",creep_res125!P14,creep_res125!L14)</f>
        <v>0.72024714166073811</v>
      </c>
      <c r="AG14" s="2">
        <f>IF('Modell einstellen'!$B$2="Ja",creep_res160!P14,creep_res160!L14)</f>
        <v>0.87793610555921553</v>
      </c>
      <c r="AL14" s="2">
        <f t="shared" si="12"/>
        <v>1E-4</v>
      </c>
      <c r="AM14" s="2">
        <f t="shared" si="13"/>
        <v>6574.1489070197567</v>
      </c>
      <c r="AN14" s="2">
        <f t="shared" si="14"/>
        <v>6543.7286518097571</v>
      </c>
      <c r="AO14" s="2">
        <f t="shared" si="15"/>
        <v>6523.8242419120506</v>
      </c>
      <c r="AP14" s="2">
        <f t="shared" si="16"/>
        <v>6364.7007036045688</v>
      </c>
      <c r="AQ14" s="2">
        <f t="shared" si="17"/>
        <v>5296.2160470219478</v>
      </c>
      <c r="AR14" s="2">
        <f t="shared" si="18"/>
        <v>1410.5199057082755</v>
      </c>
      <c r="AS14" s="2">
        <f t="shared" si="19"/>
        <v>532.22470015904992</v>
      </c>
      <c r="AX14" s="2">
        <f t="shared" si="28"/>
        <v>1E-4</v>
      </c>
      <c r="AY14" s="37">
        <f t="shared" si="20"/>
        <v>21417.993300231385</v>
      </c>
      <c r="AZ14" s="37">
        <f t="shared" si="21"/>
        <v>21249.169719049183</v>
      </c>
      <c r="BA14" s="37">
        <f t="shared" si="22"/>
        <v>21142.106244278795</v>
      </c>
      <c r="BB14" s="37">
        <f t="shared" si="23"/>
        <v>21362.386569694612</v>
      </c>
      <c r="BC14" s="37">
        <f t="shared" si="24"/>
        <v>25789.564463477425</v>
      </c>
      <c r="BD14" s="37">
        <f t="shared" si="25"/>
        <v>-3672.303179894539</v>
      </c>
      <c r="BE14" s="37">
        <f t="shared" si="26"/>
        <v>-881.52817896754868</v>
      </c>
    </row>
    <row r="15" spans="1:308" x14ac:dyDescent="0.25">
      <c r="A15" s="2">
        <f>'creep_res-40'!A15</f>
        <v>1E-3</v>
      </c>
      <c r="B15" s="3">
        <f>'creep_res-40'!O15</f>
        <v>-5.5891397142857145E-4</v>
      </c>
      <c r="C15" s="2">
        <f>IF('Modell einstellen'!$B$2="Ja",creep_res0!O15,creep_res0!C15)</f>
        <v>-5.6168508571428574E-4</v>
      </c>
      <c r="D15" s="2">
        <f>IF('Modell einstellen'!$B$2="Ja",creep_res25!O15,creep_res25!C15)</f>
        <v>-5.6367762857142858E-4</v>
      </c>
      <c r="E15" s="2">
        <f>IF('Modell einstellen'!$B$2="Ja",creep_res50!O15,creep_res50!C15)</f>
        <v>-5.8701614285714288E-4</v>
      </c>
      <c r="F15" s="2">
        <f>IF('Modell einstellen'!$B$2="Ja",creep_res80!O15,creep_res80!C15)</f>
        <v>-7.0394182857142862E-4</v>
      </c>
      <c r="G15" s="2">
        <f>IF('Modell einstellen'!$B$2="Ja",creep_res125!O15,creep_res125!C15)</f>
        <v>-3.3242445714285712E-3</v>
      </c>
      <c r="H15" s="2">
        <f>IF('Modell einstellen'!$B$2="Ja",creep_res160!O15,creep_res160!C15)</f>
        <v>-8.7717962857142857E-3</v>
      </c>
      <c r="M15" s="9">
        <f t="shared" si="27"/>
        <v>-10</v>
      </c>
      <c r="N15" s="2">
        <f t="shared" si="4"/>
        <v>1E-3</v>
      </c>
      <c r="O15" s="2">
        <f t="shared" si="5"/>
        <v>17891.841161959554</v>
      </c>
      <c r="P15" s="2">
        <f t="shared" si="6"/>
        <v>17803.570460275198</v>
      </c>
      <c r="Q15" s="2">
        <f t="shared" si="7"/>
        <v>17740.636656707073</v>
      </c>
      <c r="R15" s="2">
        <f t="shared" si="8"/>
        <v>17035.306646470905</v>
      </c>
      <c r="S15" s="2">
        <f t="shared" si="9"/>
        <v>14205.719271283941</v>
      </c>
      <c r="T15" s="2">
        <f t="shared" si="10"/>
        <v>3008.2022502040422</v>
      </c>
      <c r="U15" s="2">
        <f t="shared" si="11"/>
        <v>1140.0173549727735</v>
      </c>
      <c r="Z15" s="2">
        <v>1E-3</v>
      </c>
      <c r="AA15" s="3">
        <f>IF('Modell einstellen'!$B$2="Ja",'creep_res-40'!P15,'creep_res-40'!L15)</f>
        <v>0.36077253698486383</v>
      </c>
      <c r="AB15" s="2">
        <f>IF('Modell einstellen'!$B$2="Ja",creep_res0!P15,creep_res0!L15)</f>
        <v>0.36035913464067154</v>
      </c>
      <c r="AC15" s="2">
        <f>IF('Modell einstellen'!$B$2="Ja",creep_res25!P15,creep_res25!L15)</f>
        <v>0.36018776081587062</v>
      </c>
      <c r="AD15" s="2">
        <f>IF('Modell einstellen'!$B$2="Ja",creep_res50!P15,creep_res50!L15)</f>
        <v>0.36949596178055943</v>
      </c>
      <c r="AE15" s="2">
        <f>IF('Modell einstellen'!$B$2="Ja",creep_res80!P15,creep_res80!L15)</f>
        <v>0.4165064126240301</v>
      </c>
      <c r="AF15" s="2">
        <f>IF('Modell einstellen'!$B$2="Ja",creep_res125!P15,creep_res125!L15)</f>
        <v>0.81944840572156641</v>
      </c>
      <c r="AG15" s="2">
        <f>IF('Modell einstellen'!$B$2="Ja",creep_res160!P15,creep_res160!L15)</f>
        <v>0.93476335373171815</v>
      </c>
      <c r="AL15" s="2">
        <f t="shared" si="12"/>
        <v>1E-3</v>
      </c>
      <c r="AM15" s="2">
        <f t="shared" si="13"/>
        <v>6574.1483883865922</v>
      </c>
      <c r="AN15" s="2">
        <f t="shared" si="14"/>
        <v>6543.7023234963144</v>
      </c>
      <c r="AO15" s="2">
        <f t="shared" si="15"/>
        <v>6521.3925487999713</v>
      </c>
      <c r="AP15" s="2">
        <f t="shared" si="16"/>
        <v>6219.55344224686</v>
      </c>
      <c r="AQ15" s="2">
        <f t="shared" si="17"/>
        <v>5014.3504980568096</v>
      </c>
      <c r="AR15" s="2">
        <f t="shared" si="18"/>
        <v>826.67973456797017</v>
      </c>
      <c r="AS15" s="2">
        <f t="shared" si="19"/>
        <v>294.61415856723238</v>
      </c>
      <c r="AX15" s="2">
        <f t="shared" si="28"/>
        <v>1E-3</v>
      </c>
      <c r="AY15" s="37">
        <f t="shared" si="20"/>
        <v>21417.998018602641</v>
      </c>
      <c r="AZ15" s="37">
        <f t="shared" si="21"/>
        <v>21249.236287269807</v>
      </c>
      <c r="BA15" s="37">
        <f t="shared" si="22"/>
        <v>21148.168381910014</v>
      </c>
      <c r="BB15" s="37">
        <f t="shared" si="23"/>
        <v>21755.784825889568</v>
      </c>
      <c r="BC15" s="37">
        <f t="shared" si="24"/>
        <v>28356.906835083992</v>
      </c>
      <c r="BD15" s="37">
        <f t="shared" si="25"/>
        <v>-1569.4773638584659</v>
      </c>
      <c r="BE15" s="37">
        <f t="shared" si="26"/>
        <v>-437.02600705557256</v>
      </c>
    </row>
    <row r="16" spans="1:308" x14ac:dyDescent="0.25">
      <c r="A16" s="2">
        <f>'creep_res-40'!A16</f>
        <v>0.01</v>
      </c>
      <c r="B16" s="3">
        <f>'creep_res-40'!O16</f>
        <v>-5.5891448571428572E-4</v>
      </c>
      <c r="C16" s="2">
        <f>IF('Modell einstellen'!$B$2="Ja",creep_res0!O16,creep_res0!C16)</f>
        <v>-5.617039142857144E-4</v>
      </c>
      <c r="D16" s="2">
        <f>IF('Modell einstellen'!$B$2="Ja",creep_res25!O16,creep_res25!C16)</f>
        <v>-5.6530822857142854E-4</v>
      </c>
      <c r="E16" s="2">
        <f>IF('Modell einstellen'!$B$2="Ja",creep_res50!O16,creep_res50!C16)</f>
        <v>-5.9998348571428575E-4</v>
      </c>
      <c r="F16" s="2">
        <f>IF('Modell einstellen'!$B$2="Ja",creep_res80!O16,creep_res80!C16)</f>
        <v>-7.3808877142857144E-4</v>
      </c>
      <c r="G16" s="2">
        <f>IF('Modell einstellen'!$B$2="Ja",creep_res125!O16,creep_res125!C16)</f>
        <v>-5.6982420000000001E-3</v>
      </c>
      <c r="H16" s="2">
        <f>IF('Modell einstellen'!$B$2="Ja",creep_res160!O16,creep_res160!C16)</f>
        <v>-1.3274090285714286E-2</v>
      </c>
      <c r="M16" s="9">
        <f t="shared" si="27"/>
        <v>-10</v>
      </c>
      <c r="N16" s="2">
        <f t="shared" si="4"/>
        <v>0.01</v>
      </c>
      <c r="O16" s="2">
        <f t="shared" si="5"/>
        <v>17891.824698764292</v>
      </c>
      <c r="P16" s="2">
        <f t="shared" si="6"/>
        <v>17802.973676472251</v>
      </c>
      <c r="Q16" s="2">
        <f t="shared" si="7"/>
        <v>17689.464781488612</v>
      </c>
      <c r="R16" s="2">
        <f t="shared" si="8"/>
        <v>16667.125409451746</v>
      </c>
      <c r="S16" s="2">
        <f t="shared" si="9"/>
        <v>13548.505799166936</v>
      </c>
      <c r="T16" s="2">
        <f t="shared" si="10"/>
        <v>1754.9272214132006</v>
      </c>
      <c r="U16" s="2">
        <f t="shared" si="11"/>
        <v>753.34729422189514</v>
      </c>
      <c r="Z16" s="2">
        <v>0.01</v>
      </c>
      <c r="AA16" s="3">
        <f>IF('Modell einstellen'!$B$2="Ja",'creep_res-40'!P16,'creep_res-40'!L16)</f>
        <v>0.36077279289389885</v>
      </c>
      <c r="AB16" s="2">
        <f>IF('Modell einstellen'!$B$2="Ja",creep_res0!P16,creep_res0!L16)</f>
        <v>0.36036820517082785</v>
      </c>
      <c r="AC16" s="2">
        <f>IF('Modell einstellen'!$B$2="Ja",creep_res25!P16,creep_res25!L16)</f>
        <v>0.36096327323430338</v>
      </c>
      <c r="AD16" s="2">
        <f>IF('Modell einstellen'!$B$2="Ja",creep_res50!P16,creep_res50!L16)</f>
        <v>0.37518023115112409</v>
      </c>
      <c r="AE16" s="2">
        <f>IF('Modell einstellen'!$B$2="Ja",creep_res80!P16,creep_res80!L16)</f>
        <v>0.42985855321235655</v>
      </c>
      <c r="AF16" s="2">
        <f>IF('Modell einstellen'!$B$2="Ja",creep_res125!P16,creep_res125!L16)</f>
        <v>0.89472311936608828</v>
      </c>
      <c r="AG16" s="2">
        <f>IF('Modell einstellen'!$B$2="Ja",creep_res160!P16,creep_res160!L16)</f>
        <v>0.96331157781143395</v>
      </c>
      <c r="AL16" s="2">
        <f t="shared" si="12"/>
        <v>0.01</v>
      </c>
      <c r="AM16" s="2">
        <f t="shared" si="13"/>
        <v>6574.141102834109</v>
      </c>
      <c r="AN16" s="2">
        <f t="shared" si="14"/>
        <v>6543.4393456132884</v>
      </c>
      <c r="AO16" s="2">
        <f t="shared" si="15"/>
        <v>6498.8766153292054</v>
      </c>
      <c r="AP16" s="2">
        <f t="shared" si="16"/>
        <v>6059.9785511387736</v>
      </c>
      <c r="AQ16" s="2">
        <f t="shared" si="17"/>
        <v>4737.7084148388376</v>
      </c>
      <c r="AR16" s="2">
        <f t="shared" si="18"/>
        <v>463.10914863390207</v>
      </c>
      <c r="AS16" s="2">
        <f t="shared" si="19"/>
        <v>191.85627557437303</v>
      </c>
      <c r="AX16" s="2">
        <f t="shared" si="28"/>
        <v>0.01</v>
      </c>
      <c r="AY16" s="37">
        <f t="shared" si="20"/>
        <v>21418.017678505221</v>
      </c>
      <c r="AZ16" s="37">
        <f t="shared" si="21"/>
        <v>21249.904314716554</v>
      </c>
      <c r="BA16" s="37">
        <f t="shared" si="22"/>
        <v>21204.786669183137</v>
      </c>
      <c r="BB16" s="37">
        <f t="shared" si="23"/>
        <v>22254.922121125535</v>
      </c>
      <c r="BC16" s="37">
        <f t="shared" si="24"/>
        <v>32193.295166802207</v>
      </c>
      <c r="BD16" s="37">
        <f t="shared" si="25"/>
        <v>-740.99503141660125</v>
      </c>
      <c r="BE16" s="37">
        <f t="shared" si="26"/>
        <v>-271.00096000928653</v>
      </c>
    </row>
    <row r="17" spans="1:57" x14ac:dyDescent="0.25">
      <c r="A17" s="2">
        <f>'creep_res-40'!A17</f>
        <v>0.1</v>
      </c>
      <c r="B17" s="3">
        <f>'creep_res-40'!O17</f>
        <v>-5.5891965714285712E-4</v>
      </c>
      <c r="C17" s="2">
        <f>IF('Modell einstellen'!$B$2="Ja",creep_res0!O17,creep_res0!C17)</f>
        <v>-5.6189088571428577E-4</v>
      </c>
      <c r="D17" s="2">
        <f>IF('Modell einstellen'!$B$2="Ja",creep_res25!O17,creep_res25!C17)</f>
        <v>-5.7441494285714293E-4</v>
      </c>
      <c r="E17" s="2">
        <f>IF('Modell einstellen'!$B$2="Ja",creep_res50!O17,creep_res50!C17)</f>
        <v>-6.1619954285714292E-4</v>
      </c>
      <c r="F17" s="2">
        <f>IF('Modell einstellen'!$B$2="Ja",creep_res80!O17,creep_res80!C17)</f>
        <v>-7.7937257142857153E-4</v>
      </c>
      <c r="G17" s="2">
        <f>IF('Modell einstellen'!$B$2="Ja",creep_res125!O17,creep_res125!C17)</f>
        <v>-1.0000507142857143E-2</v>
      </c>
      <c r="H17" s="2">
        <f>IF('Modell einstellen'!$B$2="Ja",creep_res160!O17,creep_res160!C17)</f>
        <v>-1.5647893142857142E-2</v>
      </c>
      <c r="M17" s="9">
        <f t="shared" si="27"/>
        <v>-10</v>
      </c>
      <c r="N17" s="2">
        <f t="shared" si="4"/>
        <v>0.1</v>
      </c>
      <c r="O17" s="2">
        <f t="shared" si="5"/>
        <v>17891.659153873792</v>
      </c>
      <c r="P17" s="2">
        <f t="shared" si="6"/>
        <v>17797.049666124803</v>
      </c>
      <c r="Q17" s="2">
        <f t="shared" si="7"/>
        <v>17409.017861304143</v>
      </c>
      <c r="R17" s="2">
        <f t="shared" si="8"/>
        <v>16228.509280667151</v>
      </c>
      <c r="S17" s="2">
        <f t="shared" si="9"/>
        <v>12830.833886892166</v>
      </c>
      <c r="T17" s="2">
        <f t="shared" si="10"/>
        <v>999.94928828609397</v>
      </c>
      <c r="U17" s="2">
        <f t="shared" si="11"/>
        <v>639.0636687447435</v>
      </c>
      <c r="Z17" s="2">
        <v>0.1</v>
      </c>
      <c r="AA17" s="3">
        <f>IF('Modell einstellen'!$B$2="Ja",'creep_res-40'!P17,'creep_res-40'!L17)</f>
        <v>0.36077529773254408</v>
      </c>
      <c r="AB17" s="2">
        <f>IF('Modell einstellen'!$B$2="Ja",creep_res0!P17,creep_res0!L17)</f>
        <v>0.36045809300748322</v>
      </c>
      <c r="AC17" s="2">
        <f>IF('Modell einstellen'!$B$2="Ja",creep_res25!P17,creep_res25!L17)</f>
        <v>0.36504682055873694</v>
      </c>
      <c r="AD17" s="2">
        <f>IF('Modell einstellen'!$B$2="Ja",creep_res50!P17,creep_res50!L17)</f>
        <v>0.38217742453001313</v>
      </c>
      <c r="AE17" s="2">
        <f>IF('Modell einstellen'!$B$2="Ja",creep_res80!P17,creep_res80!L17)</f>
        <v>0.44536092035938063</v>
      </c>
      <c r="AF17" s="2">
        <f>IF('Modell einstellen'!$B$2="Ja",creep_res125!P17,creep_res125!L17)</f>
        <v>0.94335710117558313</v>
      </c>
      <c r="AG17" s="2">
        <f>IF('Modell einstellen'!$B$2="Ja",creep_res160!P17,creep_res160!L17)</f>
        <v>0.96903444381540293</v>
      </c>
      <c r="AL17" s="2">
        <f t="shared" si="12"/>
        <v>0.1</v>
      </c>
      <c r="AM17" s="2">
        <f t="shared" si="13"/>
        <v>6574.0681741087647</v>
      </c>
      <c r="AN17" s="2">
        <f t="shared" si="14"/>
        <v>6540.8297975507394</v>
      </c>
      <c r="AO17" s="2">
        <f t="shared" si="15"/>
        <v>6376.7108933957061</v>
      </c>
      <c r="AP17" s="2">
        <f t="shared" si="16"/>
        <v>5870.6317266704709</v>
      </c>
      <c r="AQ17" s="2">
        <f t="shared" si="17"/>
        <v>4438.626264954587</v>
      </c>
      <c r="AR17" s="2">
        <f t="shared" si="18"/>
        <v>257.27368574751409</v>
      </c>
      <c r="AS17" s="2">
        <f t="shared" si="19"/>
        <v>162.27843823453597</v>
      </c>
      <c r="AX17" s="2">
        <f t="shared" si="28"/>
        <v>0.1</v>
      </c>
      <c r="AY17" s="37">
        <f t="shared" si="20"/>
        <v>21418.204842585139</v>
      </c>
      <c r="AZ17" s="37">
        <f t="shared" si="21"/>
        <v>21256.517187436755</v>
      </c>
      <c r="BA17" s="37">
        <f t="shared" si="22"/>
        <v>21500.071275807713</v>
      </c>
      <c r="BB17" s="37">
        <f t="shared" si="23"/>
        <v>22956.140077474745</v>
      </c>
      <c r="BC17" s="37">
        <f t="shared" si="24"/>
        <v>39138.146699166959</v>
      </c>
      <c r="BD17" s="37">
        <f t="shared" si="25"/>
        <v>-375.90063240770604</v>
      </c>
      <c r="BE17" s="37">
        <f t="shared" si="26"/>
        <v>-227.08483963573565</v>
      </c>
    </row>
    <row r="18" spans="1:57" x14ac:dyDescent="0.25">
      <c r="A18" s="2">
        <f>'creep_res-40'!A18</f>
        <v>1</v>
      </c>
      <c r="B18" s="3">
        <f>'creep_res-40'!O18</f>
        <v>-5.5897102857142866E-4</v>
      </c>
      <c r="C18" s="2">
        <f>IF('Modell einstellen'!$B$2="Ja",creep_res0!O18,creep_res0!C18)</f>
        <v>-5.6361988571428567E-4</v>
      </c>
      <c r="D18" s="2">
        <f>IF('Modell einstellen'!$B$2="Ja",creep_res25!O18,creep_res25!C18)</f>
        <v>-5.8573588571428576E-4</v>
      </c>
      <c r="E18" s="2">
        <f>IF('Modell einstellen'!$B$2="Ja",creep_res50!O18,creep_res50!C18)</f>
        <v>-6.345624E-4</v>
      </c>
      <c r="F18" s="2">
        <f>IF('Modell einstellen'!$B$2="Ja",creep_res80!O18,creep_res80!C18)</f>
        <v>-8.3077111428571425E-4</v>
      </c>
      <c r="G18" s="2">
        <f>IF('Modell einstellen'!$B$2="Ja",creep_res125!O18,creep_res125!C18)</f>
        <v>-1.4185493714285716E-2</v>
      </c>
      <c r="H18" s="2">
        <f>IF('Modell einstellen'!$B$2="Ja",creep_res160!O18,creep_res160!C18)</f>
        <v>-1.7303699142857145E-2</v>
      </c>
      <c r="M18" s="9">
        <f t="shared" si="27"/>
        <v>-10</v>
      </c>
      <c r="N18" s="2">
        <f t="shared" si="4"/>
        <v>1</v>
      </c>
      <c r="O18" s="2">
        <f t="shared" si="5"/>
        <v>17890.014846667746</v>
      </c>
      <c r="P18" s="2">
        <f t="shared" si="6"/>
        <v>17742.454184927879</v>
      </c>
      <c r="Q18" s="2">
        <f t="shared" si="7"/>
        <v>17072.541129702728</v>
      </c>
      <c r="R18" s="2">
        <f t="shared" si="8"/>
        <v>15758.891481751834</v>
      </c>
      <c r="S18" s="2">
        <f t="shared" si="9"/>
        <v>12037.009746779489</v>
      </c>
      <c r="T18" s="2">
        <f t="shared" si="10"/>
        <v>704.94550287871539</v>
      </c>
      <c r="U18" s="2">
        <f t="shared" si="11"/>
        <v>577.91111122779409</v>
      </c>
      <c r="Z18" s="2">
        <v>1</v>
      </c>
      <c r="AA18" s="3">
        <f>IF('Modell einstellen'!$B$2="Ja",'creep_res-40'!P18,'creep_res-40'!L18)</f>
        <v>0.36080044220027546</v>
      </c>
      <c r="AB18" s="2">
        <f>IF('Modell einstellen'!$B$2="Ja",creep_res0!P18,creep_res0!L18)</f>
        <v>0.36128752630445571</v>
      </c>
      <c r="AC18" s="2">
        <f>IF('Modell einstellen'!$B$2="Ja",creep_res25!P18,creep_res25!L18)</f>
        <v>0.37010785358354592</v>
      </c>
      <c r="AD18" s="2">
        <f>IF('Modell einstellen'!$B$2="Ja",creep_res50!P18,creep_res50!L18)</f>
        <v>0.38988561025902041</v>
      </c>
      <c r="AE18" s="2">
        <f>IF('Modell einstellen'!$B$2="Ja",creep_res80!P18,creep_res80!L18)</f>
        <v>0.4624481234972439</v>
      </c>
      <c r="AF18" s="2">
        <f>IF('Modell einstellen'!$B$2="Ja",creep_res125!P18,creep_res125!L18)</f>
        <v>0.9583911757902861</v>
      </c>
      <c r="AG18" s="2">
        <f>IF('Modell einstellen'!$B$2="Ja",creep_res160!P18,creep_res160!L18)</f>
        <v>0.96155254796303102</v>
      </c>
      <c r="AL18" s="2">
        <f t="shared" si="12"/>
        <v>1</v>
      </c>
      <c r="AM18" s="2">
        <f t="shared" si="13"/>
        <v>6573.3425313051102</v>
      </c>
      <c r="AN18" s="2">
        <f t="shared" si="14"/>
        <v>6516.7915822655277</v>
      </c>
      <c r="AO18" s="2">
        <f t="shared" si="15"/>
        <v>6230.3639399807598</v>
      </c>
      <c r="AP18" s="2">
        <f t="shared" si="16"/>
        <v>5669.1325406322439</v>
      </c>
      <c r="AQ18" s="2">
        <f t="shared" si="17"/>
        <v>4115.3629839514006</v>
      </c>
      <c r="AR18" s="2">
        <f t="shared" si="18"/>
        <v>179.98076982609024</v>
      </c>
      <c r="AS18" s="2">
        <f t="shared" si="19"/>
        <v>147.30961753431595</v>
      </c>
      <c r="AX18" s="2">
        <f t="shared" si="28"/>
        <v>1</v>
      </c>
      <c r="AY18" s="37">
        <f t="shared" si="20"/>
        <v>21420.104979077681</v>
      </c>
      <c r="AZ18" s="37">
        <f t="shared" si="21"/>
        <v>21318.022948522812</v>
      </c>
      <c r="BA18" s="37">
        <f t="shared" si="22"/>
        <v>21906.047441038187</v>
      </c>
      <c r="BB18" s="37">
        <f t="shared" si="23"/>
        <v>23852.304133942343</v>
      </c>
      <c r="BC18" s="37">
        <f t="shared" si="24"/>
        <v>53423.91587229132</v>
      </c>
      <c r="BD18" s="37">
        <f t="shared" si="25"/>
        <v>-256.31147227887442</v>
      </c>
      <c r="BE18" s="37">
        <f t="shared" si="26"/>
        <v>-208.6837543483359</v>
      </c>
    </row>
    <row r="19" spans="1:57" x14ac:dyDescent="0.25">
      <c r="A19" s="2">
        <f>'creep_res-40'!A19</f>
        <v>10</v>
      </c>
      <c r="B19" s="3">
        <f>'creep_res-40'!O19</f>
        <v>-5.5947377142857152E-4</v>
      </c>
      <c r="C19" s="2">
        <f>IF('Modell einstellen'!$B$2="Ja",creep_res0!O19,creep_res0!C19)</f>
        <v>-5.7295888571428581E-4</v>
      </c>
      <c r="D19" s="2">
        <f>IF('Modell einstellen'!$B$2="Ja",creep_res25!O19,creep_res25!C19)</f>
        <v>-5.9907651428571431E-4</v>
      </c>
      <c r="E19" s="2">
        <f>IF('Modell einstellen'!$B$2="Ja",creep_res50!O19,creep_res50!C19)</f>
        <v>-6.5908922857142857E-4</v>
      </c>
      <c r="F19" s="2">
        <f>IF('Modell einstellen'!$B$2="Ja",creep_res80!O19,creep_res80!C19)</f>
        <v>-9.2215834285714292E-4</v>
      </c>
      <c r="G19" s="2">
        <f>IF('Modell einstellen'!$B$2="Ja",creep_res125!O19,creep_res125!C19)</f>
        <v>-1.6304024571428571E-2</v>
      </c>
      <c r="H19" s="2">
        <f>IF('Modell einstellen'!$B$2="Ja",creep_res160!O19,creep_res160!C19)</f>
        <v>-1.8197246571428575E-2</v>
      </c>
      <c r="M19" s="9">
        <f t="shared" si="27"/>
        <v>-10</v>
      </c>
      <c r="N19" s="2">
        <f t="shared" si="4"/>
        <v>10</v>
      </c>
      <c r="O19" s="2">
        <f t="shared" si="5"/>
        <v>17873.938888083707</v>
      </c>
      <c r="P19" s="2">
        <f t="shared" si="6"/>
        <v>17453.259298934485</v>
      </c>
      <c r="Q19" s="2">
        <f t="shared" si="7"/>
        <v>16692.358591161119</v>
      </c>
      <c r="R19" s="2">
        <f t="shared" si="8"/>
        <v>15172.452479120213</v>
      </c>
      <c r="S19" s="2">
        <f t="shared" si="9"/>
        <v>10844.124631586357</v>
      </c>
      <c r="T19" s="2">
        <f t="shared" si="10"/>
        <v>613.34549369633294</v>
      </c>
      <c r="U19" s="2">
        <f t="shared" si="11"/>
        <v>549.5336869095878</v>
      </c>
      <c r="Z19" s="2">
        <v>10</v>
      </c>
      <c r="AA19" s="3">
        <f>IF('Modell einstellen'!$B$2="Ja",'creep_res-40'!P19,'creep_res-40'!L19)</f>
        <v>0.36104632914746104</v>
      </c>
      <c r="AB19" s="2">
        <f>IF('Modell einstellen'!$B$2="Ja",creep_res0!P19,creep_res0!L19)</f>
        <v>0.36549577902897135</v>
      </c>
      <c r="AC19" s="2">
        <f>IF('Modell einstellen'!$B$2="Ja",creep_res25!P19,creep_res25!L19)</f>
        <v>0.37582354135732149</v>
      </c>
      <c r="AD19" s="2">
        <f>IF('Modell einstellen'!$B$2="Ja",creep_res50!P19,creep_res50!L19)</f>
        <v>0.3987869017344845</v>
      </c>
      <c r="AE19" s="2">
        <f>IF('Modell einstellen'!$B$2="Ja",creep_res80!P19,creep_res80!L19)</f>
        <v>0.48039075532798176</v>
      </c>
      <c r="AF19" s="2">
        <f>IF('Modell einstellen'!$B$2="Ja",creep_res125!P19,creep_res125!L19)</f>
        <v>0.94640564294677398</v>
      </c>
      <c r="AG19" s="2">
        <f>IF('Modell einstellen'!$B$2="Ja",creep_res160!P19,creep_res160!L19)</f>
        <v>0.93407994864152366</v>
      </c>
      <c r="AL19" s="2">
        <f t="shared" si="12"/>
        <v>10</v>
      </c>
      <c r="AM19" s="2">
        <f t="shared" si="13"/>
        <v>6566.2492544539882</v>
      </c>
      <c r="AN19" s="2">
        <f t="shared" si="14"/>
        <v>6390.814079024768</v>
      </c>
      <c r="AO19" s="2">
        <f t="shared" si="15"/>
        <v>6066.3152248046426</v>
      </c>
      <c r="AP19" s="2">
        <f t="shared" si="16"/>
        <v>5423.4324257349326</v>
      </c>
      <c r="AQ19" s="2">
        <f t="shared" si="17"/>
        <v>3662.5886079597385</v>
      </c>
      <c r="AR19" s="2">
        <f t="shared" si="18"/>
        <v>157.55849658546879</v>
      </c>
      <c r="AS19" s="2">
        <f t="shared" si="19"/>
        <v>142.06591803394016</v>
      </c>
      <c r="AX19" s="2">
        <f t="shared" si="28"/>
        <v>10</v>
      </c>
      <c r="AY19" s="37">
        <f t="shared" si="20"/>
        <v>21438.72699730254</v>
      </c>
      <c r="AZ19" s="37">
        <f t="shared" si="21"/>
        <v>21626.656240393881</v>
      </c>
      <c r="BA19" s="37">
        <f t="shared" si="22"/>
        <v>22404.083637132706</v>
      </c>
      <c r="BB19" s="37">
        <f t="shared" si="23"/>
        <v>24984.336248848347</v>
      </c>
      <c r="BC19" s="37">
        <f t="shared" si="24"/>
        <v>92168.471325335064</v>
      </c>
      <c r="BD19" s="37">
        <f t="shared" si="25"/>
        <v>-228.99407873653888</v>
      </c>
      <c r="BE19" s="37">
        <f t="shared" si="26"/>
        <v>-210.99557375293912</v>
      </c>
    </row>
    <row r="20" spans="1:57" x14ac:dyDescent="0.25">
      <c r="A20" s="2">
        <f>'creep_res-40'!A20</f>
        <v>100</v>
      </c>
      <c r="B20" s="3">
        <f>'creep_res-40'!O20</f>
        <v>-5.6355397142857143E-4</v>
      </c>
      <c r="C20" s="2">
        <f>IF('Modell einstellen'!$B$2="Ja",creep_res0!O20,creep_res0!C20)</f>
        <v>-5.846362000000001E-4</v>
      </c>
      <c r="D20" s="2">
        <f>IF('Modell einstellen'!$B$2="Ja",creep_res25!O20,creep_res25!C20)</f>
        <v>-6.1825137142857149E-4</v>
      </c>
      <c r="E20" s="2">
        <f>IF('Modell einstellen'!$B$2="Ja",creep_res50!O20,creep_res50!C20)</f>
        <v>-7.0183665714285723E-4</v>
      </c>
      <c r="F20" s="2">
        <f>IF('Modell einstellen'!$B$2="Ja",creep_res80!O20,creep_res80!C20)</f>
        <v>-1.1030462571428572E-3</v>
      </c>
      <c r="G20" s="2">
        <f>IF('Modell einstellen'!$B$2="Ja",creep_res125!O20,creep_res125!C20)</f>
        <v>-1.8261522000000002E-2</v>
      </c>
      <c r="H20" s="2">
        <f>IF('Modell einstellen'!$B$2="Ja",creep_res160!O20,creep_res160!C20)</f>
        <v>-1.9020716E-2</v>
      </c>
      <c r="M20" s="9">
        <f t="shared" si="27"/>
        <v>-10</v>
      </c>
      <c r="N20" s="2">
        <f t="shared" si="4"/>
        <v>100</v>
      </c>
      <c r="O20" s="2">
        <f t="shared" si="5"/>
        <v>17744.529374268575</v>
      </c>
      <c r="P20" s="2">
        <f t="shared" si="6"/>
        <v>17104.654142182775</v>
      </c>
      <c r="Q20" s="2">
        <f t="shared" si="7"/>
        <v>16174.650736145324</v>
      </c>
      <c r="R20" s="2">
        <f t="shared" si="8"/>
        <v>14248.329576727314</v>
      </c>
      <c r="S20" s="2">
        <f t="shared" si="9"/>
        <v>9065.8029391281325</v>
      </c>
      <c r="T20" s="2">
        <f t="shared" si="10"/>
        <v>547.59948267181665</v>
      </c>
      <c r="U20" s="2">
        <f t="shared" si="11"/>
        <v>525.74256405489677</v>
      </c>
      <c r="Z20" s="2">
        <v>100</v>
      </c>
      <c r="AA20" s="3">
        <f>IF('Modell einstellen'!$B$2="Ja",'creep_res-40'!P20,'creep_res-40'!L20)</f>
        <v>0.36303105764137994</v>
      </c>
      <c r="AB20" s="2">
        <f>IF('Modell einstellen'!$B$2="Ja",creep_res0!P20,creep_res0!L20)</f>
        <v>0.37053284467454167</v>
      </c>
      <c r="AC20" s="2">
        <f>IF('Modell einstellen'!$B$2="Ja",creep_res25!P20,creep_res25!L20)</f>
        <v>0.3822597308778426</v>
      </c>
      <c r="AD20" s="2">
        <f>IF('Modell einstellen'!$B$2="Ja",creep_res50!P20,creep_res50!L20)</f>
        <v>0.40657534762972719</v>
      </c>
      <c r="AE20" s="2">
        <f>IF('Modell einstellen'!$B$2="Ja",creep_res80!P20,creep_res80!L20)</f>
        <v>0.49119802487754749</v>
      </c>
      <c r="AF20" s="2">
        <f>IF('Modell einstellen'!$B$2="Ja",creep_res125!P20,creep_res125!L20)</f>
        <v>0.91293941123073641</v>
      </c>
      <c r="AG20" s="2">
        <f>IF('Modell einstellen'!$B$2="Ja",creep_res160!P20,creep_res160!L20)</f>
        <v>0.87443271250747268</v>
      </c>
      <c r="AL20" s="2">
        <f t="shared" si="12"/>
        <v>100</v>
      </c>
      <c r="AM20" s="2">
        <f t="shared" si="13"/>
        <v>6509.2168204054406</v>
      </c>
      <c r="AN20" s="2">
        <f t="shared" si="14"/>
        <v>6240.1474757230608</v>
      </c>
      <c r="AO20" s="2">
        <f t="shared" si="15"/>
        <v>5850.8000974148181</v>
      </c>
      <c r="AP20" s="2">
        <f t="shared" si="16"/>
        <v>5064.9009314494624</v>
      </c>
      <c r="AQ20" s="2">
        <f t="shared" si="17"/>
        <v>3039.7716426269371</v>
      </c>
      <c r="AR20" s="2">
        <f t="shared" si="18"/>
        <v>143.13037816485394</v>
      </c>
      <c r="AS20" s="2">
        <f t="shared" si="19"/>
        <v>140.2404472955443</v>
      </c>
      <c r="AX20" s="2">
        <f t="shared" si="28"/>
        <v>100</v>
      </c>
      <c r="AY20" s="37">
        <f t="shared" si="20"/>
        <v>21591.91354953156</v>
      </c>
      <c r="AZ20" s="37">
        <f t="shared" si="21"/>
        <v>22019.296579100948</v>
      </c>
      <c r="BA20" s="37">
        <f t="shared" si="22"/>
        <v>22895.94836830191</v>
      </c>
      <c r="BB20" s="37">
        <f t="shared" si="23"/>
        <v>25418.575674324286</v>
      </c>
      <c r="BC20" s="37">
        <f t="shared" si="24"/>
        <v>171662.28437377722</v>
      </c>
      <c r="BD20" s="37">
        <f t="shared" si="25"/>
        <v>-221.01688035368008</v>
      </c>
      <c r="BE20" s="37">
        <f t="shared" si="26"/>
        <v>-234.01737548256389</v>
      </c>
    </row>
    <row r="21" spans="1:57" x14ac:dyDescent="0.25">
      <c r="A21" s="2">
        <f>'creep_res-40'!A21</f>
        <v>1000</v>
      </c>
      <c r="B21" s="3">
        <f>'creep_res-40'!O21</f>
        <v>-5.7474800000000003E-4</v>
      </c>
      <c r="C21" s="2">
        <f>IF('Modell einstellen'!$B$2="Ja",creep_res0!O21,creep_res0!C21)</f>
        <v>-6.0134048571428575E-4</v>
      </c>
      <c r="D21" s="2">
        <f>IF('Modell einstellen'!$B$2="Ja",creep_res25!O21,creep_res25!C21)</f>
        <v>-6.5297140000000005E-4</v>
      </c>
      <c r="E21" s="2">
        <f>IF('Modell einstellen'!$B$2="Ja",creep_res50!O21,creep_res50!C21)</f>
        <v>-7.7553539999999997E-4</v>
      </c>
      <c r="F21" s="2">
        <f>IF('Modell einstellen'!$B$2="Ja",creep_res80!O21,creep_res80!C21)</f>
        <v>-1.4169130571428574E-3</v>
      </c>
      <c r="G21" s="2">
        <f>IF('Modell einstellen'!$B$2="Ja",creep_res125!O21,creep_res125!C21)</f>
        <v>-1.960208028571429E-2</v>
      </c>
      <c r="H21" s="2">
        <f>IF('Modell einstellen'!$B$2="Ja",creep_res160!O21,creep_res160!C21)</f>
        <v>-2.0558336000000003E-2</v>
      </c>
      <c r="M21" s="9">
        <f t="shared" si="27"/>
        <v>-10</v>
      </c>
      <c r="N21" s="2">
        <f t="shared" si="4"/>
        <v>1000</v>
      </c>
      <c r="O21" s="2">
        <f t="shared" si="5"/>
        <v>17398.92961784991</v>
      </c>
      <c r="P21" s="2">
        <f t="shared" si="6"/>
        <v>16629.513956842227</v>
      </c>
      <c r="Q21" s="2">
        <f t="shared" si="7"/>
        <v>15314.606428397934</v>
      </c>
      <c r="R21" s="2">
        <f t="shared" si="8"/>
        <v>12894.317912502769</v>
      </c>
      <c r="S21" s="2">
        <f t="shared" si="9"/>
        <v>7057.5960533277594</v>
      </c>
      <c r="T21" s="2">
        <f t="shared" si="10"/>
        <v>510.14993583552734</v>
      </c>
      <c r="U21" s="2">
        <f t="shared" si="11"/>
        <v>486.42069085747011</v>
      </c>
      <c r="Z21" s="2">
        <v>1000</v>
      </c>
      <c r="AA21" s="3">
        <f>IF('Modell einstellen'!$B$2="Ja",'creep_res-40'!P21,'creep_res-40'!L21)</f>
        <v>0.36808177298075478</v>
      </c>
      <c r="AB21" s="2">
        <f>IF('Modell einstellen'!$B$2="Ja",creep_res0!P21,creep_res0!L21)</f>
        <v>0.37560725877333956</v>
      </c>
      <c r="AC21" s="2">
        <f>IF('Modell einstellen'!$B$2="Ja",creep_res25!P21,creep_res25!L21)</f>
        <v>0.38615340361220812</v>
      </c>
      <c r="AD21" s="2">
        <f>IF('Modell einstellen'!$B$2="Ja",creep_res50!P21,creep_res50!L21)</f>
        <v>0.40761974612266944</v>
      </c>
      <c r="AE21" s="2">
        <f>IF('Modell einstellen'!$B$2="Ja",creep_res80!P21,creep_res80!L21)</f>
        <v>0.49746286479478913</v>
      </c>
      <c r="AF21" s="2">
        <f>IF('Modell einstellen'!$B$2="Ja",creep_res125!P21,creep_res125!L21)</f>
        <v>0.83455311397634313</v>
      </c>
      <c r="AG21" s="2">
        <f>IF('Modell einstellen'!$B$2="Ja",creep_res160!P21,creep_res160!L21)</f>
        <v>0.77355324032895589</v>
      </c>
      <c r="AL21" s="2">
        <f t="shared" si="12"/>
        <v>1000</v>
      </c>
      <c r="AM21" s="2">
        <f t="shared" si="13"/>
        <v>6358.877795711509</v>
      </c>
      <c r="AN21" s="2">
        <f t="shared" si="14"/>
        <v>6044.4265071962272</v>
      </c>
      <c r="AO21" s="2">
        <f t="shared" si="15"/>
        <v>5524.1383776461034</v>
      </c>
      <c r="AP21" s="2">
        <f t="shared" si="16"/>
        <v>4580.1850776889687</v>
      </c>
      <c r="AQ21" s="2">
        <f t="shared" si="17"/>
        <v>2356.5178874385392</v>
      </c>
      <c r="AR21" s="2">
        <f t="shared" si="18"/>
        <v>139.03929298884987</v>
      </c>
      <c r="AS21" s="2">
        <f t="shared" si="19"/>
        <v>137.13168564571805</v>
      </c>
      <c r="AX21" s="2">
        <f t="shared" si="28"/>
        <v>1000</v>
      </c>
      <c r="AY21" s="37">
        <f t="shared" si="20"/>
        <v>21981.9631335095</v>
      </c>
      <c r="AZ21" s="37">
        <f t="shared" si="21"/>
        <v>22280.927585826728</v>
      </c>
      <c r="BA21" s="37">
        <f t="shared" si="22"/>
        <v>22419.944782878854</v>
      </c>
      <c r="BB21" s="37">
        <f t="shared" si="23"/>
        <v>23263.120582790365</v>
      </c>
      <c r="BC21" s="37">
        <f t="shared" si="24"/>
        <v>463619.75761957688</v>
      </c>
      <c r="BD21" s="37">
        <f t="shared" si="25"/>
        <v>-254.14496459277763</v>
      </c>
      <c r="BE21" s="37">
        <f t="shared" si="26"/>
        <v>-296.35954977328169</v>
      </c>
    </row>
    <row r="22" spans="1:57" x14ac:dyDescent="0.25">
      <c r="A22" s="2">
        <f>'creep_res-40'!A22</f>
        <v>10000</v>
      </c>
      <c r="B22" s="3">
        <f>'creep_res-40'!O22</f>
        <v>-5.8737985714285719E-4</v>
      </c>
      <c r="C22" s="2">
        <f>IF('Modell einstellen'!$B$2="Ja",creep_res0!O22,creep_res0!C22)</f>
        <v>-6.3636051428571437E-4</v>
      </c>
      <c r="D22" s="2">
        <f>IF('Modell einstellen'!$B$2="Ja",creep_res25!O22,creep_res25!C22)</f>
        <v>-7.1575365714285713E-4</v>
      </c>
      <c r="E22" s="2">
        <f>IF('Modell einstellen'!$B$2="Ja",creep_res50!O22,creep_res50!C22)</f>
        <v>-8.7162931428571438E-4</v>
      </c>
      <c r="F22" s="2">
        <f>IF('Modell einstellen'!$B$2="Ja",creep_res80!O22,creep_res80!C22)</f>
        <v>-1.989220685714286E-3</v>
      </c>
      <c r="G22" s="2">
        <f>IF('Modell einstellen'!$B$2="Ja",creep_res125!O22,creep_res125!C22)</f>
        <v>-2.1330320857142857E-2</v>
      </c>
      <c r="H22" s="2">
        <f>IF('Modell einstellen'!$B$2="Ja",creep_res160!O22,creep_res160!C22)</f>
        <v>-2.2364219142857147E-2</v>
      </c>
      <c r="M22" s="9">
        <f t="shared" si="27"/>
        <v>-10</v>
      </c>
      <c r="N22" s="2">
        <f t="shared" si="4"/>
        <v>10000</v>
      </c>
      <c r="O22" s="2">
        <f t="shared" si="5"/>
        <v>17024.758132909366</v>
      </c>
      <c r="P22" s="2">
        <f t="shared" si="6"/>
        <v>15714.36281087387</v>
      </c>
      <c r="Q22" s="2">
        <f t="shared" si="7"/>
        <v>13971.287327986509</v>
      </c>
      <c r="R22" s="2">
        <f t="shared" si="8"/>
        <v>11472.766961945093</v>
      </c>
      <c r="S22" s="2">
        <f t="shared" si="9"/>
        <v>5027.0943147814778</v>
      </c>
      <c r="T22" s="2">
        <f t="shared" si="10"/>
        <v>468.8162014520899</v>
      </c>
      <c r="U22" s="2">
        <f t="shared" si="11"/>
        <v>447.1428193456008</v>
      </c>
      <c r="Z22" s="2">
        <v>10000</v>
      </c>
      <c r="AA22" s="3">
        <f>IF('Modell einstellen'!$B$2="Ja",'creep_res-40'!P22,'creep_res-40'!L22)</f>
        <v>0.37337068078846036</v>
      </c>
      <c r="AB22" s="2">
        <f>IF('Modell einstellen'!$B$2="Ja",creep_res0!P22,creep_res0!L22)</f>
        <v>0.378942421586901</v>
      </c>
      <c r="AC22" s="2">
        <f>IF('Modell einstellen'!$B$2="Ja",creep_res25!P22,creep_res25!L22)</f>
        <v>0.38663081927070042</v>
      </c>
      <c r="AD22" s="2">
        <f>IF('Modell einstellen'!$B$2="Ja",creep_res50!P22,creep_res50!L22)</f>
        <v>0.40395769813812726</v>
      </c>
      <c r="AE22" s="2">
        <f>IF('Modell einstellen'!$B$2="Ja",creep_res80!P22,creep_res80!L22)</f>
        <v>0.50999228355385806</v>
      </c>
      <c r="AF22" s="2">
        <f>IF('Modell einstellen'!$B$2="Ja",creep_res125!P22,creep_res125!L22)</f>
        <v>0.7285927639183728</v>
      </c>
      <c r="AG22" s="2">
        <f>IF('Modell einstellen'!$B$2="Ja",creep_res160!P22,creep_res160!L22)</f>
        <v>0.67354571620762527</v>
      </c>
      <c r="AL22" s="2">
        <f t="shared" si="12"/>
        <v>10000</v>
      </c>
      <c r="AM22" s="2">
        <f t="shared" si="13"/>
        <v>6198.1657141301985</v>
      </c>
      <c r="AN22" s="2">
        <f t="shared" si="14"/>
        <v>5697.9764219559002</v>
      </c>
      <c r="AO22" s="2">
        <f t="shared" si="15"/>
        <v>5037.8540321693981</v>
      </c>
      <c r="AP22" s="2">
        <f t="shared" si="16"/>
        <v>4085.8663253030418</v>
      </c>
      <c r="AQ22" s="2">
        <f t="shared" si="17"/>
        <v>1664.6092730189016</v>
      </c>
      <c r="AR22" s="2">
        <f t="shared" si="18"/>
        <v>135.60631839895524</v>
      </c>
      <c r="AS22" s="2">
        <f t="shared" si="19"/>
        <v>133.5914564553571</v>
      </c>
      <c r="AX22" s="2">
        <f t="shared" si="28"/>
        <v>10000</v>
      </c>
      <c r="AY22" s="37">
        <f t="shared" si="20"/>
        <v>22407.604388033797</v>
      </c>
      <c r="AZ22" s="37">
        <f t="shared" si="21"/>
        <v>21634.832802797777</v>
      </c>
      <c r="BA22" s="37">
        <f t="shared" si="22"/>
        <v>20539.514116784583</v>
      </c>
      <c r="BB22" s="37">
        <f t="shared" si="23"/>
        <v>19909.225309289814</v>
      </c>
      <c r="BC22" s="37">
        <f t="shared" si="24"/>
        <v>-83849.607344267439</v>
      </c>
      <c r="BD22" s="37">
        <f t="shared" si="25"/>
        <v>-341.81324131173977</v>
      </c>
      <c r="BE22" s="37">
        <f t="shared" si="26"/>
        <v>-429.41885776718681</v>
      </c>
    </row>
    <row r="23" spans="1:57" x14ac:dyDescent="0.25">
      <c r="A23" s="2">
        <f>'creep_res-40'!A23</f>
        <v>100000</v>
      </c>
      <c r="B23" s="3">
        <f>'creep_res-40'!O23</f>
        <v>-6.0804631428571431E-4</v>
      </c>
      <c r="C23" s="2">
        <f>IF('Modell einstellen'!$B$2="Ja",creep_res0!O23,creep_res0!C23)</f>
        <v>-6.9439380000000002E-4</v>
      </c>
      <c r="D23" s="2">
        <f>IF('Modell einstellen'!$B$2="Ja",creep_res25!O23,creep_res25!C23)</f>
        <v>-7.9640562857142866E-4</v>
      </c>
      <c r="E23" s="2">
        <f>IF('Modell einstellen'!$B$2="Ja",creep_res50!O23,creep_res50!C23)</f>
        <v>-9.803556571428573E-4</v>
      </c>
      <c r="F23" s="2">
        <f>IF('Modell einstellen'!$B$2="Ja",creep_res80!O23,creep_res80!C23)</f>
        <v>-3.1422751428571431E-3</v>
      </c>
      <c r="G23" s="2">
        <f>IF('Modell einstellen'!$B$2="Ja",creep_res125!O23,creep_res125!C23)</f>
        <v>-2.3068337428571433E-2</v>
      </c>
      <c r="H23" s="2">
        <f>IF('Modell einstellen'!$B$2="Ja",creep_res160!O23,creep_res160!C23)</f>
        <v>-2.3917288000000002E-2</v>
      </c>
      <c r="M23" s="9">
        <f t="shared" si="27"/>
        <v>-10</v>
      </c>
      <c r="N23" s="2">
        <f t="shared" si="4"/>
        <v>100000</v>
      </c>
      <c r="O23" s="2">
        <f t="shared" si="5"/>
        <v>16446.115641285032</v>
      </c>
      <c r="P23" s="2">
        <f t="shared" si="6"/>
        <v>14401.050239791886</v>
      </c>
      <c r="Q23" s="2">
        <f t="shared" si="7"/>
        <v>12556.415526517228</v>
      </c>
      <c r="R23" s="2">
        <f t="shared" si="8"/>
        <v>10200.379757223965</v>
      </c>
      <c r="S23" s="2">
        <f t="shared" si="9"/>
        <v>3182.4075058263061</v>
      </c>
      <c r="T23" s="2">
        <f t="shared" si="10"/>
        <v>433.49461273331463</v>
      </c>
      <c r="U23" s="2">
        <f t="shared" si="11"/>
        <v>418.10760484215433</v>
      </c>
      <c r="Z23" s="2">
        <v>100000</v>
      </c>
      <c r="AA23" s="3">
        <f>IF('Modell einstellen'!$B$2="Ja",'creep_res-40'!P23,'creep_res-40'!L23)</f>
        <v>0.3785011301535724</v>
      </c>
      <c r="AB23" s="2">
        <f>IF('Modell einstellen'!$B$2="Ja",creep_res0!P23,creep_res0!L23)</f>
        <v>0.37883927370483844</v>
      </c>
      <c r="AC23" s="2">
        <f>IF('Modell einstellen'!$B$2="Ja",creep_res25!P23,creep_res25!L23)</f>
        <v>0.38556651515378187</v>
      </c>
      <c r="AD23" s="2">
        <f>IF('Modell einstellen'!$B$2="Ja",creep_res50!P23,creep_res50!L23)</f>
        <v>0.40049611149866071</v>
      </c>
      <c r="AE23" s="2">
        <f>IF('Modell einstellen'!$B$2="Ja",creep_res80!P23,creep_res80!L23)</f>
        <v>0.53011916843146323</v>
      </c>
      <c r="AF23" s="2">
        <f>IF('Modell einstellen'!$B$2="Ja",creep_res125!P23,creep_res125!L23)</f>
        <v>0.63917667185650529</v>
      </c>
      <c r="AG23" s="2">
        <f>IF('Modell einstellen'!$B$2="Ja",creep_res160!P23,creep_res160!L23)</f>
        <v>0.60064505880193675</v>
      </c>
      <c r="AL23" s="2">
        <f t="shared" si="12"/>
        <v>100000</v>
      </c>
      <c r="AM23" s="2">
        <f t="shared" si="13"/>
        <v>5965.2165970487267</v>
      </c>
      <c r="AN23" s="2">
        <f t="shared" si="14"/>
        <v>5222.1642197271249</v>
      </c>
      <c r="AO23" s="2">
        <f t="shared" si="15"/>
        <v>4531.1485912762591</v>
      </c>
      <c r="AP23" s="2">
        <f t="shared" si="16"/>
        <v>3641.7022773125063</v>
      </c>
      <c r="AQ23" s="2">
        <f t="shared" si="17"/>
        <v>1039.9214556238178</v>
      </c>
      <c r="AR23" s="2">
        <f t="shared" si="18"/>
        <v>132.22937471479068</v>
      </c>
      <c r="AS23" s="2">
        <f t="shared" si="19"/>
        <v>130.60597118111332</v>
      </c>
      <c r="AX23" s="2">
        <f t="shared" si="28"/>
        <v>100000</v>
      </c>
      <c r="AY23" s="37">
        <f t="shared" si="20"/>
        <v>22560.039258077912</v>
      </c>
      <c r="AZ23" s="37">
        <f t="shared" si="21"/>
        <v>19809.843613170575</v>
      </c>
      <c r="BA23" s="37">
        <f t="shared" si="22"/>
        <v>18287.793331633096</v>
      </c>
      <c r="BB23" s="37">
        <f t="shared" si="23"/>
        <v>17085.395540575068</v>
      </c>
      <c r="BC23" s="37">
        <f t="shared" si="24"/>
        <v>-17610.089474348857</v>
      </c>
      <c r="BD23" s="37">
        <f t="shared" si="25"/>
        <v>-519.11790358595283</v>
      </c>
      <c r="BE23" s="37">
        <f t="shared" si="26"/>
        <v>-692.37975154011986</v>
      </c>
    </row>
    <row r="24" spans="1:57" x14ac:dyDescent="0.25">
      <c r="A24" s="2">
        <f>'creep_res-40'!A24</f>
        <v>1000000</v>
      </c>
      <c r="B24" s="3">
        <f>'creep_res-40'!O24</f>
        <v>-6.5085985714285718E-4</v>
      </c>
      <c r="C24" s="2">
        <f>IF('Modell einstellen'!$B$2="Ja",creep_res0!O24,creep_res0!C24)</f>
        <v>-7.6528542857142866E-4</v>
      </c>
      <c r="D24" s="2">
        <f>IF('Modell einstellen'!$B$2="Ja",creep_res25!O24,creep_res25!C24)</f>
        <v>-8.8083740000000001E-4</v>
      </c>
      <c r="E24" s="2">
        <f>IF('Modell einstellen'!$B$2="Ja",creep_res50!O24,creep_res50!C24)</f>
        <v>-1.1055107142857144E-3</v>
      </c>
      <c r="F24" s="2">
        <f>IF('Modell einstellen'!$B$2="Ja",creep_res80!O24,creep_res80!C24)</f>
        <v>-5.4349865714285722E-3</v>
      </c>
      <c r="G24" s="2">
        <f>IF('Modell einstellen'!$B$2="Ja",creep_res125!O24,creep_res125!C24)</f>
        <v>-2.4452565714285716E-2</v>
      </c>
      <c r="H24" s="2">
        <f>IF('Modell einstellen'!$B$2="Ja",creep_res160!O24,creep_res160!C24)</f>
        <v>-2.5069089428571428E-2</v>
      </c>
      <c r="M24" s="9">
        <f t="shared" si="27"/>
        <v>-10</v>
      </c>
      <c r="N24" s="2">
        <f t="shared" si="4"/>
        <v>1000000</v>
      </c>
      <c r="O24" s="2">
        <f t="shared" si="5"/>
        <v>15364.29062301979</v>
      </c>
      <c r="P24" s="2">
        <f t="shared" si="6"/>
        <v>13067.019998887436</v>
      </c>
      <c r="Q24" s="2">
        <f t="shared" si="7"/>
        <v>11352.833110855647</v>
      </c>
      <c r="R24" s="2">
        <f t="shared" si="8"/>
        <v>9045.5930193866425</v>
      </c>
      <c r="S24" s="2">
        <f t="shared" si="9"/>
        <v>1839.9309489685686</v>
      </c>
      <c r="T24" s="2">
        <f t="shared" si="10"/>
        <v>408.9550404176108</v>
      </c>
      <c r="U24" s="2">
        <f t="shared" si="11"/>
        <v>398.89761566700247</v>
      </c>
      <c r="Z24" s="2">
        <v>1000000</v>
      </c>
      <c r="AA24" s="3">
        <f>IF('Modell einstellen'!$B$2="Ja",'creep_res-40'!P24,'creep_res-40'!L24)</f>
        <v>0.3809584420082533</v>
      </c>
      <c r="AB24" s="2">
        <f>IF('Modell einstellen'!$B$2="Ja",creep_res0!P24,creep_res0!L24)</f>
        <v>0.37802082434975703</v>
      </c>
      <c r="AC24" s="2">
        <f>IF('Modell einstellen'!$B$2="Ja",creep_res25!P24,creep_res25!L24)</f>
        <v>0.38438805099394219</v>
      </c>
      <c r="AD24" s="2">
        <f>IF('Modell einstellen'!$B$2="Ja",creep_res50!P24,creep_res50!L24)</f>
        <v>0.39952771666618203</v>
      </c>
      <c r="AE24" s="2">
        <f>IF('Modell einstellen'!$B$2="Ja",creep_res80!P24,creep_res80!L24)</f>
        <v>0.54383764281084046</v>
      </c>
      <c r="AF24" s="2">
        <f>IF('Modell einstellen'!$B$2="Ja",creep_res125!P24,creep_res125!L24)</f>
        <v>0.57790711532695727</v>
      </c>
      <c r="AG24" s="2">
        <f>IF('Modell einstellen'!$B$2="Ja",creep_res160!P24,creep_res160!L24)</f>
        <v>0.55305926947281125</v>
      </c>
      <c r="AL24" s="2">
        <f t="shared" si="12"/>
        <v>1000000</v>
      </c>
      <c r="AM24" s="2">
        <f t="shared" si="13"/>
        <v>5562.9083959530062</v>
      </c>
      <c r="AN24" s="2">
        <f t="shared" si="14"/>
        <v>4741.2273341563377</v>
      </c>
      <c r="AO24" s="2">
        <f t="shared" si="15"/>
        <v>4100.3073895013431</v>
      </c>
      <c r="AP24" s="2">
        <f t="shared" si="16"/>
        <v>3231.6591203117327</v>
      </c>
      <c r="AQ24" s="2">
        <f t="shared" si="17"/>
        <v>595.89522173414423</v>
      </c>
      <c r="AR24" s="2">
        <f t="shared" si="18"/>
        <v>129.58780540541244</v>
      </c>
      <c r="AS24" s="2">
        <f t="shared" si="19"/>
        <v>128.42317853149575</v>
      </c>
      <c r="AX24" s="2">
        <f t="shared" si="28"/>
        <v>1000000</v>
      </c>
      <c r="AY24" s="37">
        <f t="shared" si="20"/>
        <v>21511.102064156192</v>
      </c>
      <c r="AZ24" s="37">
        <f t="shared" si="21"/>
        <v>17854.167769799165</v>
      </c>
      <c r="BA24" s="37">
        <f t="shared" si="22"/>
        <v>16366.291443716864</v>
      </c>
      <c r="BB24" s="37">
        <f t="shared" si="23"/>
        <v>15005.121676746025</v>
      </c>
      <c r="BC24" s="37">
        <f t="shared" si="24"/>
        <v>-6995.2474288968015</v>
      </c>
      <c r="BD24" s="37">
        <f t="shared" si="25"/>
        <v>-874.87738593436063</v>
      </c>
      <c r="BE24" s="37">
        <f t="shared" si="26"/>
        <v>-1252.9938049480259</v>
      </c>
    </row>
    <row r="25" spans="1:57" x14ac:dyDescent="0.25">
      <c r="A25" s="2">
        <f>'creep_res-40'!A25</f>
        <v>10000000</v>
      </c>
      <c r="B25" s="3">
        <f>'creep_res-40'!O25</f>
        <v>-7.1475934285714299E-4</v>
      </c>
      <c r="C25" s="2">
        <f>IF('Modell einstellen'!$B$2="Ja",creep_res0!O25,creep_res0!C25)</f>
        <v>-8.4155414285714278E-4</v>
      </c>
      <c r="D25" s="2">
        <f>IF('Modell einstellen'!$B$2="Ja",creep_res25!O25,creep_res25!C25)</f>
        <v>-9.6669668571428577E-4</v>
      </c>
      <c r="E25" s="2">
        <f>IF('Modell einstellen'!$B$2="Ja",creep_res50!O25,creep_res50!C25)</f>
        <v>-1.2797674857142859E-3</v>
      </c>
      <c r="F25" s="2">
        <f>IF('Modell einstellen'!$B$2="Ja",creep_res80!O25,creep_res80!C25)</f>
        <v>-9.7543965714285731E-3</v>
      </c>
      <c r="G25" s="2">
        <f>IF('Modell einstellen'!$B$2="Ja",creep_res125!O25,creep_res125!C25)</f>
        <v>-2.5445066857142859E-2</v>
      </c>
      <c r="H25" s="2">
        <f>IF('Modell einstellen'!$B$2="Ja",creep_res160!O25,creep_res160!C25)</f>
        <v>-2.5863646571428575E-2</v>
      </c>
      <c r="M25" s="9">
        <f t="shared" si="27"/>
        <v>-10</v>
      </c>
      <c r="N25" s="2">
        <f t="shared" si="4"/>
        <v>10000000</v>
      </c>
      <c r="O25" s="2">
        <f t="shared" si="5"/>
        <v>13990.723031372356</v>
      </c>
      <c r="P25" s="2">
        <f t="shared" si="6"/>
        <v>11882.776746899743</v>
      </c>
      <c r="Q25" s="2">
        <f t="shared" si="7"/>
        <v>10344.506345970418</v>
      </c>
      <c r="R25" s="2">
        <f t="shared" si="8"/>
        <v>7813.9194124146916</v>
      </c>
      <c r="S25" s="2">
        <f t="shared" si="9"/>
        <v>1025.1787413781001</v>
      </c>
      <c r="T25" s="2">
        <f t="shared" si="10"/>
        <v>393.00348692905209</v>
      </c>
      <c r="U25" s="2">
        <f t="shared" si="11"/>
        <v>386.6430811441316</v>
      </c>
      <c r="Z25" s="2">
        <v>10000000</v>
      </c>
      <c r="AA25" s="3">
        <f>IF('Modell einstellen'!$B$2="Ja",'creep_res-40'!P25,'creep_res-40'!L25)</f>
        <v>0.38013288148894225</v>
      </c>
      <c r="AB25" s="2">
        <f>IF('Modell einstellen'!$B$2="Ja",creep_res0!P25,creep_res0!L25)</f>
        <v>0.37813806734105387</v>
      </c>
      <c r="AC25" s="2">
        <f>IF('Modell einstellen'!$B$2="Ja",creep_res25!P25,creep_res25!L25)</f>
        <v>0.38410195379942486</v>
      </c>
      <c r="AD25" s="2">
        <f>IF('Modell einstellen'!$B$2="Ja",creep_res50!P25,creep_res50!L25)</f>
        <v>0.40249532381574127</v>
      </c>
      <c r="AE25" s="2">
        <f>IF('Modell einstellen'!$B$2="Ja",creep_res80!P25,creep_res80!L25)</f>
        <v>0.54526102632459827</v>
      </c>
      <c r="AF25" s="2">
        <f>IF('Modell einstellen'!$B$2="Ja",creep_res125!P25,creep_res125!L25)</f>
        <v>0.5386129069935689</v>
      </c>
      <c r="AG25" s="2">
        <f>IF('Modell einstellen'!$B$2="Ja",creep_res160!P25,creep_res160!L25)</f>
        <v>0.52310775136194199</v>
      </c>
      <c r="AL25" s="2">
        <f t="shared" si="12"/>
        <v>10000000</v>
      </c>
      <c r="AM25" s="2">
        <f t="shared" si="13"/>
        <v>5068.6144859756578</v>
      </c>
      <c r="AN25" s="2">
        <f t="shared" si="14"/>
        <v>4311.1706397553053</v>
      </c>
      <c r="AO25" s="2">
        <f t="shared" si="15"/>
        <v>3736.9018653482362</v>
      </c>
      <c r="AP25" s="2">
        <f t="shared" si="16"/>
        <v>2785.7203085552951</v>
      </c>
      <c r="AQ25" s="2">
        <f t="shared" si="17"/>
        <v>331.71701217899948</v>
      </c>
      <c r="AR25" s="2">
        <f t="shared" si="18"/>
        <v>127.7135675720335</v>
      </c>
      <c r="AS25" s="2">
        <f t="shared" si="19"/>
        <v>126.92571513683149</v>
      </c>
      <c r="AX25" s="2">
        <f t="shared" si="28"/>
        <v>10000000</v>
      </c>
      <c r="AY25" s="37">
        <f t="shared" si="20"/>
        <v>19453.10107442255</v>
      </c>
      <c r="AZ25" s="37">
        <f t="shared" si="21"/>
        <v>16251.693600598475</v>
      </c>
      <c r="BA25" s="37">
        <f t="shared" si="22"/>
        <v>14875.871056629718</v>
      </c>
      <c r="BB25" s="37">
        <f t="shared" si="23"/>
        <v>13356.486612068389</v>
      </c>
      <c r="BC25" s="37">
        <f t="shared" si="24"/>
        <v>-3775.0607407273196</v>
      </c>
      <c r="BD25" s="37">
        <f t="shared" si="25"/>
        <v>-1696.3390289612576</v>
      </c>
      <c r="BE25" s="37">
        <f t="shared" si="26"/>
        <v>-2788.6968539117224</v>
      </c>
    </row>
    <row r="26" spans="1:57" x14ac:dyDescent="0.25">
      <c r="A26" s="2">
        <f>'creep_res-40'!A26</f>
        <v>100000000</v>
      </c>
      <c r="B26" s="3">
        <f>'creep_res-40'!O26</f>
        <v>-7.9079345714285724E-4</v>
      </c>
      <c r="C26" s="2">
        <f>IF('Modell einstellen'!$B$2="Ja",creep_res0!O26,creep_res0!C26)</f>
        <v>-9.1760622857142856E-4</v>
      </c>
      <c r="D26" s="2">
        <f>IF('Modell einstellen'!$B$2="Ja",creep_res25!O26,creep_res25!C26)</f>
        <v>-1.0590879428571428E-3</v>
      </c>
      <c r="E26" s="2">
        <f>IF('Modell einstellen'!$B$2="Ja",creep_res50!O26,creep_res50!C26)</f>
        <v>-1.5468386571428571E-3</v>
      </c>
      <c r="F26" s="2">
        <f>IF('Modell einstellen'!$B$2="Ja",creep_res80!O26,creep_res80!C26)</f>
        <v>-1.6865644857142859E-2</v>
      </c>
      <c r="G26" s="2">
        <f>IF('Modell einstellen'!$B$2="Ja",creep_res125!O26,creep_res125!C26)</f>
        <v>-2.6120219142857143E-2</v>
      </c>
      <c r="H26" s="2">
        <f>IF('Modell einstellen'!$B$2="Ja",creep_res160!O26,creep_res160!C26)</f>
        <v>-2.6408451142857142E-2</v>
      </c>
      <c r="M26" s="9">
        <f t="shared" si="27"/>
        <v>-10</v>
      </c>
      <c r="N26" s="2">
        <f t="shared" si="4"/>
        <v>100000000</v>
      </c>
      <c r="O26" s="2">
        <f t="shared" si="5"/>
        <v>12645.526982646108</v>
      </c>
      <c r="P26" s="2">
        <f t="shared" si="6"/>
        <v>10897.920795032591</v>
      </c>
      <c r="Q26" s="2">
        <f t="shared" si="7"/>
        <v>9442.0865306261639</v>
      </c>
      <c r="R26" s="2">
        <f t="shared" si="8"/>
        <v>6464.7983510257318</v>
      </c>
      <c r="S26" s="2">
        <f t="shared" si="9"/>
        <v>592.92129561028003</v>
      </c>
      <c r="T26" s="2">
        <f t="shared" si="10"/>
        <v>382.84518002348415</v>
      </c>
      <c r="U26" s="2">
        <f t="shared" si="11"/>
        <v>378.66666037719375</v>
      </c>
      <c r="Z26" s="2">
        <v>100000000</v>
      </c>
      <c r="AA26" s="3">
        <f>IF('Modell einstellen'!$B$2="Ja",'creep_res-40'!P26,'creep_res-40'!L26)</f>
        <v>0.37957977179592961</v>
      </c>
      <c r="AB26" s="2">
        <f>IF('Modell einstellen'!$B$2="Ja",creep_res0!P26,creep_res0!L26)</f>
        <v>0.37869505680899296</v>
      </c>
      <c r="AC26" s="2">
        <f>IF('Modell einstellen'!$B$2="Ja",creep_res25!P26,creep_res25!L26)</f>
        <v>0.38495742886912027</v>
      </c>
      <c r="AD26" s="2">
        <f>IF('Modell einstellen'!$B$2="Ja",creep_res50!P26,creep_res50!L26)</f>
        <v>0.40835872198177181</v>
      </c>
      <c r="AE26" s="2">
        <f>IF('Modell einstellen'!$B$2="Ja",creep_res80!P26,creep_res80!L26)</f>
        <v>0.53824100953015952</v>
      </c>
      <c r="AF26" s="2">
        <f>IF('Modell einstellen'!$B$2="Ja",creep_res125!P26,creep_res125!L26)</f>
        <v>0.51397926906476299</v>
      </c>
      <c r="AG26" s="2">
        <f>IF('Modell einstellen'!$B$2="Ja",creep_res160!P26,creep_res160!L26)</f>
        <v>0.50409092526538513</v>
      </c>
      <c r="AL26" s="2">
        <f t="shared" si="12"/>
        <v>100000000</v>
      </c>
      <c r="AM26" s="2">
        <f t="shared" si="13"/>
        <v>4583.1082918040429</v>
      </c>
      <c r="AN26" s="2">
        <f t="shared" si="14"/>
        <v>3952.2593271118144</v>
      </c>
      <c r="AO26" s="2">
        <f t="shared" si="15"/>
        <v>3408.8002756648089</v>
      </c>
      <c r="AP26" s="2">
        <f t="shared" si="16"/>
        <v>2295.1533050928924</v>
      </c>
      <c r="AQ26" s="2">
        <f t="shared" si="17"/>
        <v>192.72704730170403</v>
      </c>
      <c r="AR26" s="2">
        <f t="shared" si="18"/>
        <v>126.4367312836393</v>
      </c>
      <c r="AS26" s="2">
        <f t="shared" si="19"/>
        <v>125.87891264299097</v>
      </c>
      <c r="AX26" s="2">
        <f t="shared" si="28"/>
        <v>100000000</v>
      </c>
      <c r="AY26" s="37">
        <f t="shared" si="20"/>
        <v>17501.941840447187</v>
      </c>
      <c r="AZ26" s="37">
        <f t="shared" si="21"/>
        <v>14973.174915431517</v>
      </c>
      <c r="BA26" s="37">
        <f t="shared" si="22"/>
        <v>13679.119589976604</v>
      </c>
      <c r="BB26" s="37">
        <f t="shared" si="23"/>
        <v>11757.435242482163</v>
      </c>
      <c r="BC26" s="37">
        <f t="shared" si="24"/>
        <v>-2584.1424467915831</v>
      </c>
      <c r="BD26" s="37">
        <f t="shared" si="25"/>
        <v>-4564.4396504786673</v>
      </c>
      <c r="BE26" s="37">
        <f t="shared" si="26"/>
        <v>-15427.099242529001</v>
      </c>
    </row>
    <row r="27" spans="1:57" x14ac:dyDescent="0.25">
      <c r="A27" s="2">
        <f>'creep_res-40'!A27</f>
        <v>1000000000</v>
      </c>
      <c r="B27" s="3">
        <f>'creep_res-40'!O27</f>
        <v>-8.6991351428571432E-4</v>
      </c>
      <c r="C27" s="2">
        <f>IF('Modell einstellen'!$B$2="Ja",creep_res0!O27,creep_res0!C27)</f>
        <v>-9.9569642857142869E-4</v>
      </c>
      <c r="D27" s="2">
        <f>IF('Modell einstellen'!$B$2="Ja",creep_res25!O27,creep_res25!C27)</f>
        <v>-1.1709494857142858E-3</v>
      </c>
      <c r="E27" s="2">
        <f>IF('Modell einstellen'!$B$2="Ja",creep_res50!O27,creep_res50!C27)</f>
        <v>-2.0103361428571429E-3</v>
      </c>
      <c r="F27" s="2">
        <f>IF('Modell einstellen'!$B$2="Ja",creep_res80!O27,creep_res80!C27)</f>
        <v>-2.2093246E-2</v>
      </c>
      <c r="G27" s="2">
        <f>IF('Modell einstellen'!$B$2="Ja",creep_res125!O27,creep_res125!C27)</f>
        <v>-2.6581952857142859E-2</v>
      </c>
      <c r="H27" s="2">
        <f>IF('Modell einstellen'!$B$2="Ja",creep_res160!O27,creep_res160!C27)</f>
        <v>-2.6778495142857142E-2</v>
      </c>
      <c r="M27" s="9">
        <f t="shared" si="27"/>
        <v>-10</v>
      </c>
      <c r="N27" s="2">
        <f t="shared" si="4"/>
        <v>1000000000</v>
      </c>
      <c r="O27" s="2">
        <f t="shared" si="5"/>
        <v>11495.395617817245</v>
      </c>
      <c r="P27" s="2">
        <f t="shared" si="6"/>
        <v>10043.221722053837</v>
      </c>
      <c r="Q27" s="2">
        <f t="shared" si="7"/>
        <v>8540.0780494813098</v>
      </c>
      <c r="R27" s="2">
        <f t="shared" si="8"/>
        <v>4974.2925010479767</v>
      </c>
      <c r="S27" s="2">
        <f t="shared" si="9"/>
        <v>452.62701551415307</v>
      </c>
      <c r="T27" s="2">
        <f t="shared" si="10"/>
        <v>376.19508445230321</v>
      </c>
      <c r="U27" s="2">
        <f t="shared" si="11"/>
        <v>373.43397926777772</v>
      </c>
      <c r="Z27" s="2">
        <v>1000000000</v>
      </c>
      <c r="AA27" s="3">
        <f>IF('Modell einstellen'!$B$2="Ja",'creep_res-40'!P27,'creep_res-40'!L27)</f>
        <v>0.37967610113491412</v>
      </c>
      <c r="AB27" s="2">
        <f>IF('Modell einstellen'!$B$2="Ja",creep_res0!P27,creep_res0!L27)</f>
        <v>0.37986015531125017</v>
      </c>
      <c r="AC27" s="2">
        <f>IF('Modell einstellen'!$B$2="Ja",creep_res25!P27,creep_res25!L27)</f>
        <v>0.38717310045239967</v>
      </c>
      <c r="AD27" s="2">
        <f>IF('Modell einstellen'!$B$2="Ja",creep_res50!P27,creep_res50!L27)</f>
        <v>0.41756908741558713</v>
      </c>
      <c r="AE27" s="2">
        <f>IF('Modell einstellen'!$B$2="Ja",creep_res80!P27,creep_res80!L27)</f>
        <v>0.51997413922012958</v>
      </c>
      <c r="AF27" s="2">
        <f>IF('Modell einstellen'!$B$2="Ja",creep_res125!P27,creep_res125!L27)</f>
        <v>0.49843173405458169</v>
      </c>
      <c r="AG27" s="2">
        <f>IF('Modell einstellen'!$B$2="Ja",creep_res160!P27,creep_res160!L27)</f>
        <v>0.49241029046196377</v>
      </c>
      <c r="AL27" s="2">
        <f t="shared" si="12"/>
        <v>1000000000</v>
      </c>
      <c r="AM27" s="2">
        <f t="shared" si="13"/>
        <v>4165.9762057055259</v>
      </c>
      <c r="AN27" s="2">
        <f t="shared" si="14"/>
        <v>3639.2172363975619</v>
      </c>
      <c r="AO27" s="2">
        <f t="shared" si="15"/>
        <v>3078.2308446927527</v>
      </c>
      <c r="AP27" s="2">
        <f t="shared" si="16"/>
        <v>1754.5150163075152</v>
      </c>
      <c r="AQ27" s="2">
        <f t="shared" si="17"/>
        <v>148.89299884614732</v>
      </c>
      <c r="AR27" s="2">
        <f t="shared" si="18"/>
        <v>125.52960401951817</v>
      </c>
      <c r="AS27" s="2">
        <f t="shared" si="19"/>
        <v>125.11103067782525</v>
      </c>
      <c r="AX27" s="2">
        <f t="shared" si="28"/>
        <v>1000000000</v>
      </c>
      <c r="AY27" s="37">
        <f t="shared" si="20"/>
        <v>15922.848974370625</v>
      </c>
      <c r="AZ27" s="37">
        <f t="shared" si="21"/>
        <v>13932.682294916583</v>
      </c>
      <c r="BA27" s="37">
        <f t="shared" si="22"/>
        <v>12615.310243278691</v>
      </c>
      <c r="BB27" s="37">
        <f t="shared" si="23"/>
        <v>10057.498142164573</v>
      </c>
      <c r="BC27" s="37">
        <f t="shared" si="24"/>
        <v>-3776.7753137016589</v>
      </c>
      <c r="BD27" s="37">
        <f t="shared" si="25"/>
        <v>39979.941492210644</v>
      </c>
      <c r="BE27" s="37">
        <f t="shared" si="26"/>
        <v>8200.4451201611373</v>
      </c>
    </row>
    <row r="28" spans="1:57" x14ac:dyDescent="0.25">
      <c r="A28" s="2">
        <f>'creep_res-40'!A28</f>
        <v>10000000000</v>
      </c>
      <c r="B28" s="3">
        <f>'creep_res-40'!O28</f>
        <v>-9.4754371428571436E-4</v>
      </c>
      <c r="C28" s="2">
        <f>IF('Modell einstellen'!$B$2="Ja",creep_res0!O28,creep_res0!C28)</f>
        <v>-1.0819888857142856E-3</v>
      </c>
      <c r="D28" s="2">
        <f>IF('Modell einstellen'!$B$2="Ja",creep_res25!O28,creep_res25!C28)</f>
        <v>-1.338241142857143E-3</v>
      </c>
      <c r="E28" s="2">
        <f>IF('Modell einstellen'!$B$2="Ja",creep_res50!O28,creep_res50!C28)</f>
        <v>-2.9789217142857146E-3</v>
      </c>
      <c r="F28" s="2">
        <f>IF('Modell einstellen'!$B$2="Ja",creep_res80!O28,creep_res80!C28)</f>
        <v>-2.4779278857142862E-2</v>
      </c>
      <c r="G28" s="2">
        <f>IF('Modell einstellen'!$B$2="Ja",creep_res125!O28,creep_res125!C28)</f>
        <v>-2.6895848857142857E-2</v>
      </c>
      <c r="H28" s="2">
        <f>IF('Modell einstellen'!$B$2="Ja",creep_res160!O28,creep_res160!C28)</f>
        <v>-2.6843666571428573E-2</v>
      </c>
      <c r="M28" s="9">
        <f t="shared" si="27"/>
        <v>-10</v>
      </c>
      <c r="N28" s="2">
        <f t="shared" si="4"/>
        <v>10000000000</v>
      </c>
      <c r="O28" s="2">
        <f t="shared" si="5"/>
        <v>10553.602804001805</v>
      </c>
      <c r="P28" s="2">
        <f t="shared" si="6"/>
        <v>9242.2391135731505</v>
      </c>
      <c r="Q28" s="2">
        <f t="shared" si="7"/>
        <v>7472.4948140885981</v>
      </c>
      <c r="R28" s="2">
        <f t="shared" si="8"/>
        <v>3356.9193685231835</v>
      </c>
      <c r="S28" s="2">
        <f t="shared" si="9"/>
        <v>403.56299542258085</v>
      </c>
      <c r="T28" s="2">
        <f t="shared" si="10"/>
        <v>371.80458787952523</v>
      </c>
      <c r="U28" s="2">
        <f t="shared" si="11"/>
        <v>372.52735103794049</v>
      </c>
      <c r="Z28" s="2">
        <v>10000000000</v>
      </c>
      <c r="AA28" s="3">
        <f>IF('Modell einstellen'!$B$2="Ja",'creep_res-40'!P28,'creep_res-40'!L28)</f>
        <v>0.38007223488822078</v>
      </c>
      <c r="AB28" s="2">
        <f>IF('Modell einstellen'!$B$2="Ja",creep_res0!P28,creep_res0!L28)</f>
        <v>0.38162361900152603</v>
      </c>
      <c r="AC28" s="2">
        <f>IF('Modell einstellen'!$B$2="Ja",creep_res25!P28,creep_res25!L28)</f>
        <v>0.39139655377079169</v>
      </c>
      <c r="AD28" s="2">
        <f>IF('Modell einstellen'!$B$2="Ja",creep_res50!P28,creep_res50!L28)</f>
        <v>0.43228462532847456</v>
      </c>
      <c r="AE28" s="2">
        <f>IF('Modell einstellen'!$B$2="Ja",creep_res80!P28,creep_res80!L28)</f>
        <v>0.50447018658769671</v>
      </c>
      <c r="AF28" s="2">
        <f>IF('Modell einstellen'!$B$2="Ja",creep_res125!P28,creep_res125!L28)</f>
        <v>0.48913303891579824</v>
      </c>
      <c r="AG28" s="2">
        <f>IF('Modell einstellen'!$B$2="Ja",creep_res160!P28,creep_res160!L28)</f>
        <v>0.49046885047095923</v>
      </c>
      <c r="AL28" s="2">
        <f t="shared" si="12"/>
        <v>10000000000</v>
      </c>
      <c r="AM28" s="2">
        <f t="shared" si="13"/>
        <v>3823.5689905233821</v>
      </c>
      <c r="AN28" s="2">
        <f t="shared" si="14"/>
        <v>3344.7021990881808</v>
      </c>
      <c r="AO28" s="2">
        <f t="shared" si="15"/>
        <v>2685.2498641877337</v>
      </c>
      <c r="AP28" s="2">
        <f t="shared" si="16"/>
        <v>1171.8757952014325</v>
      </c>
      <c r="AQ28" s="2">
        <f t="shared" si="17"/>
        <v>134.12130031566326</v>
      </c>
      <c r="AR28" s="2">
        <f t="shared" si="18"/>
        <v>124.83927834622055</v>
      </c>
      <c r="AS28" s="2">
        <f t="shared" si="19"/>
        <v>124.96985459314666</v>
      </c>
      <c r="AX28" s="2">
        <f t="shared" si="28"/>
        <v>10000000000</v>
      </c>
      <c r="AY28" s="37">
        <f t="shared" si="20"/>
        <v>14666.610346882935</v>
      </c>
      <c r="AZ28" s="37">
        <f t="shared" si="21"/>
        <v>13012.504459106436</v>
      </c>
      <c r="BA28" s="37">
        <f t="shared" si="22"/>
        <v>11467.553246143232</v>
      </c>
      <c r="BB28" s="37">
        <f t="shared" si="23"/>
        <v>8262.3268959892011</v>
      </c>
      <c r="BC28" s="37">
        <f t="shared" si="24"/>
        <v>-15046.463479224287</v>
      </c>
      <c r="BD28" s="37">
        <f t="shared" si="25"/>
        <v>5702.3698560346911</v>
      </c>
      <c r="BE28" s="37">
        <f t="shared" si="26"/>
        <v>6514.2081393728131</v>
      </c>
    </row>
    <row r="29" spans="1:57" x14ac:dyDescent="0.25">
      <c r="A29" s="2">
        <f>'creep_res-40'!A29</f>
        <v>100000000000</v>
      </c>
      <c r="B29" s="3">
        <f>'creep_res-40'!O29</f>
        <v>-1.0310119428571429E-3</v>
      </c>
      <c r="C29" s="2">
        <f>IF('Modell einstellen'!$B$2="Ja",creep_res0!O29,creep_res0!C29)</f>
        <v>-1.1905131142857144E-3</v>
      </c>
      <c r="D29" s="2">
        <f>IF('Modell einstellen'!$B$2="Ja",creep_res25!O29,creep_res25!C29)</f>
        <v>-1.6058572285714287E-3</v>
      </c>
      <c r="E29" s="2">
        <f>IF('Modell einstellen'!$B$2="Ja",creep_res50!O29,creep_res50!C29)</f>
        <v>-4.8967757142857147E-3</v>
      </c>
      <c r="F29" s="2">
        <f>IF('Modell einstellen'!$B$2="Ja",creep_res80!O29,creep_res80!C29)</f>
        <v>-2.6766490571428572E-2</v>
      </c>
      <c r="G29" s="2">
        <f>IF('Modell einstellen'!$B$2="Ja",creep_res125!O29,creep_res125!C29)</f>
        <v>-2.6954494571428574E-2</v>
      </c>
      <c r="H29" s="2">
        <f>IF('Modell einstellen'!$B$2="Ja",creep_res160!O29,creep_res160!C29)</f>
        <v>-2.693226342857143E-2</v>
      </c>
      <c r="M29" s="9">
        <f t="shared" si="27"/>
        <v>-10</v>
      </c>
      <c r="N29" s="2">
        <f t="shared" si="4"/>
        <v>100000000000</v>
      </c>
      <c r="O29" s="2">
        <f t="shared" si="5"/>
        <v>9699.2086942154856</v>
      </c>
      <c r="P29" s="2">
        <f t="shared" si="6"/>
        <v>8399.7394736804836</v>
      </c>
      <c r="Q29" s="2">
        <f t="shared" si="7"/>
        <v>6227.2036530271153</v>
      </c>
      <c r="R29" s="2">
        <f t="shared" si="8"/>
        <v>2042.1601036016993</v>
      </c>
      <c r="S29" s="2">
        <f t="shared" si="9"/>
        <v>373.60146162285196</v>
      </c>
      <c r="T29" s="2">
        <f t="shared" si="10"/>
        <v>370.99564132060834</v>
      </c>
      <c r="U29" s="2">
        <f t="shared" si="11"/>
        <v>371.30187837801162</v>
      </c>
      <c r="Z29" s="2">
        <v>100000000000</v>
      </c>
      <c r="AA29" s="3">
        <f>IF('Modell einstellen'!$B$2="Ja",'creep_res-40'!P29,'creep_res-40'!L29)</f>
        <v>0.38143371375107804</v>
      </c>
      <c r="AB29" s="2">
        <f>IF('Modell einstellen'!$B$2="Ja",creep_res0!P29,creep_res0!L29)</f>
        <v>0.38426244971585954</v>
      </c>
      <c r="AC29" s="2">
        <f>IF('Modell einstellen'!$B$2="Ja",creep_res25!P29,creep_res25!L29)</f>
        <v>0.39742728952438633</v>
      </c>
      <c r="AD29" s="2">
        <f>IF('Modell einstellen'!$B$2="Ja",creep_res50!P29,creep_res50!L29)</f>
        <v>0.44944640832174404</v>
      </c>
      <c r="AE29" s="2">
        <f>IF('Modell einstellen'!$B$2="Ja",creep_res80!P29,creep_res80!L29)</f>
        <v>0.49557765281295169</v>
      </c>
      <c r="AF29" s="2">
        <f>IF('Modell einstellen'!$B$2="Ja",creep_res125!P29,creep_res125!L29)</f>
        <v>0.48750283692417007</v>
      </c>
      <c r="AG29" s="2">
        <f>IF('Modell einstellen'!$B$2="Ja",creep_res160!P29,creep_res160!L29)</f>
        <v>0.48793238130258682</v>
      </c>
      <c r="AL29" s="2">
        <f t="shared" si="12"/>
        <v>100000000000</v>
      </c>
      <c r="AM29" s="2">
        <f t="shared" si="13"/>
        <v>3510.558848270296</v>
      </c>
      <c r="AN29" s="2">
        <f t="shared" si="14"/>
        <v>3034.0126163953428</v>
      </c>
      <c r="AO29" s="2">
        <f t="shared" si="15"/>
        <v>2228.0957655931211</v>
      </c>
      <c r="AP29" s="2">
        <f t="shared" si="16"/>
        <v>704.46209389908893</v>
      </c>
      <c r="AQ29" s="2">
        <f t="shared" si="17"/>
        <v>124.90206072555479</v>
      </c>
      <c r="AR29" s="2">
        <f t="shared" si="18"/>
        <v>124.70417941781746</v>
      </c>
      <c r="AS29" s="2">
        <f t="shared" si="19"/>
        <v>124.77108605330615</v>
      </c>
      <c r="AX29" s="2">
        <f t="shared" si="28"/>
        <v>100000000000</v>
      </c>
      <c r="AY29" s="37">
        <f t="shared" si="20"/>
        <v>13634.017168889319</v>
      </c>
      <c r="AZ29" s="37">
        <f t="shared" si="21"/>
        <v>12095.958273782331</v>
      </c>
      <c r="BA29" s="37">
        <f t="shared" si="22"/>
        <v>10118.356731455086</v>
      </c>
      <c r="BB29" s="37">
        <f t="shared" si="23"/>
        <v>6732.657482244631</v>
      </c>
      <c r="BC29" s="37">
        <f t="shared" si="24"/>
        <v>14080.059216706419</v>
      </c>
      <c r="BD29" s="37">
        <f t="shared" si="25"/>
        <v>4947.7314580582743</v>
      </c>
      <c r="BE29" s="37">
        <f t="shared" si="26"/>
        <v>5128.0743904844003</v>
      </c>
    </row>
    <row r="30" spans="1:57" x14ac:dyDescent="0.25">
      <c r="A30" s="2">
        <f>'creep_res-40'!A30</f>
        <v>1000000000000</v>
      </c>
      <c r="B30" s="3">
        <f>'creep_res-40'!O30</f>
        <v>-1.1241460285714286E-3</v>
      </c>
      <c r="C30" s="2">
        <f>IF('Modell einstellen'!$B$2="Ja",creep_res0!O30,creep_res0!C30)</f>
        <v>-1.357037342857143E-3</v>
      </c>
      <c r="D30" s="2">
        <f>IF('Modell einstellen'!$B$2="Ja",creep_res25!O30,creep_res25!C30)</f>
        <v>-2.0846555428571428E-3</v>
      </c>
      <c r="E30" s="2">
        <f>IF('Modell einstellen'!$B$2="Ja",creep_res50!O30,creep_res50!C30)</f>
        <v>-8.4642999999999993E-3</v>
      </c>
      <c r="F30" s="2">
        <f>IF('Modell einstellen'!$B$2="Ja",creep_res80!O30,creep_res80!C30)</f>
        <v>-2.6868412571428572E-2</v>
      </c>
      <c r="G30" s="2">
        <f>IF('Modell einstellen'!$B$2="Ja",creep_res125!O30,creep_res125!C30)</f>
        <v>-2.7217686571428569E-2</v>
      </c>
      <c r="H30" s="2">
        <f>IF('Modell einstellen'!$B$2="Ja",creep_res160!O30,creep_res160!C30)</f>
        <v>-2.7235974857142856E-2</v>
      </c>
      <c r="M30" s="9">
        <f t="shared" si="27"/>
        <v>-10</v>
      </c>
      <c r="N30" s="2">
        <f t="shared" si="4"/>
        <v>1000000000000</v>
      </c>
      <c r="O30" s="2">
        <f t="shared" si="5"/>
        <v>8895.6414432278507</v>
      </c>
      <c r="P30" s="2">
        <f t="shared" si="6"/>
        <v>7368.9939725208524</v>
      </c>
      <c r="Q30" s="2">
        <f t="shared" si="7"/>
        <v>4796.9555614422579</v>
      </c>
      <c r="R30" s="2">
        <f t="shared" si="8"/>
        <v>1181.4326051770379</v>
      </c>
      <c r="S30" s="2">
        <f t="shared" si="9"/>
        <v>372.18425068527625</v>
      </c>
      <c r="T30" s="2">
        <f t="shared" si="10"/>
        <v>367.40815475836132</v>
      </c>
      <c r="U30" s="2">
        <f t="shared" si="11"/>
        <v>367.16144923953101</v>
      </c>
      <c r="Z30" s="2">
        <v>1000000000000</v>
      </c>
      <c r="AA30" s="3">
        <f>IF('Modell einstellen'!$B$2="Ja",'creep_res-40'!P30,'creep_res-40'!L30)</f>
        <v>0.3832566389252276</v>
      </c>
      <c r="AB30" s="2">
        <f>IF('Modell einstellen'!$B$2="Ja",creep_res0!P30,creep_res0!L30)</f>
        <v>0.38851043724304701</v>
      </c>
      <c r="AC30" s="2">
        <f>IF('Modell einstellen'!$B$2="Ja",creep_res25!P30,creep_res25!L30)</f>
        <v>0.40676609759606197</v>
      </c>
      <c r="AD30" s="2">
        <f>IF('Modell einstellen'!$B$2="Ja",creep_res50!P30,creep_res50!L30)</f>
        <v>0.46486088631074041</v>
      </c>
      <c r="AE30" s="2">
        <f>IF('Modell einstellen'!$B$2="Ja",creep_res80!P30,creep_res80!L30)</f>
        <v>0.49303610302077072</v>
      </c>
      <c r="AF30" s="2">
        <f>IF('Modell einstellen'!$B$2="Ja",creep_res125!P30,creep_res125!L30)</f>
        <v>0.48236867575488179</v>
      </c>
      <c r="AG30" s="2">
        <f>IF('Modell einstellen'!$B$2="Ja",creep_res160!P30,creep_res160!L30)</f>
        <v>0.48125251610496006</v>
      </c>
      <c r="AL30" s="2">
        <f t="shared" si="12"/>
        <v>1000000000000</v>
      </c>
      <c r="AM30" s="2">
        <f t="shared" si="13"/>
        <v>3215.4703591878829</v>
      </c>
      <c r="AN30" s="2">
        <f t="shared" si="14"/>
        <v>2653.5608861364908</v>
      </c>
      <c r="AO30" s="2">
        <f t="shared" si="15"/>
        <v>1704.9584752004923</v>
      </c>
      <c r="AP30" s="2">
        <f t="shared" si="16"/>
        <v>403.25761176970258</v>
      </c>
      <c r="AQ30" s="2">
        <f t="shared" si="17"/>
        <v>124.64007063602084</v>
      </c>
      <c r="AR30" s="2">
        <f t="shared" si="18"/>
        <v>123.9260383626436</v>
      </c>
      <c r="AS30" s="2">
        <f t="shared" si="19"/>
        <v>123.93614365125383</v>
      </c>
      <c r="AX30" s="2">
        <f t="shared" si="28"/>
        <v>1000000000000</v>
      </c>
      <c r="AY30" s="37">
        <f t="shared" si="20"/>
        <v>12699.710660677774</v>
      </c>
      <c r="AZ30" s="37">
        <f t="shared" si="21"/>
        <v>11015.969851493697</v>
      </c>
      <c r="BA30" s="37">
        <f t="shared" si="22"/>
        <v>8575.1274263935629</v>
      </c>
      <c r="BB30" s="37">
        <f t="shared" si="23"/>
        <v>5603.5970610254153</v>
      </c>
      <c r="BC30" s="37">
        <f t="shared" si="24"/>
        <v>8907.4707211437271</v>
      </c>
      <c r="BD30" s="37">
        <f t="shared" si="25"/>
        <v>3473.062579328473</v>
      </c>
      <c r="BE30" s="37">
        <f t="shared" si="26"/>
        <v>3264.0953429193382</v>
      </c>
    </row>
    <row r="31" spans="1:57" x14ac:dyDescent="0.25">
      <c r="A31" s="2">
        <f>'creep_res-40'!A31</f>
        <v>10000000000000</v>
      </c>
      <c r="B31" s="3">
        <f>'creep_res-40'!O31</f>
        <v>-1.2562818285714286E-3</v>
      </c>
      <c r="C31" s="2">
        <f>IF('Modell einstellen'!$B$2="Ja",creep_res0!O31,creep_res0!C31)</f>
        <v>-1.6271212571428572E-3</v>
      </c>
      <c r="D31" s="2">
        <f>IF('Modell einstellen'!$B$2="Ja",creep_res25!O31,creep_res25!C31)</f>
        <v>-3.0967014285714287E-3</v>
      </c>
      <c r="E31" s="2">
        <f>IF('Modell einstellen'!$B$2="Ja",creep_res50!O31,creep_res50!C31)</f>
        <v>-1.4895274571428573E-2</v>
      </c>
      <c r="F31" s="2">
        <f>IF('Modell einstellen'!$B$2="Ja",creep_res80!O31,creep_res80!C31)</f>
        <v>-2.7191233999999998E-2</v>
      </c>
      <c r="G31" s="2">
        <f>IF('Modell einstellen'!$B$2="Ja",creep_res125!O31,creep_res125!C31)</f>
        <v>-2.7221723714285714E-2</v>
      </c>
      <c r="H31" s="2">
        <f>IF('Modell einstellen'!$B$2="Ja",creep_res160!O31,creep_res160!C31)</f>
        <v>-2.7240321142857141E-2</v>
      </c>
      <c r="M31" s="9">
        <f t="shared" si="27"/>
        <v>-10</v>
      </c>
      <c r="N31" s="2">
        <f t="shared" si="4"/>
        <v>10000000000000</v>
      </c>
      <c r="O31" s="2">
        <f t="shared" si="5"/>
        <v>7959.9973290797534</v>
      </c>
      <c r="P31" s="2">
        <f t="shared" si="6"/>
        <v>6145.8234634335095</v>
      </c>
      <c r="Q31" s="2">
        <f t="shared" si="7"/>
        <v>3229.2425442556155</v>
      </c>
      <c r="R31" s="2">
        <f t="shared" si="8"/>
        <v>671.35385467694152</v>
      </c>
      <c r="S31" s="2">
        <f t="shared" si="9"/>
        <v>367.76558209899559</v>
      </c>
      <c r="T31" s="2">
        <f t="shared" si="10"/>
        <v>367.35366595290549</v>
      </c>
      <c r="U31" s="2">
        <f t="shared" si="11"/>
        <v>367.10286738385844</v>
      </c>
      <c r="Z31" s="2">
        <v>10000000000000</v>
      </c>
      <c r="AA31" s="3">
        <f>IF('Modell einstellen'!$B$2="Ja",'creep_res-40'!P31,'creep_res-40'!L31)</f>
        <v>0.38666528511436832</v>
      </c>
      <c r="AB31" s="2">
        <f>IF('Modell einstellen'!$B$2="Ja",creep_res0!P31,creep_res0!L31)</f>
        <v>0.39466206083438088</v>
      </c>
      <c r="AC31" s="2">
        <f>IF('Modell einstellen'!$B$2="Ja",creep_res25!P31,creep_res25!L31)</f>
        <v>0.42195974426244331</v>
      </c>
      <c r="AD31" s="2">
        <f>IF('Modell einstellen'!$B$2="Ja",creep_res50!P31,creep_res50!L31)</f>
        <v>0.47751130507142042</v>
      </c>
      <c r="AE31" s="2">
        <f>IF('Modell einstellen'!$B$2="Ja",creep_res80!P31,creep_res80!L31)</f>
        <v>0.48418241807530432</v>
      </c>
      <c r="AF31" s="2">
        <f>IF('Modell einstellen'!$B$2="Ja",creep_res125!P31,creep_res125!L31)</f>
        <v>0.48229778836404746</v>
      </c>
      <c r="AG31" s="2">
        <f>IF('Modell einstellen'!$B$2="Ja",creep_res160!P31,creep_res160!L31)</f>
        <v>0.48117498593786245</v>
      </c>
      <c r="AL31" s="2">
        <f t="shared" si="12"/>
        <v>10000000000000</v>
      </c>
      <c r="AM31" s="2">
        <f t="shared" si="13"/>
        <v>2870.194204228324</v>
      </c>
      <c r="AN31" s="2">
        <f t="shared" si="14"/>
        <v>2203.3378680125074</v>
      </c>
      <c r="AO31" s="2">
        <f t="shared" si="15"/>
        <v>1135.4901421385146</v>
      </c>
      <c r="AP31" s="2">
        <f t="shared" si="16"/>
        <v>227.19076746573165</v>
      </c>
      <c r="AQ31" s="2">
        <f t="shared" si="17"/>
        <v>123.89500698166064</v>
      </c>
      <c r="AR31" s="2">
        <f t="shared" si="18"/>
        <v>123.91358498832378</v>
      </c>
      <c r="AS31" s="2">
        <f t="shared" si="19"/>
        <v>123.92285545904397</v>
      </c>
      <c r="AX31" s="2">
        <f t="shared" si="28"/>
        <v>10000000000000</v>
      </c>
      <c r="AY31" s="37">
        <f t="shared" si="20"/>
        <v>11705.735730239914</v>
      </c>
      <c r="AZ31" s="37">
        <f t="shared" si="21"/>
        <v>9723.9790210987012</v>
      </c>
      <c r="BA31" s="37">
        <f t="shared" si="22"/>
        <v>6896.5316120851512</v>
      </c>
      <c r="BB31" s="37">
        <f t="shared" si="23"/>
        <v>4975.4914399512863</v>
      </c>
      <c r="BC31" s="37">
        <f t="shared" si="24"/>
        <v>3875.0716749864532</v>
      </c>
      <c r="BD31" s="37">
        <f t="shared" si="25"/>
        <v>3458.6419059528112</v>
      </c>
      <c r="BE31" s="37">
        <f t="shared" si="26"/>
        <v>3250.133626922548</v>
      </c>
    </row>
    <row r="32" spans="1:57" x14ac:dyDescent="0.25">
      <c r="A32" s="2">
        <f>'creep_res-40'!A32</f>
        <v>100000000000000</v>
      </c>
      <c r="B32" s="3">
        <f>'creep_res-40'!O32</f>
        <v>-1.4614530285714286E-3</v>
      </c>
      <c r="C32" s="2">
        <f>IF('Modell einstellen'!$B$2="Ja",creep_res0!O32,creep_res0!C32)</f>
        <v>-2.1151075142857145E-3</v>
      </c>
      <c r="D32" s="2">
        <f>IF('Modell einstellen'!$B$2="Ja",creep_res25!O32,creep_res25!C32)</f>
        <v>-5.1020828571428575E-3</v>
      </c>
      <c r="E32" s="2">
        <f>IF('Modell einstellen'!$B$2="Ja",creep_res50!O32,creep_res50!C32)</f>
        <v>-2.1472374571428574E-2</v>
      </c>
      <c r="F32" s="2">
        <f>IF('Modell einstellen'!$B$2="Ja",creep_res80!O32,creep_res80!C32)</f>
        <v>-2.7195999142857145E-2</v>
      </c>
      <c r="G32" s="2">
        <f>IF('Modell einstellen'!$B$2="Ja",creep_res125!O32,creep_res125!C32)</f>
        <v>-2.7305871714285716E-2</v>
      </c>
      <c r="H32" s="2">
        <f>IF('Modell einstellen'!$B$2="Ja",creep_res160!O32,creep_res160!C32)</f>
        <v>-2.7359462000000005E-2</v>
      </c>
      <c r="M32" s="9">
        <v>-1</v>
      </c>
      <c r="N32" s="2">
        <f t="shared" si="4"/>
        <v>100000000000000</v>
      </c>
      <c r="O32" s="2">
        <f t="shared" si="5"/>
        <v>6842.5052358850062</v>
      </c>
      <c r="P32" s="2">
        <f t="shared" si="6"/>
        <v>4727.8920492025509</v>
      </c>
      <c r="Q32" s="2">
        <f t="shared" si="7"/>
        <v>1959.9838497330782</v>
      </c>
      <c r="R32" s="2">
        <f t="shared" si="8"/>
        <v>465.71467756091272</v>
      </c>
      <c r="S32" s="2">
        <f t="shared" si="9"/>
        <v>367.7011441084133</v>
      </c>
      <c r="T32" s="2">
        <f t="shared" si="10"/>
        <v>366.22159895258943</v>
      </c>
      <c r="U32" s="2">
        <f t="shared" si="11"/>
        <v>365.50426320517556</v>
      </c>
      <c r="Z32" s="2">
        <v>100000000000000</v>
      </c>
      <c r="AA32" s="3">
        <f>IF('Modell einstellen'!$B$2="Ja",'creep_res-40'!P32,'creep_res-40'!L32)</f>
        <v>0.39159123749561497</v>
      </c>
      <c r="AB32" s="2">
        <f>IF('Modell einstellen'!$B$2="Ja",creep_res0!P32,creep_res0!L32)</f>
        <v>0.4042193572787377</v>
      </c>
      <c r="AC32" s="2">
        <f>IF('Modell einstellen'!$B$2="Ja",creep_res25!P32,creep_res25!L32)</f>
        <v>0.44008362411093732</v>
      </c>
      <c r="AD32" s="2">
        <f>IF('Modell einstellen'!$B$2="Ja",creep_res50!P32,creep_res50!L32)</f>
        <v>0.48303823899388809</v>
      </c>
      <c r="AE32" s="2">
        <f>IF('Modell einstellen'!$B$2="Ja",creep_res80!P32,creep_res80!L32)</f>
        <v>0.48406377463273303</v>
      </c>
      <c r="AF32" s="2">
        <f>IF('Modell einstellen'!$B$2="Ja",creep_res125!P32,creep_res125!L32)</f>
        <v>0.48082397264822718</v>
      </c>
      <c r="AG32" s="2">
        <f>IF('Modell einstellen'!$B$2="Ja",creep_res160!P32,creep_res160!L32)</f>
        <v>0.48001299983791446</v>
      </c>
      <c r="AL32" s="2">
        <f t="shared" si="12"/>
        <v>100000000000000</v>
      </c>
      <c r="AM32" s="2">
        <f t="shared" si="13"/>
        <v>2458.5183678646754</v>
      </c>
      <c r="AN32" s="2">
        <f t="shared" si="14"/>
        <v>1683.4592204898881</v>
      </c>
      <c r="AO32" s="2">
        <f t="shared" si="15"/>
        <v>680.51042901870051</v>
      </c>
      <c r="AP32" s="2">
        <f t="shared" si="16"/>
        <v>157.01371189082064</v>
      </c>
      <c r="AQ32" s="2">
        <f t="shared" si="17"/>
        <v>123.88320178471095</v>
      </c>
      <c r="AR32" s="2">
        <f t="shared" si="18"/>
        <v>123.65466987195585</v>
      </c>
      <c r="AS32" s="2">
        <f t="shared" si="19"/>
        <v>123.48008539289999</v>
      </c>
      <c r="AX32" s="2">
        <f t="shared" si="28"/>
        <v>100000000000000</v>
      </c>
      <c r="AY32" s="37">
        <f t="shared" si="20"/>
        <v>10519.606653272505</v>
      </c>
      <c r="AZ32" s="37">
        <f t="shared" si="21"/>
        <v>8226.9442531679888</v>
      </c>
      <c r="BA32" s="37">
        <f t="shared" si="22"/>
        <v>5451.9982243309096</v>
      </c>
      <c r="BB32" s="37">
        <f t="shared" si="23"/>
        <v>4576.1234873460335</v>
      </c>
      <c r="BC32" s="37">
        <f t="shared" si="24"/>
        <v>3845.5482779470067</v>
      </c>
      <c r="BD32" s="37">
        <f t="shared" si="25"/>
        <v>3182.9811273773585</v>
      </c>
      <c r="BE32" s="37">
        <f t="shared" si="26"/>
        <v>3047.8499378020801</v>
      </c>
    </row>
    <row r="33" spans="1:60" x14ac:dyDescent="0.25">
      <c r="A33" s="2">
        <f>'creep_res-40'!A33</f>
        <v>1000000000000000</v>
      </c>
      <c r="B33" s="3">
        <f>'creep_res-40'!O33</f>
        <v>-1.802786285714286E-3</v>
      </c>
      <c r="C33" s="2">
        <f>IF('Modell einstellen'!$B$2="Ja",creep_res0!O33,creep_res0!C33)</f>
        <v>-3.1498225714285716E-3</v>
      </c>
      <c r="D33" s="2">
        <f>IF('Modell einstellen'!$B$2="Ja",creep_res25!O33,creep_res25!C33)</f>
        <v>-8.8143111428571428E-3</v>
      </c>
      <c r="E33" s="2">
        <f>IF('Modell einstellen'!$B$2="Ja",creep_res50!O33,creep_res50!C33)</f>
        <v>-2.4615299714285718E-2</v>
      </c>
      <c r="F33" s="2">
        <f>IF('Modell einstellen'!$B$2="Ja",creep_res80!O33,creep_res80!C33)</f>
        <v>-2.7336072000000003E-2</v>
      </c>
      <c r="G33" s="2">
        <f>IF('Modell einstellen'!$B$2="Ja",creep_res125!O33,creep_res125!C33)</f>
        <v>-2.7309677428571429E-2</v>
      </c>
      <c r="H33" s="2">
        <f>IF('Modell einstellen'!$B$2="Ja",creep_res160!O33,creep_res160!C33)</f>
        <v>-2.7362212285714289E-2</v>
      </c>
      <c r="M33" s="9">
        <f>M31</f>
        <v>-10</v>
      </c>
      <c r="N33" s="2">
        <f t="shared" si="4"/>
        <v>1000000000000000</v>
      </c>
      <c r="O33" s="2">
        <f t="shared" si="5"/>
        <v>5546.9691994233681</v>
      </c>
      <c r="P33" s="2">
        <f t="shared" si="6"/>
        <v>3174.7819990586318</v>
      </c>
      <c r="Q33" s="2">
        <f t="shared" si="7"/>
        <v>1134.5186070613929</v>
      </c>
      <c r="R33" s="2">
        <f t="shared" si="8"/>
        <v>406.25140120460964</v>
      </c>
      <c r="S33" s="2">
        <f t="shared" si="9"/>
        <v>365.81700545711175</v>
      </c>
      <c r="T33" s="2">
        <f t="shared" si="10"/>
        <v>366.17056448780988</v>
      </c>
      <c r="U33" s="2">
        <f t="shared" si="11"/>
        <v>365.4675249055415</v>
      </c>
      <c r="Z33" s="2">
        <v>1000000000000000</v>
      </c>
      <c r="AA33" s="3">
        <f>IF('Modell einstellen'!$B$2="Ja",'creep_res-40'!P33,'creep_res-40'!L33)</f>
        <v>0.39884466140666064</v>
      </c>
      <c r="AB33" s="2">
        <f>IF('Modell einstellen'!$B$2="Ja",creep_res0!P33,creep_res0!L33)</f>
        <v>0.41966918952985927</v>
      </c>
      <c r="AC33" s="2">
        <f>IF('Modell einstellen'!$B$2="Ja",creep_res25!P33,creep_res25!L33)</f>
        <v>0.45697800093866831</v>
      </c>
      <c r="AD33" s="2">
        <f>IF('Modell einstellen'!$B$2="Ja",creep_res50!P33,creep_res50!L33)</f>
        <v>0.48298510604595052</v>
      </c>
      <c r="AE33" s="2">
        <f>IF('Modell einstellen'!$B$2="Ja",creep_res80!P33,creep_res80!L33)</f>
        <v>0.48134369853869274</v>
      </c>
      <c r="AF33" s="2">
        <f>IF('Modell einstellen'!$B$2="Ja",creep_res125!P33,creep_res125!L33)</f>
        <v>0.48078199302055891</v>
      </c>
      <c r="AG33" s="2">
        <f>IF('Modell einstellen'!$B$2="Ja",creep_res160!P33,creep_res160!L33)</f>
        <v>0.4800012776744671</v>
      </c>
      <c r="AL33" s="2">
        <f t="shared" si="12"/>
        <v>1000000000000000</v>
      </c>
      <c r="AM33" s="2">
        <f t="shared" si="13"/>
        <v>1982.6966326072995</v>
      </c>
      <c r="AN33" s="2">
        <f t="shared" si="14"/>
        <v>1118.1414735463829</v>
      </c>
      <c r="AO33" s="2">
        <f t="shared" si="15"/>
        <v>389.33964903055204</v>
      </c>
      <c r="AP33" s="2">
        <f t="shared" si="16"/>
        <v>136.97082983111966</v>
      </c>
      <c r="AQ33" s="2">
        <f t="shared" si="17"/>
        <v>123.47472292148701</v>
      </c>
      <c r="AR33" s="2">
        <f t="shared" si="18"/>
        <v>123.64094316844046</v>
      </c>
      <c r="AS33" s="2">
        <f t="shared" si="19"/>
        <v>123.46865182434244</v>
      </c>
      <c r="AX33" s="2">
        <f>AL33</f>
        <v>1000000000000000</v>
      </c>
      <c r="AY33" s="37">
        <f t="shared" si="20"/>
        <v>9139.358134000011</v>
      </c>
      <c r="AZ33" s="37">
        <f t="shared" si="21"/>
        <v>6586.8915062561</v>
      </c>
      <c r="BA33" s="37">
        <f t="shared" si="22"/>
        <v>4395.1103769183901</v>
      </c>
      <c r="BB33" s="37">
        <f t="shared" si="23"/>
        <v>3979.3704886018731</v>
      </c>
      <c r="BC33" s="37">
        <f t="shared" si="24"/>
        <v>3268.0379353843514</v>
      </c>
      <c r="BD33" s="37">
        <f t="shared" si="25"/>
        <v>3175.5856619222559</v>
      </c>
      <c r="BE33" s="37">
        <f t="shared" si="26"/>
        <v>3045.7572818617796</v>
      </c>
    </row>
    <row r="34" spans="1:60" x14ac:dyDescent="0.25">
      <c r="A34" s="113" t="s">
        <v>4</v>
      </c>
      <c r="B34" s="113"/>
      <c r="C34" s="113"/>
      <c r="D34" s="113"/>
      <c r="E34" s="113"/>
      <c r="F34" s="113"/>
      <c r="G34" s="113"/>
      <c r="H34" s="113"/>
      <c r="I34" s="113"/>
      <c r="J34" s="113"/>
      <c r="K34" s="113"/>
      <c r="M34" s="113" t="s">
        <v>2</v>
      </c>
      <c r="N34" s="113"/>
      <c r="O34" s="113"/>
      <c r="P34" s="113"/>
      <c r="Q34" s="113"/>
      <c r="R34" s="113"/>
      <c r="S34" s="113"/>
      <c r="T34" s="113"/>
      <c r="U34" s="113"/>
      <c r="V34" s="113"/>
      <c r="W34" s="113"/>
      <c r="X34" s="113"/>
      <c r="Z34" s="114" t="s">
        <v>5</v>
      </c>
      <c r="AA34" s="114"/>
      <c r="AB34" s="114"/>
      <c r="AC34" s="114"/>
      <c r="AD34" s="114"/>
      <c r="AE34" s="114"/>
      <c r="AF34" s="114"/>
      <c r="AG34" s="114"/>
      <c r="AH34" s="114"/>
      <c r="AI34" s="114"/>
      <c r="AJ34" s="114"/>
      <c r="AL34" s="113" t="s">
        <v>3</v>
      </c>
      <c r="AM34" s="113"/>
      <c r="AN34" s="113"/>
      <c r="AO34" s="113"/>
      <c r="AP34" s="113"/>
      <c r="AQ34" s="113"/>
      <c r="AR34" s="113"/>
      <c r="AS34" s="113"/>
      <c r="AT34" s="113"/>
      <c r="AU34" s="113"/>
      <c r="AV34" s="113"/>
      <c r="AX34" s="113" t="s">
        <v>1</v>
      </c>
      <c r="AY34" s="113"/>
      <c r="AZ34" s="113"/>
      <c r="BA34" s="113"/>
      <c r="BB34" s="113"/>
      <c r="BC34" s="113"/>
      <c r="BD34" s="113"/>
      <c r="BE34" s="113"/>
      <c r="BF34" s="113"/>
      <c r="BG34" s="113"/>
      <c r="BH34" s="113"/>
    </row>
    <row r="35" spans="1:60" x14ac:dyDescent="0.25">
      <c r="Y35" s="6"/>
    </row>
  </sheetData>
  <mergeCells count="10">
    <mergeCell ref="A1:K1"/>
    <mergeCell ref="M1:X1"/>
    <mergeCell ref="AL1:AV1"/>
    <mergeCell ref="AX1:BH1"/>
    <mergeCell ref="Z1:AJ1"/>
    <mergeCell ref="AX34:BH34"/>
    <mergeCell ref="A34:K34"/>
    <mergeCell ref="AL34:AV34"/>
    <mergeCell ref="M34:X34"/>
    <mergeCell ref="Z34:AJ34"/>
  </mergeCells>
  <pageMargins left="0.7" right="0.7" top="0.75" bottom="0.75" header="0.3" footer="0.3"/>
  <pageSetup paperSize="9" orientation="portrait"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20"/>
  <dimension ref="A1:AU670"/>
  <sheetViews>
    <sheetView topLeftCell="A104" zoomScale="120" zoomScaleNormal="120" zoomScaleSheetLayoutView="110" workbookViewId="0">
      <selection activeCell="D69" sqref="D69"/>
    </sheetView>
  </sheetViews>
  <sheetFormatPr baseColWidth="10" defaultRowHeight="15" x14ac:dyDescent="0.25"/>
  <cols>
    <col min="1" max="1" width="11.42578125" style="11"/>
    <col min="2" max="2" width="16.5703125" style="11" customWidth="1"/>
    <col min="3" max="3" width="13.42578125" style="11" bestFit="1" customWidth="1"/>
    <col min="4" max="4" width="12.85546875" style="11" bestFit="1" customWidth="1"/>
    <col min="5" max="5" width="21.5703125" style="11" bestFit="1" customWidth="1"/>
    <col min="6" max="6" width="12.28515625" style="11" bestFit="1" customWidth="1"/>
    <col min="7" max="7" width="12.7109375" style="11" bestFit="1" customWidth="1"/>
    <col min="8" max="9" width="13" style="11" bestFit="1" customWidth="1"/>
    <col min="10" max="12" width="12" style="11" bestFit="1" customWidth="1"/>
    <col min="13" max="16384" width="11.42578125" style="11"/>
  </cols>
  <sheetData>
    <row r="1" spans="1:36" x14ac:dyDescent="0.25">
      <c r="A1" s="11" t="s">
        <v>110</v>
      </c>
      <c r="D1" s="11">
        <f>Comparison!B2</f>
        <v>-40</v>
      </c>
      <c r="E1" s="11">
        <f>Comparison!C2</f>
        <v>0</v>
      </c>
      <c r="F1" s="11">
        <f>Comparison!D2</f>
        <v>25</v>
      </c>
      <c r="G1" s="11">
        <f>Comparison!E2</f>
        <v>50</v>
      </c>
      <c r="H1" s="11">
        <f>Comparison!F2</f>
        <v>80</v>
      </c>
      <c r="I1" s="11">
        <f>Comparison!G2</f>
        <v>125</v>
      </c>
      <c r="J1" s="11">
        <f>Comparison!H2</f>
        <v>160</v>
      </c>
    </row>
    <row r="2" spans="1:36" x14ac:dyDescent="0.25">
      <c r="A2" s="11" t="s">
        <v>41</v>
      </c>
      <c r="B2" s="11">
        <f>INDEX(D1:M1,1,B3)</f>
        <v>160</v>
      </c>
      <c r="D2" s="11">
        <f>1</f>
        <v>1</v>
      </c>
      <c r="E2" s="11">
        <f>D2+1</f>
        <v>2</v>
      </c>
      <c r="F2" s="11">
        <f t="shared" ref="F2:J2" si="0">E2+1</f>
        <v>3</v>
      </c>
      <c r="G2" s="11">
        <f t="shared" si="0"/>
        <v>4</v>
      </c>
      <c r="H2" s="11">
        <f t="shared" si="0"/>
        <v>5</v>
      </c>
      <c r="I2" s="11">
        <f t="shared" si="0"/>
        <v>6</v>
      </c>
      <c r="J2" s="11">
        <f t="shared" si="0"/>
        <v>7</v>
      </c>
    </row>
    <row r="3" spans="1:36" x14ac:dyDescent="0.25">
      <c r="A3" s="11" t="s">
        <v>111</v>
      </c>
      <c r="B3" s="35">
        <v>7</v>
      </c>
    </row>
    <row r="4" spans="1:36" x14ac:dyDescent="0.25">
      <c r="A4" s="11">
        <v>0</v>
      </c>
    </row>
    <row r="5" spans="1:36" x14ac:dyDescent="0.25">
      <c r="A5" s="11">
        <f>IF(INDEX($D$1:$M$2,2,A4+1)=$B$3,A4+2,A4+1)</f>
        <v>1</v>
      </c>
    </row>
    <row r="6" spans="1:36" x14ac:dyDescent="0.25">
      <c r="A6" s="11">
        <f t="shared" ref="A6:A13" si="1">IF(INDEX($D$1:$M$2,2,A5+1)=$B$3,A5+2,A5+1)</f>
        <v>2</v>
      </c>
    </row>
    <row r="7" spans="1:36" x14ac:dyDescent="0.25">
      <c r="A7" s="11">
        <f t="shared" si="1"/>
        <v>3</v>
      </c>
    </row>
    <row r="8" spans="1:36" x14ac:dyDescent="0.25">
      <c r="A8" s="11">
        <f t="shared" si="1"/>
        <v>4</v>
      </c>
    </row>
    <row r="9" spans="1:36" x14ac:dyDescent="0.25">
      <c r="A9" s="11">
        <f t="shared" si="1"/>
        <v>5</v>
      </c>
    </row>
    <row r="10" spans="1:36" x14ac:dyDescent="0.25">
      <c r="A10" s="11">
        <f t="shared" si="1"/>
        <v>6</v>
      </c>
    </row>
    <row r="11" spans="1:36" x14ac:dyDescent="0.25">
      <c r="A11" s="11">
        <f t="shared" si="1"/>
        <v>8</v>
      </c>
    </row>
    <row r="12" spans="1:36" x14ac:dyDescent="0.25">
      <c r="A12" s="11">
        <f t="shared" si="1"/>
        <v>9</v>
      </c>
    </row>
    <row r="13" spans="1:36" x14ac:dyDescent="0.25">
      <c r="A13" s="11">
        <f t="shared" si="1"/>
        <v>10</v>
      </c>
    </row>
    <row r="14" spans="1:36" x14ac:dyDescent="0.25">
      <c r="A14" s="19"/>
      <c r="B14" s="19"/>
      <c r="C14" s="19"/>
      <c r="D14" s="19"/>
      <c r="E14" s="12"/>
      <c r="F14" s="12">
        <v>1</v>
      </c>
      <c r="G14" s="19">
        <v>2</v>
      </c>
      <c r="H14" s="19">
        <f>G14+1</f>
        <v>3</v>
      </c>
      <c r="I14" s="19">
        <f t="shared" ref="I14:AJ14" si="2">H14+1</f>
        <v>4</v>
      </c>
      <c r="J14" s="19">
        <f t="shared" si="2"/>
        <v>5</v>
      </c>
      <c r="K14" s="19">
        <f t="shared" si="2"/>
        <v>6</v>
      </c>
      <c r="L14" s="19">
        <f t="shared" si="2"/>
        <v>7</v>
      </c>
      <c r="M14" s="19">
        <f t="shared" si="2"/>
        <v>8</v>
      </c>
      <c r="N14" s="19">
        <f t="shared" si="2"/>
        <v>9</v>
      </c>
      <c r="O14" s="19">
        <f t="shared" si="2"/>
        <v>10</v>
      </c>
      <c r="P14" s="19">
        <f t="shared" si="2"/>
        <v>11</v>
      </c>
      <c r="Q14" s="19">
        <f t="shared" si="2"/>
        <v>12</v>
      </c>
      <c r="R14" s="19">
        <f t="shared" si="2"/>
        <v>13</v>
      </c>
      <c r="S14" s="19">
        <f t="shared" si="2"/>
        <v>14</v>
      </c>
      <c r="T14" s="19">
        <f t="shared" si="2"/>
        <v>15</v>
      </c>
      <c r="U14" s="19">
        <f t="shared" si="2"/>
        <v>16</v>
      </c>
      <c r="V14" s="19">
        <f t="shared" si="2"/>
        <v>17</v>
      </c>
      <c r="W14" s="19">
        <f t="shared" si="2"/>
        <v>18</v>
      </c>
      <c r="X14" s="19">
        <f t="shared" si="2"/>
        <v>19</v>
      </c>
      <c r="Y14" s="19">
        <f t="shared" si="2"/>
        <v>20</v>
      </c>
      <c r="Z14" s="19">
        <f t="shared" si="2"/>
        <v>21</v>
      </c>
      <c r="AA14" s="19">
        <f t="shared" si="2"/>
        <v>22</v>
      </c>
      <c r="AB14" s="19">
        <f t="shared" si="2"/>
        <v>23</v>
      </c>
      <c r="AC14" s="19">
        <f t="shared" si="2"/>
        <v>24</v>
      </c>
      <c r="AD14" s="19">
        <f t="shared" si="2"/>
        <v>25</v>
      </c>
      <c r="AE14" s="19">
        <f t="shared" si="2"/>
        <v>26</v>
      </c>
      <c r="AF14" s="19">
        <f t="shared" si="2"/>
        <v>27</v>
      </c>
      <c r="AG14" s="19">
        <f t="shared" si="2"/>
        <v>28</v>
      </c>
      <c r="AH14" s="19">
        <f t="shared" si="2"/>
        <v>29</v>
      </c>
      <c r="AI14" s="19">
        <f t="shared" si="2"/>
        <v>30</v>
      </c>
      <c r="AJ14" s="19">
        <f t="shared" si="2"/>
        <v>31</v>
      </c>
    </row>
    <row r="15" spans="1:36" x14ac:dyDescent="0.25">
      <c r="A15" s="118" t="s">
        <v>26</v>
      </c>
      <c r="B15" s="118"/>
      <c r="C15" s="118"/>
      <c r="D15" s="66"/>
      <c r="E15" s="66" t="s">
        <v>17</v>
      </c>
      <c r="F15" s="22">
        <f>INDEX(Comparison!$AL$3:$AL$33,F14,1)</f>
        <v>1.0000000000000001E-15</v>
      </c>
      <c r="G15" s="22">
        <f>INDEX(Comparison!$AL$3:$AL$33,G14,1)</f>
        <v>1E-14</v>
      </c>
      <c r="H15" s="22">
        <f>INDEX(Comparison!$AL$3:$AL$33,H14,1)</f>
        <v>1E-13</v>
      </c>
      <c r="I15" s="22">
        <f>INDEX(Comparison!$AL$3:$AL$33,I14,1)</f>
        <v>9.9999999999999998E-13</v>
      </c>
      <c r="J15" s="22">
        <f>INDEX(Comparison!$AL$3:$AL$33,J14,1)</f>
        <v>9.9999999999999994E-12</v>
      </c>
      <c r="K15" s="22">
        <f>INDEX(Comparison!$AL$3:$AL$33,K14,1)</f>
        <v>1E-10</v>
      </c>
      <c r="L15" s="22">
        <f>INDEX(Comparison!$AL$3:$AL$33,L14,1)</f>
        <v>1.0000000000000001E-9</v>
      </c>
      <c r="M15" s="22">
        <f>INDEX(Comparison!$AL$3:$AL$33,M14,1)</f>
        <v>1E-8</v>
      </c>
      <c r="N15" s="22">
        <f>INDEX(Comparison!$AL$3:$AL$33,N14,1)</f>
        <v>9.9999999999999995E-8</v>
      </c>
      <c r="O15" s="22">
        <f>INDEX(Comparison!$AL$3:$AL$33,O14,1)</f>
        <v>9.9999999999999995E-7</v>
      </c>
      <c r="P15" s="22">
        <f>INDEX(Comparison!$AL$3:$AL$33,P14,1)</f>
        <v>1.0000000000000001E-5</v>
      </c>
      <c r="Q15" s="22">
        <f>INDEX(Comparison!$AL$3:$AL$33,Q14,1)</f>
        <v>1E-4</v>
      </c>
      <c r="R15" s="22">
        <f>INDEX(Comparison!$AL$3:$AL$33,R14,1)</f>
        <v>1E-3</v>
      </c>
      <c r="S15" s="22">
        <f>INDEX(Comparison!$AL$3:$AL$33,S14,1)</f>
        <v>0.01</v>
      </c>
      <c r="T15" s="22">
        <f>INDEX(Comparison!$AL$3:$AL$33,T14,1)</f>
        <v>0.1</v>
      </c>
      <c r="U15" s="22">
        <f>INDEX(Comparison!$AL$3:$AL$33,U14,1)</f>
        <v>1</v>
      </c>
      <c r="V15" s="22">
        <f>INDEX(Comparison!$AL$3:$AL$33,V14,1)</f>
        <v>10</v>
      </c>
      <c r="W15" s="22">
        <f>INDEX(Comparison!$AL$3:$AL$33,W14,1)</f>
        <v>100</v>
      </c>
      <c r="X15" s="22">
        <f>INDEX(Comparison!$AL$3:$AL$33,X14,1)</f>
        <v>1000</v>
      </c>
      <c r="Y15" s="22">
        <f>INDEX(Comparison!$AL$3:$AL$33,Y14,1)</f>
        <v>10000</v>
      </c>
      <c r="Z15" s="22">
        <f>INDEX(Comparison!$AL$3:$AL$33,Z14,1)</f>
        <v>100000</v>
      </c>
      <c r="AA15" s="22">
        <f>INDEX(Comparison!$AL$3:$AL$33,AA14,1)</f>
        <v>1000000</v>
      </c>
      <c r="AB15" s="22">
        <f>INDEX(Comparison!$AL$3:$AL$33,AB14,1)</f>
        <v>10000000</v>
      </c>
      <c r="AC15" s="22">
        <f>INDEX(Comparison!$AL$3:$AL$33,AC14,1)</f>
        <v>100000000</v>
      </c>
      <c r="AD15" s="22">
        <f>INDEX(Comparison!$AL$3:$AL$33,AD14,1)</f>
        <v>1000000000</v>
      </c>
      <c r="AE15" s="22">
        <f>INDEX(Comparison!$AL$3:$AL$33,AE14,1)</f>
        <v>10000000000</v>
      </c>
      <c r="AF15" s="22">
        <f>INDEX(Comparison!$AL$3:$AL$33,AF14,1)</f>
        <v>100000000000</v>
      </c>
      <c r="AG15" s="22">
        <f>INDEX(Comparison!$AL$3:$AL$33,AG14,1)</f>
        <v>1000000000000</v>
      </c>
      <c r="AH15" s="22">
        <f>INDEX(Comparison!$AL$3:$AL$33,AH14,1)</f>
        <v>10000000000000</v>
      </c>
      <c r="AI15" s="22">
        <f>INDEX(Comparison!$AL$3:$AL$33,AI14,1)</f>
        <v>100000000000000</v>
      </c>
      <c r="AJ15" s="22">
        <f>INDEX(Comparison!$AL$3:$AL$33,AJ14,1)</f>
        <v>1000000000000000</v>
      </c>
    </row>
    <row r="16" spans="1:36" x14ac:dyDescent="0.25">
      <c r="A16" s="11" t="s">
        <v>18</v>
      </c>
      <c r="B16" s="24" t="s">
        <v>19</v>
      </c>
      <c r="C16" s="24"/>
      <c r="D16" s="66"/>
      <c r="E16" s="25" t="s">
        <v>23</v>
      </c>
      <c r="F16" s="26">
        <f>INDEX(Comparison!$AM$3:$AS$33,F14,$B$3)</f>
        <v>5469.0375175567433</v>
      </c>
      <c r="G16" s="26">
        <f>INDEX(Comparison!$AM$3:$AS$33,G14,$B$3)</f>
        <v>5144.4254375399241</v>
      </c>
      <c r="H16" s="26">
        <f>INDEX(Comparison!$AM$3:$AS$33,H14,$B$3)</f>
        <v>4859.4796757955091</v>
      </c>
      <c r="I16" s="26">
        <f>INDEX(Comparison!$AM$3:$AS$33,I14,$B$3)</f>
        <v>4579.0872874253573</v>
      </c>
      <c r="J16" s="26">
        <f>INDEX(Comparison!$AM$3:$AS$33,J14,$B$3)</f>
        <v>4274.6287252900811</v>
      </c>
      <c r="K16" s="26">
        <f>INDEX(Comparison!$AM$3:$AS$33,K14,$B$3)</f>
        <v>3938.1560081824523</v>
      </c>
      <c r="L16" s="26">
        <f>INDEX(Comparison!$AM$3:$AS$33,L14,$B$3)</f>
        <v>3491.5925245283374</v>
      </c>
      <c r="M16" s="26">
        <f>INDEX(Comparison!$AM$3:$AS$33,M14,$B$3)</f>
        <v>2939.5473684961994</v>
      </c>
      <c r="N16" s="26">
        <f>INDEX(Comparison!$AM$3:$AS$33,N14,$B$3)</f>
        <v>2290.3210430692648</v>
      </c>
      <c r="O16" s="26">
        <f>INDEX(Comparison!$AM$3:$AS$33,O14,$B$3)</f>
        <v>1556.8723374202477</v>
      </c>
      <c r="P16" s="26">
        <f>INDEX(Comparison!$AM$3:$AS$33,P14,$B$3)</f>
        <v>939.61789874376836</v>
      </c>
      <c r="Q16" s="26">
        <f>INDEX(Comparison!$AM$3:$AS$33,Q14,$B$3)</f>
        <v>532.22470015904992</v>
      </c>
      <c r="R16" s="26">
        <f>INDEX(Comparison!$AM$3:$AS$33,R14,$B$3)</f>
        <v>294.61415856723238</v>
      </c>
      <c r="S16" s="26">
        <f>INDEX(Comparison!$AM$3:$AS$33,S14,$B$3)</f>
        <v>191.85627557437303</v>
      </c>
      <c r="T16" s="26">
        <f>INDEX(Comparison!$AM$3:$AS$33,T14,$B$3)</f>
        <v>162.27843823453597</v>
      </c>
      <c r="U16" s="26">
        <f>INDEX(Comparison!$AM$3:$AS$33,U14,$B$3)</f>
        <v>147.30961753431595</v>
      </c>
      <c r="V16" s="26">
        <f>INDEX(Comparison!$AM$3:$AS$33,V14,$B$3)</f>
        <v>142.06591803394016</v>
      </c>
      <c r="W16" s="26">
        <f>INDEX(Comparison!$AM$3:$AS$33,W14,$B$3)</f>
        <v>140.2404472955443</v>
      </c>
      <c r="X16" s="26">
        <f>INDEX(Comparison!$AM$3:$AS$33,X14,$B$3)</f>
        <v>137.13168564571805</v>
      </c>
      <c r="Y16" s="26">
        <f>INDEX(Comparison!$AM$3:$AS$33,Y14,$B$3)</f>
        <v>133.5914564553571</v>
      </c>
      <c r="Z16" s="26">
        <f>INDEX(Comparison!$AM$3:$AS$33,Z14,$B$3)</f>
        <v>130.60597118111332</v>
      </c>
      <c r="AA16" s="26">
        <f>INDEX(Comparison!$AM$3:$AS$33,AA14,$B$3)</f>
        <v>128.42317853149575</v>
      </c>
      <c r="AB16" s="26">
        <f>INDEX(Comparison!$AM$3:$AS$33,AB14,$B$3)</f>
        <v>126.92571513683149</v>
      </c>
      <c r="AC16" s="26">
        <f>INDEX(Comparison!$AM$3:$AS$33,AC14,$B$3)</f>
        <v>125.87891264299097</v>
      </c>
      <c r="AD16" s="26">
        <f>INDEX(Comparison!$AM$3:$AS$33,AD14,$B$3)</f>
        <v>125.11103067782525</v>
      </c>
      <c r="AE16" s="26">
        <f>INDEX(Comparison!$AM$3:$AS$33,AE14,$B$3)</f>
        <v>124.96985459314666</v>
      </c>
      <c r="AF16" s="26">
        <f>INDEX(Comparison!$AM$3:$AS$33,AF14,$B$3)</f>
        <v>124.77108605330615</v>
      </c>
      <c r="AG16" s="26">
        <f>INDEX(Comparison!$AM$3:$AS$33,AG14,$B$3)</f>
        <v>123.93614365125383</v>
      </c>
      <c r="AH16" s="26">
        <f>INDEX(Comparison!$AM$3:$AS$33,AH14,$B$3)</f>
        <v>123.92285545904397</v>
      </c>
      <c r="AI16" s="26">
        <f>INDEX(Comparison!$AM$3:$AS$33,AI14,$B$3)</f>
        <v>123.48008539289999</v>
      </c>
      <c r="AJ16" s="26">
        <f>INDEX(Comparison!$AM$3:$AS$33,AJ14,$B$3)</f>
        <v>123.46865182434244</v>
      </c>
    </row>
    <row r="17" spans="1:36" x14ac:dyDescent="0.25">
      <c r="A17" s="14" t="s">
        <v>20</v>
      </c>
      <c r="B17" s="105">
        <v>1.2983460183573247E-2</v>
      </c>
      <c r="C17" s="18">
        <f t="shared" ref="C17:C48" si="3">ABS(B17/$B$49)</f>
        <v>1.857811261659003E-2</v>
      </c>
      <c r="D17" s="66"/>
      <c r="E17" s="65" t="s">
        <v>22</v>
      </c>
      <c r="F17" s="27">
        <f>($C$17+SUM(F18:F48))*$B$51</f>
        <v>5378.5098905585701</v>
      </c>
      <c r="G17" s="27">
        <f t="shared" ref="G17:M17" si="4">($C$17+SUM(G18:G48))*$B$51</f>
        <v>5261.5173491801879</v>
      </c>
      <c r="H17" s="27">
        <f t="shared" si="4"/>
        <v>4828.4823588010186</v>
      </c>
      <c r="I17" s="27">
        <f t="shared" si="4"/>
        <v>4584.1468399158102</v>
      </c>
      <c r="J17" s="27">
        <f t="shared" si="4"/>
        <v>4273.9238340595275</v>
      </c>
      <c r="K17" s="27">
        <f t="shared" si="4"/>
        <v>3938.2419342696571</v>
      </c>
      <c r="L17" s="27">
        <f t="shared" si="4"/>
        <v>3491.5870681906717</v>
      </c>
      <c r="M17" s="27">
        <f t="shared" si="4"/>
        <v>2939.5405045856096</v>
      </c>
      <c r="N17" s="27">
        <f t="shared" ref="N17" si="5">($C$17+SUM(N18:N48))*$B$51</f>
        <v>2290.3324775332831</v>
      </c>
      <c r="O17" s="27">
        <f t="shared" ref="O17" si="6">($C$17+SUM(O18:O48))*$B$51</f>
        <v>1556.8575208211059</v>
      </c>
      <c r="P17" s="27">
        <f t="shared" ref="P17" si="7">($C$17+SUM(P18:P48))*$B$51</f>
        <v>939.63503932259869</v>
      </c>
      <c r="Q17" s="27">
        <f t="shared" ref="Q17" si="8">($C$17+SUM(Q18:Q48))*$B$51</f>
        <v>532.20286003130195</v>
      </c>
      <c r="R17" s="27">
        <f t="shared" ref="R17" si="9">($C$17+SUM(R18:R48))*$B$51</f>
        <v>294.64032325310751</v>
      </c>
      <c r="S17" s="27">
        <f t="shared" ref="S17:T17" si="10">($C$17+SUM(S18:S48))*$B$51</f>
        <v>191.82717558136176</v>
      </c>
      <c r="T17" s="27">
        <f t="shared" si="10"/>
        <v>162.30693557643852</v>
      </c>
      <c r="U17" s="27">
        <f t="shared" ref="U17" si="11">($C$17+SUM(U18:U48))*$B$51</f>
        <v>147.28568433558286</v>
      </c>
      <c r="V17" s="27">
        <f t="shared" ref="V17" si="12">($C$17+SUM(V18:V48))*$B$51</f>
        <v>142.08368017568341</v>
      </c>
      <c r="W17" s="27">
        <f t="shared" ref="W17" si="13">($C$17+SUM(W18:W48))*$B$51</f>
        <v>140.22832487531781</v>
      </c>
      <c r="X17" s="27">
        <f t="shared" ref="X17" si="14">($C$17+SUM(X18:X48))*$B$51</f>
        <v>137.1376268647258</v>
      </c>
      <c r="Y17" s="27">
        <f t="shared" ref="Y17" si="15">($C$17+SUM(Y18:Y48))*$B$51</f>
        <v>133.59005073229812</v>
      </c>
      <c r="Z17" s="27">
        <f t="shared" ref="Z17:AA17" si="16">($C$17+SUM(Z18:Z48))*$B$51</f>
        <v>130.60406590732262</v>
      </c>
      <c r="AA17" s="27">
        <f t="shared" si="16"/>
        <v>128.42556854606931</v>
      </c>
      <c r="AB17" s="27">
        <f t="shared" ref="AB17" si="17">($C$17+SUM(AB18:AB48))*$B$51</f>
        <v>126.94457225027628</v>
      </c>
      <c r="AC17" s="27">
        <f t="shared" ref="AC17" si="18">($C$17+SUM(AC18:AC48))*$B$51</f>
        <v>125.83046112174904</v>
      </c>
      <c r="AD17" s="27">
        <f t="shared" ref="AD17" si="19">($C$17+SUM(AD18:AD48))*$B$51</f>
        <v>125.09716721142166</v>
      </c>
      <c r="AE17" s="27">
        <f t="shared" ref="AE17" si="20">($C$17+SUM(AE18:AE48))*$B$51</f>
        <v>125.04599599434646</v>
      </c>
      <c r="AF17" s="27">
        <f t="shared" ref="AF17" si="21">($C$17+SUM(AF18:AF48))*$B$51</f>
        <v>124.69806857820907</v>
      </c>
      <c r="AG17" s="27">
        <f t="shared" ref="AG17:AH17" si="22">($C$17+SUM(AG18:AG48))*$B$51</f>
        <v>124.02704526576022</v>
      </c>
      <c r="AH17" s="27">
        <f t="shared" si="22"/>
        <v>123.6923899717585</v>
      </c>
      <c r="AI17" s="27">
        <f t="shared" ref="AI17" si="23">($C$17+SUM(AI18:AI48))*$B$51</f>
        <v>123.67006612196975</v>
      </c>
      <c r="AJ17" s="27">
        <f t="shared" ref="AJ17" si="24">($C$17+SUM(AJ18:AJ48))*$B$51</f>
        <v>123.45792847120246</v>
      </c>
    </row>
    <row r="18" spans="1:36" x14ac:dyDescent="0.25">
      <c r="A18" s="3">
        <f>0.000000000000001/10^5</f>
        <v>1.0000000000000001E-20</v>
      </c>
      <c r="B18" s="106">
        <v>0.12114206769566782</v>
      </c>
      <c r="C18" s="18">
        <f t="shared" si="3"/>
        <v>0.17334292587920061</v>
      </c>
      <c r="D18" s="17"/>
      <c r="F18" s="3">
        <f t="shared" ref="F18:U33" si="25">$C18*EXP(-F$15/$A18)</f>
        <v>0</v>
      </c>
      <c r="G18" s="3">
        <f t="shared" si="25"/>
        <v>0</v>
      </c>
      <c r="H18" s="3">
        <f t="shared" si="25"/>
        <v>0</v>
      </c>
      <c r="I18" s="3">
        <f t="shared" si="25"/>
        <v>0</v>
      </c>
      <c r="J18" s="3">
        <f t="shared" si="25"/>
        <v>0</v>
      </c>
      <c r="K18" s="3">
        <f t="shared" si="25"/>
        <v>0</v>
      </c>
      <c r="L18" s="3">
        <f t="shared" si="25"/>
        <v>0</v>
      </c>
      <c r="M18" s="3">
        <f t="shared" si="25"/>
        <v>0</v>
      </c>
      <c r="N18" s="3">
        <f t="shared" si="25"/>
        <v>0</v>
      </c>
      <c r="O18" s="3">
        <f t="shared" si="25"/>
        <v>0</v>
      </c>
      <c r="P18" s="3">
        <f t="shared" si="25"/>
        <v>0</v>
      </c>
      <c r="Q18" s="3">
        <f t="shared" si="25"/>
        <v>0</v>
      </c>
      <c r="R18" s="3">
        <f t="shared" si="25"/>
        <v>0</v>
      </c>
      <c r="S18" s="3">
        <f t="shared" si="25"/>
        <v>0</v>
      </c>
      <c r="T18" s="3">
        <f t="shared" si="25"/>
        <v>0</v>
      </c>
      <c r="U18" s="3">
        <f t="shared" si="25"/>
        <v>0</v>
      </c>
      <c r="V18" s="3">
        <f t="shared" ref="V18:AJ33" si="26">$C18*EXP(-V$15/$A18)</f>
        <v>0</v>
      </c>
      <c r="W18" s="3">
        <f t="shared" si="26"/>
        <v>0</v>
      </c>
      <c r="X18" s="3">
        <f t="shared" si="26"/>
        <v>0</v>
      </c>
      <c r="Y18" s="3">
        <f t="shared" si="26"/>
        <v>0</v>
      </c>
      <c r="Z18" s="3">
        <f t="shared" si="26"/>
        <v>0</v>
      </c>
      <c r="AA18" s="3">
        <f t="shared" si="26"/>
        <v>0</v>
      </c>
      <c r="AB18" s="3">
        <f t="shared" si="26"/>
        <v>0</v>
      </c>
      <c r="AC18" s="3">
        <f t="shared" si="26"/>
        <v>0</v>
      </c>
      <c r="AD18" s="3">
        <f t="shared" si="26"/>
        <v>0</v>
      </c>
      <c r="AE18" s="3">
        <f t="shared" si="26"/>
        <v>0</v>
      </c>
      <c r="AF18" s="3">
        <f t="shared" si="26"/>
        <v>0</v>
      </c>
      <c r="AG18" s="3">
        <f t="shared" si="26"/>
        <v>0</v>
      </c>
      <c r="AH18" s="3">
        <f t="shared" si="26"/>
        <v>0</v>
      </c>
      <c r="AI18" s="3">
        <f t="shared" si="26"/>
        <v>0</v>
      </c>
      <c r="AJ18" s="3">
        <f t="shared" si="26"/>
        <v>0</v>
      </c>
    </row>
    <row r="19" spans="1:36" x14ac:dyDescent="0.25">
      <c r="A19" s="3">
        <v>3.9038946506297401E-14</v>
      </c>
      <c r="B19" s="106">
        <v>5.989320789501517E-2</v>
      </c>
      <c r="C19" s="18">
        <f t="shared" si="3"/>
        <v>8.5701557636401818E-2</v>
      </c>
      <c r="D19" s="17"/>
      <c r="F19" s="3">
        <f t="shared" si="25"/>
        <v>8.3534152111694585E-2</v>
      </c>
      <c r="G19" s="3">
        <f t="shared" si="25"/>
        <v>6.6334926117223247E-2</v>
      </c>
      <c r="H19" s="3">
        <f t="shared" si="25"/>
        <v>6.6149118243313994E-3</v>
      </c>
      <c r="I19" s="3">
        <f t="shared" si="25"/>
        <v>6.4319425513111083E-13</v>
      </c>
      <c r="J19" s="3">
        <f t="shared" si="25"/>
        <v>4.8587340638123894E-113</v>
      </c>
      <c r="K19" s="3">
        <f t="shared" si="25"/>
        <v>0</v>
      </c>
      <c r="L19" s="3">
        <f t="shared" si="25"/>
        <v>0</v>
      </c>
      <c r="M19" s="3">
        <f t="shared" si="25"/>
        <v>0</v>
      </c>
      <c r="N19" s="3">
        <f t="shared" si="25"/>
        <v>0</v>
      </c>
      <c r="O19" s="3">
        <f t="shared" si="25"/>
        <v>0</v>
      </c>
      <c r="P19" s="3">
        <f t="shared" si="25"/>
        <v>0</v>
      </c>
      <c r="Q19" s="3">
        <f t="shared" si="25"/>
        <v>0</v>
      </c>
      <c r="R19" s="3">
        <f t="shared" si="25"/>
        <v>0</v>
      </c>
      <c r="S19" s="3">
        <f t="shared" si="25"/>
        <v>0</v>
      </c>
      <c r="T19" s="3">
        <f t="shared" si="25"/>
        <v>0</v>
      </c>
      <c r="U19" s="3">
        <f t="shared" si="25"/>
        <v>0</v>
      </c>
      <c r="V19" s="3">
        <f t="shared" si="26"/>
        <v>0</v>
      </c>
      <c r="W19" s="3">
        <f t="shared" si="26"/>
        <v>0</v>
      </c>
      <c r="X19" s="3">
        <f t="shared" si="26"/>
        <v>0</v>
      </c>
      <c r="Y19" s="3">
        <f t="shared" si="26"/>
        <v>0</v>
      </c>
      <c r="Z19" s="3">
        <f t="shared" si="26"/>
        <v>0</v>
      </c>
      <c r="AA19" s="3">
        <f t="shared" si="26"/>
        <v>0</v>
      </c>
      <c r="AB19" s="3">
        <f t="shared" si="26"/>
        <v>0</v>
      </c>
      <c r="AC19" s="3">
        <f t="shared" si="26"/>
        <v>0</v>
      </c>
      <c r="AD19" s="3">
        <f t="shared" si="26"/>
        <v>0</v>
      </c>
      <c r="AE19" s="3">
        <f t="shared" si="26"/>
        <v>0</v>
      </c>
      <c r="AF19" s="3">
        <f t="shared" si="26"/>
        <v>0</v>
      </c>
      <c r="AG19" s="3">
        <f t="shared" si="26"/>
        <v>0</v>
      </c>
      <c r="AH19" s="3">
        <f t="shared" si="26"/>
        <v>0</v>
      </c>
      <c r="AI19" s="3">
        <f t="shared" si="26"/>
        <v>0</v>
      </c>
      <c r="AJ19" s="3">
        <f t="shared" si="26"/>
        <v>0</v>
      </c>
    </row>
    <row r="20" spans="1:36" x14ac:dyDescent="0.25">
      <c r="A20" s="3">
        <v>4.3276437088188502E-13</v>
      </c>
      <c r="B20" s="106">
        <v>2.1310856364958407E-2</v>
      </c>
      <c r="C20" s="18">
        <f t="shared" si="3"/>
        <v>3.0493834764101356E-2</v>
      </c>
      <c r="D20" s="17"/>
      <c r="F20" s="3">
        <f t="shared" si="25"/>
        <v>3.0423453206648746E-2</v>
      </c>
      <c r="G20" s="3">
        <f t="shared" si="25"/>
        <v>2.979728439309751E-2</v>
      </c>
      <c r="H20" s="3">
        <f t="shared" si="25"/>
        <v>2.4202402314210728E-2</v>
      </c>
      <c r="I20" s="3">
        <f t="shared" si="25"/>
        <v>3.0246586903865938E-3</v>
      </c>
      <c r="J20" s="3">
        <f t="shared" si="25"/>
        <v>2.8109645289522877E-12</v>
      </c>
      <c r="K20" s="3">
        <f t="shared" si="25"/>
        <v>1.3509686452050913E-102</v>
      </c>
      <c r="L20" s="3">
        <f t="shared" si="25"/>
        <v>0</v>
      </c>
      <c r="M20" s="3">
        <f t="shared" si="25"/>
        <v>0</v>
      </c>
      <c r="N20" s="3">
        <f t="shared" si="25"/>
        <v>0</v>
      </c>
      <c r="O20" s="3">
        <f t="shared" si="25"/>
        <v>0</v>
      </c>
      <c r="P20" s="3">
        <f t="shared" si="25"/>
        <v>0</v>
      </c>
      <c r="Q20" s="3">
        <f t="shared" si="25"/>
        <v>0</v>
      </c>
      <c r="R20" s="3">
        <f t="shared" si="25"/>
        <v>0</v>
      </c>
      <c r="S20" s="3">
        <f t="shared" si="25"/>
        <v>0</v>
      </c>
      <c r="T20" s="3">
        <f t="shared" si="25"/>
        <v>0</v>
      </c>
      <c r="U20" s="3">
        <f t="shared" si="25"/>
        <v>0</v>
      </c>
      <c r="V20" s="3">
        <f t="shared" si="26"/>
        <v>0</v>
      </c>
      <c r="W20" s="3">
        <f t="shared" si="26"/>
        <v>0</v>
      </c>
      <c r="X20" s="3">
        <f t="shared" si="26"/>
        <v>0</v>
      </c>
      <c r="Y20" s="3">
        <f t="shared" si="26"/>
        <v>0</v>
      </c>
      <c r="Z20" s="3">
        <f t="shared" si="26"/>
        <v>0</v>
      </c>
      <c r="AA20" s="3">
        <f t="shared" si="26"/>
        <v>0</v>
      </c>
      <c r="AB20" s="3">
        <f t="shared" si="26"/>
        <v>0</v>
      </c>
      <c r="AC20" s="3">
        <f t="shared" si="26"/>
        <v>0</v>
      </c>
      <c r="AD20" s="3">
        <f t="shared" si="26"/>
        <v>0</v>
      </c>
      <c r="AE20" s="3">
        <f t="shared" si="26"/>
        <v>0</v>
      </c>
      <c r="AF20" s="3">
        <f t="shared" si="26"/>
        <v>0</v>
      </c>
      <c r="AG20" s="3">
        <f t="shared" si="26"/>
        <v>0</v>
      </c>
      <c r="AH20" s="3">
        <f t="shared" si="26"/>
        <v>0</v>
      </c>
      <c r="AI20" s="3">
        <f t="shared" si="26"/>
        <v>0</v>
      </c>
      <c r="AJ20" s="3">
        <f t="shared" si="26"/>
        <v>0</v>
      </c>
    </row>
    <row r="21" spans="1:36" x14ac:dyDescent="0.25">
      <c r="A21" s="3">
        <v>4.7973886968128502E-12</v>
      </c>
      <c r="B21" s="106">
        <v>3.6310291711197339E-2</v>
      </c>
      <c r="C21" s="18">
        <f t="shared" si="3"/>
        <v>5.1956618575789072E-2</v>
      </c>
      <c r="D21" s="17"/>
      <c r="F21" s="3">
        <f t="shared" si="25"/>
        <v>5.1945789517077852E-2</v>
      </c>
      <c r="G21" s="3">
        <f t="shared" si="25"/>
        <v>5.1848429499346295E-2</v>
      </c>
      <c r="H21" s="3">
        <f t="shared" si="25"/>
        <v>5.0884809400866524E-2</v>
      </c>
      <c r="I21" s="3">
        <f t="shared" si="25"/>
        <v>4.218068350497238E-2</v>
      </c>
      <c r="J21" s="3">
        <f t="shared" si="25"/>
        <v>6.4620188462164415E-3</v>
      </c>
      <c r="K21" s="3">
        <f t="shared" si="25"/>
        <v>4.6016575359131507E-11</v>
      </c>
      <c r="L21" s="3">
        <f t="shared" si="25"/>
        <v>1.5430323698288902E-92</v>
      </c>
      <c r="M21" s="3">
        <f t="shared" si="25"/>
        <v>0</v>
      </c>
      <c r="N21" s="3">
        <f t="shared" si="25"/>
        <v>0</v>
      </c>
      <c r="O21" s="3">
        <f t="shared" si="25"/>
        <v>0</v>
      </c>
      <c r="P21" s="3">
        <f t="shared" si="25"/>
        <v>0</v>
      </c>
      <c r="Q21" s="3">
        <f t="shared" si="25"/>
        <v>0</v>
      </c>
      <c r="R21" s="3">
        <f t="shared" si="25"/>
        <v>0</v>
      </c>
      <c r="S21" s="3">
        <f t="shared" si="25"/>
        <v>0</v>
      </c>
      <c r="T21" s="3">
        <f t="shared" si="25"/>
        <v>0</v>
      </c>
      <c r="U21" s="3">
        <f t="shared" si="25"/>
        <v>0</v>
      </c>
      <c r="V21" s="3">
        <f t="shared" si="26"/>
        <v>0</v>
      </c>
      <c r="W21" s="3">
        <f t="shared" si="26"/>
        <v>0</v>
      </c>
      <c r="X21" s="3">
        <f t="shared" si="26"/>
        <v>0</v>
      </c>
      <c r="Y21" s="3">
        <f t="shared" si="26"/>
        <v>0</v>
      </c>
      <c r="Z21" s="3">
        <f t="shared" si="26"/>
        <v>0</v>
      </c>
      <c r="AA21" s="3">
        <f t="shared" si="26"/>
        <v>0</v>
      </c>
      <c r="AB21" s="3">
        <f t="shared" si="26"/>
        <v>0</v>
      </c>
      <c r="AC21" s="3">
        <f t="shared" si="26"/>
        <v>0</v>
      </c>
      <c r="AD21" s="3">
        <f t="shared" si="26"/>
        <v>0</v>
      </c>
      <c r="AE21" s="3">
        <f t="shared" si="26"/>
        <v>0</v>
      </c>
      <c r="AF21" s="3">
        <f t="shared" si="26"/>
        <v>0</v>
      </c>
      <c r="AG21" s="3">
        <f t="shared" si="26"/>
        <v>0</v>
      </c>
      <c r="AH21" s="3">
        <f t="shared" si="26"/>
        <v>0</v>
      </c>
      <c r="AI21" s="3">
        <f t="shared" si="26"/>
        <v>0</v>
      </c>
      <c r="AJ21" s="3">
        <f t="shared" si="26"/>
        <v>0</v>
      </c>
    </row>
    <row r="22" spans="1:36" x14ac:dyDescent="0.25">
      <c r="A22" s="3">
        <v>5.31812225239524E-11</v>
      </c>
      <c r="B22" s="106">
        <v>3.4616624874941757E-2</v>
      </c>
      <c r="C22" s="18">
        <f t="shared" si="3"/>
        <v>4.953314033701034E-2</v>
      </c>
      <c r="D22" s="17"/>
      <c r="F22" s="3">
        <f t="shared" si="25"/>
        <v>4.9532208942952669E-2</v>
      </c>
      <c r="G22" s="3">
        <f t="shared" si="25"/>
        <v>4.9523827184498187E-2</v>
      </c>
      <c r="H22" s="3">
        <f t="shared" si="25"/>
        <v>4.9440087569466551E-2</v>
      </c>
      <c r="I22" s="3">
        <f t="shared" si="25"/>
        <v>4.861043976922548E-2</v>
      </c>
      <c r="J22" s="3">
        <f t="shared" si="25"/>
        <v>4.1042398954017359E-2</v>
      </c>
      <c r="K22" s="3">
        <f t="shared" si="25"/>
        <v>7.5555244139554768E-3</v>
      </c>
      <c r="L22" s="3">
        <f t="shared" si="25"/>
        <v>3.3774067679372521E-10</v>
      </c>
      <c r="M22" s="3">
        <f t="shared" si="25"/>
        <v>1.0758975787050525E-83</v>
      </c>
      <c r="N22" s="3">
        <f t="shared" si="25"/>
        <v>0</v>
      </c>
      <c r="O22" s="3">
        <f t="shared" si="25"/>
        <v>0</v>
      </c>
      <c r="P22" s="3">
        <f t="shared" si="25"/>
        <v>0</v>
      </c>
      <c r="Q22" s="3">
        <f t="shared" si="25"/>
        <v>0</v>
      </c>
      <c r="R22" s="3">
        <f t="shared" si="25"/>
        <v>0</v>
      </c>
      <c r="S22" s="3">
        <f t="shared" si="25"/>
        <v>0</v>
      </c>
      <c r="T22" s="3">
        <f t="shared" si="25"/>
        <v>0</v>
      </c>
      <c r="U22" s="3">
        <f t="shared" si="25"/>
        <v>0</v>
      </c>
      <c r="V22" s="3">
        <f t="shared" si="26"/>
        <v>0</v>
      </c>
      <c r="W22" s="3">
        <f t="shared" si="26"/>
        <v>0</v>
      </c>
      <c r="X22" s="3">
        <f t="shared" si="26"/>
        <v>0</v>
      </c>
      <c r="Y22" s="3">
        <f t="shared" si="26"/>
        <v>0</v>
      </c>
      <c r="Z22" s="3">
        <f t="shared" si="26"/>
        <v>0</v>
      </c>
      <c r="AA22" s="3">
        <f t="shared" si="26"/>
        <v>0</v>
      </c>
      <c r="AB22" s="3">
        <f t="shared" si="26"/>
        <v>0</v>
      </c>
      <c r="AC22" s="3">
        <f t="shared" si="26"/>
        <v>0</v>
      </c>
      <c r="AD22" s="3">
        <f t="shared" si="26"/>
        <v>0</v>
      </c>
      <c r="AE22" s="3">
        <f t="shared" si="26"/>
        <v>0</v>
      </c>
      <c r="AF22" s="3">
        <f t="shared" si="26"/>
        <v>0</v>
      </c>
      <c r="AG22" s="3">
        <f t="shared" si="26"/>
        <v>0</v>
      </c>
      <c r="AH22" s="3">
        <f t="shared" si="26"/>
        <v>0</v>
      </c>
      <c r="AI22" s="3">
        <f t="shared" si="26"/>
        <v>0</v>
      </c>
      <c r="AJ22" s="3">
        <f t="shared" si="26"/>
        <v>0</v>
      </c>
    </row>
    <row r="23" spans="1:36" x14ac:dyDescent="0.25">
      <c r="A23" s="3">
        <v>5.8953789402578301E-10</v>
      </c>
      <c r="B23" s="106">
        <v>5.0870342853875594E-2</v>
      </c>
      <c r="C23" s="18">
        <f t="shared" si="3"/>
        <v>7.2790684842208797E-2</v>
      </c>
      <c r="D23" s="17"/>
      <c r="F23" s="3">
        <f t="shared" si="25"/>
        <v>7.2790561371565352E-2</v>
      </c>
      <c r="G23" s="3">
        <f t="shared" si="25"/>
        <v>7.2789450145198997E-2</v>
      </c>
      <c r="H23" s="3">
        <f t="shared" si="25"/>
        <v>7.2778338814516355E-2</v>
      </c>
      <c r="I23" s="3">
        <f t="shared" si="25"/>
        <v>7.2667318753113538E-2</v>
      </c>
      <c r="J23" s="3">
        <f t="shared" si="25"/>
        <v>7.1566390226225574E-2</v>
      </c>
      <c r="K23" s="3">
        <f t="shared" si="25"/>
        <v>6.1434011262371309E-2</v>
      </c>
      <c r="L23" s="3">
        <f t="shared" si="25"/>
        <v>1.3347701363224744E-2</v>
      </c>
      <c r="M23" s="3">
        <f t="shared" si="25"/>
        <v>3.1288343057700302E-9</v>
      </c>
      <c r="N23" s="3">
        <f t="shared" si="25"/>
        <v>1.5672684778602688E-75</v>
      </c>
      <c r="O23" s="3">
        <f t="shared" si="25"/>
        <v>0</v>
      </c>
      <c r="P23" s="3">
        <f t="shared" si="25"/>
        <v>0</v>
      </c>
      <c r="Q23" s="3">
        <f t="shared" si="25"/>
        <v>0</v>
      </c>
      <c r="R23" s="3">
        <f t="shared" si="25"/>
        <v>0</v>
      </c>
      <c r="S23" s="3">
        <f t="shared" si="25"/>
        <v>0</v>
      </c>
      <c r="T23" s="3">
        <f t="shared" si="25"/>
        <v>0</v>
      </c>
      <c r="U23" s="3">
        <f t="shared" si="25"/>
        <v>0</v>
      </c>
      <c r="V23" s="3">
        <f t="shared" si="26"/>
        <v>0</v>
      </c>
      <c r="W23" s="3">
        <f t="shared" si="26"/>
        <v>0</v>
      </c>
      <c r="X23" s="3">
        <f t="shared" si="26"/>
        <v>0</v>
      </c>
      <c r="Y23" s="3">
        <f t="shared" si="26"/>
        <v>0</v>
      </c>
      <c r="Z23" s="3">
        <f t="shared" si="26"/>
        <v>0</v>
      </c>
      <c r="AA23" s="3">
        <f t="shared" si="26"/>
        <v>0</v>
      </c>
      <c r="AB23" s="3">
        <f t="shared" si="26"/>
        <v>0</v>
      </c>
      <c r="AC23" s="3">
        <f t="shared" si="26"/>
        <v>0</v>
      </c>
      <c r="AD23" s="3">
        <f t="shared" si="26"/>
        <v>0</v>
      </c>
      <c r="AE23" s="3">
        <f t="shared" si="26"/>
        <v>0</v>
      </c>
      <c r="AF23" s="3">
        <f t="shared" si="26"/>
        <v>0</v>
      </c>
      <c r="AG23" s="3">
        <f t="shared" si="26"/>
        <v>0</v>
      </c>
      <c r="AH23" s="3">
        <f t="shared" si="26"/>
        <v>0</v>
      </c>
      <c r="AI23" s="3">
        <f t="shared" si="26"/>
        <v>0</v>
      </c>
      <c r="AJ23" s="3">
        <f t="shared" si="26"/>
        <v>0</v>
      </c>
    </row>
    <row r="24" spans="1:36" x14ac:dyDescent="0.25">
      <c r="A24" s="3">
        <v>6.5352940755699598E-9</v>
      </c>
      <c r="B24" s="106">
        <v>6.2661630537749272E-2</v>
      </c>
      <c r="C24" s="18">
        <f t="shared" si="3"/>
        <v>8.9662910534614892E-2</v>
      </c>
      <c r="D24" s="17"/>
      <c r="F24" s="3">
        <f t="shared" si="25"/>
        <v>8.9662896814818566E-2</v>
      </c>
      <c r="G24" s="3">
        <f t="shared" si="25"/>
        <v>8.9662773336746063E-2</v>
      </c>
      <c r="H24" s="3">
        <f t="shared" si="25"/>
        <v>8.9661538565373552E-2</v>
      </c>
      <c r="I24" s="3">
        <f t="shared" si="25"/>
        <v>8.9649191786850976E-2</v>
      </c>
      <c r="J24" s="3">
        <f t="shared" si="25"/>
        <v>8.9525817474245609E-2</v>
      </c>
      <c r="K24" s="3">
        <f t="shared" si="25"/>
        <v>8.8301374157044324E-2</v>
      </c>
      <c r="L24" s="3">
        <f t="shared" si="25"/>
        <v>7.6941231070492194E-2</v>
      </c>
      <c r="M24" s="3">
        <f t="shared" si="25"/>
        <v>1.9412247376680049E-2</v>
      </c>
      <c r="N24" s="3">
        <f t="shared" si="25"/>
        <v>2.0288160849662658E-8</v>
      </c>
      <c r="O24" s="3">
        <f t="shared" si="25"/>
        <v>3.1543603362138002E-68</v>
      </c>
      <c r="P24" s="3">
        <f t="shared" si="25"/>
        <v>0</v>
      </c>
      <c r="Q24" s="3">
        <f t="shared" si="25"/>
        <v>0</v>
      </c>
      <c r="R24" s="3">
        <f t="shared" si="25"/>
        <v>0</v>
      </c>
      <c r="S24" s="3">
        <f t="shared" si="25"/>
        <v>0</v>
      </c>
      <c r="T24" s="3">
        <f t="shared" si="25"/>
        <v>0</v>
      </c>
      <c r="U24" s="3">
        <f t="shared" si="25"/>
        <v>0</v>
      </c>
      <c r="V24" s="3">
        <f t="shared" si="26"/>
        <v>0</v>
      </c>
      <c r="W24" s="3">
        <f t="shared" si="26"/>
        <v>0</v>
      </c>
      <c r="X24" s="3">
        <f t="shared" si="26"/>
        <v>0</v>
      </c>
      <c r="Y24" s="3">
        <f t="shared" si="26"/>
        <v>0</v>
      </c>
      <c r="Z24" s="3">
        <f t="shared" si="26"/>
        <v>0</v>
      </c>
      <c r="AA24" s="3">
        <f t="shared" si="26"/>
        <v>0</v>
      </c>
      <c r="AB24" s="3">
        <f t="shared" si="26"/>
        <v>0</v>
      </c>
      <c r="AC24" s="3">
        <f t="shared" si="26"/>
        <v>0</v>
      </c>
      <c r="AD24" s="3">
        <f t="shared" si="26"/>
        <v>0</v>
      </c>
      <c r="AE24" s="3">
        <f t="shared" si="26"/>
        <v>0</v>
      </c>
      <c r="AF24" s="3">
        <f t="shared" si="26"/>
        <v>0</v>
      </c>
      <c r="AG24" s="3">
        <f t="shared" si="26"/>
        <v>0</v>
      </c>
      <c r="AH24" s="3">
        <f t="shared" si="26"/>
        <v>0</v>
      </c>
      <c r="AI24" s="3">
        <f t="shared" si="26"/>
        <v>0</v>
      </c>
      <c r="AJ24" s="3">
        <f t="shared" si="26"/>
        <v>0</v>
      </c>
    </row>
    <row r="25" spans="1:36" x14ac:dyDescent="0.25">
      <c r="A25" s="3">
        <v>7.2446689325643296E-8</v>
      </c>
      <c r="B25" s="106">
        <v>7.4065102491309848E-2</v>
      </c>
      <c r="C25" s="18">
        <f t="shared" si="3"/>
        <v>0.1059802083256471</v>
      </c>
      <c r="D25" s="17"/>
      <c r="F25" s="3">
        <f t="shared" si="25"/>
        <v>0.10598020686277544</v>
      </c>
      <c r="G25" s="3">
        <f t="shared" si="25"/>
        <v>0.10598019369693155</v>
      </c>
      <c r="H25" s="3">
        <f t="shared" si="25"/>
        <v>0.10598006203858255</v>
      </c>
      <c r="I25" s="3">
        <f t="shared" si="25"/>
        <v>0.10597874546408807</v>
      </c>
      <c r="J25" s="3">
        <f t="shared" si="25"/>
        <v>0.10596558061866831</v>
      </c>
      <c r="K25" s="3">
        <f t="shared" si="25"/>
        <v>0.10583402207563199</v>
      </c>
      <c r="L25" s="3">
        <f t="shared" si="25"/>
        <v>0.10452738657085892</v>
      </c>
      <c r="M25" s="3">
        <f t="shared" si="25"/>
        <v>9.2316217495766434E-2</v>
      </c>
      <c r="N25" s="3">
        <f t="shared" si="25"/>
        <v>2.6653674941922278E-2</v>
      </c>
      <c r="O25" s="3">
        <f t="shared" si="25"/>
        <v>1.0728723415426507E-7</v>
      </c>
      <c r="P25" s="3">
        <f t="shared" si="25"/>
        <v>1.198002085702258E-61</v>
      </c>
      <c r="Q25" s="3">
        <f t="shared" si="25"/>
        <v>0</v>
      </c>
      <c r="R25" s="3">
        <f t="shared" si="25"/>
        <v>0</v>
      </c>
      <c r="S25" s="3">
        <f t="shared" si="25"/>
        <v>0</v>
      </c>
      <c r="T25" s="3">
        <f t="shared" si="25"/>
        <v>0</v>
      </c>
      <c r="U25" s="3">
        <f t="shared" si="25"/>
        <v>0</v>
      </c>
      <c r="V25" s="3">
        <f t="shared" si="26"/>
        <v>0</v>
      </c>
      <c r="W25" s="3">
        <f t="shared" si="26"/>
        <v>0</v>
      </c>
      <c r="X25" s="3">
        <f t="shared" si="26"/>
        <v>0</v>
      </c>
      <c r="Y25" s="3">
        <f t="shared" si="26"/>
        <v>0</v>
      </c>
      <c r="Z25" s="3">
        <f t="shared" si="26"/>
        <v>0</v>
      </c>
      <c r="AA25" s="3">
        <f t="shared" si="26"/>
        <v>0</v>
      </c>
      <c r="AB25" s="3">
        <f t="shared" si="26"/>
        <v>0</v>
      </c>
      <c r="AC25" s="3">
        <f t="shared" si="26"/>
        <v>0</v>
      </c>
      <c r="AD25" s="3">
        <f t="shared" si="26"/>
        <v>0</v>
      </c>
      <c r="AE25" s="3">
        <f t="shared" si="26"/>
        <v>0</v>
      </c>
      <c r="AF25" s="3">
        <f t="shared" si="26"/>
        <v>0</v>
      </c>
      <c r="AG25" s="3">
        <f t="shared" si="26"/>
        <v>0</v>
      </c>
      <c r="AH25" s="3">
        <f t="shared" si="26"/>
        <v>0</v>
      </c>
      <c r="AI25" s="3">
        <f t="shared" si="26"/>
        <v>0</v>
      </c>
      <c r="AJ25" s="3">
        <f t="shared" si="26"/>
        <v>0</v>
      </c>
    </row>
    <row r="26" spans="1:36" x14ac:dyDescent="0.25">
      <c r="A26" s="3">
        <v>8.03104303120212E-7</v>
      </c>
      <c r="B26" s="106">
        <v>8.9789849747372238E-2</v>
      </c>
      <c r="C26" s="18">
        <f t="shared" si="3"/>
        <v>0.12848084538695642</v>
      </c>
      <c r="D26" s="17"/>
      <c r="F26" s="3">
        <f t="shared" si="25"/>
        <v>0.12848084522697614</v>
      </c>
      <c r="G26" s="3">
        <f t="shared" si="25"/>
        <v>0.12848084378715371</v>
      </c>
      <c r="H26" s="3">
        <f t="shared" si="25"/>
        <v>0.12848082938893016</v>
      </c>
      <c r="I26" s="3">
        <f t="shared" si="25"/>
        <v>0.12848068540678337</v>
      </c>
      <c r="J26" s="3">
        <f t="shared" si="25"/>
        <v>0.12847924559418991</v>
      </c>
      <c r="K26" s="3">
        <f t="shared" si="25"/>
        <v>0.12846484835566097</v>
      </c>
      <c r="L26" s="3">
        <f t="shared" si="25"/>
        <v>0.12832096467415008</v>
      </c>
      <c r="M26" s="3">
        <f t="shared" si="25"/>
        <v>0.12689096156666577</v>
      </c>
      <c r="N26" s="3">
        <f t="shared" si="25"/>
        <v>0.11343874533492279</v>
      </c>
      <c r="O26" s="3">
        <f t="shared" si="25"/>
        <v>3.6988666495554073E-2</v>
      </c>
      <c r="P26" s="3">
        <f t="shared" si="25"/>
        <v>5.0250602759711906E-7</v>
      </c>
      <c r="Q26" s="3">
        <f t="shared" si="25"/>
        <v>1.0761363101938918E-55</v>
      </c>
      <c r="R26" s="3">
        <f t="shared" si="25"/>
        <v>0</v>
      </c>
      <c r="S26" s="3">
        <f t="shared" si="25"/>
        <v>0</v>
      </c>
      <c r="T26" s="3">
        <f t="shared" si="25"/>
        <v>0</v>
      </c>
      <c r="U26" s="3">
        <f t="shared" si="25"/>
        <v>0</v>
      </c>
      <c r="V26" s="3">
        <f t="shared" si="26"/>
        <v>0</v>
      </c>
      <c r="W26" s="3">
        <f t="shared" si="26"/>
        <v>0</v>
      </c>
      <c r="X26" s="3">
        <f t="shared" si="26"/>
        <v>0</v>
      </c>
      <c r="Y26" s="3">
        <f t="shared" si="26"/>
        <v>0</v>
      </c>
      <c r="Z26" s="3">
        <f t="shared" si="26"/>
        <v>0</v>
      </c>
      <c r="AA26" s="3">
        <f t="shared" si="26"/>
        <v>0</v>
      </c>
      <c r="AB26" s="3">
        <f t="shared" si="26"/>
        <v>0</v>
      </c>
      <c r="AC26" s="3">
        <f t="shared" si="26"/>
        <v>0</v>
      </c>
      <c r="AD26" s="3">
        <f t="shared" si="26"/>
        <v>0</v>
      </c>
      <c r="AE26" s="3">
        <f t="shared" si="26"/>
        <v>0</v>
      </c>
      <c r="AF26" s="3">
        <f t="shared" si="26"/>
        <v>0</v>
      </c>
      <c r="AG26" s="3">
        <f t="shared" si="26"/>
        <v>0</v>
      </c>
      <c r="AH26" s="3">
        <f t="shared" si="26"/>
        <v>0</v>
      </c>
      <c r="AI26" s="3">
        <f t="shared" si="26"/>
        <v>0</v>
      </c>
      <c r="AJ26" s="3">
        <f t="shared" si="26"/>
        <v>0</v>
      </c>
    </row>
    <row r="27" spans="1:36" x14ac:dyDescent="0.25">
      <c r="A27" s="3">
        <v>8.9027742702096099E-6</v>
      </c>
      <c r="B27" s="106">
        <v>6.4643848028580142E-2</v>
      </c>
      <c r="C27" s="18">
        <f t="shared" si="3"/>
        <v>9.2499277670536229E-2</v>
      </c>
      <c r="D27" s="17"/>
      <c r="F27" s="3">
        <f t="shared" si="25"/>
        <v>9.249927766014629E-2</v>
      </c>
      <c r="G27" s="3">
        <f t="shared" si="25"/>
        <v>9.2499277566636839E-2</v>
      </c>
      <c r="H27" s="3">
        <f t="shared" si="25"/>
        <v>9.2499276631542379E-2</v>
      </c>
      <c r="I27" s="3">
        <f t="shared" si="25"/>
        <v>9.2499267280598249E-2</v>
      </c>
      <c r="J27" s="3">
        <f t="shared" si="25"/>
        <v>9.249917377120899E-2</v>
      </c>
      <c r="K27" s="3">
        <f t="shared" si="25"/>
        <v>9.2498238682515554E-2</v>
      </c>
      <c r="L27" s="3">
        <f t="shared" si="25"/>
        <v>9.2488888315478079E-2</v>
      </c>
      <c r="M27" s="3">
        <f t="shared" si="25"/>
        <v>9.2395436615358206E-2</v>
      </c>
      <c r="N27" s="3">
        <f t="shared" si="25"/>
        <v>9.1466097253104922E-2</v>
      </c>
      <c r="O27" s="3">
        <f t="shared" si="25"/>
        <v>8.2671613653308357E-2</v>
      </c>
      <c r="P27" s="3">
        <f t="shared" si="25"/>
        <v>3.0082856655739783E-2</v>
      </c>
      <c r="Q27" s="3">
        <f t="shared" si="25"/>
        <v>1.2244630129361905E-6</v>
      </c>
      <c r="R27" s="3">
        <f t="shared" si="25"/>
        <v>1.5283106457095935E-50</v>
      </c>
      <c r="S27" s="3">
        <f t="shared" si="25"/>
        <v>0</v>
      </c>
      <c r="T27" s="3">
        <f t="shared" si="25"/>
        <v>0</v>
      </c>
      <c r="U27" s="3">
        <f t="shared" si="25"/>
        <v>0</v>
      </c>
      <c r="V27" s="3">
        <f t="shared" si="26"/>
        <v>0</v>
      </c>
      <c r="W27" s="3">
        <f t="shared" si="26"/>
        <v>0</v>
      </c>
      <c r="X27" s="3">
        <f t="shared" si="26"/>
        <v>0</v>
      </c>
      <c r="Y27" s="3">
        <f t="shared" si="26"/>
        <v>0</v>
      </c>
      <c r="Z27" s="3">
        <f t="shared" si="26"/>
        <v>0</v>
      </c>
      <c r="AA27" s="3">
        <f t="shared" si="26"/>
        <v>0</v>
      </c>
      <c r="AB27" s="3">
        <f t="shared" si="26"/>
        <v>0</v>
      </c>
      <c r="AC27" s="3">
        <f t="shared" si="26"/>
        <v>0</v>
      </c>
      <c r="AD27" s="3">
        <f t="shared" si="26"/>
        <v>0</v>
      </c>
      <c r="AE27" s="3">
        <f t="shared" si="26"/>
        <v>0</v>
      </c>
      <c r="AF27" s="3">
        <f t="shared" si="26"/>
        <v>0</v>
      </c>
      <c r="AG27" s="3">
        <f t="shared" si="26"/>
        <v>0</v>
      </c>
      <c r="AH27" s="3">
        <f t="shared" si="26"/>
        <v>0</v>
      </c>
      <c r="AI27" s="3">
        <f t="shared" si="26"/>
        <v>0</v>
      </c>
      <c r="AJ27" s="3">
        <f t="shared" si="26"/>
        <v>0</v>
      </c>
    </row>
    <row r="28" spans="1:36" x14ac:dyDescent="0.25">
      <c r="A28" s="3">
        <v>9.86912775817142E-5</v>
      </c>
      <c r="B28" s="106">
        <v>3.8643930160012163E-2</v>
      </c>
      <c r="C28" s="18">
        <f t="shared" si="3"/>
        <v>5.52958361106754E-2</v>
      </c>
      <c r="D28" s="17"/>
      <c r="F28" s="3">
        <f t="shared" si="25"/>
        <v>5.5295836110115112E-2</v>
      </c>
      <c r="G28" s="3">
        <f t="shared" si="25"/>
        <v>5.5295836105072493E-2</v>
      </c>
      <c r="H28" s="3">
        <f t="shared" si="25"/>
        <v>5.5295836054646295E-2</v>
      </c>
      <c r="I28" s="3">
        <f t="shared" si="25"/>
        <v>5.5295835550384385E-2</v>
      </c>
      <c r="J28" s="3">
        <f t="shared" si="25"/>
        <v>5.5295830507765528E-2</v>
      </c>
      <c r="K28" s="3">
        <f t="shared" si="25"/>
        <v>5.5295780081602262E-2</v>
      </c>
      <c r="L28" s="3">
        <f t="shared" si="25"/>
        <v>5.5295275822498761E-2</v>
      </c>
      <c r="M28" s="3">
        <f t="shared" si="25"/>
        <v>5.5290233484373959E-2</v>
      </c>
      <c r="N28" s="3">
        <f t="shared" si="25"/>
        <v>5.5239835385612571E-2</v>
      </c>
      <c r="O28" s="3">
        <f t="shared" si="25"/>
        <v>5.4738374136723403E-2</v>
      </c>
      <c r="P28" s="3">
        <f t="shared" si="25"/>
        <v>4.996743694851323E-2</v>
      </c>
      <c r="Q28" s="3">
        <f t="shared" si="25"/>
        <v>2.007422870572223E-2</v>
      </c>
      <c r="R28" s="3">
        <f t="shared" si="25"/>
        <v>2.1986536146179867E-6</v>
      </c>
      <c r="S28" s="3">
        <f t="shared" si="25"/>
        <v>5.4618060948793394E-46</v>
      </c>
      <c r="T28" s="3">
        <f t="shared" si="25"/>
        <v>0</v>
      </c>
      <c r="U28" s="3">
        <f t="shared" si="25"/>
        <v>0</v>
      </c>
      <c r="V28" s="3">
        <f t="shared" si="26"/>
        <v>0</v>
      </c>
      <c r="W28" s="3">
        <f t="shared" si="26"/>
        <v>0</v>
      </c>
      <c r="X28" s="3">
        <f t="shared" si="26"/>
        <v>0</v>
      </c>
      <c r="Y28" s="3">
        <f t="shared" si="26"/>
        <v>0</v>
      </c>
      <c r="Z28" s="3">
        <f t="shared" si="26"/>
        <v>0</v>
      </c>
      <c r="AA28" s="3">
        <f t="shared" si="26"/>
        <v>0</v>
      </c>
      <c r="AB28" s="3">
        <f t="shared" si="26"/>
        <v>0</v>
      </c>
      <c r="AC28" s="3">
        <f t="shared" si="26"/>
        <v>0</v>
      </c>
      <c r="AD28" s="3">
        <f t="shared" si="26"/>
        <v>0</v>
      </c>
      <c r="AE28" s="3">
        <f t="shared" si="26"/>
        <v>0</v>
      </c>
      <c r="AF28" s="3">
        <f t="shared" si="26"/>
        <v>0</v>
      </c>
      <c r="AG28" s="3">
        <f t="shared" si="26"/>
        <v>0</v>
      </c>
      <c r="AH28" s="3">
        <f t="shared" si="26"/>
        <v>0</v>
      </c>
      <c r="AI28" s="3">
        <f t="shared" si="26"/>
        <v>0</v>
      </c>
      <c r="AJ28" s="3">
        <f t="shared" si="26"/>
        <v>0</v>
      </c>
    </row>
    <row r="29" spans="1:36" x14ac:dyDescent="0.25">
      <c r="A29" s="3">
        <v>1.0940374286813801E-3</v>
      </c>
      <c r="B29" s="106">
        <v>2.1658500531259773E-2</v>
      </c>
      <c r="C29" s="18">
        <f t="shared" si="3"/>
        <v>3.0991280928739252E-2</v>
      </c>
      <c r="D29" s="17"/>
      <c r="F29" s="3">
        <f t="shared" si="25"/>
        <v>3.0991280928710924E-2</v>
      </c>
      <c r="G29" s="3">
        <f t="shared" si="25"/>
        <v>3.0991280928455978E-2</v>
      </c>
      <c r="H29" s="3">
        <f t="shared" si="25"/>
        <v>3.0991280925906507E-2</v>
      </c>
      <c r="I29" s="3">
        <f t="shared" si="25"/>
        <v>3.0991280900411811E-2</v>
      </c>
      <c r="J29" s="3">
        <f t="shared" si="25"/>
        <v>3.0991280645464841E-2</v>
      </c>
      <c r="K29" s="3">
        <f t="shared" si="25"/>
        <v>3.0991278095995264E-2</v>
      </c>
      <c r="L29" s="3">
        <f t="shared" si="25"/>
        <v>3.0991252601311001E-2</v>
      </c>
      <c r="M29" s="3">
        <f t="shared" si="25"/>
        <v>3.0990997655621903E-2</v>
      </c>
      <c r="N29" s="3">
        <f t="shared" si="25"/>
        <v>3.0988448314078418E-2</v>
      </c>
      <c r="O29" s="3">
        <f t="shared" si="25"/>
        <v>3.0962966429883471E-2</v>
      </c>
      <c r="P29" s="3">
        <f t="shared" si="25"/>
        <v>3.0709297209786861E-2</v>
      </c>
      <c r="Q29" s="3">
        <f t="shared" si="25"/>
        <v>2.8284143676558703E-2</v>
      </c>
      <c r="R29" s="3">
        <f t="shared" si="25"/>
        <v>1.2424376555020803E-2</v>
      </c>
      <c r="S29" s="3">
        <f t="shared" si="25"/>
        <v>3.3234589021547548E-6</v>
      </c>
      <c r="T29" s="3">
        <f t="shared" si="25"/>
        <v>6.2337213492757036E-42</v>
      </c>
      <c r="U29" s="3">
        <f t="shared" si="25"/>
        <v>0</v>
      </c>
      <c r="V29" s="3">
        <f t="shared" si="26"/>
        <v>0</v>
      </c>
      <c r="W29" s="3">
        <f t="shared" si="26"/>
        <v>0</v>
      </c>
      <c r="X29" s="3">
        <f t="shared" si="26"/>
        <v>0</v>
      </c>
      <c r="Y29" s="3">
        <f t="shared" si="26"/>
        <v>0</v>
      </c>
      <c r="Z29" s="3">
        <f t="shared" si="26"/>
        <v>0</v>
      </c>
      <c r="AA29" s="3">
        <f t="shared" si="26"/>
        <v>0</v>
      </c>
      <c r="AB29" s="3">
        <f t="shared" si="26"/>
        <v>0</v>
      </c>
      <c r="AC29" s="3">
        <f t="shared" si="26"/>
        <v>0</v>
      </c>
      <c r="AD29" s="3">
        <f t="shared" si="26"/>
        <v>0</v>
      </c>
      <c r="AE29" s="3">
        <f t="shared" si="26"/>
        <v>0</v>
      </c>
      <c r="AF29" s="3">
        <f t="shared" si="26"/>
        <v>0</v>
      </c>
      <c r="AG29" s="3">
        <f t="shared" si="26"/>
        <v>0</v>
      </c>
      <c r="AH29" s="3">
        <f t="shared" si="26"/>
        <v>0</v>
      </c>
      <c r="AI29" s="3">
        <f t="shared" si="26"/>
        <v>0</v>
      </c>
      <c r="AJ29" s="3">
        <f t="shared" si="26"/>
        <v>0</v>
      </c>
    </row>
    <row r="30" spans="1:36" x14ac:dyDescent="0.25">
      <c r="A30" s="3">
        <v>1.2127899493091E-2</v>
      </c>
      <c r="B30" s="106">
        <v>4.4856199689406679E-3</v>
      </c>
      <c r="C30" s="18">
        <f t="shared" si="3"/>
        <v>6.4185010590350885E-3</v>
      </c>
      <c r="D30" s="17"/>
      <c r="F30" s="3">
        <f t="shared" si="25"/>
        <v>6.4185010590345594E-3</v>
      </c>
      <c r="G30" s="3">
        <f t="shared" si="25"/>
        <v>6.4185010590297959E-3</v>
      </c>
      <c r="H30" s="3">
        <f t="shared" si="25"/>
        <v>6.4185010589821656E-3</v>
      </c>
      <c r="I30" s="3">
        <f t="shared" si="25"/>
        <v>6.4185010585058539E-3</v>
      </c>
      <c r="J30" s="3">
        <f t="shared" si="25"/>
        <v>6.4185010537427447E-3</v>
      </c>
      <c r="K30" s="3">
        <f t="shared" si="25"/>
        <v>6.4185010061116529E-3</v>
      </c>
      <c r="L30" s="3">
        <f t="shared" si="25"/>
        <v>6.4185005298007559E-3</v>
      </c>
      <c r="M30" s="3">
        <f t="shared" si="25"/>
        <v>6.4184957666937256E-3</v>
      </c>
      <c r="N30" s="3">
        <f t="shared" si="25"/>
        <v>6.418448135817832E-3</v>
      </c>
      <c r="O30" s="3">
        <f t="shared" si="25"/>
        <v>6.4179718464989202E-3</v>
      </c>
      <c r="P30" s="3">
        <f t="shared" si="25"/>
        <v>6.4132108967789913E-3</v>
      </c>
      <c r="Q30" s="3">
        <f t="shared" si="25"/>
        <v>6.365795213930772E-3</v>
      </c>
      <c r="R30" s="3">
        <f t="shared" si="25"/>
        <v>5.9104980563856628E-3</v>
      </c>
      <c r="S30" s="3">
        <f t="shared" si="25"/>
        <v>2.814091625668814E-3</v>
      </c>
      <c r="T30" s="3">
        <f t="shared" si="25"/>
        <v>1.684534007663826E-6</v>
      </c>
      <c r="U30" s="3">
        <f t="shared" si="25"/>
        <v>9.9516541692128602E-39</v>
      </c>
      <c r="V30" s="3">
        <f t="shared" si="26"/>
        <v>0</v>
      </c>
      <c r="W30" s="3">
        <f t="shared" si="26"/>
        <v>0</v>
      </c>
      <c r="X30" s="3">
        <f t="shared" si="26"/>
        <v>0</v>
      </c>
      <c r="Y30" s="3">
        <f t="shared" si="26"/>
        <v>0</v>
      </c>
      <c r="Z30" s="3">
        <f t="shared" si="26"/>
        <v>0</v>
      </c>
      <c r="AA30" s="3">
        <f t="shared" si="26"/>
        <v>0</v>
      </c>
      <c r="AB30" s="3">
        <f t="shared" si="26"/>
        <v>0</v>
      </c>
      <c r="AC30" s="3">
        <f t="shared" si="26"/>
        <v>0</v>
      </c>
      <c r="AD30" s="3">
        <f t="shared" si="26"/>
        <v>0</v>
      </c>
      <c r="AE30" s="3">
        <f t="shared" si="26"/>
        <v>0</v>
      </c>
      <c r="AF30" s="3">
        <f t="shared" si="26"/>
        <v>0</v>
      </c>
      <c r="AG30" s="3">
        <f t="shared" si="26"/>
        <v>0</v>
      </c>
      <c r="AH30" s="3">
        <f t="shared" si="26"/>
        <v>0</v>
      </c>
      <c r="AI30" s="3">
        <f t="shared" si="26"/>
        <v>0</v>
      </c>
      <c r="AJ30" s="3">
        <f t="shared" si="26"/>
        <v>0</v>
      </c>
    </row>
    <row r="31" spans="1:36" x14ac:dyDescent="0.25">
      <c r="A31" s="3">
        <v>0.13444324870292301</v>
      </c>
      <c r="B31" s="106">
        <v>2.5111247435281965E-3</v>
      </c>
      <c r="C31" s="18">
        <f t="shared" si="3"/>
        <v>3.5931837599499803E-3</v>
      </c>
      <c r="D31" s="17"/>
      <c r="F31" s="3">
        <f t="shared" si="25"/>
        <v>3.5931837599499535E-3</v>
      </c>
      <c r="G31" s="3">
        <f t="shared" si="25"/>
        <v>3.5931837599497132E-3</v>
      </c>
      <c r="H31" s="3">
        <f t="shared" si="25"/>
        <v>3.5931837599473076E-3</v>
      </c>
      <c r="I31" s="3">
        <f t="shared" si="25"/>
        <v>3.5931837599232539E-3</v>
      </c>
      <c r="J31" s="3">
        <f t="shared" si="25"/>
        <v>3.5931837596827163E-3</v>
      </c>
      <c r="K31" s="3">
        <f t="shared" si="25"/>
        <v>3.5931837572773405E-3</v>
      </c>
      <c r="L31" s="3">
        <f t="shared" si="25"/>
        <v>3.5931837332235823E-3</v>
      </c>
      <c r="M31" s="3">
        <f t="shared" si="25"/>
        <v>3.5931834926860111E-3</v>
      </c>
      <c r="N31" s="3">
        <f t="shared" si="25"/>
        <v>3.5931810873111843E-3</v>
      </c>
      <c r="O31" s="3">
        <f t="shared" si="25"/>
        <v>3.5931570336514757E-3</v>
      </c>
      <c r="P31" s="3">
        <f t="shared" si="25"/>
        <v>3.5929165059103807E-3</v>
      </c>
      <c r="Q31" s="3">
        <f t="shared" si="25"/>
        <v>3.5905121138792638E-3</v>
      </c>
      <c r="R31" s="3">
        <f t="shared" si="25"/>
        <v>3.5665565126451774E-3</v>
      </c>
      <c r="S31" s="3">
        <f t="shared" si="25"/>
        <v>3.3356175140861295E-3</v>
      </c>
      <c r="T31" s="3">
        <f t="shared" si="25"/>
        <v>1.7078416536246901E-3</v>
      </c>
      <c r="U31" s="3">
        <f t="shared" si="25"/>
        <v>2.1142734834795984E-6</v>
      </c>
      <c r="V31" s="3">
        <f t="shared" si="26"/>
        <v>1.7877087969664179E-35</v>
      </c>
      <c r="W31" s="3">
        <f t="shared" si="26"/>
        <v>0</v>
      </c>
      <c r="X31" s="3">
        <f t="shared" si="26"/>
        <v>0</v>
      </c>
      <c r="Y31" s="3">
        <f t="shared" si="26"/>
        <v>0</v>
      </c>
      <c r="Z31" s="3">
        <f t="shared" si="26"/>
        <v>0</v>
      </c>
      <c r="AA31" s="3">
        <f t="shared" si="26"/>
        <v>0</v>
      </c>
      <c r="AB31" s="3">
        <f t="shared" si="26"/>
        <v>0</v>
      </c>
      <c r="AC31" s="3">
        <f t="shared" si="26"/>
        <v>0</v>
      </c>
      <c r="AD31" s="3">
        <f t="shared" si="26"/>
        <v>0</v>
      </c>
      <c r="AE31" s="3">
        <f t="shared" si="26"/>
        <v>0</v>
      </c>
      <c r="AF31" s="3">
        <f t="shared" si="26"/>
        <v>0</v>
      </c>
      <c r="AG31" s="3">
        <f t="shared" si="26"/>
        <v>0</v>
      </c>
      <c r="AH31" s="3">
        <f t="shared" si="26"/>
        <v>0</v>
      </c>
      <c r="AI31" s="3">
        <f t="shared" si="26"/>
        <v>0</v>
      </c>
      <c r="AJ31" s="3">
        <f t="shared" si="26"/>
        <v>0</v>
      </c>
    </row>
    <row r="32" spans="1:36" x14ac:dyDescent="0.25">
      <c r="A32" s="3">
        <v>1.49036419143257</v>
      </c>
      <c r="B32" s="106">
        <v>9.6162223844858084E-4</v>
      </c>
      <c r="C32" s="18">
        <f t="shared" si="3"/>
        <v>1.3759911447272116E-3</v>
      </c>
      <c r="D32" s="17"/>
      <c r="F32" s="3">
        <f t="shared" si="25"/>
        <v>1.3759911447272107E-3</v>
      </c>
      <c r="G32" s="3">
        <f t="shared" si="25"/>
        <v>1.3759911447272025E-3</v>
      </c>
      <c r="H32" s="3">
        <f t="shared" si="25"/>
        <v>1.3759911447271192E-3</v>
      </c>
      <c r="I32" s="3">
        <f t="shared" si="25"/>
        <v>1.3759911447262883E-3</v>
      </c>
      <c r="J32" s="3">
        <f t="shared" si="25"/>
        <v>1.3759911447179789E-3</v>
      </c>
      <c r="K32" s="3">
        <f t="shared" si="25"/>
        <v>1.3759911446348857E-3</v>
      </c>
      <c r="L32" s="3">
        <f t="shared" si="25"/>
        <v>1.3759911438039531E-3</v>
      </c>
      <c r="M32" s="3">
        <f t="shared" si="25"/>
        <v>1.3759911354946283E-3</v>
      </c>
      <c r="N32" s="3">
        <f t="shared" si="25"/>
        <v>1.3759910524013823E-3</v>
      </c>
      <c r="O32" s="3">
        <f t="shared" si="25"/>
        <v>1.3759902214691979E-3</v>
      </c>
      <c r="P32" s="3">
        <f t="shared" si="25"/>
        <v>1.3759819121749511E-3</v>
      </c>
      <c r="Q32" s="3">
        <f t="shared" si="25"/>
        <v>1.3758988219922214E-3</v>
      </c>
      <c r="R32" s="3">
        <f t="shared" si="25"/>
        <v>1.3750681960770072E-3</v>
      </c>
      <c r="S32" s="3">
        <f t="shared" si="25"/>
        <v>1.3667894665840563E-3</v>
      </c>
      <c r="T32" s="3">
        <f t="shared" si="25"/>
        <v>1.2866946075491665E-3</v>
      </c>
      <c r="U32" s="3">
        <f t="shared" si="25"/>
        <v>7.0341894002923157E-4</v>
      </c>
      <c r="V32" s="3">
        <f t="shared" si="26"/>
        <v>1.6772578272647607E-6</v>
      </c>
      <c r="W32" s="3">
        <f t="shared" si="26"/>
        <v>9.9645461278508651E-33</v>
      </c>
      <c r="X32" s="3">
        <f t="shared" si="26"/>
        <v>5.458011778395167E-295</v>
      </c>
      <c r="Y32" s="3">
        <f t="shared" si="26"/>
        <v>0</v>
      </c>
      <c r="Z32" s="3">
        <f t="shared" si="26"/>
        <v>0</v>
      </c>
      <c r="AA32" s="3">
        <f t="shared" si="26"/>
        <v>0</v>
      </c>
      <c r="AB32" s="3">
        <f t="shared" si="26"/>
        <v>0</v>
      </c>
      <c r="AC32" s="3">
        <f t="shared" si="26"/>
        <v>0</v>
      </c>
      <c r="AD32" s="3">
        <f t="shared" si="26"/>
        <v>0</v>
      </c>
      <c r="AE32" s="3">
        <f t="shared" si="26"/>
        <v>0</v>
      </c>
      <c r="AF32" s="3">
        <f t="shared" si="26"/>
        <v>0</v>
      </c>
      <c r="AG32" s="3">
        <f t="shared" si="26"/>
        <v>0</v>
      </c>
      <c r="AH32" s="3">
        <f t="shared" si="26"/>
        <v>0</v>
      </c>
      <c r="AI32" s="3">
        <f t="shared" si="26"/>
        <v>0</v>
      </c>
      <c r="AJ32" s="3">
        <f t="shared" si="26"/>
        <v>0</v>
      </c>
    </row>
    <row r="33" spans="1:36" x14ac:dyDescent="0.25">
      <c r="A33" s="3">
        <v>16.521360830937301</v>
      </c>
      <c r="B33" s="106">
        <v>1.2390284967274935E-4</v>
      </c>
      <c r="C33" s="18">
        <f t="shared" si="3"/>
        <v>1.7729334570218164E-4</v>
      </c>
      <c r="D33" s="17"/>
      <c r="F33" s="3">
        <f t="shared" si="25"/>
        <v>1.7729334570218161E-4</v>
      </c>
      <c r="G33" s="3">
        <f t="shared" si="25"/>
        <v>1.7729334570218153E-4</v>
      </c>
      <c r="H33" s="3">
        <f t="shared" si="25"/>
        <v>1.7729334570218056E-4</v>
      </c>
      <c r="I33" s="3">
        <f t="shared" si="25"/>
        <v>1.7729334570217091E-4</v>
      </c>
      <c r="J33" s="3">
        <f t="shared" si="25"/>
        <v>1.7729334570207433E-4</v>
      </c>
      <c r="K33" s="3">
        <f t="shared" si="25"/>
        <v>1.7729334570110853E-4</v>
      </c>
      <c r="L33" s="3">
        <f t="shared" si="25"/>
        <v>1.7729334569145048E-4</v>
      </c>
      <c r="M33" s="3">
        <f t="shared" si="25"/>
        <v>1.7729334559487005E-4</v>
      </c>
      <c r="N33" s="3">
        <f t="shared" si="25"/>
        <v>1.7729334462906576E-4</v>
      </c>
      <c r="O33" s="3">
        <f t="shared" si="25"/>
        <v>1.7729333497102322E-4</v>
      </c>
      <c r="P33" s="3">
        <f t="shared" si="25"/>
        <v>1.7729323839062671E-4</v>
      </c>
      <c r="Q33" s="3">
        <f t="shared" si="25"/>
        <v>1.7729227258955513E-4</v>
      </c>
      <c r="R33" s="3">
        <f t="shared" si="25"/>
        <v>1.7728261486819977E-4</v>
      </c>
      <c r="S33" s="3">
        <f t="shared" si="25"/>
        <v>1.7718606658483408E-4</v>
      </c>
      <c r="T33" s="3">
        <f t="shared" si="25"/>
        <v>1.7622347094736155E-4</v>
      </c>
      <c r="U33" s="3">
        <f t="shared" ref="P33:AE48" si="27">$C33*EXP(-U$15/$A33)</f>
        <v>1.6688049866088437E-4</v>
      </c>
      <c r="V33" s="3">
        <f t="shared" si="27"/>
        <v>9.6788546317684392E-5</v>
      </c>
      <c r="W33" s="3">
        <f t="shared" si="27"/>
        <v>4.1687682329790527E-7</v>
      </c>
      <c r="X33" s="3">
        <f t="shared" si="27"/>
        <v>9.1589478554498095E-31</v>
      </c>
      <c r="Y33" s="3">
        <f t="shared" si="27"/>
        <v>2.4000701944970305E-267</v>
      </c>
      <c r="Z33" s="3">
        <f t="shared" si="26"/>
        <v>0</v>
      </c>
      <c r="AA33" s="3">
        <f t="shared" si="26"/>
        <v>0</v>
      </c>
      <c r="AB33" s="3">
        <f t="shared" si="26"/>
        <v>0</v>
      </c>
      <c r="AC33" s="3">
        <f t="shared" si="26"/>
        <v>0</v>
      </c>
      <c r="AD33" s="3">
        <f t="shared" si="26"/>
        <v>0</v>
      </c>
      <c r="AE33" s="3">
        <f t="shared" si="26"/>
        <v>0</v>
      </c>
      <c r="AF33" s="3">
        <f t="shared" si="26"/>
        <v>0</v>
      </c>
      <c r="AG33" s="3">
        <f t="shared" si="26"/>
        <v>0</v>
      </c>
      <c r="AH33" s="3">
        <f t="shared" si="26"/>
        <v>0</v>
      </c>
      <c r="AI33" s="3">
        <f t="shared" si="26"/>
        <v>0</v>
      </c>
      <c r="AJ33" s="3">
        <f t="shared" si="26"/>
        <v>0</v>
      </c>
    </row>
    <row r="34" spans="1:36" x14ac:dyDescent="0.25">
      <c r="A34" s="3">
        <v>183.146753843879</v>
      </c>
      <c r="B34" s="106">
        <v>3.0096317711712328E-4</v>
      </c>
      <c r="C34" s="18">
        <f t="shared" si="3"/>
        <v>4.3065005159432222E-4</v>
      </c>
      <c r="D34" s="17"/>
      <c r="F34" s="3">
        <f t="shared" ref="F34:O48" si="28">$C34*EXP(-F$15/$A34)</f>
        <v>4.3065005159432222E-4</v>
      </c>
      <c r="G34" s="3">
        <f t="shared" si="28"/>
        <v>4.3065005159432222E-4</v>
      </c>
      <c r="H34" s="3">
        <f t="shared" si="28"/>
        <v>4.30650051594322E-4</v>
      </c>
      <c r="I34" s="3">
        <f t="shared" si="28"/>
        <v>4.3065005159431989E-4</v>
      </c>
      <c r="J34" s="3">
        <f t="shared" si="28"/>
        <v>4.3065005159429869E-4</v>
      </c>
      <c r="K34" s="3">
        <f t="shared" si="28"/>
        <v>4.3065005159408705E-4</v>
      </c>
      <c r="L34" s="3">
        <f t="shared" si="28"/>
        <v>4.3065005159197085E-4</v>
      </c>
      <c r="M34" s="3">
        <f t="shared" si="28"/>
        <v>4.3065005157080831E-4</v>
      </c>
      <c r="N34" s="3">
        <f t="shared" si="28"/>
        <v>4.3065005135918289E-4</v>
      </c>
      <c r="O34" s="3">
        <f t="shared" si="28"/>
        <v>4.3065004924292889E-4</v>
      </c>
      <c r="P34" s="3">
        <f t="shared" si="27"/>
        <v>4.3065002808038977E-4</v>
      </c>
      <c r="Q34" s="3">
        <f t="shared" si="27"/>
        <v>4.3064981645505549E-4</v>
      </c>
      <c r="R34" s="3">
        <f t="shared" si="27"/>
        <v>4.3064770020743239E-4</v>
      </c>
      <c r="S34" s="3">
        <f t="shared" si="27"/>
        <v>4.3062653830316065E-4</v>
      </c>
      <c r="T34" s="3">
        <f t="shared" si="27"/>
        <v>4.304149764459573E-4</v>
      </c>
      <c r="U34" s="3">
        <f t="shared" si="27"/>
        <v>4.2830506604139189E-4</v>
      </c>
      <c r="V34" s="3">
        <f t="shared" si="27"/>
        <v>4.0776653508278548E-4</v>
      </c>
      <c r="W34" s="3">
        <f t="shared" si="27"/>
        <v>2.4945675949600819E-4</v>
      </c>
      <c r="X34" s="3">
        <f t="shared" si="27"/>
        <v>1.8316067370364783E-6</v>
      </c>
      <c r="Y34" s="3">
        <f t="shared" si="27"/>
        <v>8.3406863628582211E-28</v>
      </c>
      <c r="Z34" s="3">
        <f t="shared" si="27"/>
        <v>3.1981392824029613E-241</v>
      </c>
      <c r="AA34" s="3">
        <f t="shared" si="27"/>
        <v>0</v>
      </c>
      <c r="AB34" s="3">
        <f t="shared" si="27"/>
        <v>0</v>
      </c>
      <c r="AC34" s="3">
        <f t="shared" si="27"/>
        <v>0</v>
      </c>
      <c r="AD34" s="3">
        <f t="shared" si="27"/>
        <v>0</v>
      </c>
      <c r="AE34" s="3">
        <f t="shared" si="27"/>
        <v>0</v>
      </c>
      <c r="AF34" s="3">
        <f t="shared" ref="AF34:AJ48" si="29">$C34*EXP(-AF$15/$A34)</f>
        <v>0</v>
      </c>
      <c r="AG34" s="3">
        <f t="shared" si="29"/>
        <v>0</v>
      </c>
      <c r="AH34" s="3">
        <f t="shared" si="29"/>
        <v>0</v>
      </c>
      <c r="AI34" s="3">
        <f t="shared" si="29"/>
        <v>0</v>
      </c>
      <c r="AJ34" s="3">
        <f t="shared" si="29"/>
        <v>0</v>
      </c>
    </row>
    <row r="35" spans="1:36" x14ac:dyDescent="0.25">
      <c r="A35" s="3">
        <v>2030.26456396616</v>
      </c>
      <c r="B35" s="106">
        <v>4.1734303039144379E-4</v>
      </c>
      <c r="C35" s="18">
        <f t="shared" si="3"/>
        <v>5.9717869572018282E-4</v>
      </c>
      <c r="D35" s="17"/>
      <c r="F35" s="3">
        <f t="shared" si="28"/>
        <v>5.9717869572018282E-4</v>
      </c>
      <c r="G35" s="3">
        <f t="shared" si="28"/>
        <v>5.9717869572018282E-4</v>
      </c>
      <c r="H35" s="3">
        <f t="shared" si="28"/>
        <v>5.9717869572018282E-4</v>
      </c>
      <c r="I35" s="3">
        <f t="shared" si="28"/>
        <v>5.971786957201826E-4</v>
      </c>
      <c r="J35" s="3">
        <f t="shared" si="28"/>
        <v>5.9717869572017989E-4</v>
      </c>
      <c r="K35" s="3">
        <f t="shared" si="28"/>
        <v>5.9717869572015333E-4</v>
      </c>
      <c r="L35" s="3">
        <f t="shared" si="28"/>
        <v>5.9717869571988868E-4</v>
      </c>
      <c r="M35" s="3">
        <f t="shared" si="28"/>
        <v>5.9717869571724138E-4</v>
      </c>
      <c r="N35" s="3">
        <f t="shared" si="28"/>
        <v>5.9717869569076896E-4</v>
      </c>
      <c r="O35" s="3">
        <f t="shared" si="28"/>
        <v>5.9717869542604441E-4</v>
      </c>
      <c r="P35" s="3">
        <f t="shared" si="27"/>
        <v>5.9717869277879914E-4</v>
      </c>
      <c r="Q35" s="3">
        <f t="shared" si="27"/>
        <v>5.9717866630634719E-4</v>
      </c>
      <c r="R35" s="3">
        <f t="shared" si="27"/>
        <v>5.9717840158189206E-4</v>
      </c>
      <c r="S35" s="3">
        <f t="shared" si="27"/>
        <v>5.971757543437946E-4</v>
      </c>
      <c r="T35" s="3">
        <f t="shared" si="27"/>
        <v>5.9714928260823472E-4</v>
      </c>
      <c r="U35" s="3">
        <f t="shared" si="27"/>
        <v>5.9688462978351722E-4</v>
      </c>
      <c r="V35" s="3">
        <f t="shared" si="27"/>
        <v>5.9424454405285296E-4</v>
      </c>
      <c r="W35" s="3">
        <f t="shared" si="27"/>
        <v>5.684774956343753E-4</v>
      </c>
      <c r="X35" s="3">
        <f t="shared" si="27"/>
        <v>3.6491693273901809E-4</v>
      </c>
      <c r="Y35" s="3">
        <f t="shared" si="27"/>
        <v>4.3351228055588468E-6</v>
      </c>
      <c r="Z35" s="3">
        <f t="shared" si="27"/>
        <v>2.4270308332206108E-25</v>
      </c>
      <c r="AA35" s="3">
        <f t="shared" si="27"/>
        <v>7.3419966754445985E-218</v>
      </c>
      <c r="AB35" s="3">
        <f t="shared" si="27"/>
        <v>0</v>
      </c>
      <c r="AC35" s="3">
        <f t="shared" si="27"/>
        <v>0</v>
      </c>
      <c r="AD35" s="3">
        <f t="shared" si="27"/>
        <v>0</v>
      </c>
      <c r="AE35" s="3">
        <f t="shared" si="27"/>
        <v>0</v>
      </c>
      <c r="AF35" s="3">
        <f t="shared" si="29"/>
        <v>0</v>
      </c>
      <c r="AG35" s="3">
        <f t="shared" si="29"/>
        <v>0</v>
      </c>
      <c r="AH35" s="3">
        <f t="shared" si="29"/>
        <v>0</v>
      </c>
      <c r="AI35" s="3">
        <f t="shared" si="29"/>
        <v>0</v>
      </c>
      <c r="AJ35" s="3">
        <f t="shared" si="29"/>
        <v>0</v>
      </c>
    </row>
    <row r="36" spans="1:36" x14ac:dyDescent="0.25">
      <c r="A36" s="3">
        <v>22506.400540467101</v>
      </c>
      <c r="B36" s="106">
        <v>3.7015960518598488E-4</v>
      </c>
      <c r="C36" s="18">
        <f t="shared" si="3"/>
        <v>5.2966364389967348E-4</v>
      </c>
      <c r="D36" s="17"/>
      <c r="F36" s="3">
        <f t="shared" si="28"/>
        <v>5.2966364389967348E-4</v>
      </c>
      <c r="G36" s="3">
        <f t="shared" si="28"/>
        <v>5.2966364389967348E-4</v>
      </c>
      <c r="H36" s="3">
        <f t="shared" si="28"/>
        <v>5.2966364389967348E-4</v>
      </c>
      <c r="I36" s="3">
        <f t="shared" si="28"/>
        <v>5.2966364389967348E-4</v>
      </c>
      <c r="J36" s="3">
        <f t="shared" si="28"/>
        <v>5.2966364389967326E-4</v>
      </c>
      <c r="K36" s="3">
        <f t="shared" si="28"/>
        <v>5.2966364389967109E-4</v>
      </c>
      <c r="L36" s="3">
        <f t="shared" si="28"/>
        <v>5.2966364389964995E-4</v>
      </c>
      <c r="M36" s="3">
        <f t="shared" si="28"/>
        <v>5.296636438994381E-4</v>
      </c>
      <c r="N36" s="3">
        <f t="shared" si="28"/>
        <v>5.2966364389732011E-4</v>
      </c>
      <c r="O36" s="3">
        <f t="shared" si="28"/>
        <v>5.2966364387613957E-4</v>
      </c>
      <c r="P36" s="3">
        <f t="shared" si="27"/>
        <v>5.2966364366433438E-4</v>
      </c>
      <c r="Q36" s="3">
        <f t="shared" si="27"/>
        <v>5.2966364154628234E-4</v>
      </c>
      <c r="R36" s="3">
        <f t="shared" si="27"/>
        <v>5.2966362036576222E-4</v>
      </c>
      <c r="S36" s="3">
        <f t="shared" si="27"/>
        <v>5.296634085606084E-4</v>
      </c>
      <c r="T36" s="3">
        <f t="shared" si="27"/>
        <v>5.2966129051372783E-4</v>
      </c>
      <c r="U36" s="3">
        <f t="shared" si="27"/>
        <v>5.2964011051075306E-4</v>
      </c>
      <c r="V36" s="3">
        <f t="shared" si="27"/>
        <v>5.2942835705724193E-4</v>
      </c>
      <c r="W36" s="3">
        <f t="shared" si="27"/>
        <v>5.2731547326179075E-4</v>
      </c>
      <c r="X36" s="3">
        <f t="shared" si="27"/>
        <v>5.0664490111916594E-4</v>
      </c>
      <c r="Y36" s="3">
        <f t="shared" si="27"/>
        <v>3.3965286846542243E-4</v>
      </c>
      <c r="Z36" s="3">
        <f t="shared" si="27"/>
        <v>6.2280399667630681E-6</v>
      </c>
      <c r="AA36" s="3">
        <f t="shared" si="27"/>
        <v>2.6761622039423092E-23</v>
      </c>
      <c r="AB36" s="3">
        <f t="shared" si="27"/>
        <v>5.7427888923663002E-197</v>
      </c>
      <c r="AC36" s="3">
        <f t="shared" si="27"/>
        <v>0</v>
      </c>
      <c r="AD36" s="3">
        <f t="shared" si="27"/>
        <v>0</v>
      </c>
      <c r="AE36" s="3">
        <f t="shared" si="27"/>
        <v>0</v>
      </c>
      <c r="AF36" s="3">
        <f t="shared" si="29"/>
        <v>0</v>
      </c>
      <c r="AG36" s="3">
        <f t="shared" si="29"/>
        <v>0</v>
      </c>
      <c r="AH36" s="3">
        <f t="shared" si="29"/>
        <v>0</v>
      </c>
      <c r="AI36" s="3">
        <f t="shared" si="29"/>
        <v>0</v>
      </c>
      <c r="AJ36" s="3">
        <f t="shared" si="29"/>
        <v>0</v>
      </c>
    </row>
    <row r="37" spans="1:36" x14ac:dyDescent="0.25">
      <c r="A37" s="3">
        <v>249493.62476110301</v>
      </c>
      <c r="B37" s="106">
        <v>2.6519114885994766E-4</v>
      </c>
      <c r="C37" s="18">
        <f t="shared" si="3"/>
        <v>3.7946363748828321E-4</v>
      </c>
      <c r="D37" s="17"/>
      <c r="F37" s="3">
        <f t="shared" si="28"/>
        <v>3.7946363748828321E-4</v>
      </c>
      <c r="G37" s="3">
        <f t="shared" si="28"/>
        <v>3.7946363748828321E-4</v>
      </c>
      <c r="H37" s="3">
        <f t="shared" si="28"/>
        <v>3.7946363748828321E-4</v>
      </c>
      <c r="I37" s="3">
        <f t="shared" si="28"/>
        <v>3.7946363748828321E-4</v>
      </c>
      <c r="J37" s="3">
        <f t="shared" si="28"/>
        <v>3.7946363748828321E-4</v>
      </c>
      <c r="K37" s="3">
        <f t="shared" si="28"/>
        <v>3.7946363748828305E-4</v>
      </c>
      <c r="L37" s="3">
        <f t="shared" si="28"/>
        <v>3.7946363748828169E-4</v>
      </c>
      <c r="M37" s="3">
        <f t="shared" si="28"/>
        <v>3.7946363748826798E-4</v>
      </c>
      <c r="N37" s="3">
        <f t="shared" si="28"/>
        <v>3.7946363748813115E-4</v>
      </c>
      <c r="O37" s="3">
        <f t="shared" si="28"/>
        <v>3.7946363748676229E-4</v>
      </c>
      <c r="P37" s="3">
        <f t="shared" si="27"/>
        <v>3.7946363747307386E-4</v>
      </c>
      <c r="Q37" s="3">
        <f t="shared" si="27"/>
        <v>3.7946363733618971E-4</v>
      </c>
      <c r="R37" s="3">
        <f t="shared" si="27"/>
        <v>3.7946363596734803E-4</v>
      </c>
      <c r="S37" s="3">
        <f t="shared" si="27"/>
        <v>3.7946362227893142E-4</v>
      </c>
      <c r="T37" s="3">
        <f t="shared" si="27"/>
        <v>3.7946348539479312E-4</v>
      </c>
      <c r="U37" s="3">
        <f t="shared" si="27"/>
        <v>3.794621165561256E-4</v>
      </c>
      <c r="V37" s="3">
        <f t="shared" si="27"/>
        <v>3.7944842844102691E-4</v>
      </c>
      <c r="W37" s="3">
        <f t="shared" si="27"/>
        <v>3.7931157444408704E-4</v>
      </c>
      <c r="X37" s="3">
        <f t="shared" si="27"/>
        <v>3.7794574625861531E-4</v>
      </c>
      <c r="Y37" s="3">
        <f t="shared" si="27"/>
        <v>3.6455505802776767E-4</v>
      </c>
      <c r="Z37" s="3">
        <f t="shared" si="27"/>
        <v>2.5415566422341704E-4</v>
      </c>
      <c r="AA37" s="3">
        <f t="shared" si="27"/>
        <v>6.8939231978834752E-6</v>
      </c>
      <c r="AB37" s="3">
        <f t="shared" si="27"/>
        <v>1.4863904926040363E-21</v>
      </c>
      <c r="AC37" s="3">
        <f t="shared" si="27"/>
        <v>3.226990585737846E-178</v>
      </c>
      <c r="AD37" s="3">
        <f t="shared" si="27"/>
        <v>0</v>
      </c>
      <c r="AE37" s="3">
        <f t="shared" si="27"/>
        <v>0</v>
      </c>
      <c r="AF37" s="3">
        <f t="shared" si="29"/>
        <v>0</v>
      </c>
      <c r="AG37" s="3">
        <f t="shared" si="29"/>
        <v>0</v>
      </c>
      <c r="AH37" s="3">
        <f t="shared" si="29"/>
        <v>0</v>
      </c>
      <c r="AI37" s="3">
        <f t="shared" si="29"/>
        <v>0</v>
      </c>
      <c r="AJ37" s="3">
        <f t="shared" si="29"/>
        <v>0</v>
      </c>
    </row>
    <row r="38" spans="1:36" x14ac:dyDescent="0.25">
      <c r="A38" s="3">
        <v>2765749.6224023802</v>
      </c>
      <c r="B38" s="106">
        <v>2.0271508662857149E-4</v>
      </c>
      <c r="C38" s="18">
        <f t="shared" si="3"/>
        <v>2.9006625777866605E-4</v>
      </c>
      <c r="D38" s="17"/>
      <c r="F38" s="3">
        <f t="shared" si="28"/>
        <v>2.9006625777866605E-4</v>
      </c>
      <c r="G38" s="3">
        <f t="shared" si="28"/>
        <v>2.9006625777866605E-4</v>
      </c>
      <c r="H38" s="3">
        <f t="shared" si="28"/>
        <v>2.9006625777866605E-4</v>
      </c>
      <c r="I38" s="3">
        <f t="shared" si="28"/>
        <v>2.9006625777866605E-4</v>
      </c>
      <c r="J38" s="3">
        <f t="shared" si="28"/>
        <v>2.9006625777866605E-4</v>
      </c>
      <c r="K38" s="3">
        <f t="shared" si="28"/>
        <v>2.9006625777866605E-4</v>
      </c>
      <c r="L38" s="3">
        <f t="shared" si="28"/>
        <v>2.9006625777866594E-4</v>
      </c>
      <c r="M38" s="3">
        <f t="shared" si="28"/>
        <v>2.9006625777866496E-4</v>
      </c>
      <c r="N38" s="3">
        <f t="shared" si="28"/>
        <v>2.9006625777865553E-4</v>
      </c>
      <c r="O38" s="3">
        <f t="shared" si="28"/>
        <v>2.9006625777856115E-4</v>
      </c>
      <c r="P38" s="3">
        <f t="shared" si="27"/>
        <v>2.9006625777761724E-4</v>
      </c>
      <c r="Q38" s="3">
        <f t="shared" si="27"/>
        <v>2.9006625776817823E-4</v>
      </c>
      <c r="R38" s="3">
        <f t="shared" si="27"/>
        <v>2.9006625767378803E-4</v>
      </c>
      <c r="S38" s="3">
        <f t="shared" si="27"/>
        <v>2.9006625672988617E-4</v>
      </c>
      <c r="T38" s="3">
        <f t="shared" si="27"/>
        <v>2.9006624729086737E-4</v>
      </c>
      <c r="U38" s="3">
        <f t="shared" si="27"/>
        <v>2.9006615290069624E-4</v>
      </c>
      <c r="V38" s="3">
        <f t="shared" si="27"/>
        <v>2.9006520900067456E-4</v>
      </c>
      <c r="W38" s="3">
        <f t="shared" si="27"/>
        <v>2.9005577016939034E-4</v>
      </c>
      <c r="X38" s="3">
        <f t="shared" si="27"/>
        <v>2.899613987477709E-4</v>
      </c>
      <c r="Y38" s="3">
        <f t="shared" si="27"/>
        <v>2.8901937162193158E-4</v>
      </c>
      <c r="Z38" s="3">
        <f t="shared" si="27"/>
        <v>2.7976579567891513E-4</v>
      </c>
      <c r="AA38" s="3">
        <f t="shared" si="27"/>
        <v>2.0205576904190709E-4</v>
      </c>
      <c r="AB38" s="3">
        <f t="shared" si="27"/>
        <v>7.8025693927715686E-6</v>
      </c>
      <c r="AC38" s="3">
        <f t="shared" si="27"/>
        <v>5.7530942579715964E-20</v>
      </c>
      <c r="AD38" s="3">
        <f t="shared" si="27"/>
        <v>2.7323730097127176E-161</v>
      </c>
      <c r="AE38" s="3">
        <f t="shared" si="27"/>
        <v>0</v>
      </c>
      <c r="AF38" s="3">
        <f t="shared" si="29"/>
        <v>0</v>
      </c>
      <c r="AG38" s="3">
        <f t="shared" si="29"/>
        <v>0</v>
      </c>
      <c r="AH38" s="3">
        <f t="shared" si="29"/>
        <v>0</v>
      </c>
      <c r="AI38" s="3">
        <f t="shared" si="29"/>
        <v>0</v>
      </c>
      <c r="AJ38" s="3">
        <f t="shared" si="29"/>
        <v>0</v>
      </c>
    </row>
    <row r="39" spans="1:36" x14ac:dyDescent="0.25">
      <c r="A39" s="3">
        <f>10000000</f>
        <v>10000000</v>
      </c>
      <c r="B39" s="106">
        <v>0</v>
      </c>
      <c r="C39" s="18">
        <f t="shared" si="3"/>
        <v>0</v>
      </c>
      <c r="D39" s="17"/>
      <c r="F39" s="3">
        <f t="shared" si="28"/>
        <v>0</v>
      </c>
      <c r="G39" s="3">
        <f t="shared" si="28"/>
        <v>0</v>
      </c>
      <c r="H39" s="3">
        <f t="shared" si="28"/>
        <v>0</v>
      </c>
      <c r="I39" s="3">
        <f t="shared" si="28"/>
        <v>0</v>
      </c>
      <c r="J39" s="3">
        <f t="shared" si="28"/>
        <v>0</v>
      </c>
      <c r="K39" s="3">
        <f t="shared" si="28"/>
        <v>0</v>
      </c>
      <c r="L39" s="3">
        <f t="shared" si="28"/>
        <v>0</v>
      </c>
      <c r="M39" s="3">
        <f t="shared" si="28"/>
        <v>0</v>
      </c>
      <c r="N39" s="3">
        <f t="shared" si="28"/>
        <v>0</v>
      </c>
      <c r="O39" s="3">
        <f t="shared" si="28"/>
        <v>0</v>
      </c>
      <c r="P39" s="3">
        <f t="shared" si="27"/>
        <v>0</v>
      </c>
      <c r="Q39" s="3">
        <f t="shared" si="27"/>
        <v>0</v>
      </c>
      <c r="R39" s="3">
        <f t="shared" si="27"/>
        <v>0</v>
      </c>
      <c r="S39" s="3">
        <f t="shared" si="27"/>
        <v>0</v>
      </c>
      <c r="T39" s="3">
        <f t="shared" si="27"/>
        <v>0</v>
      </c>
      <c r="U39" s="3">
        <f t="shared" si="27"/>
        <v>0</v>
      </c>
      <c r="V39" s="3">
        <f t="shared" si="27"/>
        <v>0</v>
      </c>
      <c r="W39" s="3">
        <f t="shared" si="27"/>
        <v>0</v>
      </c>
      <c r="X39" s="3">
        <f t="shared" si="27"/>
        <v>0</v>
      </c>
      <c r="Y39" s="3">
        <f t="shared" si="27"/>
        <v>0</v>
      </c>
      <c r="Z39" s="3">
        <f t="shared" si="27"/>
        <v>0</v>
      </c>
      <c r="AA39" s="3">
        <f t="shared" si="27"/>
        <v>0</v>
      </c>
      <c r="AB39" s="3">
        <f t="shared" si="27"/>
        <v>0</v>
      </c>
      <c r="AC39" s="3">
        <f t="shared" si="27"/>
        <v>0</v>
      </c>
      <c r="AD39" s="3">
        <f t="shared" si="27"/>
        <v>0</v>
      </c>
      <c r="AE39" s="3">
        <f t="shared" si="27"/>
        <v>0</v>
      </c>
      <c r="AF39" s="3">
        <f t="shared" si="29"/>
        <v>0</v>
      </c>
      <c r="AG39" s="3">
        <f t="shared" si="29"/>
        <v>0</v>
      </c>
      <c r="AH39" s="3">
        <f t="shared" si="29"/>
        <v>0</v>
      </c>
      <c r="AI39" s="3">
        <f t="shared" si="29"/>
        <v>0</v>
      </c>
      <c r="AJ39" s="3">
        <f t="shared" si="29"/>
        <v>0</v>
      </c>
    </row>
    <row r="40" spans="1:36" x14ac:dyDescent="0.25">
      <c r="A40" s="3">
        <f t="shared" ref="A40:A48" si="30">A39*10</f>
        <v>100000000</v>
      </c>
      <c r="B40" s="106">
        <v>2.119958747871985E-4</v>
      </c>
      <c r="C40" s="18">
        <f t="shared" si="3"/>
        <v>3.0334619433978663E-4</v>
      </c>
      <c r="D40" s="17"/>
      <c r="F40" s="3">
        <f t="shared" si="28"/>
        <v>3.0334619433978663E-4</v>
      </c>
      <c r="G40" s="3">
        <f t="shared" si="28"/>
        <v>3.0334619433978663E-4</v>
      </c>
      <c r="H40" s="3">
        <f t="shared" si="28"/>
        <v>3.0334619433978663E-4</v>
      </c>
      <c r="I40" s="3">
        <f t="shared" si="28"/>
        <v>3.0334619433978663E-4</v>
      </c>
      <c r="J40" s="3">
        <f t="shared" si="28"/>
        <v>3.0334619433978663E-4</v>
      </c>
      <c r="K40" s="3">
        <f t="shared" si="28"/>
        <v>3.0334619433978663E-4</v>
      </c>
      <c r="L40" s="3">
        <f t="shared" si="28"/>
        <v>3.0334619433978663E-4</v>
      </c>
      <c r="M40" s="3">
        <f t="shared" si="28"/>
        <v>3.0334619433978658E-4</v>
      </c>
      <c r="N40" s="3">
        <f t="shared" si="28"/>
        <v>3.0334619433978631E-4</v>
      </c>
      <c r="O40" s="3">
        <f t="shared" si="28"/>
        <v>3.033461943397836E-4</v>
      </c>
      <c r="P40" s="3">
        <f t="shared" si="27"/>
        <v>3.0334619433975628E-4</v>
      </c>
      <c r="Q40" s="3">
        <f t="shared" si="27"/>
        <v>3.0334619433948327E-4</v>
      </c>
      <c r="R40" s="3">
        <f t="shared" si="27"/>
        <v>3.0334619433675314E-4</v>
      </c>
      <c r="S40" s="3">
        <f t="shared" si="27"/>
        <v>3.0334619430945201E-4</v>
      </c>
      <c r="T40" s="3">
        <f t="shared" si="27"/>
        <v>3.0334619403644047E-4</v>
      </c>
      <c r="U40" s="3">
        <f t="shared" si="27"/>
        <v>3.033461913063247E-4</v>
      </c>
      <c r="V40" s="3">
        <f t="shared" si="27"/>
        <v>3.0334616400516873E-4</v>
      </c>
      <c r="W40" s="3">
        <f t="shared" si="27"/>
        <v>3.0334589099374396E-4</v>
      </c>
      <c r="X40" s="3">
        <f t="shared" si="27"/>
        <v>3.0334316089301048E-4</v>
      </c>
      <c r="Y40" s="3">
        <f t="shared" si="27"/>
        <v>3.0331586123703304E-4</v>
      </c>
      <c r="Z40" s="3">
        <f t="shared" si="27"/>
        <v>3.0304299976799897E-4</v>
      </c>
      <c r="AA40" s="3">
        <f t="shared" si="27"/>
        <v>3.0032784927454861E-4</v>
      </c>
      <c r="AB40" s="3">
        <f t="shared" si="27"/>
        <v>2.7447898725744695E-4</v>
      </c>
      <c r="AC40" s="3">
        <f t="shared" si="27"/>
        <v>1.1159482845520445E-4</v>
      </c>
      <c r="AD40" s="3">
        <f t="shared" si="27"/>
        <v>1.3771895916743394E-8</v>
      </c>
      <c r="AE40" s="3">
        <f t="shared" si="27"/>
        <v>1.128470889980788E-47</v>
      </c>
      <c r="AF40" s="3">
        <f t="shared" si="29"/>
        <v>0</v>
      </c>
      <c r="AG40" s="3">
        <f t="shared" si="29"/>
        <v>0</v>
      </c>
      <c r="AH40" s="3">
        <f t="shared" si="29"/>
        <v>0</v>
      </c>
      <c r="AI40" s="3">
        <f t="shared" si="29"/>
        <v>0</v>
      </c>
      <c r="AJ40" s="3">
        <f t="shared" si="29"/>
        <v>0</v>
      </c>
    </row>
    <row r="41" spans="1:36" x14ac:dyDescent="0.25">
      <c r="A41" s="3">
        <f t="shared" si="30"/>
        <v>1000000000</v>
      </c>
      <c r="B41" s="106">
        <v>0</v>
      </c>
      <c r="C41" s="18">
        <f t="shared" si="3"/>
        <v>0</v>
      </c>
      <c r="D41" s="17"/>
      <c r="F41" s="3">
        <f t="shared" si="28"/>
        <v>0</v>
      </c>
      <c r="G41" s="3">
        <f t="shared" si="28"/>
        <v>0</v>
      </c>
      <c r="H41" s="3">
        <f t="shared" si="28"/>
        <v>0</v>
      </c>
      <c r="I41" s="3">
        <f t="shared" si="28"/>
        <v>0</v>
      </c>
      <c r="J41" s="3">
        <f t="shared" si="28"/>
        <v>0</v>
      </c>
      <c r="K41" s="3">
        <f t="shared" si="28"/>
        <v>0</v>
      </c>
      <c r="L41" s="3">
        <f t="shared" si="28"/>
        <v>0</v>
      </c>
      <c r="M41" s="3">
        <f t="shared" si="28"/>
        <v>0</v>
      </c>
      <c r="N41" s="3">
        <f t="shared" si="28"/>
        <v>0</v>
      </c>
      <c r="O41" s="3">
        <f t="shared" si="28"/>
        <v>0</v>
      </c>
      <c r="P41" s="3">
        <f t="shared" si="27"/>
        <v>0</v>
      </c>
      <c r="Q41" s="3">
        <f t="shared" si="27"/>
        <v>0</v>
      </c>
      <c r="R41" s="3">
        <f t="shared" si="27"/>
        <v>0</v>
      </c>
      <c r="S41" s="3">
        <f t="shared" si="27"/>
        <v>0</v>
      </c>
      <c r="T41" s="3">
        <f t="shared" si="27"/>
        <v>0</v>
      </c>
      <c r="U41" s="3">
        <f t="shared" si="27"/>
        <v>0</v>
      </c>
      <c r="V41" s="3">
        <f t="shared" si="27"/>
        <v>0</v>
      </c>
      <c r="W41" s="3">
        <f t="shared" si="27"/>
        <v>0</v>
      </c>
      <c r="X41" s="3">
        <f t="shared" si="27"/>
        <v>0</v>
      </c>
      <c r="Y41" s="3">
        <f t="shared" si="27"/>
        <v>0</v>
      </c>
      <c r="Z41" s="3">
        <f t="shared" si="27"/>
        <v>0</v>
      </c>
      <c r="AA41" s="3">
        <f t="shared" si="27"/>
        <v>0</v>
      </c>
      <c r="AB41" s="3">
        <f t="shared" si="27"/>
        <v>0</v>
      </c>
      <c r="AC41" s="3">
        <f t="shared" si="27"/>
        <v>0</v>
      </c>
      <c r="AD41" s="3">
        <f t="shared" si="27"/>
        <v>0</v>
      </c>
      <c r="AE41" s="3">
        <f t="shared" si="27"/>
        <v>0</v>
      </c>
      <c r="AF41" s="3">
        <f t="shared" si="29"/>
        <v>0</v>
      </c>
      <c r="AG41" s="3">
        <f t="shared" si="29"/>
        <v>0</v>
      </c>
      <c r="AH41" s="3">
        <f t="shared" si="29"/>
        <v>0</v>
      </c>
      <c r="AI41" s="3">
        <f t="shared" si="29"/>
        <v>0</v>
      </c>
      <c r="AJ41" s="3">
        <f t="shared" si="29"/>
        <v>0</v>
      </c>
    </row>
    <row r="42" spans="1:36" x14ac:dyDescent="0.25">
      <c r="A42" s="3">
        <f t="shared" si="30"/>
        <v>10000000000</v>
      </c>
      <c r="B42" s="106">
        <v>0</v>
      </c>
      <c r="C42" s="18">
        <f t="shared" si="3"/>
        <v>0</v>
      </c>
      <c r="D42" s="17"/>
      <c r="F42" s="3">
        <f t="shared" si="28"/>
        <v>0</v>
      </c>
      <c r="G42" s="3">
        <f t="shared" si="28"/>
        <v>0</v>
      </c>
      <c r="H42" s="3">
        <f t="shared" si="28"/>
        <v>0</v>
      </c>
      <c r="I42" s="3">
        <f t="shared" si="28"/>
        <v>0</v>
      </c>
      <c r="J42" s="3">
        <f t="shared" si="28"/>
        <v>0</v>
      </c>
      <c r="K42" s="3">
        <f t="shared" si="28"/>
        <v>0</v>
      </c>
      <c r="L42" s="3">
        <f t="shared" si="28"/>
        <v>0</v>
      </c>
      <c r="M42" s="3">
        <f t="shared" si="28"/>
        <v>0</v>
      </c>
      <c r="N42" s="3">
        <f t="shared" si="28"/>
        <v>0</v>
      </c>
      <c r="O42" s="3">
        <f t="shared" si="28"/>
        <v>0</v>
      </c>
      <c r="P42" s="3">
        <f t="shared" si="27"/>
        <v>0</v>
      </c>
      <c r="Q42" s="3">
        <f t="shared" si="27"/>
        <v>0</v>
      </c>
      <c r="R42" s="3">
        <f t="shared" si="27"/>
        <v>0</v>
      </c>
      <c r="S42" s="3">
        <f t="shared" si="27"/>
        <v>0</v>
      </c>
      <c r="T42" s="3">
        <f t="shared" si="27"/>
        <v>0</v>
      </c>
      <c r="U42" s="3">
        <f t="shared" si="27"/>
        <v>0</v>
      </c>
      <c r="V42" s="3">
        <f t="shared" si="27"/>
        <v>0</v>
      </c>
      <c r="W42" s="3">
        <f t="shared" si="27"/>
        <v>0</v>
      </c>
      <c r="X42" s="3">
        <f t="shared" si="27"/>
        <v>0</v>
      </c>
      <c r="Y42" s="3">
        <f t="shared" si="27"/>
        <v>0</v>
      </c>
      <c r="Z42" s="3">
        <f t="shared" si="27"/>
        <v>0</v>
      </c>
      <c r="AA42" s="3">
        <f t="shared" si="27"/>
        <v>0</v>
      </c>
      <c r="AB42" s="3">
        <f t="shared" si="27"/>
        <v>0</v>
      </c>
      <c r="AC42" s="3">
        <f t="shared" si="27"/>
        <v>0</v>
      </c>
      <c r="AD42" s="3">
        <f t="shared" si="27"/>
        <v>0</v>
      </c>
      <c r="AE42" s="3">
        <f t="shared" si="27"/>
        <v>0</v>
      </c>
      <c r="AF42" s="3">
        <f t="shared" si="29"/>
        <v>0</v>
      </c>
      <c r="AG42" s="3">
        <f t="shared" si="29"/>
        <v>0</v>
      </c>
      <c r="AH42" s="3">
        <f t="shared" si="29"/>
        <v>0</v>
      </c>
      <c r="AI42" s="3">
        <f t="shared" si="29"/>
        <v>0</v>
      </c>
      <c r="AJ42" s="3">
        <f t="shared" si="29"/>
        <v>0</v>
      </c>
    </row>
    <row r="43" spans="1:36" x14ac:dyDescent="0.25">
      <c r="A43" s="3">
        <f t="shared" si="30"/>
        <v>100000000000</v>
      </c>
      <c r="B43" s="106">
        <v>5.4043322474402722E-5</v>
      </c>
      <c r="C43" s="18">
        <f t="shared" si="3"/>
        <v>7.7330920795246901E-5</v>
      </c>
      <c r="D43" s="17"/>
      <c r="F43" s="3">
        <f t="shared" si="28"/>
        <v>7.7330920795246901E-5</v>
      </c>
      <c r="G43" s="3">
        <f t="shared" si="28"/>
        <v>7.7330920795246901E-5</v>
      </c>
      <c r="H43" s="3">
        <f t="shared" si="28"/>
        <v>7.7330920795246901E-5</v>
      </c>
      <c r="I43" s="3">
        <f t="shared" si="28"/>
        <v>7.7330920795246901E-5</v>
      </c>
      <c r="J43" s="3">
        <f t="shared" si="28"/>
        <v>7.7330920795246901E-5</v>
      </c>
      <c r="K43" s="3">
        <f t="shared" si="28"/>
        <v>7.7330920795246901E-5</v>
      </c>
      <c r="L43" s="3">
        <f t="shared" si="28"/>
        <v>7.7330920795246901E-5</v>
      </c>
      <c r="M43" s="3">
        <f t="shared" si="28"/>
        <v>7.7330920795246901E-5</v>
      </c>
      <c r="N43" s="3">
        <f t="shared" si="28"/>
        <v>7.7330920795246901E-5</v>
      </c>
      <c r="O43" s="3">
        <f t="shared" si="28"/>
        <v>7.7330920795246901E-5</v>
      </c>
      <c r="P43" s="3">
        <f t="shared" si="27"/>
        <v>7.7330920795246888E-5</v>
      </c>
      <c r="Q43" s="3">
        <f t="shared" si="27"/>
        <v>7.733092079524682E-5</v>
      </c>
      <c r="R43" s="3">
        <f t="shared" si="27"/>
        <v>7.7330920795246129E-5</v>
      </c>
      <c r="S43" s="3">
        <f t="shared" si="27"/>
        <v>7.7330920795239163E-5</v>
      </c>
      <c r="T43" s="3">
        <f t="shared" si="27"/>
        <v>7.733092079516957E-5</v>
      </c>
      <c r="U43" s="3">
        <f t="shared" si="27"/>
        <v>7.7330920794473594E-5</v>
      </c>
      <c r="V43" s="3">
        <f t="shared" si="27"/>
        <v>7.7330920787513802E-5</v>
      </c>
      <c r="W43" s="3">
        <f t="shared" si="27"/>
        <v>7.7330920717915978E-5</v>
      </c>
      <c r="X43" s="3">
        <f t="shared" si="27"/>
        <v>7.7330920021937696E-5</v>
      </c>
      <c r="Y43" s="3">
        <f t="shared" si="27"/>
        <v>7.7330913062155214E-5</v>
      </c>
      <c r="Z43" s="3">
        <f t="shared" si="27"/>
        <v>7.7330843464364779E-5</v>
      </c>
      <c r="AA43" s="3">
        <f t="shared" si="27"/>
        <v>7.7330147489905482E-5</v>
      </c>
      <c r="AB43" s="3">
        <f t="shared" si="27"/>
        <v>7.7323188089809086E-5</v>
      </c>
      <c r="AC43" s="3">
        <f t="shared" si="27"/>
        <v>7.7253628527026785E-5</v>
      </c>
      <c r="AD43" s="3">
        <f t="shared" si="27"/>
        <v>7.6561465277004276E-5</v>
      </c>
      <c r="AE43" s="3">
        <f t="shared" si="27"/>
        <v>6.9971910706714493E-5</v>
      </c>
      <c r="AF43" s="3">
        <f t="shared" si="29"/>
        <v>2.8448455927428497E-5</v>
      </c>
      <c r="AG43" s="3">
        <f t="shared" si="29"/>
        <v>3.5108183725724888E-9</v>
      </c>
      <c r="AH43" s="3">
        <f t="shared" si="29"/>
        <v>2.8767690065396807E-48</v>
      </c>
      <c r="AI43" s="3">
        <f t="shared" si="29"/>
        <v>0</v>
      </c>
      <c r="AJ43" s="3">
        <f t="shared" si="29"/>
        <v>0</v>
      </c>
    </row>
    <row r="44" spans="1:36" x14ac:dyDescent="0.25">
      <c r="A44" s="3">
        <f t="shared" si="30"/>
        <v>1000000000000</v>
      </c>
      <c r="B44" s="106">
        <v>9.6798535671476283E-5</v>
      </c>
      <c r="C44" s="18">
        <f t="shared" si="3"/>
        <v>1.3850961695873314E-4</v>
      </c>
      <c r="D44" s="17"/>
      <c r="F44" s="3">
        <f t="shared" si="28"/>
        <v>1.3850961695873314E-4</v>
      </c>
      <c r="G44" s="3">
        <f t="shared" si="28"/>
        <v>1.3850961695873314E-4</v>
      </c>
      <c r="H44" s="3">
        <f t="shared" si="28"/>
        <v>1.3850961695873314E-4</v>
      </c>
      <c r="I44" s="3">
        <f t="shared" si="28"/>
        <v>1.3850961695873314E-4</v>
      </c>
      <c r="J44" s="3">
        <f t="shared" si="28"/>
        <v>1.3850961695873314E-4</v>
      </c>
      <c r="K44" s="3">
        <f t="shared" si="28"/>
        <v>1.3850961695873314E-4</v>
      </c>
      <c r="L44" s="3">
        <f t="shared" si="28"/>
        <v>1.3850961695873314E-4</v>
      </c>
      <c r="M44" s="3">
        <f t="shared" si="28"/>
        <v>1.3850961695873314E-4</v>
      </c>
      <c r="N44" s="3">
        <f t="shared" si="28"/>
        <v>1.3850961695873314E-4</v>
      </c>
      <c r="O44" s="3">
        <f t="shared" si="28"/>
        <v>1.3850961695873314E-4</v>
      </c>
      <c r="P44" s="3">
        <f t="shared" si="27"/>
        <v>1.3850961695873314E-4</v>
      </c>
      <c r="Q44" s="3">
        <f t="shared" si="27"/>
        <v>1.3850961695873311E-4</v>
      </c>
      <c r="R44" s="3">
        <f t="shared" si="27"/>
        <v>1.38509616958733E-4</v>
      </c>
      <c r="S44" s="3">
        <f t="shared" si="27"/>
        <v>1.3850961695873175E-4</v>
      </c>
      <c r="T44" s="3">
        <f t="shared" si="27"/>
        <v>1.3850961695871929E-4</v>
      </c>
      <c r="U44" s="3">
        <f t="shared" si="27"/>
        <v>1.3850961695859463E-4</v>
      </c>
      <c r="V44" s="3">
        <f t="shared" si="27"/>
        <v>1.3850961695734804E-4</v>
      </c>
      <c r="W44" s="3">
        <f t="shared" si="27"/>
        <v>1.3850961694488218E-4</v>
      </c>
      <c r="X44" s="3">
        <f t="shared" si="27"/>
        <v>1.3850961682022352E-4</v>
      </c>
      <c r="Y44" s="3">
        <f t="shared" si="27"/>
        <v>1.3850961557363697E-4</v>
      </c>
      <c r="Z44" s="3">
        <f t="shared" si="27"/>
        <v>1.3850960310777215E-4</v>
      </c>
      <c r="AA44" s="3">
        <f t="shared" si="27"/>
        <v>1.3850947844918545E-4</v>
      </c>
      <c r="AB44" s="3">
        <f t="shared" si="27"/>
        <v>1.3850823186948902E-4</v>
      </c>
      <c r="AC44" s="3">
        <f t="shared" si="27"/>
        <v>1.3849576668956227E-4</v>
      </c>
      <c r="AD44" s="3">
        <f t="shared" si="27"/>
        <v>1.3837117657350371E-4</v>
      </c>
      <c r="AE44" s="3">
        <f t="shared" si="27"/>
        <v>1.3713142324265471E-4</v>
      </c>
      <c r="AF44" s="3">
        <f t="shared" si="29"/>
        <v>1.2532868418208985E-4</v>
      </c>
      <c r="AG44" s="3">
        <f t="shared" si="29"/>
        <v>5.0954840483649279E-5</v>
      </c>
      <c r="AH44" s="3">
        <f t="shared" si="29"/>
        <v>6.2883268813551651E-9</v>
      </c>
      <c r="AI44" s="3">
        <f t="shared" si="29"/>
        <v>5.152662984960313E-48</v>
      </c>
      <c r="AJ44" s="3">
        <f t="shared" si="29"/>
        <v>0</v>
      </c>
    </row>
    <row r="45" spans="1:36" x14ac:dyDescent="0.25">
      <c r="A45" s="3">
        <f t="shared" si="30"/>
        <v>10000000000000</v>
      </c>
      <c r="B45" s="106">
        <v>0</v>
      </c>
      <c r="C45" s="18">
        <f t="shared" si="3"/>
        <v>0</v>
      </c>
      <c r="D45" s="17"/>
      <c r="F45" s="3">
        <f t="shared" si="28"/>
        <v>0</v>
      </c>
      <c r="G45" s="3">
        <f t="shared" si="28"/>
        <v>0</v>
      </c>
      <c r="H45" s="3">
        <f t="shared" si="28"/>
        <v>0</v>
      </c>
      <c r="I45" s="3">
        <f t="shared" si="28"/>
        <v>0</v>
      </c>
      <c r="J45" s="3">
        <f t="shared" si="28"/>
        <v>0</v>
      </c>
      <c r="K45" s="3">
        <f t="shared" si="28"/>
        <v>0</v>
      </c>
      <c r="L45" s="3">
        <f t="shared" si="28"/>
        <v>0</v>
      </c>
      <c r="M45" s="3">
        <f t="shared" si="28"/>
        <v>0</v>
      </c>
      <c r="N45" s="3">
        <f t="shared" si="28"/>
        <v>0</v>
      </c>
      <c r="O45" s="3">
        <f t="shared" si="28"/>
        <v>0</v>
      </c>
      <c r="P45" s="3">
        <f t="shared" si="27"/>
        <v>0</v>
      </c>
      <c r="Q45" s="3">
        <f t="shared" si="27"/>
        <v>0</v>
      </c>
      <c r="R45" s="3">
        <f t="shared" si="27"/>
        <v>0</v>
      </c>
      <c r="S45" s="3">
        <f t="shared" si="27"/>
        <v>0</v>
      </c>
      <c r="T45" s="3">
        <f t="shared" si="27"/>
        <v>0</v>
      </c>
      <c r="U45" s="3">
        <f t="shared" si="27"/>
        <v>0</v>
      </c>
      <c r="V45" s="3">
        <f t="shared" si="27"/>
        <v>0</v>
      </c>
      <c r="W45" s="3">
        <f t="shared" si="27"/>
        <v>0</v>
      </c>
      <c r="X45" s="3">
        <f t="shared" si="27"/>
        <v>0</v>
      </c>
      <c r="Y45" s="3">
        <f t="shared" si="27"/>
        <v>0</v>
      </c>
      <c r="Z45" s="3">
        <f t="shared" si="27"/>
        <v>0</v>
      </c>
      <c r="AA45" s="3">
        <f t="shared" si="27"/>
        <v>0</v>
      </c>
      <c r="AB45" s="3">
        <f t="shared" si="27"/>
        <v>0</v>
      </c>
      <c r="AC45" s="3">
        <f t="shared" si="27"/>
        <v>0</v>
      </c>
      <c r="AD45" s="3">
        <f t="shared" si="27"/>
        <v>0</v>
      </c>
      <c r="AE45" s="3">
        <f t="shared" si="27"/>
        <v>0</v>
      </c>
      <c r="AF45" s="3">
        <f t="shared" si="29"/>
        <v>0</v>
      </c>
      <c r="AG45" s="3">
        <f t="shared" si="29"/>
        <v>0</v>
      </c>
      <c r="AH45" s="3">
        <f t="shared" si="29"/>
        <v>0</v>
      </c>
      <c r="AI45" s="3">
        <f t="shared" si="29"/>
        <v>0</v>
      </c>
      <c r="AJ45" s="3">
        <f t="shared" si="29"/>
        <v>0</v>
      </c>
    </row>
    <row r="46" spans="1:36" x14ac:dyDescent="0.25">
      <c r="A46" s="3">
        <f t="shared" si="30"/>
        <v>100000000000000</v>
      </c>
      <c r="B46" s="106">
        <v>0</v>
      </c>
      <c r="C46" s="18">
        <f t="shared" si="3"/>
        <v>0</v>
      </c>
      <c r="D46" s="17"/>
      <c r="F46" s="3">
        <f t="shared" si="28"/>
        <v>0</v>
      </c>
      <c r="G46" s="3">
        <f t="shared" si="28"/>
        <v>0</v>
      </c>
      <c r="H46" s="3">
        <f t="shared" si="28"/>
        <v>0</v>
      </c>
      <c r="I46" s="3">
        <f t="shared" si="28"/>
        <v>0</v>
      </c>
      <c r="J46" s="3">
        <f t="shared" si="28"/>
        <v>0</v>
      </c>
      <c r="K46" s="3">
        <f t="shared" si="28"/>
        <v>0</v>
      </c>
      <c r="L46" s="3">
        <f t="shared" si="28"/>
        <v>0</v>
      </c>
      <c r="M46" s="3">
        <f t="shared" si="28"/>
        <v>0</v>
      </c>
      <c r="N46" s="3">
        <f t="shared" si="28"/>
        <v>0</v>
      </c>
      <c r="O46" s="3">
        <f t="shared" si="28"/>
        <v>0</v>
      </c>
      <c r="P46" s="3">
        <f t="shared" si="27"/>
        <v>0</v>
      </c>
      <c r="Q46" s="3">
        <f t="shared" si="27"/>
        <v>0</v>
      </c>
      <c r="R46" s="3">
        <f t="shared" si="27"/>
        <v>0</v>
      </c>
      <c r="S46" s="3">
        <f t="shared" si="27"/>
        <v>0</v>
      </c>
      <c r="T46" s="3">
        <f t="shared" si="27"/>
        <v>0</v>
      </c>
      <c r="U46" s="3">
        <f t="shared" si="27"/>
        <v>0</v>
      </c>
      <c r="V46" s="3">
        <f t="shared" si="27"/>
        <v>0</v>
      </c>
      <c r="W46" s="3">
        <f t="shared" si="27"/>
        <v>0</v>
      </c>
      <c r="X46" s="3">
        <f t="shared" si="27"/>
        <v>0</v>
      </c>
      <c r="Y46" s="3">
        <f t="shared" si="27"/>
        <v>0</v>
      </c>
      <c r="Z46" s="3">
        <f t="shared" si="27"/>
        <v>0</v>
      </c>
      <c r="AA46" s="3">
        <f t="shared" si="27"/>
        <v>0</v>
      </c>
      <c r="AB46" s="3">
        <f t="shared" si="27"/>
        <v>0</v>
      </c>
      <c r="AC46" s="3">
        <f t="shared" si="27"/>
        <v>0</v>
      </c>
      <c r="AD46" s="3">
        <f t="shared" si="27"/>
        <v>0</v>
      </c>
      <c r="AE46" s="3">
        <f t="shared" si="27"/>
        <v>0</v>
      </c>
      <c r="AF46" s="3">
        <f t="shared" si="29"/>
        <v>0</v>
      </c>
      <c r="AG46" s="3">
        <f t="shared" si="29"/>
        <v>0</v>
      </c>
      <c r="AH46" s="3">
        <f t="shared" si="29"/>
        <v>0</v>
      </c>
      <c r="AI46" s="3">
        <f t="shared" si="29"/>
        <v>0</v>
      </c>
      <c r="AJ46" s="3">
        <f t="shared" si="29"/>
        <v>0</v>
      </c>
    </row>
    <row r="47" spans="1:36" x14ac:dyDescent="0.25">
      <c r="A47" s="3">
        <f t="shared" si="30"/>
        <v>1000000000000000</v>
      </c>
      <c r="B47" s="106">
        <v>0</v>
      </c>
      <c r="C47" s="18">
        <f t="shared" si="3"/>
        <v>0</v>
      </c>
      <c r="D47" s="17"/>
      <c r="F47" s="3">
        <f t="shared" si="28"/>
        <v>0</v>
      </c>
      <c r="G47" s="3">
        <f t="shared" si="28"/>
        <v>0</v>
      </c>
      <c r="H47" s="3">
        <f t="shared" si="28"/>
        <v>0</v>
      </c>
      <c r="I47" s="3">
        <f t="shared" si="28"/>
        <v>0</v>
      </c>
      <c r="J47" s="3">
        <f t="shared" si="28"/>
        <v>0</v>
      </c>
      <c r="K47" s="3">
        <f t="shared" si="28"/>
        <v>0</v>
      </c>
      <c r="L47" s="3">
        <f t="shared" si="28"/>
        <v>0</v>
      </c>
      <c r="M47" s="3">
        <f t="shared" si="28"/>
        <v>0</v>
      </c>
      <c r="N47" s="3">
        <f t="shared" si="28"/>
        <v>0</v>
      </c>
      <c r="O47" s="3">
        <f t="shared" si="28"/>
        <v>0</v>
      </c>
      <c r="P47" s="3">
        <f t="shared" si="27"/>
        <v>0</v>
      </c>
      <c r="Q47" s="3">
        <f t="shared" si="27"/>
        <v>0</v>
      </c>
      <c r="R47" s="3">
        <f t="shared" si="27"/>
        <v>0</v>
      </c>
      <c r="S47" s="3">
        <f t="shared" si="27"/>
        <v>0</v>
      </c>
      <c r="T47" s="3">
        <f t="shared" si="27"/>
        <v>0</v>
      </c>
      <c r="U47" s="3">
        <f t="shared" si="27"/>
        <v>0</v>
      </c>
      <c r="V47" s="3">
        <f t="shared" si="27"/>
        <v>0</v>
      </c>
      <c r="W47" s="3">
        <f t="shared" si="27"/>
        <v>0</v>
      </c>
      <c r="X47" s="3">
        <f t="shared" si="27"/>
        <v>0</v>
      </c>
      <c r="Y47" s="3">
        <f t="shared" si="27"/>
        <v>0</v>
      </c>
      <c r="Z47" s="3">
        <f t="shared" si="27"/>
        <v>0</v>
      </c>
      <c r="AA47" s="3">
        <f t="shared" si="27"/>
        <v>0</v>
      </c>
      <c r="AB47" s="3">
        <f t="shared" si="27"/>
        <v>0</v>
      </c>
      <c r="AC47" s="3">
        <f t="shared" si="27"/>
        <v>0</v>
      </c>
      <c r="AD47" s="3">
        <f t="shared" si="27"/>
        <v>0</v>
      </c>
      <c r="AE47" s="3">
        <f t="shared" si="27"/>
        <v>0</v>
      </c>
      <c r="AF47" s="3">
        <f t="shared" si="29"/>
        <v>0</v>
      </c>
      <c r="AG47" s="3">
        <f t="shared" si="29"/>
        <v>0</v>
      </c>
      <c r="AH47" s="3">
        <f t="shared" si="29"/>
        <v>0</v>
      </c>
      <c r="AI47" s="3">
        <f t="shared" si="29"/>
        <v>0</v>
      </c>
      <c r="AJ47" s="3">
        <f t="shared" si="29"/>
        <v>0</v>
      </c>
    </row>
    <row r="48" spans="1:36" x14ac:dyDescent="0.25">
      <c r="A48" s="3">
        <f t="shared" si="30"/>
        <v>1E+16</v>
      </c>
      <c r="B48" s="106">
        <v>2.6667582072181025E-4</v>
      </c>
      <c r="C48" s="18">
        <f t="shared" si="3"/>
        <v>3.8158806353945737E-4</v>
      </c>
      <c r="D48" s="17"/>
      <c r="F48" s="3">
        <f t="shared" si="28"/>
        <v>3.8158806353945737E-4</v>
      </c>
      <c r="G48" s="3">
        <f t="shared" si="28"/>
        <v>3.8158806353945737E-4</v>
      </c>
      <c r="H48" s="3">
        <f t="shared" si="28"/>
        <v>3.8158806353945737E-4</v>
      </c>
      <c r="I48" s="3">
        <f t="shared" si="28"/>
        <v>3.8158806353945737E-4</v>
      </c>
      <c r="J48" s="3">
        <f t="shared" si="28"/>
        <v>3.8158806353945737E-4</v>
      </c>
      <c r="K48" s="3">
        <f t="shared" si="28"/>
        <v>3.8158806353945737E-4</v>
      </c>
      <c r="L48" s="3">
        <f t="shared" si="28"/>
        <v>3.8158806353945737E-4</v>
      </c>
      <c r="M48" s="3">
        <f t="shared" si="28"/>
        <v>3.8158806353945737E-4</v>
      </c>
      <c r="N48" s="3">
        <f t="shared" si="28"/>
        <v>3.8158806353945737E-4</v>
      </c>
      <c r="O48" s="3">
        <f t="shared" si="28"/>
        <v>3.8158806353945737E-4</v>
      </c>
      <c r="P48" s="3">
        <f t="shared" si="27"/>
        <v>3.8158806353945737E-4</v>
      </c>
      <c r="Q48" s="3">
        <f t="shared" si="27"/>
        <v>3.8158806353945737E-4</v>
      </c>
      <c r="R48" s="3">
        <f t="shared" si="27"/>
        <v>3.8158806353945737E-4</v>
      </c>
      <c r="S48" s="3">
        <f t="shared" si="27"/>
        <v>3.8158806353945737E-4</v>
      </c>
      <c r="T48" s="3">
        <f t="shared" si="27"/>
        <v>3.8158806353945737E-4</v>
      </c>
      <c r="U48" s="3">
        <f t="shared" si="27"/>
        <v>3.8158806353945731E-4</v>
      </c>
      <c r="V48" s="3">
        <f t="shared" si="27"/>
        <v>3.8158806353945699E-4</v>
      </c>
      <c r="W48" s="3">
        <f t="shared" si="27"/>
        <v>3.8158806353945357E-4</v>
      </c>
      <c r="X48" s="3">
        <f t="shared" si="27"/>
        <v>3.815880635394192E-4</v>
      </c>
      <c r="Y48" s="3">
        <f t="shared" si="27"/>
        <v>3.8158806353907578E-4</v>
      </c>
      <c r="Z48" s="3">
        <f t="shared" si="27"/>
        <v>3.8158806353564146E-4</v>
      </c>
      <c r="AA48" s="3">
        <f t="shared" si="27"/>
        <v>3.8158806350129855E-4</v>
      </c>
      <c r="AB48" s="3">
        <f t="shared" si="27"/>
        <v>3.8158806315786932E-4</v>
      </c>
      <c r="AC48" s="3">
        <f t="shared" si="27"/>
        <v>3.8158805972357676E-4</v>
      </c>
      <c r="AD48" s="3">
        <f t="shared" si="27"/>
        <v>3.8158802538065296E-4</v>
      </c>
      <c r="AE48" s="3">
        <f t="shared" si="27"/>
        <v>3.8158768195158463E-4</v>
      </c>
      <c r="AF48" s="3">
        <f t="shared" si="29"/>
        <v>3.8158424767790133E-4</v>
      </c>
      <c r="AG48" s="3">
        <f t="shared" si="29"/>
        <v>3.8154990664098014E-4</v>
      </c>
      <c r="AH48" s="3">
        <f t="shared" si="29"/>
        <v>3.8120666620636756E-4</v>
      </c>
      <c r="AI48" s="3">
        <f t="shared" si="29"/>
        <v>3.7779119886790678E-4</v>
      </c>
      <c r="AJ48" s="3">
        <f t="shared" si="29"/>
        <v>3.4527515816638426E-4</v>
      </c>
    </row>
    <row r="49" spans="1:36" x14ac:dyDescent="0.25">
      <c r="B49" s="16">
        <f>SUM(B17:B48)</f>
        <v>0.69885786847794085</v>
      </c>
      <c r="C49" s="18">
        <f>SUM(C17:C48)</f>
        <v>1.0000000000000004</v>
      </c>
      <c r="F49" s="3">
        <f t="shared" ref="F49:AJ49" si="31">F16-F17</f>
        <v>90.527626998173218</v>
      </c>
      <c r="G49" s="3">
        <f t="shared" si="31"/>
        <v>-117.09191164026379</v>
      </c>
      <c r="H49" s="3">
        <f t="shared" si="31"/>
        <v>30.997316994490575</v>
      </c>
      <c r="I49" s="3">
        <f t="shared" si="31"/>
        <v>-5.0595524904529157</v>
      </c>
      <c r="J49" s="3">
        <f t="shared" si="31"/>
        <v>0.70489123055358505</v>
      </c>
      <c r="K49" s="3">
        <f t="shared" si="31"/>
        <v>-8.5926087204825308E-2</v>
      </c>
      <c r="L49" s="3">
        <f t="shared" si="31"/>
        <v>5.4563376656915352E-3</v>
      </c>
      <c r="M49" s="3">
        <f t="shared" si="31"/>
        <v>6.8639105898000707E-3</v>
      </c>
      <c r="N49" s="3">
        <f t="shared" si="31"/>
        <v>-1.1434464018293511E-2</v>
      </c>
      <c r="O49" s="3">
        <f t="shared" si="31"/>
        <v>1.481659914179545E-2</v>
      </c>
      <c r="P49" s="3">
        <f t="shared" si="31"/>
        <v>-1.7140578830321829E-2</v>
      </c>
      <c r="Q49" s="3">
        <f t="shared" si="31"/>
        <v>2.1840127747964289E-2</v>
      </c>
      <c r="R49" s="3">
        <f t="shared" si="31"/>
        <v>-2.6164685875130544E-2</v>
      </c>
      <c r="S49" s="3">
        <f t="shared" si="31"/>
        <v>2.9099993011271863E-2</v>
      </c>
      <c r="T49" s="3">
        <f t="shared" si="31"/>
        <v>-2.8497341902550488E-2</v>
      </c>
      <c r="U49" s="3">
        <f t="shared" si="31"/>
        <v>2.3933198733089966E-2</v>
      </c>
      <c r="V49" s="3">
        <f t="shared" si="31"/>
        <v>-1.7762141743247639E-2</v>
      </c>
      <c r="W49" s="3">
        <f t="shared" si="31"/>
        <v>1.2122420226489794E-2</v>
      </c>
      <c r="X49" s="3">
        <f t="shared" si="31"/>
        <v>-5.9412190077523519E-3</v>
      </c>
      <c r="Y49" s="3">
        <f t="shared" si="31"/>
        <v>1.4057230589799019E-3</v>
      </c>
      <c r="Z49" s="3">
        <f t="shared" si="31"/>
        <v>1.9052737906974926E-3</v>
      </c>
      <c r="AA49" s="3">
        <f t="shared" si="31"/>
        <v>-2.3900145735638034E-3</v>
      </c>
      <c r="AB49" s="3">
        <f t="shared" si="31"/>
        <v>-1.8857113444795459E-2</v>
      </c>
      <c r="AC49" s="3">
        <f t="shared" si="31"/>
        <v>4.845152124192964E-2</v>
      </c>
      <c r="AD49" s="3">
        <f t="shared" si="31"/>
        <v>1.3863466403591929E-2</v>
      </c>
      <c r="AE49" s="3">
        <f t="shared" si="31"/>
        <v>-7.6141401199791403E-2</v>
      </c>
      <c r="AF49" s="3">
        <f t="shared" si="31"/>
        <v>7.301747509707468E-2</v>
      </c>
      <c r="AG49" s="3">
        <f t="shared" si="31"/>
        <v>-9.0901614506393003E-2</v>
      </c>
      <c r="AH49" s="3">
        <f t="shared" si="31"/>
        <v>0.23046548728547123</v>
      </c>
      <c r="AI49" s="3">
        <f t="shared" si="31"/>
        <v>-0.18998072906975949</v>
      </c>
      <c r="AJ49" s="3">
        <f t="shared" si="31"/>
        <v>1.0723353139979963E-2</v>
      </c>
    </row>
    <row r="50" spans="1:36" x14ac:dyDescent="0.25">
      <c r="F50" s="57">
        <f t="shared" ref="F50:AJ50" si="32">F49/F17</f>
        <v>1.6831358283283127E-2</v>
      </c>
      <c r="G50" s="57">
        <f t="shared" si="32"/>
        <v>-2.2254399989483684E-2</v>
      </c>
      <c r="H50" s="57">
        <f t="shared" si="32"/>
        <v>6.4196811111861766E-3</v>
      </c>
      <c r="I50" s="57">
        <f t="shared" si="32"/>
        <v>-1.1037064621049174E-3</v>
      </c>
      <c r="J50" s="57">
        <f t="shared" si="32"/>
        <v>1.6492835575033021E-4</v>
      </c>
      <c r="K50" s="57">
        <f t="shared" si="32"/>
        <v>-2.1818387148112122E-5</v>
      </c>
      <c r="L50" s="57">
        <f t="shared" si="32"/>
        <v>1.5627098964251205E-6</v>
      </c>
      <c r="M50" s="57">
        <f t="shared" si="32"/>
        <v>2.3350284097438162E-6</v>
      </c>
      <c r="N50" s="57">
        <f t="shared" si="32"/>
        <v>-4.9924908852572235E-6</v>
      </c>
      <c r="O50" s="57">
        <f t="shared" si="32"/>
        <v>9.5169910821261234E-6</v>
      </c>
      <c r="P50" s="57">
        <f t="shared" si="32"/>
        <v>-1.8241740796169975E-5</v>
      </c>
      <c r="Q50" s="57">
        <f t="shared" si="32"/>
        <v>4.1037223562984504E-5</v>
      </c>
      <c r="R50" s="57">
        <f t="shared" si="32"/>
        <v>-8.8802121808202272E-5</v>
      </c>
      <c r="S50" s="57">
        <f t="shared" si="32"/>
        <v>1.5169901200432035E-4</v>
      </c>
      <c r="T50" s="57">
        <f t="shared" si="32"/>
        <v>-1.755768587543177E-4</v>
      </c>
      <c r="U50" s="57">
        <f t="shared" si="32"/>
        <v>1.6249507778746104E-4</v>
      </c>
      <c r="V50" s="57">
        <f t="shared" si="32"/>
        <v>-1.2501183613265881E-4</v>
      </c>
      <c r="W50" s="57">
        <f t="shared" si="32"/>
        <v>8.6447728996750736E-5</v>
      </c>
      <c r="X50" s="57">
        <f t="shared" si="32"/>
        <v>-4.332304082826839E-5</v>
      </c>
      <c r="Y50" s="57">
        <f t="shared" si="32"/>
        <v>1.0522662812643424E-5</v>
      </c>
      <c r="Z50" s="57">
        <f t="shared" si="32"/>
        <v>1.4588165976773537E-5</v>
      </c>
      <c r="AA50" s="57">
        <f t="shared" si="32"/>
        <v>-1.8610114797400708E-5</v>
      </c>
      <c r="AB50" s="57">
        <f t="shared" si="32"/>
        <v>-1.4854603950784055E-4</v>
      </c>
      <c r="AC50" s="57">
        <f t="shared" si="32"/>
        <v>3.8505399098116383E-4</v>
      </c>
      <c r="AD50" s="57">
        <f t="shared" si="32"/>
        <v>1.1082158543336033E-4</v>
      </c>
      <c r="AE50" s="57">
        <f t="shared" si="32"/>
        <v>-6.0890715127922916E-4</v>
      </c>
      <c r="AF50" s="57">
        <f t="shared" si="32"/>
        <v>5.8555417842160904E-4</v>
      </c>
      <c r="AG50" s="57">
        <f t="shared" si="32"/>
        <v>-7.329176818782761E-4</v>
      </c>
      <c r="AH50" s="57">
        <f t="shared" si="32"/>
        <v>1.8632147647732508E-3</v>
      </c>
      <c r="AI50" s="57">
        <f t="shared" si="32"/>
        <v>-1.5361900824277944E-3</v>
      </c>
      <c r="AJ50" s="57">
        <f t="shared" si="32"/>
        <v>8.6858359546193668E-5</v>
      </c>
    </row>
    <row r="51" spans="1:36" x14ac:dyDescent="0.25">
      <c r="A51" s="13" t="s">
        <v>21</v>
      </c>
      <c r="B51" s="3">
        <f>STUTT!D8</f>
        <v>6524.0923000000003</v>
      </c>
      <c r="E51" s="11" t="s">
        <v>24</v>
      </c>
      <c r="F51" s="20">
        <f t="shared" ref="F51:AJ51" si="33">(F16-F17)^2</f>
        <v>8195.2512499203804</v>
      </c>
      <c r="G51" s="20">
        <f t="shared" si="33"/>
        <v>13710.515771571343</v>
      </c>
      <c r="H51" s="20">
        <f t="shared" si="33"/>
        <v>960.83366085693422</v>
      </c>
      <c r="I51" s="20">
        <f t="shared" si="33"/>
        <v>25.599071403648303</v>
      </c>
      <c r="J51" s="20">
        <f t="shared" si="33"/>
        <v>0.49687164691134739</v>
      </c>
      <c r="K51" s="20">
        <f t="shared" si="33"/>
        <v>7.3832924623312432E-3</v>
      </c>
      <c r="L51" s="20">
        <f t="shared" si="33"/>
        <v>2.9771620722044152E-5</v>
      </c>
      <c r="M51" s="20">
        <f t="shared" si="33"/>
        <v>4.7113268584769552E-5</v>
      </c>
      <c r="N51" s="20">
        <f t="shared" si="33"/>
        <v>1.3074696738564899E-4</v>
      </c>
      <c r="O51" s="20">
        <f t="shared" si="33"/>
        <v>2.1953161012865368E-4</v>
      </c>
      <c r="P51" s="20">
        <f t="shared" si="33"/>
        <v>2.9379944263847684E-4</v>
      </c>
      <c r="Q51" s="20">
        <f t="shared" si="33"/>
        <v>4.7699118004739969E-4</v>
      </c>
      <c r="R51" s="20">
        <f t="shared" si="33"/>
        <v>6.8459078694425586E-4</v>
      </c>
      <c r="S51" s="20">
        <f t="shared" si="33"/>
        <v>8.4680959325607124E-4</v>
      </c>
      <c r="T51" s="20">
        <f t="shared" si="33"/>
        <v>8.1209849551085991E-4</v>
      </c>
      <c r="U51" s="20">
        <f t="shared" si="33"/>
        <v>5.7279800159757918E-4</v>
      </c>
      <c r="V51" s="20">
        <f t="shared" si="33"/>
        <v>3.1549367930722031E-4</v>
      </c>
      <c r="W51" s="20">
        <f t="shared" si="33"/>
        <v>1.4695307214760886E-4</v>
      </c>
      <c r="X51" s="20">
        <f t="shared" si="33"/>
        <v>3.529808329807784E-5</v>
      </c>
      <c r="Y51" s="20">
        <f t="shared" si="33"/>
        <v>1.9760573185478126E-6</v>
      </c>
      <c r="Z51" s="20">
        <f t="shared" si="33"/>
        <v>3.6300682175187928E-6</v>
      </c>
      <c r="AA51" s="20">
        <f t="shared" si="33"/>
        <v>5.7121696618473693E-6</v>
      </c>
      <c r="AB51" s="20">
        <f t="shared" si="33"/>
        <v>3.5559072746988568E-4</v>
      </c>
      <c r="AC51" s="20">
        <f t="shared" si="33"/>
        <v>2.347549910657159E-3</v>
      </c>
      <c r="AD51" s="20">
        <f t="shared" si="33"/>
        <v>1.9219570072352213E-4</v>
      </c>
      <c r="AE51" s="20">
        <f t="shared" si="33"/>
        <v>5.7975129766675961E-3</v>
      </c>
      <c r="AF51" s="20">
        <f t="shared" si="33"/>
        <v>5.3315516695519212E-3</v>
      </c>
      <c r="AG51" s="20">
        <f t="shared" si="33"/>
        <v>8.2631035198688779E-3</v>
      </c>
      <c r="AH51" s="20">
        <f t="shared" si="33"/>
        <v>5.3114340829729698E-2</v>
      </c>
      <c r="AI51" s="20">
        <f t="shared" si="33"/>
        <v>3.6092677417877361E-2</v>
      </c>
      <c r="AJ51" s="20">
        <f t="shared" si="33"/>
        <v>1.1499030256471813E-4</v>
      </c>
    </row>
    <row r="52" spans="1:36" x14ac:dyDescent="0.25">
      <c r="A52" s="13"/>
    </row>
    <row r="53" spans="1:36" x14ac:dyDescent="0.25">
      <c r="E53" s="119" t="s">
        <v>25</v>
      </c>
      <c r="F53" s="119"/>
      <c r="G53" s="104">
        <f>SUM(F51:AJ51)</f>
        <v>22892.820241518843</v>
      </c>
      <c r="I53" s="3">
        <f>G53+C123</f>
        <v>22892.820241518843</v>
      </c>
      <c r="K53" s="3">
        <f>SUM(Z51:AJ51)</f>
        <v>0.11161885529299011</v>
      </c>
    </row>
    <row r="55" spans="1:36" x14ac:dyDescent="0.25">
      <c r="E55" s="30" t="s">
        <v>30</v>
      </c>
      <c r="F55" s="31">
        <f t="shared" ref="F55:AJ55" si="34">ABS(F17-F16)/F16</f>
        <v>1.6552752967512251E-2</v>
      </c>
      <c r="G55" s="31">
        <f t="shared" si="34"/>
        <v>2.2760930848724169E-2</v>
      </c>
      <c r="H55" s="31">
        <f t="shared" si="34"/>
        <v>6.3787316878563208E-3</v>
      </c>
      <c r="I55" s="31">
        <f t="shared" si="34"/>
        <v>1.1049259760448256E-3</v>
      </c>
      <c r="J55" s="31">
        <f t="shared" si="34"/>
        <v>1.6490115887333591E-4</v>
      </c>
      <c r="K55" s="31">
        <f t="shared" si="34"/>
        <v>2.1818863200516562E-5</v>
      </c>
      <c r="L55" s="31">
        <f t="shared" si="34"/>
        <v>1.5627074543667164E-6</v>
      </c>
      <c r="M55" s="31">
        <f t="shared" si="34"/>
        <v>2.3350229573988731E-6</v>
      </c>
      <c r="N55" s="31">
        <f t="shared" si="34"/>
        <v>4.9925158103469011E-6</v>
      </c>
      <c r="O55" s="31">
        <f t="shared" si="34"/>
        <v>9.5169005098688419E-6</v>
      </c>
      <c r="P55" s="31">
        <f t="shared" si="34"/>
        <v>1.8242073563347504E-5</v>
      </c>
      <c r="Q55" s="31">
        <f t="shared" si="34"/>
        <v>4.1035539578372796E-5</v>
      </c>
      <c r="R55" s="31">
        <f t="shared" si="34"/>
        <v>8.8810008325379365E-5</v>
      </c>
      <c r="S55" s="31">
        <f t="shared" si="34"/>
        <v>1.5167600290453496E-4</v>
      </c>
      <c r="T55" s="31">
        <f t="shared" si="34"/>
        <v>1.7560769140114702E-4</v>
      </c>
      <c r="U55" s="31">
        <f t="shared" si="34"/>
        <v>1.6246867742708448E-4</v>
      </c>
      <c r="V55" s="31">
        <f t="shared" si="34"/>
        <v>1.2502746604575621E-4</v>
      </c>
      <c r="W55" s="31">
        <f t="shared" si="34"/>
        <v>8.6440256432888222E-5</v>
      </c>
      <c r="X55" s="31">
        <f t="shared" si="34"/>
        <v>4.332491779545092E-5</v>
      </c>
      <c r="Y55" s="31">
        <f t="shared" si="34"/>
        <v>1.052255208737588E-5</v>
      </c>
      <c r="Z55" s="31">
        <f t="shared" si="34"/>
        <v>1.4587953165291501E-5</v>
      </c>
      <c r="AA55" s="31">
        <f t="shared" si="34"/>
        <v>1.861046114021896E-5</v>
      </c>
      <c r="AB55" s="31">
        <f t="shared" si="34"/>
        <v>1.4856810871198689E-4</v>
      </c>
      <c r="AC55" s="31">
        <f t="shared" si="34"/>
        <v>3.8490578147385557E-4</v>
      </c>
      <c r="AD55" s="31">
        <f t="shared" si="34"/>
        <v>1.108093053704584E-4</v>
      </c>
      <c r="AE55" s="31">
        <f t="shared" si="34"/>
        <v>6.0927814509889806E-4</v>
      </c>
      <c r="AF55" s="31">
        <f t="shared" si="34"/>
        <v>5.8521150537937374E-4</v>
      </c>
      <c r="AG55" s="31">
        <f t="shared" si="34"/>
        <v>7.3345524419561343E-4</v>
      </c>
      <c r="AH55" s="31">
        <f t="shared" si="34"/>
        <v>1.8597496517633034E-3</v>
      </c>
      <c r="AI55" s="31">
        <f t="shared" si="34"/>
        <v>1.5385535931989503E-3</v>
      </c>
      <c r="AJ55" s="31">
        <f t="shared" si="34"/>
        <v>8.6850815826805698E-5</v>
      </c>
    </row>
    <row r="56" spans="1:36" x14ac:dyDescent="0.25">
      <c r="E56" s="13" t="s">
        <v>31</v>
      </c>
      <c r="F56" s="32">
        <f>AVERAGE(F55:AJ55)</f>
        <v>1.7418130451557902E-3</v>
      </c>
    </row>
    <row r="57" spans="1:36" x14ac:dyDescent="0.25">
      <c r="A57" s="42"/>
      <c r="B57" s="15"/>
      <c r="C57" s="15"/>
      <c r="D57" s="15"/>
      <c r="F57" s="60">
        <f>AVERAGE(S55:X55)</f>
        <v>1.2409083533447698E-4</v>
      </c>
      <c r="G57" s="29"/>
      <c r="H57" s="29"/>
      <c r="I57" s="29"/>
      <c r="J57" s="29"/>
      <c r="K57" s="29"/>
      <c r="L57" s="29"/>
      <c r="M57" s="29"/>
      <c r="N57" s="29"/>
      <c r="O57" s="29"/>
      <c r="P57" s="29"/>
      <c r="Q57" s="29"/>
      <c r="R57" s="29"/>
      <c r="S57" s="29"/>
      <c r="T57" s="29"/>
      <c r="U57" s="29"/>
      <c r="V57" s="29"/>
      <c r="W57" s="29"/>
      <c r="X57" s="29"/>
      <c r="Y57" s="29"/>
      <c r="Z57" s="29"/>
      <c r="AA57" s="29"/>
      <c r="AB57" s="29"/>
      <c r="AC57" s="29"/>
      <c r="AD57" s="29"/>
      <c r="AE57" s="29"/>
      <c r="AF57" s="29"/>
      <c r="AG57" s="29"/>
      <c r="AH57" s="29"/>
      <c r="AI57" s="29"/>
      <c r="AJ57" s="29"/>
    </row>
    <row r="58" spans="1:36" x14ac:dyDescent="0.25">
      <c r="F58" s="57"/>
      <c r="G58" s="57"/>
      <c r="H58" s="57"/>
      <c r="I58" s="57"/>
      <c r="J58" s="57"/>
      <c r="K58" s="57"/>
      <c r="L58" s="57"/>
      <c r="M58" s="57"/>
      <c r="N58" s="57"/>
      <c r="O58" s="57"/>
      <c r="P58" s="57"/>
      <c r="Q58" s="57"/>
      <c r="R58" s="57"/>
      <c r="S58" s="57"/>
      <c r="T58" s="57"/>
      <c r="U58" s="57"/>
      <c r="V58" s="57"/>
      <c r="W58" s="57"/>
      <c r="X58" s="57"/>
      <c r="Y58" s="57"/>
      <c r="Z58" s="57"/>
      <c r="AA58" s="57"/>
      <c r="AB58" s="57"/>
      <c r="AC58" s="57"/>
      <c r="AD58" s="57"/>
      <c r="AE58" s="57"/>
      <c r="AF58" s="57"/>
      <c r="AG58" s="57"/>
      <c r="AH58" s="57"/>
      <c r="AI58" s="57"/>
      <c r="AJ58" s="57"/>
    </row>
    <row r="60" spans="1:36" x14ac:dyDescent="0.25">
      <c r="A60" s="11" t="s">
        <v>112</v>
      </c>
      <c r="D60" s="11" t="s">
        <v>115</v>
      </c>
    </row>
    <row r="61" spans="1:36" x14ac:dyDescent="0.25">
      <c r="A61" s="42">
        <f>F15</f>
        <v>1.0000000000000001E-15</v>
      </c>
      <c r="B61" s="42">
        <f>AJ15</f>
        <v>1000000000000000</v>
      </c>
      <c r="C61" s="15"/>
      <c r="D61" s="42">
        <v>1.0000000000000001E-15</v>
      </c>
      <c r="E61" s="42">
        <f>10^8</f>
        <v>100000000</v>
      </c>
      <c r="F61" s="15"/>
      <c r="G61" s="15"/>
      <c r="H61" s="15"/>
      <c r="I61" s="15"/>
    </row>
    <row r="62" spans="1:36" x14ac:dyDescent="0.25">
      <c r="A62" s="15"/>
      <c r="B62" s="42"/>
      <c r="C62" s="15"/>
      <c r="D62" s="15"/>
      <c r="E62" s="15"/>
      <c r="F62" s="15"/>
      <c r="G62" s="15"/>
      <c r="H62" s="15"/>
      <c r="I62" s="15"/>
    </row>
    <row r="63" spans="1:36" x14ac:dyDescent="0.25">
      <c r="A63" s="15" t="s">
        <v>113</v>
      </c>
      <c r="B63" s="15"/>
      <c r="C63" s="120"/>
      <c r="D63" s="120"/>
      <c r="E63" s="120"/>
      <c r="F63" s="120"/>
      <c r="G63" s="120"/>
      <c r="H63" s="120"/>
      <c r="I63" s="120"/>
    </row>
    <row r="64" spans="1:36" x14ac:dyDescent="0.25">
      <c r="A64" s="42">
        <f>10^A65</f>
        <v>1.0000000000000001E-5</v>
      </c>
      <c r="B64" s="42">
        <f>10^B65</f>
        <v>100000</v>
      </c>
      <c r="C64" s="15"/>
      <c r="D64" s="15"/>
      <c r="E64" s="15"/>
      <c r="F64" s="15"/>
      <c r="G64" s="15"/>
      <c r="H64" s="15"/>
      <c r="I64" s="15"/>
    </row>
    <row r="65" spans="1:13" x14ac:dyDescent="0.25">
      <c r="A65" s="15">
        <f>-A67</f>
        <v>-5</v>
      </c>
      <c r="B65" s="101">
        <f>A67</f>
        <v>5</v>
      </c>
      <c r="C65" s="15"/>
      <c r="D65" s="15"/>
      <c r="E65" s="15"/>
      <c r="F65" s="15"/>
      <c r="G65" s="15"/>
      <c r="H65" s="15"/>
      <c r="I65" s="15"/>
    </row>
    <row r="66" spans="1:13" x14ac:dyDescent="0.25">
      <c r="A66" s="15"/>
      <c r="B66" s="15"/>
      <c r="C66" s="15"/>
      <c r="D66" s="15"/>
      <c r="E66" s="15"/>
      <c r="F66" s="15"/>
      <c r="G66" s="15"/>
      <c r="H66" s="15"/>
      <c r="I66" s="15"/>
    </row>
    <row r="67" spans="1:13" x14ac:dyDescent="0.25">
      <c r="A67" s="102">
        <v>5</v>
      </c>
      <c r="B67" s="42"/>
      <c r="C67" s="42"/>
      <c r="D67" s="44"/>
      <c r="E67" s="73"/>
      <c r="F67" s="44"/>
      <c r="G67" s="45"/>
      <c r="H67" s="44"/>
      <c r="I67" s="44"/>
    </row>
    <row r="68" spans="1:13" x14ac:dyDescent="0.25">
      <c r="A68" s="15"/>
      <c r="B68" s="42"/>
      <c r="C68" s="42"/>
      <c r="D68" s="46"/>
      <c r="E68" s="73"/>
      <c r="F68" s="46"/>
      <c r="G68" s="46"/>
      <c r="H68" s="46"/>
      <c r="I68" s="46"/>
      <c r="L68" s="11" t="s">
        <v>28</v>
      </c>
      <c r="M68" s="11" t="s">
        <v>29</v>
      </c>
    </row>
    <row r="69" spans="1:13" x14ac:dyDescent="0.25">
      <c r="A69" s="15"/>
      <c r="B69" s="42"/>
      <c r="C69" s="42"/>
      <c r="D69" s="47"/>
      <c r="E69" s="73"/>
      <c r="F69" s="47"/>
      <c r="G69" s="47"/>
      <c r="H69" s="47"/>
      <c r="I69" s="47"/>
    </row>
    <row r="70" spans="1:13" x14ac:dyDescent="0.25">
      <c r="A70" s="15"/>
      <c r="B70" s="42"/>
      <c r="C70" s="42"/>
      <c r="D70" s="47"/>
      <c r="E70" s="73"/>
      <c r="F70" s="47"/>
      <c r="G70" s="47"/>
      <c r="H70" s="47"/>
      <c r="I70" s="47"/>
    </row>
    <row r="71" spans="1:13" x14ac:dyDescent="0.25">
      <c r="A71" s="15"/>
      <c r="B71" s="59"/>
      <c r="C71" s="42"/>
      <c r="D71" s="47"/>
      <c r="E71" s="47"/>
      <c r="F71" s="47"/>
      <c r="G71" s="47"/>
      <c r="H71" s="47"/>
      <c r="I71" s="47"/>
    </row>
    <row r="72" spans="1:13" x14ac:dyDescent="0.25">
      <c r="A72" s="15"/>
      <c r="B72" s="47"/>
      <c r="C72" s="42"/>
      <c r="D72" s="47"/>
      <c r="E72" s="47"/>
      <c r="F72" s="47"/>
      <c r="G72" s="47"/>
      <c r="H72" s="47"/>
      <c r="I72" s="47"/>
    </row>
    <row r="73" spans="1:13" x14ac:dyDescent="0.25">
      <c r="A73" s="15"/>
      <c r="B73" s="47"/>
      <c r="C73" s="42"/>
      <c r="D73" s="47"/>
      <c r="E73" s="47"/>
      <c r="F73" s="47"/>
      <c r="G73" s="47"/>
      <c r="H73" s="47"/>
      <c r="I73" s="47"/>
    </row>
    <row r="74" spans="1:13" x14ac:dyDescent="0.25">
      <c r="A74" s="46"/>
      <c r="B74" s="47"/>
      <c r="C74" s="47"/>
      <c r="D74" s="47"/>
      <c r="E74" s="47"/>
      <c r="F74" s="47"/>
      <c r="G74" s="47"/>
      <c r="H74" s="47"/>
      <c r="I74" s="47"/>
    </row>
    <row r="75" spans="1:13" x14ac:dyDescent="0.25">
      <c r="A75" s="46"/>
      <c r="B75" s="47"/>
      <c r="C75" s="47"/>
      <c r="D75" s="47"/>
      <c r="E75" s="47"/>
      <c r="F75" s="47"/>
      <c r="G75" s="47"/>
      <c r="H75" s="47"/>
      <c r="I75" s="47"/>
    </row>
    <row r="76" spans="1:13" x14ac:dyDescent="0.25">
      <c r="A76" s="58"/>
      <c r="B76" s="59"/>
      <c r="C76" s="59"/>
      <c r="D76" s="59"/>
      <c r="E76" s="59"/>
      <c r="F76" s="47"/>
      <c r="G76" s="47"/>
      <c r="H76" s="47"/>
      <c r="I76" s="47"/>
    </row>
    <row r="77" spans="1:13" x14ac:dyDescent="0.25">
      <c r="B77" s="58"/>
      <c r="C77" s="59"/>
      <c r="D77" s="74"/>
      <c r="E77" s="59"/>
      <c r="F77" s="47"/>
      <c r="G77" s="47"/>
      <c r="H77" s="47"/>
      <c r="I77" s="47"/>
    </row>
    <row r="78" spans="1:13" x14ac:dyDescent="0.25">
      <c r="A78" s="58"/>
      <c r="B78" s="58"/>
      <c r="C78" s="78"/>
      <c r="D78" s="59"/>
      <c r="E78" s="81"/>
      <c r="F78" s="47"/>
      <c r="G78" s="47"/>
      <c r="H78" s="47"/>
      <c r="I78" s="47"/>
    </row>
    <row r="79" spans="1:13" x14ac:dyDescent="0.25">
      <c r="A79" s="58"/>
      <c r="B79" s="58"/>
      <c r="C79" s="78"/>
      <c r="D79" s="58"/>
      <c r="E79" s="81"/>
      <c r="F79" s="15"/>
      <c r="G79" s="15"/>
      <c r="H79" s="15"/>
      <c r="I79" s="15"/>
    </row>
    <row r="80" spans="1:13" x14ac:dyDescent="0.25">
      <c r="A80" s="58"/>
      <c r="B80" s="58"/>
      <c r="C80" s="78"/>
      <c r="D80" s="58"/>
      <c r="E80" s="81"/>
      <c r="F80" s="15"/>
      <c r="G80" s="15"/>
      <c r="H80" s="15"/>
      <c r="I80" s="15"/>
    </row>
    <row r="81" spans="1:9" x14ac:dyDescent="0.25">
      <c r="A81" s="58"/>
      <c r="B81" s="58"/>
      <c r="C81" s="78"/>
      <c r="D81" s="58"/>
      <c r="E81" s="81"/>
      <c r="F81" s="15"/>
      <c r="G81" s="15"/>
      <c r="H81" s="15"/>
      <c r="I81" s="15"/>
    </row>
    <row r="82" spans="1:9" x14ac:dyDescent="0.25">
      <c r="A82" s="58"/>
      <c r="B82" s="58"/>
      <c r="C82" s="78"/>
      <c r="D82" s="40"/>
      <c r="E82" s="81"/>
    </row>
    <row r="83" spans="1:9" x14ac:dyDescent="0.25">
      <c r="A83" s="58"/>
      <c r="B83" s="58"/>
      <c r="C83" s="78"/>
      <c r="D83" s="40"/>
      <c r="E83" s="81"/>
    </row>
    <row r="84" spans="1:9" x14ac:dyDescent="0.25">
      <c r="A84" s="58"/>
      <c r="B84" s="58"/>
      <c r="C84" s="78"/>
      <c r="D84" s="40"/>
      <c r="E84" s="81"/>
    </row>
    <row r="85" spans="1:9" x14ac:dyDescent="0.25">
      <c r="A85" s="58"/>
      <c r="B85" s="58"/>
      <c r="C85" s="78"/>
      <c r="D85" s="40"/>
      <c r="E85" s="81"/>
      <c r="H85" s="23"/>
    </row>
    <row r="86" spans="1:9" x14ac:dyDescent="0.25">
      <c r="A86" s="58"/>
      <c r="B86" s="58"/>
      <c r="C86" s="78"/>
      <c r="E86" s="81"/>
      <c r="H86" s="3"/>
    </row>
    <row r="87" spans="1:9" x14ac:dyDescent="0.25">
      <c r="A87" s="58"/>
      <c r="B87" s="58"/>
      <c r="C87" s="78"/>
      <c r="E87" s="81"/>
      <c r="H87" s="3"/>
    </row>
    <row r="88" spans="1:9" x14ac:dyDescent="0.25">
      <c r="A88" s="58"/>
    </row>
    <row r="89" spans="1:9" x14ac:dyDescent="0.25">
      <c r="A89" s="58"/>
    </row>
    <row r="90" spans="1:9" x14ac:dyDescent="0.25">
      <c r="A90" s="58"/>
      <c r="C90" s="3"/>
      <c r="D90" s="57"/>
      <c r="E90" s="3"/>
    </row>
    <row r="91" spans="1:9" x14ac:dyDescent="0.25">
      <c r="A91" s="58"/>
      <c r="D91" s="75"/>
      <c r="E91" s="3"/>
    </row>
    <row r="92" spans="1:9" x14ac:dyDescent="0.25">
      <c r="A92" s="58"/>
      <c r="D92" s="75"/>
      <c r="E92" s="3"/>
    </row>
    <row r="93" spans="1:9" x14ac:dyDescent="0.25">
      <c r="A93" s="58"/>
      <c r="D93" s="75"/>
      <c r="E93" s="3"/>
    </row>
    <row r="94" spans="1:9" x14ac:dyDescent="0.25">
      <c r="A94" s="58"/>
      <c r="D94" s="75"/>
      <c r="E94" s="3"/>
    </row>
    <row r="95" spans="1:9" x14ac:dyDescent="0.25">
      <c r="A95" s="58"/>
      <c r="D95" s="3"/>
    </row>
    <row r="96" spans="1:9" x14ac:dyDescent="0.25">
      <c r="A96" s="58"/>
      <c r="D96" s="60"/>
      <c r="E96" s="3"/>
    </row>
    <row r="97" spans="1:9" x14ac:dyDescent="0.25">
      <c r="D97" s="57"/>
      <c r="E97" s="29"/>
      <c r="F97" s="3"/>
    </row>
    <row r="100" spans="1:9" x14ac:dyDescent="0.25">
      <c r="A100" s="121"/>
    </row>
    <row r="101" spans="1:9" x14ac:dyDescent="0.25">
      <c r="A101" s="121"/>
    </row>
    <row r="103" spans="1:9" x14ac:dyDescent="0.25">
      <c r="C103" s="33"/>
      <c r="D103" s="33"/>
      <c r="E103" s="33"/>
      <c r="F103" s="33"/>
      <c r="G103" s="33"/>
      <c r="H103" s="33"/>
      <c r="I103" s="33"/>
    </row>
    <row r="104" spans="1:9" x14ac:dyDescent="0.25">
      <c r="C104" s="34"/>
    </row>
    <row r="118" spans="1:14" x14ac:dyDescent="0.25">
      <c r="L118" s="11">
        <v>1</v>
      </c>
      <c r="M118" s="11">
        <f>INDEX($B$125:$K$126,1,L118)</f>
        <v>-40</v>
      </c>
      <c r="N118" s="11">
        <f>IF(L118=$B$3,0,INDEX($B$125:$K$126,2,L118))</f>
        <v>-48.643117255443507</v>
      </c>
    </row>
    <row r="119" spans="1:14" x14ac:dyDescent="0.25">
      <c r="L119" s="11">
        <f>L118+1</f>
        <v>2</v>
      </c>
      <c r="M119" s="11">
        <f t="shared" ref="M119:M124" si="35">INDEX($B$125:$K$126,1,L119)</f>
        <v>0</v>
      </c>
      <c r="N119" s="11">
        <f t="shared" ref="N119:N124" si="36">IF(L119=$B$3,0,INDEX($B$125:$K$126,2,L119))</f>
        <v>-45.746106961724465</v>
      </c>
    </row>
    <row r="120" spans="1:14" x14ac:dyDescent="0.25">
      <c r="L120" s="11">
        <f t="shared" ref="L120:L124" si="37">L119+1</f>
        <v>3</v>
      </c>
      <c r="M120" s="11">
        <f t="shared" si="35"/>
        <v>25</v>
      </c>
      <c r="N120" s="11">
        <f t="shared" si="36"/>
        <v>-41.385537711587737</v>
      </c>
    </row>
    <row r="121" spans="1:14" x14ac:dyDescent="0.25">
      <c r="A121" s="103">
        <f>(A165+A204+A243+A282+A321+A360+A399)*10^9</f>
        <v>1.275194321517836E+16</v>
      </c>
      <c r="L121" s="11">
        <f t="shared" si="37"/>
        <v>4</v>
      </c>
      <c r="M121" s="11">
        <f t="shared" si="35"/>
        <v>50</v>
      </c>
      <c r="N121" s="11">
        <f t="shared" si="36"/>
        <v>-34.839448068372903</v>
      </c>
    </row>
    <row r="122" spans="1:14" x14ac:dyDescent="0.25">
      <c r="B122" s="11">
        <v>1</v>
      </c>
      <c r="C122" s="11">
        <f>B122+1</f>
        <v>2</v>
      </c>
      <c r="D122" s="11">
        <f t="shared" ref="D122:H122" si="38">C122+1</f>
        <v>3</v>
      </c>
      <c r="E122" s="11">
        <f t="shared" si="38"/>
        <v>4</v>
      </c>
      <c r="F122" s="11">
        <f t="shared" si="38"/>
        <v>5</v>
      </c>
      <c r="G122" s="11">
        <f t="shared" si="38"/>
        <v>6</v>
      </c>
      <c r="H122" s="11">
        <f t="shared" si="38"/>
        <v>7</v>
      </c>
      <c r="L122" s="11">
        <f t="shared" si="37"/>
        <v>5</v>
      </c>
      <c r="M122" s="11">
        <f t="shared" si="35"/>
        <v>80</v>
      </c>
      <c r="N122" s="11">
        <f t="shared" si="36"/>
        <v>-23.526325185329309</v>
      </c>
    </row>
    <row r="123" spans="1:14" x14ac:dyDescent="0.25">
      <c r="A123" s="119"/>
      <c r="B123" s="119"/>
      <c r="C123" s="3"/>
      <c r="D123" s="3"/>
      <c r="E123" s="3"/>
      <c r="F123" s="3"/>
      <c r="G123" s="3"/>
      <c r="H123" s="3"/>
      <c r="I123" s="3"/>
      <c r="J123" s="3"/>
      <c r="K123" s="3"/>
      <c r="L123" s="11">
        <f t="shared" si="37"/>
        <v>6</v>
      </c>
      <c r="M123" s="11">
        <f t="shared" si="35"/>
        <v>125</v>
      </c>
      <c r="N123" s="11">
        <f t="shared" si="36"/>
        <v>-4.1757477535683645</v>
      </c>
    </row>
    <row r="124" spans="1:14" x14ac:dyDescent="0.25">
      <c r="B124" s="3"/>
      <c r="C124" s="3"/>
      <c r="D124" s="3"/>
      <c r="E124" s="3"/>
      <c r="F124" s="3"/>
      <c r="G124" s="3"/>
      <c r="H124" s="3"/>
      <c r="I124" s="3"/>
      <c r="J124" s="3"/>
      <c r="K124" s="3"/>
      <c r="L124" s="11">
        <f t="shared" si="37"/>
        <v>7</v>
      </c>
      <c r="M124" s="11">
        <f t="shared" si="35"/>
        <v>160</v>
      </c>
      <c r="N124" s="11">
        <f t="shared" si="36"/>
        <v>0</v>
      </c>
    </row>
    <row r="125" spans="1:14" x14ac:dyDescent="0.25">
      <c r="A125" s="64" t="s">
        <v>27</v>
      </c>
      <c r="B125" s="11">
        <f>INDEX($D$1:$M$1,1,B122)</f>
        <v>-40</v>
      </c>
      <c r="C125" s="11">
        <f t="shared" ref="C125:H125" si="39">INDEX($D$1:$M$1,1,C122)</f>
        <v>0</v>
      </c>
      <c r="D125" s="11">
        <f t="shared" si="39"/>
        <v>25</v>
      </c>
      <c r="E125" s="11">
        <f t="shared" si="39"/>
        <v>50</v>
      </c>
      <c r="F125" s="11">
        <f t="shared" si="39"/>
        <v>80</v>
      </c>
      <c r="G125" s="11">
        <f t="shared" si="39"/>
        <v>125</v>
      </c>
      <c r="H125" s="11">
        <f t="shared" si="39"/>
        <v>160</v>
      </c>
    </row>
    <row r="126" spans="1:14" x14ac:dyDescent="0.25">
      <c r="A126" s="66" t="s">
        <v>40</v>
      </c>
      <c r="B126" s="107">
        <v>-48.643117255443507</v>
      </c>
      <c r="C126" s="107">
        <v>-45.746106961724465</v>
      </c>
      <c r="D126" s="107">
        <v>-41.385537711587737</v>
      </c>
      <c r="E126" s="107">
        <v>-34.839448068372903</v>
      </c>
      <c r="F126" s="107">
        <v>-23.526325185329309</v>
      </c>
      <c r="G126" s="107">
        <v>-4.1757477535683645</v>
      </c>
      <c r="H126" s="107">
        <v>2.9927634145929856E-5</v>
      </c>
      <c r="I126" s="3"/>
      <c r="J126" s="3"/>
      <c r="K126" s="3"/>
    </row>
    <row r="127" spans="1:14" x14ac:dyDescent="0.25">
      <c r="B127" s="38"/>
      <c r="C127" s="38"/>
      <c r="D127" s="38"/>
      <c r="E127" s="38"/>
      <c r="F127" s="38"/>
      <c r="G127" s="38"/>
      <c r="H127" s="38"/>
      <c r="I127" s="38"/>
      <c r="J127" s="38"/>
      <c r="K127" s="38"/>
    </row>
    <row r="128" spans="1:14" x14ac:dyDescent="0.25">
      <c r="A128" s="66" t="s">
        <v>27</v>
      </c>
      <c r="B128" s="11">
        <f>INDEX($D$1:$M$1,1,$B$122)</f>
        <v>-40</v>
      </c>
    </row>
    <row r="129" spans="1:33" x14ac:dyDescent="0.25">
      <c r="A129" s="67" t="s">
        <v>17</v>
      </c>
      <c r="B129" s="22">
        <f>INDEX(Comparison!$AL$3:$AL$33,F14,1)</f>
        <v>1.0000000000000001E-15</v>
      </c>
      <c r="C129" s="22">
        <f>INDEX(Comparison!$AL$3:$AL$33,G14,1)</f>
        <v>1E-14</v>
      </c>
      <c r="D129" s="22">
        <f>INDEX(Comparison!$AL$3:$AL$33,H14,1)</f>
        <v>1E-13</v>
      </c>
      <c r="E129" s="22">
        <f>INDEX(Comparison!$AL$3:$AL$33,I14,1)</f>
        <v>9.9999999999999998E-13</v>
      </c>
      <c r="F129" s="22">
        <f>INDEX(Comparison!$AL$3:$AL$33,J14,1)</f>
        <v>9.9999999999999994E-12</v>
      </c>
      <c r="G129" s="22">
        <f>INDEX(Comparison!$AL$3:$AL$33,K14,1)</f>
        <v>1E-10</v>
      </c>
      <c r="H129" s="22">
        <f>INDEX(Comparison!$AL$3:$AL$33,L14,1)</f>
        <v>1.0000000000000001E-9</v>
      </c>
      <c r="I129" s="22">
        <f>INDEX(Comparison!$AL$3:$AL$33,M14,1)</f>
        <v>1E-8</v>
      </c>
      <c r="J129" s="22">
        <f>INDEX(Comparison!$AL$3:$AL$33,N14,1)</f>
        <v>9.9999999999999995E-8</v>
      </c>
      <c r="K129" s="22">
        <f>INDEX(Comparison!$AL$3:$AL$33,O14,1)</f>
        <v>9.9999999999999995E-7</v>
      </c>
      <c r="L129" s="22">
        <f>INDEX(Comparison!$AL$3:$AL$33,P14,1)</f>
        <v>1.0000000000000001E-5</v>
      </c>
      <c r="M129" s="22">
        <f>INDEX(Comparison!$AL$3:$AL$33,Q14,1)</f>
        <v>1E-4</v>
      </c>
      <c r="N129" s="22">
        <f>INDEX(Comparison!$AL$3:$AL$33,R14,1)</f>
        <v>1E-3</v>
      </c>
      <c r="O129" s="22">
        <f>INDEX(Comparison!$AL$3:$AL$33,S14,1)</f>
        <v>0.01</v>
      </c>
      <c r="P129" s="22">
        <f>INDEX(Comparison!$AL$3:$AL$33,T14,1)</f>
        <v>0.1</v>
      </c>
      <c r="Q129" s="22">
        <f>INDEX(Comparison!$AL$3:$AL$33,U14,1)</f>
        <v>1</v>
      </c>
      <c r="R129" s="22">
        <f>INDEX(Comparison!$AL$3:$AL$33,V14,1)</f>
        <v>10</v>
      </c>
      <c r="S129" s="22">
        <f>INDEX(Comparison!$AL$3:$AL$33,W14,1)</f>
        <v>100</v>
      </c>
      <c r="T129" s="22">
        <f>INDEX(Comparison!$AL$3:$AL$33,X14,1)</f>
        <v>1000</v>
      </c>
      <c r="U129" s="22">
        <f>INDEX(Comparison!$AL$3:$AL$33,Y14,1)</f>
        <v>10000</v>
      </c>
      <c r="V129" s="22">
        <f>INDEX(Comparison!$AL$3:$AL$33,Z14,1)</f>
        <v>100000</v>
      </c>
      <c r="W129" s="22">
        <f>INDEX(Comparison!$AL$3:$AL$33,AA14,1)</f>
        <v>1000000</v>
      </c>
      <c r="X129" s="22">
        <f>INDEX(Comparison!$AL$3:$AL$33,AB14,1)</f>
        <v>10000000</v>
      </c>
      <c r="Y129" s="22">
        <f>INDEX(Comparison!$AL$3:$AL$33,AC14,1)</f>
        <v>100000000</v>
      </c>
      <c r="Z129" s="22">
        <f>INDEX(Comparison!$AL$3:$AL$33,AD14,1)</f>
        <v>1000000000</v>
      </c>
      <c r="AA129" s="22">
        <f>INDEX(Comparison!$AL$3:$AL$33,AE14,1)</f>
        <v>10000000000</v>
      </c>
      <c r="AB129" s="22">
        <f>INDEX(Comparison!$AL$3:$AL$33,AF14,1)</f>
        <v>100000000000</v>
      </c>
      <c r="AC129" s="22">
        <f>INDEX(Comparison!$AL$3:$AL$33,AG14,1)</f>
        <v>1000000000000</v>
      </c>
      <c r="AD129" s="22">
        <f>INDEX(Comparison!$AL$3:$AL$33,AH14,1)</f>
        <v>10000000000000</v>
      </c>
      <c r="AE129" s="22">
        <f>INDEX(Comparison!$AL$3:$AL$33,AI14,1)</f>
        <v>100000000000000</v>
      </c>
      <c r="AF129" s="22">
        <f>INDEX(Comparison!$AL$3:$AL$33,AJ14,1)</f>
        <v>1000000000000000</v>
      </c>
      <c r="AG129" s="22"/>
    </row>
    <row r="130" spans="1:33" x14ac:dyDescent="0.25">
      <c r="A130" s="25" t="s">
        <v>23</v>
      </c>
      <c r="B130" s="26">
        <f>INDEX(Comparison!$AM$3:$AS$33,F14,$B$122)</f>
        <v>6574.1423129756067</v>
      </c>
      <c r="C130" s="26">
        <f>INDEX(Comparison!$AM$3:$AS$33,G14,$B$122)</f>
        <v>6574.1983504239388</v>
      </c>
      <c r="D130" s="26">
        <f>INDEX(Comparison!$AM$3:$AS$33,H14,$B$122)</f>
        <v>6574.1641202956771</v>
      </c>
      <c r="E130" s="26">
        <f>INDEX(Comparison!$AM$3:$AS$33,I14,$B$122)</f>
        <v>6574.1538463873376</v>
      </c>
      <c r="F130" s="26">
        <f>INDEX(Comparison!$AM$3:$AS$33,J14,$B$122)</f>
        <v>6574.1506604943988</v>
      </c>
      <c r="G130" s="26">
        <f>INDEX(Comparison!$AM$3:$AS$33,K14,$B$122)</f>
        <v>6574.149598530772</v>
      </c>
      <c r="H130" s="26">
        <f>INDEX(Comparison!$AM$3:$AS$33,L14,$B$122)</f>
        <v>6574.1492527752453</v>
      </c>
      <c r="I130" s="26">
        <f>INDEX(Comparison!$AM$3:$AS$33,M14,$B$122)</f>
        <v>6574.149203381603</v>
      </c>
      <c r="J130" s="26">
        <f>INDEX(Comparison!$AM$3:$AS$33,N14,$B$122)</f>
        <v>6574.149203381603</v>
      </c>
      <c r="K130" s="26">
        <f>INDEX(Comparison!$AM$3:$AS$33,O14,$B$122)</f>
        <v>6574.149203381603</v>
      </c>
      <c r="L130" s="26">
        <f>INDEX(Comparison!$AM$3:$AS$33,P14,$B$122)</f>
        <v>6574.1491786847801</v>
      </c>
      <c r="M130" s="26">
        <f>INDEX(Comparison!$AM$3:$AS$33,Q14,$B$122)</f>
        <v>6574.1489070197567</v>
      </c>
      <c r="N130" s="26">
        <f>INDEX(Comparison!$AM$3:$AS$33,R14,$B$122)</f>
        <v>6574.1483883865922</v>
      </c>
      <c r="O130" s="26">
        <f>INDEX(Comparison!$AM$3:$AS$33,S14,$B$122)</f>
        <v>6574.141102834109</v>
      </c>
      <c r="P130" s="26">
        <f>INDEX(Comparison!$AM$3:$AS$33,T14,$B$122)</f>
        <v>6574.0681741087647</v>
      </c>
      <c r="Q130" s="26">
        <f>INDEX(Comparison!$AM$3:$AS$33,U14,$B$122)</f>
        <v>6573.3425313051102</v>
      </c>
      <c r="R130" s="26">
        <f>INDEX(Comparison!$AM$3:$AS$33,V14,$B$122)</f>
        <v>6566.2492544539882</v>
      </c>
      <c r="S130" s="26">
        <f>INDEX(Comparison!$AM$3:$AS$33,W14,$B$122)</f>
        <v>6509.2168204054406</v>
      </c>
      <c r="T130" s="26">
        <f>INDEX(Comparison!$AM$3:$AS$33,X14,$B$122)</f>
        <v>6358.877795711509</v>
      </c>
      <c r="U130" s="26">
        <f>INDEX(Comparison!$AM$3:$AS$33,Y14,$B$122)</f>
        <v>6198.1657141301985</v>
      </c>
      <c r="V130" s="26">
        <f>INDEX(Comparison!$AM$3:$AS$33,Z14,$B$122)</f>
        <v>5965.2165970487267</v>
      </c>
      <c r="W130" s="26">
        <f>INDEX(Comparison!$AM$3:$AS$33,AA14,$B$122)</f>
        <v>5562.9083959530062</v>
      </c>
      <c r="X130" s="26">
        <f>INDEX(Comparison!$AM$3:$AS$33,AB14,$B$122)</f>
        <v>5068.6144859756578</v>
      </c>
      <c r="Y130" s="26">
        <f>INDEX(Comparison!$AM$3:$AS$33,AC14,$B$122)</f>
        <v>4583.1082918040429</v>
      </c>
      <c r="Z130" s="26">
        <f>INDEX(Comparison!$AM$3:$AS$33,AD14,$B$122)</f>
        <v>4165.9762057055259</v>
      </c>
      <c r="AA130" s="26">
        <f>INDEX(Comparison!$AM$3:$AS$33,AE14,$B$122)</f>
        <v>3823.5689905233821</v>
      </c>
      <c r="AB130" s="26">
        <f>INDEX(Comparison!$AM$3:$AS$33,AF14,$B$122)</f>
        <v>3510.558848270296</v>
      </c>
      <c r="AC130" s="26">
        <f>INDEX(Comparison!$AM$3:$AS$33,AG14,$B$122)</f>
        <v>3215.4703591878829</v>
      </c>
      <c r="AD130" s="26">
        <f>INDEX(Comparison!$AM$3:$AS$33,AH14,$B$122)</f>
        <v>2870.194204228324</v>
      </c>
      <c r="AE130" s="26">
        <f>INDEX(Comparison!$AM$3:$AS$33,AI14,$B$122)</f>
        <v>2458.5183678646754</v>
      </c>
      <c r="AF130" s="26">
        <f>INDEX(Comparison!$AM$3:$AS$33,AJ14,$B$122)</f>
        <v>1982.6966326072995</v>
      </c>
    </row>
    <row r="131" spans="1:33" x14ac:dyDescent="0.25">
      <c r="A131" s="68" t="s">
        <v>22</v>
      </c>
      <c r="B131" s="27">
        <f>($C$17+SUM(B132:B162))*$B$51</f>
        <v>6524.0923000000021</v>
      </c>
      <c r="C131" s="27">
        <f t="shared" ref="C131:AF131" si="40">($C$17+SUM(C132:C162))*$B$51</f>
        <v>6524.0923000000021</v>
      </c>
      <c r="D131" s="27">
        <f t="shared" si="40"/>
        <v>6524.0922999999948</v>
      </c>
      <c r="E131" s="27">
        <f t="shared" si="40"/>
        <v>6524.0922999999175</v>
      </c>
      <c r="F131" s="27">
        <f t="shared" si="40"/>
        <v>6524.0922999991553</v>
      </c>
      <c r="G131" s="27">
        <f t="shared" si="40"/>
        <v>6524.0922999915301</v>
      </c>
      <c r="H131" s="27">
        <f t="shared" si="40"/>
        <v>6524.0922999152826</v>
      </c>
      <c r="I131" s="27">
        <f t="shared" si="40"/>
        <v>6524.0922991527968</v>
      </c>
      <c r="J131" s="27">
        <f t="shared" si="40"/>
        <v>6524.0922915279452</v>
      </c>
      <c r="K131" s="27">
        <f t="shared" si="40"/>
        <v>6524.0922152794355</v>
      </c>
      <c r="L131" s="27">
        <f t="shared" si="40"/>
        <v>6524.0914527946188</v>
      </c>
      <c r="M131" s="27">
        <f t="shared" si="40"/>
        <v>6524.0838279747195</v>
      </c>
      <c r="N131" s="27">
        <f t="shared" si="40"/>
        <v>6524.0075826031352</v>
      </c>
      <c r="O131" s="27">
        <f t="shared" si="40"/>
        <v>6523.2454115566534</v>
      </c>
      <c r="P131" s="27">
        <f t="shared" si="40"/>
        <v>6515.6518976396101</v>
      </c>
      <c r="Q131" s="27">
        <f t="shared" si="40"/>
        <v>6442.4673237532916</v>
      </c>
      <c r="R131" s="27">
        <f t="shared" si="40"/>
        <v>5927.848728021464</v>
      </c>
      <c r="S131" s="27">
        <f t="shared" si="40"/>
        <v>5393.8168314968016</v>
      </c>
      <c r="T131" s="27">
        <f t="shared" si="40"/>
        <v>5393.1759202207304</v>
      </c>
      <c r="U131" s="27">
        <f t="shared" si="40"/>
        <v>5393.0757433906074</v>
      </c>
      <c r="V131" s="27">
        <f t="shared" si="40"/>
        <v>5392.0748943765875</v>
      </c>
      <c r="W131" s="27">
        <f t="shared" si="40"/>
        <v>5382.1577497859571</v>
      </c>
      <c r="X131" s="27">
        <f t="shared" si="40"/>
        <v>5291.5646426566709</v>
      </c>
      <c r="Y131" s="27">
        <f t="shared" si="40"/>
        <v>4878.7222718484682</v>
      </c>
      <c r="Z131" s="27">
        <f t="shared" si="40"/>
        <v>4616.1455521943381</v>
      </c>
      <c r="AA131" s="27">
        <f t="shared" si="40"/>
        <v>4318.0593568483191</v>
      </c>
      <c r="AB131" s="27">
        <f t="shared" si="40"/>
        <v>3987.8580616608992</v>
      </c>
      <c r="AC131" s="27">
        <f t="shared" si="40"/>
        <v>3560.0623243587297</v>
      </c>
      <c r="AD131" s="27">
        <f t="shared" si="40"/>
        <v>3022.7941924679553</v>
      </c>
      <c r="AE131" s="27">
        <f t="shared" si="40"/>
        <v>2387.5543036958193</v>
      </c>
      <c r="AF131" s="27">
        <f t="shared" si="40"/>
        <v>1661.7288141912002</v>
      </c>
    </row>
    <row r="132" spans="1:33" x14ac:dyDescent="0.25">
      <c r="B132" s="3">
        <f t="shared" ref="B132:Z133" si="41">$C18*EXP(-B$129/$A18/EXP(-$B$126))</f>
        <v>0.17334292587920058</v>
      </c>
      <c r="C132" s="3">
        <f t="shared" ref="C132:AF132" si="42">$C18*EXP(-C$129/$A18/EXP(-$B$126))</f>
        <v>0.17334292587920047</v>
      </c>
      <c r="D132" s="3">
        <f t="shared" si="42"/>
        <v>0.17334292587919933</v>
      </c>
      <c r="E132" s="3">
        <f t="shared" si="42"/>
        <v>0.17334292587918762</v>
      </c>
      <c r="F132" s="3">
        <f t="shared" si="42"/>
        <v>0.17334292587907074</v>
      </c>
      <c r="G132" s="3">
        <f t="shared" si="42"/>
        <v>0.17334292587790204</v>
      </c>
      <c r="H132" s="3">
        <f t="shared" si="42"/>
        <v>0.1733429258662148</v>
      </c>
      <c r="I132" s="3">
        <f t="shared" si="42"/>
        <v>0.17334292574934262</v>
      </c>
      <c r="J132" s="3">
        <f t="shared" si="42"/>
        <v>0.17334292458062059</v>
      </c>
      <c r="K132" s="3">
        <f t="shared" si="42"/>
        <v>0.1733429128934009</v>
      </c>
      <c r="L132" s="3">
        <f t="shared" si="42"/>
        <v>0.17334279602124736</v>
      </c>
      <c r="M132" s="3">
        <f t="shared" si="42"/>
        <v>0.17334162730404565</v>
      </c>
      <c r="N132" s="3">
        <f t="shared" si="42"/>
        <v>0.17332994056540679</v>
      </c>
      <c r="O132" s="3">
        <f t="shared" si="42"/>
        <v>0.17321311650602092</v>
      </c>
      <c r="P132" s="3">
        <f t="shared" si="42"/>
        <v>0.17204919782339081</v>
      </c>
      <c r="Q132" s="3">
        <f t="shared" si="42"/>
        <v>0.16083161221878273</v>
      </c>
      <c r="R132" s="3">
        <f t="shared" si="42"/>
        <v>8.1951904225567307E-2</v>
      </c>
      <c r="S132" s="3">
        <f t="shared" si="42"/>
        <v>9.6701984609527544E-5</v>
      </c>
      <c r="T132" s="3">
        <f t="shared" si="42"/>
        <v>5.0605621919826339E-34</v>
      </c>
      <c r="U132" s="3">
        <f t="shared" si="42"/>
        <v>0</v>
      </c>
      <c r="V132" s="3">
        <f t="shared" si="42"/>
        <v>0</v>
      </c>
      <c r="W132" s="3">
        <f t="shared" si="42"/>
        <v>0</v>
      </c>
      <c r="X132" s="3">
        <f t="shared" si="42"/>
        <v>0</v>
      </c>
      <c r="Y132" s="3">
        <f t="shared" si="42"/>
        <v>0</v>
      </c>
      <c r="Z132" s="3">
        <f t="shared" si="42"/>
        <v>0</v>
      </c>
      <c r="AA132" s="3">
        <f t="shared" si="42"/>
        <v>0</v>
      </c>
      <c r="AB132" s="3">
        <f t="shared" si="42"/>
        <v>0</v>
      </c>
      <c r="AC132" s="3">
        <f t="shared" si="42"/>
        <v>0</v>
      </c>
      <c r="AD132" s="3">
        <f t="shared" si="42"/>
        <v>0</v>
      </c>
      <c r="AE132" s="3">
        <f t="shared" si="42"/>
        <v>0</v>
      </c>
      <c r="AF132" s="3">
        <f t="shared" si="42"/>
        <v>0</v>
      </c>
    </row>
    <row r="133" spans="1:33" x14ac:dyDescent="0.25">
      <c r="B133" s="3">
        <f t="shared" si="41"/>
        <v>8.5701557636401818E-2</v>
      </c>
      <c r="C133" s="3">
        <f t="shared" si="41"/>
        <v>8.5701557636401818E-2</v>
      </c>
      <c r="D133" s="3">
        <f t="shared" si="41"/>
        <v>8.5701557636401818E-2</v>
      </c>
      <c r="E133" s="3">
        <f t="shared" si="41"/>
        <v>8.5701557636401818E-2</v>
      </c>
      <c r="F133" s="3">
        <f t="shared" si="41"/>
        <v>8.5701557636401818E-2</v>
      </c>
      <c r="G133" s="3">
        <f t="shared" si="41"/>
        <v>8.5701557636401818E-2</v>
      </c>
      <c r="H133" s="3">
        <f t="shared" si="41"/>
        <v>8.5701557636401818E-2</v>
      </c>
      <c r="I133" s="3">
        <f t="shared" si="41"/>
        <v>8.5701557636401804E-2</v>
      </c>
      <c r="J133" s="3">
        <f t="shared" si="41"/>
        <v>8.5701557636401651E-2</v>
      </c>
      <c r="K133" s="3">
        <f t="shared" si="41"/>
        <v>8.5701557636400166E-2</v>
      </c>
      <c r="L133" s="3">
        <f t="shared" si="41"/>
        <v>8.5701557636385373E-2</v>
      </c>
      <c r="M133" s="3">
        <f t="shared" si="41"/>
        <v>8.5701557636237366E-2</v>
      </c>
      <c r="N133" s="3">
        <f t="shared" si="41"/>
        <v>8.5701557634757244E-2</v>
      </c>
      <c r="O133" s="3">
        <f t="shared" si="41"/>
        <v>8.5701557619956084E-2</v>
      </c>
      <c r="P133" s="3">
        <f t="shared" si="41"/>
        <v>8.5701557471944495E-2</v>
      </c>
      <c r="Q133" s="3">
        <f t="shared" si="41"/>
        <v>8.570155599182859E-2</v>
      </c>
      <c r="R133" s="3">
        <f t="shared" si="41"/>
        <v>8.5701541190670999E-2</v>
      </c>
      <c r="S133" s="3">
        <f t="shared" si="41"/>
        <v>8.5701393179235585E-2</v>
      </c>
      <c r="T133" s="3">
        <f t="shared" si="41"/>
        <v>8.5699913078940787E-2</v>
      </c>
      <c r="U133" s="3">
        <f t="shared" si="41"/>
        <v>8.5685113481828612E-2</v>
      </c>
      <c r="V133" s="3">
        <f t="shared" si="41"/>
        <v>8.553725800449323E-2</v>
      </c>
      <c r="W133" s="3">
        <f t="shared" si="41"/>
        <v>8.407266324584832E-2</v>
      </c>
      <c r="X133" s="3">
        <f t="shared" si="41"/>
        <v>7.0737484794239885E-2</v>
      </c>
      <c r="Y133" s="3">
        <f t="shared" si="41"/>
        <v>1.2577597647895554E-2</v>
      </c>
      <c r="Z133" s="3">
        <f t="shared" si="41"/>
        <v>3.9726338516556507E-10</v>
      </c>
      <c r="AA133" s="3">
        <f t="shared" ref="AA133:AF133" si="43">$C19*EXP(-AA$129/$A19/EXP(-$B$126))</f>
        <v>3.9254274201041142E-85</v>
      </c>
      <c r="AB133" s="3">
        <f t="shared" si="43"/>
        <v>0</v>
      </c>
      <c r="AC133" s="3">
        <f t="shared" si="43"/>
        <v>0</v>
      </c>
      <c r="AD133" s="3">
        <f t="shared" si="43"/>
        <v>0</v>
      </c>
      <c r="AE133" s="3">
        <f t="shared" si="43"/>
        <v>0</v>
      </c>
      <c r="AF133" s="3">
        <f t="shared" si="43"/>
        <v>0</v>
      </c>
    </row>
    <row r="134" spans="1:33" x14ac:dyDescent="0.25">
      <c r="B134" s="3">
        <f t="shared" ref="B134:Z134" si="44">$C20*EXP(-B$129/$A20/EXP(-$B$126))</f>
        <v>3.0493834764101356E-2</v>
      </c>
      <c r="C134" s="3">
        <f t="shared" si="44"/>
        <v>3.0493834764101356E-2</v>
      </c>
      <c r="D134" s="3">
        <f t="shared" si="44"/>
        <v>3.0493834764101356E-2</v>
      </c>
      <c r="E134" s="3">
        <f t="shared" si="44"/>
        <v>3.0493834764101356E-2</v>
      </c>
      <c r="F134" s="3">
        <f t="shared" si="44"/>
        <v>3.0493834764101356E-2</v>
      </c>
      <c r="G134" s="3">
        <f t="shared" si="44"/>
        <v>3.0493834764101356E-2</v>
      </c>
      <c r="H134" s="3">
        <f t="shared" si="44"/>
        <v>3.0493834764101356E-2</v>
      </c>
      <c r="I134" s="3">
        <f t="shared" si="44"/>
        <v>3.0493834764101356E-2</v>
      </c>
      <c r="J134" s="3">
        <f t="shared" si="44"/>
        <v>3.0493834764101349E-2</v>
      </c>
      <c r="K134" s="3">
        <f t="shared" si="44"/>
        <v>3.0493834764101301E-2</v>
      </c>
      <c r="L134" s="3">
        <f t="shared" si="44"/>
        <v>3.0493834764100829E-2</v>
      </c>
      <c r="M134" s="3">
        <f t="shared" si="44"/>
        <v>3.0493834764096079E-2</v>
      </c>
      <c r="N134" s="3">
        <f t="shared" si="44"/>
        <v>3.0493834764048568E-2</v>
      </c>
      <c r="O134" s="3">
        <f t="shared" si="44"/>
        <v>3.049383476357349E-2</v>
      </c>
      <c r="P134" s="3">
        <f t="shared" si="44"/>
        <v>3.04938347588227E-2</v>
      </c>
      <c r="Q134" s="3">
        <f t="shared" si="44"/>
        <v>3.0493834711314824E-2</v>
      </c>
      <c r="R134" s="3">
        <f t="shared" si="44"/>
        <v>3.0493834236236032E-2</v>
      </c>
      <c r="S134" s="3">
        <f t="shared" si="44"/>
        <v>3.0493829485448525E-2</v>
      </c>
      <c r="T134" s="3">
        <f t="shared" si="44"/>
        <v>3.0493781977614171E-2</v>
      </c>
      <c r="U134" s="3">
        <f t="shared" si="44"/>
        <v>3.0493306903341434E-2</v>
      </c>
      <c r="V134" s="3">
        <f t="shared" si="44"/>
        <v>3.0488556567670029E-2</v>
      </c>
      <c r="W134" s="3">
        <f t="shared" si="44"/>
        <v>3.044109389309798E-2</v>
      </c>
      <c r="X134" s="3">
        <f t="shared" si="44"/>
        <v>2.9970512008109407E-2</v>
      </c>
      <c r="Y134" s="3">
        <f t="shared" si="44"/>
        <v>2.5646803227650488E-2</v>
      </c>
      <c r="Z134" s="3">
        <f t="shared" si="44"/>
        <v>5.4003761837451347E-3</v>
      </c>
      <c r="AA134" s="3">
        <f t="shared" ref="AA134" si="45">$C20*EXP(-AA$129/$A20/EXP(-$B$126))</f>
        <v>9.2540480264342016E-10</v>
      </c>
      <c r="AB134" s="3">
        <f t="shared" ref="AB134:AF143" si="46">$C20*EXP(-AB$129/$A20/EXP(-$B$126))</f>
        <v>2.0202685659757782E-77</v>
      </c>
      <c r="AC134" s="3">
        <f t="shared" si="46"/>
        <v>0</v>
      </c>
      <c r="AD134" s="3">
        <f t="shared" si="46"/>
        <v>0</v>
      </c>
      <c r="AE134" s="3">
        <f t="shared" si="46"/>
        <v>0</v>
      </c>
      <c r="AF134" s="3">
        <f t="shared" si="46"/>
        <v>0</v>
      </c>
    </row>
    <row r="135" spans="1:33" x14ac:dyDescent="0.25">
      <c r="B135" s="3">
        <f t="shared" ref="B135:Z135" si="47">$C21*EXP(-B$129/$A21/EXP(-$B$126))</f>
        <v>5.1956618575789072E-2</v>
      </c>
      <c r="C135" s="3">
        <f t="shared" si="47"/>
        <v>5.1956618575789072E-2</v>
      </c>
      <c r="D135" s="3">
        <f t="shared" si="47"/>
        <v>5.1956618575789072E-2</v>
      </c>
      <c r="E135" s="3">
        <f t="shared" si="47"/>
        <v>5.1956618575789072E-2</v>
      </c>
      <c r="F135" s="3">
        <f t="shared" si="47"/>
        <v>5.1956618575789072E-2</v>
      </c>
      <c r="G135" s="3">
        <f t="shared" si="47"/>
        <v>5.1956618575789072E-2</v>
      </c>
      <c r="H135" s="3">
        <f t="shared" si="47"/>
        <v>5.1956618575789072E-2</v>
      </c>
      <c r="I135" s="3">
        <f t="shared" si="47"/>
        <v>5.1956618575789072E-2</v>
      </c>
      <c r="J135" s="3">
        <f t="shared" si="47"/>
        <v>5.1956618575789072E-2</v>
      </c>
      <c r="K135" s="3">
        <f t="shared" si="47"/>
        <v>5.1956618575789065E-2</v>
      </c>
      <c r="L135" s="3">
        <f t="shared" si="47"/>
        <v>5.1956618575788989E-2</v>
      </c>
      <c r="M135" s="3">
        <f t="shared" si="47"/>
        <v>5.195661857578826E-2</v>
      </c>
      <c r="N135" s="3">
        <f t="shared" si="47"/>
        <v>5.1956618575780954E-2</v>
      </c>
      <c r="O135" s="3">
        <f t="shared" si="47"/>
        <v>5.1956618575707943E-2</v>
      </c>
      <c r="P135" s="3">
        <f t="shared" si="47"/>
        <v>5.1956618574977742E-2</v>
      </c>
      <c r="Q135" s="3">
        <f t="shared" si="47"/>
        <v>5.195661856767575E-2</v>
      </c>
      <c r="R135" s="3">
        <f t="shared" si="47"/>
        <v>5.1956618494655882E-2</v>
      </c>
      <c r="S135" s="3">
        <f t="shared" si="47"/>
        <v>5.1956617764457154E-2</v>
      </c>
      <c r="T135" s="3">
        <f t="shared" si="47"/>
        <v>5.1956610462470472E-2</v>
      </c>
      <c r="U135" s="3">
        <f t="shared" si="47"/>
        <v>5.1956537442660065E-2</v>
      </c>
      <c r="V135" s="3">
        <f t="shared" si="47"/>
        <v>5.1955807250200187E-2</v>
      </c>
      <c r="W135" s="3">
        <f t="shared" si="47"/>
        <v>5.194850588999083E-2</v>
      </c>
      <c r="X135" s="3">
        <f t="shared" si="47"/>
        <v>5.1875548697502487E-2</v>
      </c>
      <c r="Y135" s="3">
        <f t="shared" si="47"/>
        <v>5.1151588510187612E-2</v>
      </c>
      <c r="Z135" s="3">
        <f t="shared" si="47"/>
        <v>4.4445044378720294E-2</v>
      </c>
      <c r="AA135" s="3">
        <f t="shared" ref="AA135" si="48">$C21*EXP(-AA$129/$A21/EXP(-$B$126))</f>
        <v>1.0900979764969133E-2</v>
      </c>
      <c r="AB135" s="3">
        <f t="shared" si="46"/>
        <v>8.5879088536222276E-9</v>
      </c>
      <c r="AC135" s="3">
        <f t="shared" si="46"/>
        <v>7.9087228469440426E-70</v>
      </c>
      <c r="AD135" s="3">
        <f t="shared" si="46"/>
        <v>0</v>
      </c>
      <c r="AE135" s="3">
        <f t="shared" si="46"/>
        <v>0</v>
      </c>
      <c r="AF135" s="3">
        <f t="shared" si="46"/>
        <v>0</v>
      </c>
    </row>
    <row r="136" spans="1:33" x14ac:dyDescent="0.25">
      <c r="B136" s="3">
        <f t="shared" ref="B136:Z136" si="49">$C22*EXP(-B$129/$A22/EXP(-$B$126))</f>
        <v>4.953314033701034E-2</v>
      </c>
      <c r="C136" s="3">
        <f t="shared" si="49"/>
        <v>4.953314033701034E-2</v>
      </c>
      <c r="D136" s="3">
        <f t="shared" si="49"/>
        <v>4.953314033701034E-2</v>
      </c>
      <c r="E136" s="3">
        <f t="shared" si="49"/>
        <v>4.953314033701034E-2</v>
      </c>
      <c r="F136" s="3">
        <f t="shared" si="49"/>
        <v>4.953314033701034E-2</v>
      </c>
      <c r="G136" s="3">
        <f t="shared" si="49"/>
        <v>4.953314033701034E-2</v>
      </c>
      <c r="H136" s="3">
        <f t="shared" si="49"/>
        <v>4.953314033701034E-2</v>
      </c>
      <c r="I136" s="3">
        <f t="shared" si="49"/>
        <v>4.953314033701034E-2</v>
      </c>
      <c r="J136" s="3">
        <f t="shared" si="49"/>
        <v>4.953314033701034E-2</v>
      </c>
      <c r="K136" s="3">
        <f t="shared" si="49"/>
        <v>4.953314033701034E-2</v>
      </c>
      <c r="L136" s="3">
        <f t="shared" si="49"/>
        <v>4.9533140337010333E-2</v>
      </c>
      <c r="M136" s="3">
        <f t="shared" si="49"/>
        <v>4.953314033701027E-2</v>
      </c>
      <c r="N136" s="3">
        <f t="shared" si="49"/>
        <v>4.9533140337009639E-2</v>
      </c>
      <c r="O136" s="3">
        <f t="shared" si="49"/>
        <v>4.9533140337003359E-2</v>
      </c>
      <c r="P136" s="3">
        <f t="shared" si="49"/>
        <v>4.9533140336940562E-2</v>
      </c>
      <c r="Q136" s="3">
        <f t="shared" si="49"/>
        <v>4.9533140336312592E-2</v>
      </c>
      <c r="R136" s="3">
        <f t="shared" si="49"/>
        <v>4.9533140330032831E-2</v>
      </c>
      <c r="S136" s="3">
        <f t="shared" si="49"/>
        <v>4.9533140267235293E-2</v>
      </c>
      <c r="T136" s="3">
        <f t="shared" si="49"/>
        <v>4.9533139639259871E-2</v>
      </c>
      <c r="U136" s="3">
        <f t="shared" si="49"/>
        <v>4.9533133359506105E-2</v>
      </c>
      <c r="V136" s="3">
        <f t="shared" si="49"/>
        <v>4.953307056201222E-2</v>
      </c>
      <c r="W136" s="3">
        <f t="shared" si="49"/>
        <v>4.953244259145214E-2</v>
      </c>
      <c r="X136" s="3">
        <f t="shared" si="49"/>
        <v>4.9526163323705512E-2</v>
      </c>
      <c r="Y136" s="3">
        <f t="shared" si="49"/>
        <v>4.9463414411124104E-2</v>
      </c>
      <c r="Z136" s="3">
        <f t="shared" si="49"/>
        <v>4.8840281313928695E-2</v>
      </c>
      <c r="AA136" s="3">
        <f t="shared" ref="AA136" si="50">$C22*EXP(-AA$129/$A22/EXP(-$B$126))</f>
        <v>4.3024794487322313E-2</v>
      </c>
      <c r="AB136" s="3">
        <f t="shared" si="46"/>
        <v>1.2109474093215536E-2</v>
      </c>
      <c r="AC136" s="3">
        <f t="shared" si="46"/>
        <v>3.7773746471745653E-8</v>
      </c>
      <c r="AD136" s="3">
        <f t="shared" si="46"/>
        <v>3.2948666922024561E-63</v>
      </c>
      <c r="AE136" s="3">
        <f t="shared" si="46"/>
        <v>0</v>
      </c>
      <c r="AF136" s="3">
        <f t="shared" si="46"/>
        <v>0</v>
      </c>
    </row>
    <row r="137" spans="1:33" x14ac:dyDescent="0.25">
      <c r="B137" s="3">
        <f t="shared" ref="B137:Z137" si="51">$C23*EXP(-B$129/$A23/EXP(-$B$126))</f>
        <v>7.2790684842208797E-2</v>
      </c>
      <c r="C137" s="3">
        <f t="shared" si="51"/>
        <v>7.2790684842208797E-2</v>
      </c>
      <c r="D137" s="3">
        <f t="shared" si="51"/>
        <v>7.2790684842208797E-2</v>
      </c>
      <c r="E137" s="3">
        <f t="shared" si="51"/>
        <v>7.2790684842208797E-2</v>
      </c>
      <c r="F137" s="3">
        <f t="shared" si="51"/>
        <v>7.2790684842208797E-2</v>
      </c>
      <c r="G137" s="3">
        <f t="shared" si="51"/>
        <v>7.2790684842208797E-2</v>
      </c>
      <c r="H137" s="3">
        <f t="shared" si="51"/>
        <v>7.2790684842208797E-2</v>
      </c>
      <c r="I137" s="3">
        <f t="shared" si="51"/>
        <v>7.2790684842208797E-2</v>
      </c>
      <c r="J137" s="3">
        <f t="shared" si="51"/>
        <v>7.2790684842208797E-2</v>
      </c>
      <c r="K137" s="3">
        <f t="shared" si="51"/>
        <v>7.2790684842208797E-2</v>
      </c>
      <c r="L137" s="3">
        <f t="shared" si="51"/>
        <v>7.2790684842208797E-2</v>
      </c>
      <c r="M137" s="3">
        <f t="shared" si="51"/>
        <v>7.2790684842208783E-2</v>
      </c>
      <c r="N137" s="3">
        <f t="shared" si="51"/>
        <v>7.2790684842208714E-2</v>
      </c>
      <c r="O137" s="3">
        <f t="shared" si="51"/>
        <v>7.2790684842207881E-2</v>
      </c>
      <c r="P137" s="3">
        <f t="shared" si="51"/>
        <v>7.2790684842199541E-2</v>
      </c>
      <c r="Q137" s="3">
        <f t="shared" si="51"/>
        <v>7.2790684842116302E-2</v>
      </c>
      <c r="R137" s="3">
        <f t="shared" si="51"/>
        <v>7.2790684841283829E-2</v>
      </c>
      <c r="S137" s="3">
        <f t="shared" si="51"/>
        <v>7.2790684832959127E-2</v>
      </c>
      <c r="T137" s="3">
        <f t="shared" si="51"/>
        <v>7.2790684749711995E-2</v>
      </c>
      <c r="U137" s="3">
        <f t="shared" si="51"/>
        <v>7.2790683917240875E-2</v>
      </c>
      <c r="V137" s="3">
        <f t="shared" si="51"/>
        <v>7.2790675592530135E-2</v>
      </c>
      <c r="W137" s="3">
        <f t="shared" si="51"/>
        <v>7.2790592345475053E-2</v>
      </c>
      <c r="X137" s="3">
        <f t="shared" si="51"/>
        <v>7.2789759880160509E-2</v>
      </c>
      <c r="Y137" s="3">
        <f t="shared" si="51"/>
        <v>7.2781435750621265E-2</v>
      </c>
      <c r="Z137" s="3">
        <f t="shared" si="51"/>
        <v>7.2698246793705359E-2</v>
      </c>
      <c r="AA137" s="3">
        <f t="shared" ref="AA137" si="52">$C23*EXP(-AA$129/$A23/EXP(-$B$126))</f>
        <v>7.1871568992704943E-2</v>
      </c>
      <c r="AB137" s="3">
        <f t="shared" si="46"/>
        <v>6.4104572695226472E-2</v>
      </c>
      <c r="AC137" s="3">
        <f t="shared" si="46"/>
        <v>2.0427153278257653E-2</v>
      </c>
      <c r="AD137" s="3">
        <f t="shared" si="46"/>
        <v>2.2049372192715311E-7</v>
      </c>
      <c r="AE137" s="3">
        <f t="shared" si="46"/>
        <v>4.7345644776519753E-57</v>
      </c>
      <c r="AF137" s="3">
        <f t="shared" si="46"/>
        <v>0</v>
      </c>
    </row>
    <row r="138" spans="1:33" x14ac:dyDescent="0.25">
      <c r="B138" s="3">
        <f t="shared" ref="B138:Z138" si="53">$C24*EXP(-B$129/$A24/EXP(-$B$126))</f>
        <v>8.9662910534614892E-2</v>
      </c>
      <c r="C138" s="3">
        <f t="shared" si="53"/>
        <v>8.9662910534614892E-2</v>
      </c>
      <c r="D138" s="3">
        <f t="shared" si="53"/>
        <v>8.9662910534614892E-2</v>
      </c>
      <c r="E138" s="3">
        <f t="shared" si="53"/>
        <v>8.9662910534614892E-2</v>
      </c>
      <c r="F138" s="3">
        <f t="shared" si="53"/>
        <v>8.9662910534614892E-2</v>
      </c>
      <c r="G138" s="3">
        <f t="shared" si="53"/>
        <v>8.9662910534614892E-2</v>
      </c>
      <c r="H138" s="3">
        <f t="shared" si="53"/>
        <v>8.9662910534614892E-2</v>
      </c>
      <c r="I138" s="3">
        <f t="shared" si="53"/>
        <v>8.9662910534614892E-2</v>
      </c>
      <c r="J138" s="3">
        <f t="shared" si="53"/>
        <v>8.9662910534614892E-2</v>
      </c>
      <c r="K138" s="3">
        <f t="shared" si="53"/>
        <v>8.9662910534614892E-2</v>
      </c>
      <c r="L138" s="3">
        <f t="shared" si="53"/>
        <v>8.9662910534614892E-2</v>
      </c>
      <c r="M138" s="3">
        <f t="shared" si="53"/>
        <v>8.9662910534614892E-2</v>
      </c>
      <c r="N138" s="3">
        <f t="shared" si="53"/>
        <v>8.9662910534614879E-2</v>
      </c>
      <c r="O138" s="3">
        <f t="shared" si="53"/>
        <v>8.9662910534614795E-2</v>
      </c>
      <c r="P138" s="3">
        <f t="shared" si="53"/>
        <v>8.9662910534613866E-2</v>
      </c>
      <c r="Q138" s="3">
        <f t="shared" si="53"/>
        <v>8.9662910534604623E-2</v>
      </c>
      <c r="R138" s="3">
        <f t="shared" si="53"/>
        <v>8.9662910534512114E-2</v>
      </c>
      <c r="S138" s="3">
        <f t="shared" si="53"/>
        <v>8.966291053358709E-2</v>
      </c>
      <c r="T138" s="3">
        <f t="shared" si="53"/>
        <v>8.966291052433685E-2</v>
      </c>
      <c r="U138" s="3">
        <f t="shared" si="53"/>
        <v>8.9662910431834497E-2</v>
      </c>
      <c r="V138" s="3">
        <f t="shared" si="53"/>
        <v>8.9662909506810926E-2</v>
      </c>
      <c r="W138" s="3">
        <f t="shared" si="53"/>
        <v>8.9662900256575778E-2</v>
      </c>
      <c r="X138" s="3">
        <f t="shared" si="53"/>
        <v>8.9662807754276791E-2</v>
      </c>
      <c r="Y138" s="3">
        <f t="shared" si="53"/>
        <v>8.9661882736535511E-2</v>
      </c>
      <c r="Z138" s="3">
        <f t="shared" si="53"/>
        <v>8.9652633083974975E-2</v>
      </c>
      <c r="AA138" s="3">
        <f t="shared" ref="AA138" si="54">$C24*EXP(-AA$129/$A24/EXP(-$B$126))</f>
        <v>8.9560189023562692E-2</v>
      </c>
      <c r="AB138" s="3">
        <f t="shared" si="46"/>
        <v>8.8640974967021613E-2</v>
      </c>
      <c r="AC138" s="3">
        <f t="shared" si="46"/>
        <v>7.9952077200070845E-2</v>
      </c>
      <c r="AD138" s="3">
        <f t="shared" si="46"/>
        <v>2.8495876735084275E-2</v>
      </c>
      <c r="AE138" s="3">
        <f t="shared" si="46"/>
        <v>9.4255075134648164E-7</v>
      </c>
      <c r="AF138" s="3">
        <f t="shared" si="46"/>
        <v>1.4775151700909846E-51</v>
      </c>
    </row>
    <row r="139" spans="1:33" x14ac:dyDescent="0.25">
      <c r="B139" s="3">
        <f t="shared" ref="B139:Z139" si="55">$C25*EXP(-B$129/$A25/EXP(-$B$126))</f>
        <v>0.1059802083256471</v>
      </c>
      <c r="C139" s="3">
        <f t="shared" si="55"/>
        <v>0.1059802083256471</v>
      </c>
      <c r="D139" s="3">
        <f t="shared" si="55"/>
        <v>0.1059802083256471</v>
      </c>
      <c r="E139" s="3">
        <f t="shared" si="55"/>
        <v>0.1059802083256471</v>
      </c>
      <c r="F139" s="3">
        <f t="shared" si="55"/>
        <v>0.1059802083256471</v>
      </c>
      <c r="G139" s="3">
        <f t="shared" si="55"/>
        <v>0.1059802083256471</v>
      </c>
      <c r="H139" s="3">
        <f t="shared" si="55"/>
        <v>0.1059802083256471</v>
      </c>
      <c r="I139" s="3">
        <f t="shared" si="55"/>
        <v>0.1059802083256471</v>
      </c>
      <c r="J139" s="3">
        <f t="shared" si="55"/>
        <v>0.1059802083256471</v>
      </c>
      <c r="K139" s="3">
        <f t="shared" si="55"/>
        <v>0.1059802083256471</v>
      </c>
      <c r="L139" s="3">
        <f t="shared" si="55"/>
        <v>0.1059802083256471</v>
      </c>
      <c r="M139" s="3">
        <f t="shared" si="55"/>
        <v>0.1059802083256471</v>
      </c>
      <c r="N139" s="3">
        <f t="shared" si="55"/>
        <v>0.1059802083256471</v>
      </c>
      <c r="O139" s="3">
        <f t="shared" si="55"/>
        <v>0.10598020832564709</v>
      </c>
      <c r="P139" s="3">
        <f t="shared" si="55"/>
        <v>0.10598020832564699</v>
      </c>
      <c r="Q139" s="3">
        <f t="shared" si="55"/>
        <v>0.105980208325646</v>
      </c>
      <c r="R139" s="3">
        <f t="shared" si="55"/>
        <v>0.10598020832563615</v>
      </c>
      <c r="S139" s="3">
        <f t="shared" si="55"/>
        <v>0.10598020832553751</v>
      </c>
      <c r="T139" s="3">
        <f t="shared" si="55"/>
        <v>0.10598020832455121</v>
      </c>
      <c r="U139" s="3">
        <f t="shared" si="55"/>
        <v>0.10598020831468816</v>
      </c>
      <c r="V139" s="3">
        <f t="shared" si="55"/>
        <v>0.10598020821605764</v>
      </c>
      <c r="W139" s="3">
        <f t="shared" si="55"/>
        <v>0.10598020722975242</v>
      </c>
      <c r="X139" s="3">
        <f t="shared" si="55"/>
        <v>0.10598019736670088</v>
      </c>
      <c r="Y139" s="3">
        <f t="shared" si="55"/>
        <v>0.10598009873623583</v>
      </c>
      <c r="Z139" s="3">
        <f t="shared" si="55"/>
        <v>0.10597911243663376</v>
      </c>
      <c r="AA139" s="3">
        <f t="shared" ref="AA139" si="56">$C25*EXP(-AA$129/$A25/EXP(-$B$126))</f>
        <v>0.10596924994544182</v>
      </c>
      <c r="AB139" s="3">
        <f t="shared" si="46"/>
        <v>0.10587067549900457</v>
      </c>
      <c r="AC139" s="3">
        <f t="shared" si="46"/>
        <v>0.10488996024870165</v>
      </c>
      <c r="AD139" s="3">
        <f t="shared" si="46"/>
        <v>9.5568834217425264E-2</v>
      </c>
      <c r="AE139" s="3">
        <f t="shared" si="46"/>
        <v>3.7682522207912864E-2</v>
      </c>
      <c r="AF139" s="3">
        <f t="shared" si="46"/>
        <v>3.4227621267360722E-6</v>
      </c>
    </row>
    <row r="140" spans="1:33" x14ac:dyDescent="0.25">
      <c r="B140" s="3">
        <f t="shared" ref="B140:Z140" si="57">$C26*EXP(-B$129/$A26/EXP(-$B$126))</f>
        <v>0.12848084538695642</v>
      </c>
      <c r="C140" s="3">
        <f t="shared" si="57"/>
        <v>0.12848084538695642</v>
      </c>
      <c r="D140" s="3">
        <f t="shared" si="57"/>
        <v>0.12848084538695642</v>
      </c>
      <c r="E140" s="3">
        <f t="shared" si="57"/>
        <v>0.12848084538695642</v>
      </c>
      <c r="F140" s="3">
        <f t="shared" si="57"/>
        <v>0.12848084538695642</v>
      </c>
      <c r="G140" s="3">
        <f t="shared" si="57"/>
        <v>0.12848084538695642</v>
      </c>
      <c r="H140" s="3">
        <f t="shared" si="57"/>
        <v>0.12848084538695642</v>
      </c>
      <c r="I140" s="3">
        <f t="shared" si="57"/>
        <v>0.12848084538695642</v>
      </c>
      <c r="J140" s="3">
        <f t="shared" si="57"/>
        <v>0.12848084538695642</v>
      </c>
      <c r="K140" s="3">
        <f t="shared" si="57"/>
        <v>0.12848084538695642</v>
      </c>
      <c r="L140" s="3">
        <f t="shared" si="57"/>
        <v>0.12848084538695642</v>
      </c>
      <c r="M140" s="3">
        <f t="shared" si="57"/>
        <v>0.12848084538695642</v>
      </c>
      <c r="N140" s="3">
        <f t="shared" si="57"/>
        <v>0.12848084538695642</v>
      </c>
      <c r="O140" s="3">
        <f t="shared" si="57"/>
        <v>0.12848084538695642</v>
      </c>
      <c r="P140" s="3">
        <f t="shared" si="57"/>
        <v>0.12848084538695639</v>
      </c>
      <c r="Q140" s="3">
        <f t="shared" si="57"/>
        <v>0.12848084538695631</v>
      </c>
      <c r="R140" s="3">
        <f t="shared" si="57"/>
        <v>0.12848084538695523</v>
      </c>
      <c r="S140" s="3">
        <f t="shared" si="57"/>
        <v>0.12848084538694443</v>
      </c>
      <c r="T140" s="3">
        <f t="shared" si="57"/>
        <v>0.12848084538683657</v>
      </c>
      <c r="U140" s="3">
        <f t="shared" si="57"/>
        <v>0.12848084538575794</v>
      </c>
      <c r="V140" s="3">
        <f t="shared" si="57"/>
        <v>0.12848084537497168</v>
      </c>
      <c r="W140" s="3">
        <f t="shared" si="57"/>
        <v>0.1284808452671089</v>
      </c>
      <c r="X140" s="3">
        <f t="shared" si="57"/>
        <v>0.1284808441884813</v>
      </c>
      <c r="Y140" s="3">
        <f t="shared" si="57"/>
        <v>0.12848083340220567</v>
      </c>
      <c r="Z140" s="3">
        <f t="shared" si="57"/>
        <v>0.12848072553949938</v>
      </c>
      <c r="AA140" s="3">
        <f t="shared" ref="AA140" si="58">$C26*EXP(-AA$129/$A26/EXP(-$B$126))</f>
        <v>0.12847964691741676</v>
      </c>
      <c r="AB140" s="3">
        <f t="shared" si="46"/>
        <v>0.12846886119461703</v>
      </c>
      <c r="AC140" s="3">
        <f t="shared" si="46"/>
        <v>0.12836105375379583</v>
      </c>
      <c r="AD140" s="3">
        <f t="shared" si="46"/>
        <v>0.12728794263276225</v>
      </c>
      <c r="AE140" s="3">
        <f t="shared" si="46"/>
        <v>0.11703808309572714</v>
      </c>
      <c r="AF140" s="3">
        <f t="shared" si="46"/>
        <v>5.0550625183172222E-2</v>
      </c>
    </row>
    <row r="141" spans="1:33" x14ac:dyDescent="0.25">
      <c r="B141" s="3">
        <f t="shared" ref="B141:Z141" si="59">$C27*EXP(-B$129/$A27/EXP(-$B$126))</f>
        <v>9.2499277670536229E-2</v>
      </c>
      <c r="C141" s="3">
        <f t="shared" si="59"/>
        <v>9.2499277670536229E-2</v>
      </c>
      <c r="D141" s="3">
        <f t="shared" si="59"/>
        <v>9.2499277670536229E-2</v>
      </c>
      <c r="E141" s="3">
        <f t="shared" si="59"/>
        <v>9.2499277670536229E-2</v>
      </c>
      <c r="F141" s="3">
        <f t="shared" si="59"/>
        <v>9.2499277670536229E-2</v>
      </c>
      <c r="G141" s="3">
        <f t="shared" si="59"/>
        <v>9.2499277670536229E-2</v>
      </c>
      <c r="H141" s="3">
        <f t="shared" si="59"/>
        <v>9.2499277670536229E-2</v>
      </c>
      <c r="I141" s="3">
        <f t="shared" si="59"/>
        <v>9.2499277670536229E-2</v>
      </c>
      <c r="J141" s="3">
        <f t="shared" si="59"/>
        <v>9.2499277670536229E-2</v>
      </c>
      <c r="K141" s="3">
        <f t="shared" si="59"/>
        <v>9.2499277670536229E-2</v>
      </c>
      <c r="L141" s="3">
        <f t="shared" si="59"/>
        <v>9.2499277670536229E-2</v>
      </c>
      <c r="M141" s="3">
        <f t="shared" si="59"/>
        <v>9.2499277670536229E-2</v>
      </c>
      <c r="N141" s="3">
        <f t="shared" si="59"/>
        <v>9.2499277670536229E-2</v>
      </c>
      <c r="O141" s="3">
        <f t="shared" si="59"/>
        <v>9.2499277670536229E-2</v>
      </c>
      <c r="P141" s="3">
        <f t="shared" si="59"/>
        <v>9.2499277670536229E-2</v>
      </c>
      <c r="Q141" s="3">
        <f t="shared" si="59"/>
        <v>9.2499277670536215E-2</v>
      </c>
      <c r="R141" s="3">
        <f t="shared" si="59"/>
        <v>9.2499277670536145E-2</v>
      </c>
      <c r="S141" s="3">
        <f t="shared" si="59"/>
        <v>9.2499277670535451E-2</v>
      </c>
      <c r="T141" s="3">
        <f t="shared" si="59"/>
        <v>9.2499277670528443E-2</v>
      </c>
      <c r="U141" s="3">
        <f t="shared" si="59"/>
        <v>9.2499277670458402E-2</v>
      </c>
      <c r="V141" s="3">
        <f t="shared" si="59"/>
        <v>9.2499277669757879E-2</v>
      </c>
      <c r="W141" s="3">
        <f t="shared" si="59"/>
        <v>9.2499277662752719E-2</v>
      </c>
      <c r="X141" s="3">
        <f t="shared" si="59"/>
        <v>9.2499277592701115E-2</v>
      </c>
      <c r="Y141" s="3">
        <f t="shared" si="59"/>
        <v>9.2499276892185081E-2</v>
      </c>
      <c r="Z141" s="3">
        <f t="shared" si="59"/>
        <v>9.2499269887025032E-2</v>
      </c>
      <c r="AA141" s="3">
        <f t="shared" ref="AA141" si="60">$C27*EXP(-AA$129/$A27/EXP(-$B$126))</f>
        <v>9.2499199835453738E-2</v>
      </c>
      <c r="AB141" s="3">
        <f t="shared" si="46"/>
        <v>9.2498499322658634E-2</v>
      </c>
      <c r="AC141" s="3">
        <f t="shared" si="46"/>
        <v>9.2491494486481765E-2</v>
      </c>
      <c r="AD141" s="3">
        <f t="shared" si="46"/>
        <v>9.2421475293966063E-2</v>
      </c>
      <c r="AE141" s="3">
        <f t="shared" si="46"/>
        <v>9.1724192137153701E-2</v>
      </c>
      <c r="AF141" s="3">
        <f t="shared" si="46"/>
        <v>8.5034249267552181E-2</v>
      </c>
    </row>
    <row r="142" spans="1:33" x14ac:dyDescent="0.25">
      <c r="B142" s="3">
        <f t="shared" ref="B142:Z142" si="61">$C28*EXP(-B$129/$A28/EXP(-$B$126))</f>
        <v>5.52958361106754E-2</v>
      </c>
      <c r="C142" s="3">
        <f t="shared" si="61"/>
        <v>5.52958361106754E-2</v>
      </c>
      <c r="D142" s="3">
        <f t="shared" si="61"/>
        <v>5.52958361106754E-2</v>
      </c>
      <c r="E142" s="3">
        <f t="shared" si="61"/>
        <v>5.52958361106754E-2</v>
      </c>
      <c r="F142" s="3">
        <f t="shared" si="61"/>
        <v>5.52958361106754E-2</v>
      </c>
      <c r="G142" s="3">
        <f t="shared" si="61"/>
        <v>5.52958361106754E-2</v>
      </c>
      <c r="H142" s="3">
        <f t="shared" si="61"/>
        <v>5.52958361106754E-2</v>
      </c>
      <c r="I142" s="3">
        <f t="shared" si="61"/>
        <v>5.52958361106754E-2</v>
      </c>
      <c r="J142" s="3">
        <f t="shared" si="61"/>
        <v>5.52958361106754E-2</v>
      </c>
      <c r="K142" s="3">
        <f t="shared" si="61"/>
        <v>5.52958361106754E-2</v>
      </c>
      <c r="L142" s="3">
        <f t="shared" si="61"/>
        <v>5.52958361106754E-2</v>
      </c>
      <c r="M142" s="3">
        <f t="shared" si="61"/>
        <v>5.52958361106754E-2</v>
      </c>
      <c r="N142" s="3">
        <f t="shared" si="61"/>
        <v>5.52958361106754E-2</v>
      </c>
      <c r="O142" s="3">
        <f t="shared" si="61"/>
        <v>5.52958361106754E-2</v>
      </c>
      <c r="P142" s="3">
        <f t="shared" si="61"/>
        <v>5.52958361106754E-2</v>
      </c>
      <c r="Q142" s="3">
        <f t="shared" si="61"/>
        <v>5.52958361106754E-2</v>
      </c>
      <c r="R142" s="3">
        <f t="shared" si="61"/>
        <v>5.5295836110675393E-2</v>
      </c>
      <c r="S142" s="3">
        <f t="shared" si="61"/>
        <v>5.5295836110675359E-2</v>
      </c>
      <c r="T142" s="3">
        <f t="shared" si="61"/>
        <v>5.5295836110674984E-2</v>
      </c>
      <c r="U142" s="3">
        <f t="shared" si="61"/>
        <v>5.5295836110671202E-2</v>
      </c>
      <c r="V142" s="3">
        <f t="shared" si="61"/>
        <v>5.5295836110633427E-2</v>
      </c>
      <c r="W142" s="3">
        <f t="shared" si="61"/>
        <v>5.5295836110255667E-2</v>
      </c>
      <c r="X142" s="3">
        <f t="shared" si="61"/>
        <v>5.5295836106478036E-2</v>
      </c>
      <c r="Y142" s="3">
        <f t="shared" si="61"/>
        <v>5.5295836068701795E-2</v>
      </c>
      <c r="Z142" s="3">
        <f t="shared" si="61"/>
        <v>5.529583569093937E-2</v>
      </c>
      <c r="AA142" s="3">
        <f t="shared" ref="AA142" si="62">$C28*EXP(-AA$129/$A28/EXP(-$B$126))</f>
        <v>5.5295831913315253E-2</v>
      </c>
      <c r="AB142" s="3">
        <f t="shared" si="46"/>
        <v>5.5295794137088225E-2</v>
      </c>
      <c r="AC142" s="3">
        <f t="shared" si="46"/>
        <v>5.5295416376237382E-2</v>
      </c>
      <c r="AD142" s="3">
        <f t="shared" si="46"/>
        <v>5.529163890966593E-2</v>
      </c>
      <c r="AE142" s="3">
        <f t="shared" si="46"/>
        <v>5.5253878434063139E-2</v>
      </c>
      <c r="AF142" s="3">
        <f t="shared" si="46"/>
        <v>5.4877689108894318E-2</v>
      </c>
    </row>
    <row r="143" spans="1:33" x14ac:dyDescent="0.25">
      <c r="B143" s="3">
        <f t="shared" ref="B143:Z143" si="63">$C29*EXP(-B$129/$A29/EXP(-$B$126))</f>
        <v>3.0991280928739252E-2</v>
      </c>
      <c r="C143" s="3">
        <f t="shared" si="63"/>
        <v>3.0991280928739252E-2</v>
      </c>
      <c r="D143" s="3">
        <f t="shared" si="63"/>
        <v>3.0991280928739252E-2</v>
      </c>
      <c r="E143" s="3">
        <f t="shared" si="63"/>
        <v>3.0991280928739252E-2</v>
      </c>
      <c r="F143" s="3">
        <f t="shared" si="63"/>
        <v>3.0991280928739252E-2</v>
      </c>
      <c r="G143" s="3">
        <f t="shared" si="63"/>
        <v>3.0991280928739252E-2</v>
      </c>
      <c r="H143" s="3">
        <f t="shared" si="63"/>
        <v>3.0991280928739252E-2</v>
      </c>
      <c r="I143" s="3">
        <f t="shared" si="63"/>
        <v>3.0991280928739252E-2</v>
      </c>
      <c r="J143" s="3">
        <f t="shared" si="63"/>
        <v>3.0991280928739252E-2</v>
      </c>
      <c r="K143" s="3">
        <f t="shared" si="63"/>
        <v>3.0991280928739252E-2</v>
      </c>
      <c r="L143" s="3">
        <f t="shared" si="63"/>
        <v>3.0991280928739252E-2</v>
      </c>
      <c r="M143" s="3">
        <f t="shared" si="63"/>
        <v>3.0991280928739252E-2</v>
      </c>
      <c r="N143" s="3">
        <f t="shared" si="63"/>
        <v>3.0991280928739252E-2</v>
      </c>
      <c r="O143" s="3">
        <f t="shared" si="63"/>
        <v>3.0991280928739252E-2</v>
      </c>
      <c r="P143" s="3">
        <f t="shared" si="63"/>
        <v>3.0991280928739252E-2</v>
      </c>
      <c r="Q143" s="3">
        <f t="shared" si="63"/>
        <v>3.0991280928739252E-2</v>
      </c>
      <c r="R143" s="3">
        <f t="shared" si="63"/>
        <v>3.0991280928739252E-2</v>
      </c>
      <c r="S143" s="3">
        <f t="shared" si="63"/>
        <v>3.0991280928739248E-2</v>
      </c>
      <c r="T143" s="3">
        <f t="shared" si="63"/>
        <v>3.0991280928739231E-2</v>
      </c>
      <c r="U143" s="3">
        <f t="shared" si="63"/>
        <v>3.099128092873904E-2</v>
      </c>
      <c r="V143" s="3">
        <f t="shared" si="63"/>
        <v>3.0991280928737128E-2</v>
      </c>
      <c r="W143" s="3">
        <f t="shared" si="63"/>
        <v>3.0991280928718029E-2</v>
      </c>
      <c r="X143" s="3">
        <f t="shared" si="63"/>
        <v>3.099128092852704E-2</v>
      </c>
      <c r="Y143" s="3">
        <f t="shared" si="63"/>
        <v>3.099128092661713E-2</v>
      </c>
      <c r="Z143" s="3">
        <f t="shared" si="63"/>
        <v>3.099128090751805E-2</v>
      </c>
      <c r="AA143" s="3">
        <f t="shared" ref="AA143" si="64">$C29*EXP(-AA$129/$A29/EXP(-$B$126))</f>
        <v>3.099128071652725E-2</v>
      </c>
      <c r="AB143" s="3">
        <f t="shared" si="46"/>
        <v>3.0991278806619317E-2</v>
      </c>
      <c r="AC143" s="3">
        <f t="shared" si="46"/>
        <v>3.0991259707546435E-2</v>
      </c>
      <c r="AD143" s="3">
        <f t="shared" si="46"/>
        <v>3.0991068717464987E-2</v>
      </c>
      <c r="AE143" s="3">
        <f t="shared" si="46"/>
        <v>3.0989158881385176E-2</v>
      </c>
      <c r="AF143" s="3">
        <f t="shared" si="46"/>
        <v>3.0970066992580026E-2</v>
      </c>
    </row>
    <row r="144" spans="1:33" x14ac:dyDescent="0.25">
      <c r="B144" s="3">
        <f t="shared" ref="B144:Z144" si="65">$C30*EXP(-B$129/$A30/EXP(-$B$126))</f>
        <v>6.4185010590350885E-3</v>
      </c>
      <c r="C144" s="3">
        <f t="shared" si="65"/>
        <v>6.4185010590350885E-3</v>
      </c>
      <c r="D144" s="3">
        <f t="shared" si="65"/>
        <v>6.4185010590350885E-3</v>
      </c>
      <c r="E144" s="3">
        <f t="shared" si="65"/>
        <v>6.4185010590350885E-3</v>
      </c>
      <c r="F144" s="3">
        <f t="shared" si="65"/>
        <v>6.4185010590350885E-3</v>
      </c>
      <c r="G144" s="3">
        <f t="shared" si="65"/>
        <v>6.4185010590350885E-3</v>
      </c>
      <c r="H144" s="3">
        <f t="shared" si="65"/>
        <v>6.4185010590350885E-3</v>
      </c>
      <c r="I144" s="3">
        <f t="shared" si="65"/>
        <v>6.4185010590350885E-3</v>
      </c>
      <c r="J144" s="3">
        <f t="shared" si="65"/>
        <v>6.4185010590350885E-3</v>
      </c>
      <c r="K144" s="3">
        <f t="shared" si="65"/>
        <v>6.4185010590350885E-3</v>
      </c>
      <c r="L144" s="3">
        <f t="shared" si="65"/>
        <v>6.4185010590350885E-3</v>
      </c>
      <c r="M144" s="3">
        <f t="shared" si="65"/>
        <v>6.4185010590350885E-3</v>
      </c>
      <c r="N144" s="3">
        <f t="shared" si="65"/>
        <v>6.4185010590350885E-3</v>
      </c>
      <c r="O144" s="3">
        <f t="shared" si="65"/>
        <v>6.4185010590350885E-3</v>
      </c>
      <c r="P144" s="3">
        <f t="shared" si="65"/>
        <v>6.4185010590350885E-3</v>
      </c>
      <c r="Q144" s="3">
        <f t="shared" si="65"/>
        <v>6.4185010590350885E-3</v>
      </c>
      <c r="R144" s="3">
        <f t="shared" si="65"/>
        <v>6.4185010590350885E-3</v>
      </c>
      <c r="S144" s="3">
        <f t="shared" si="65"/>
        <v>6.4185010590350885E-3</v>
      </c>
      <c r="T144" s="3">
        <f t="shared" si="65"/>
        <v>6.4185010590350876E-3</v>
      </c>
      <c r="U144" s="3">
        <f t="shared" si="65"/>
        <v>6.4185010590350842E-3</v>
      </c>
      <c r="V144" s="3">
        <f t="shared" si="65"/>
        <v>6.4185010590350486E-3</v>
      </c>
      <c r="W144" s="3">
        <f t="shared" si="65"/>
        <v>6.4185010590346921E-3</v>
      </c>
      <c r="X144" s="3">
        <f t="shared" si="65"/>
        <v>6.4185010590311238E-3</v>
      </c>
      <c r="Y144" s="3">
        <f t="shared" si="65"/>
        <v>6.4185010589954414E-3</v>
      </c>
      <c r="Z144" s="3">
        <f t="shared" si="65"/>
        <v>6.4185010586386183E-3</v>
      </c>
      <c r="AA144" s="3">
        <f t="shared" ref="AA144" si="66">$C30*EXP(-AA$129/$A30/EXP(-$B$126))</f>
        <v>6.4185010550703858E-3</v>
      </c>
      <c r="AB144" s="3">
        <f t="shared" ref="AB144:AF153" si="67">$C30*EXP(-AB$129/$A30/EXP(-$B$126))</f>
        <v>6.4185010193880624E-3</v>
      </c>
      <c r="AC144" s="3">
        <f t="shared" si="67"/>
        <v>6.4185006625648352E-3</v>
      </c>
      <c r="AD144" s="3">
        <f t="shared" si="67"/>
        <v>6.4184970943336602E-3</v>
      </c>
      <c r="AE144" s="3">
        <f t="shared" si="67"/>
        <v>6.4184614121310102E-3</v>
      </c>
      <c r="AF144" s="3">
        <f t="shared" si="67"/>
        <v>6.4181046010145263E-3</v>
      </c>
    </row>
    <row r="145" spans="1:32" x14ac:dyDescent="0.25">
      <c r="B145" s="3">
        <f t="shared" ref="B145:Z145" si="68">$C31*EXP(-B$129/$A31/EXP(-$B$126))</f>
        <v>3.5931837599499803E-3</v>
      </c>
      <c r="C145" s="3">
        <f t="shared" si="68"/>
        <v>3.5931837599499803E-3</v>
      </c>
      <c r="D145" s="3">
        <f t="shared" si="68"/>
        <v>3.5931837599499803E-3</v>
      </c>
      <c r="E145" s="3">
        <f t="shared" si="68"/>
        <v>3.5931837599499803E-3</v>
      </c>
      <c r="F145" s="3">
        <f t="shared" si="68"/>
        <v>3.5931837599499803E-3</v>
      </c>
      <c r="G145" s="3">
        <f t="shared" si="68"/>
        <v>3.5931837599499803E-3</v>
      </c>
      <c r="H145" s="3">
        <f t="shared" si="68"/>
        <v>3.5931837599499803E-3</v>
      </c>
      <c r="I145" s="3">
        <f t="shared" si="68"/>
        <v>3.5931837599499803E-3</v>
      </c>
      <c r="J145" s="3">
        <f t="shared" si="68"/>
        <v>3.5931837599499803E-3</v>
      </c>
      <c r="K145" s="3">
        <f t="shared" si="68"/>
        <v>3.5931837599499803E-3</v>
      </c>
      <c r="L145" s="3">
        <f t="shared" si="68"/>
        <v>3.5931837599499803E-3</v>
      </c>
      <c r="M145" s="3">
        <f t="shared" si="68"/>
        <v>3.5931837599499803E-3</v>
      </c>
      <c r="N145" s="3">
        <f t="shared" si="68"/>
        <v>3.5931837599499803E-3</v>
      </c>
      <c r="O145" s="3">
        <f t="shared" si="68"/>
        <v>3.5931837599499803E-3</v>
      </c>
      <c r="P145" s="3">
        <f t="shared" si="68"/>
        <v>3.5931837599499803E-3</v>
      </c>
      <c r="Q145" s="3">
        <f t="shared" si="68"/>
        <v>3.5931837599499803E-3</v>
      </c>
      <c r="R145" s="3">
        <f t="shared" si="68"/>
        <v>3.5931837599499803E-3</v>
      </c>
      <c r="S145" s="3">
        <f t="shared" si="68"/>
        <v>3.5931837599499803E-3</v>
      </c>
      <c r="T145" s="3">
        <f t="shared" si="68"/>
        <v>3.5931837599499803E-3</v>
      </c>
      <c r="U145" s="3">
        <f t="shared" si="68"/>
        <v>3.5931837599499799E-3</v>
      </c>
      <c r="V145" s="3">
        <f t="shared" si="68"/>
        <v>3.5931837599499782E-3</v>
      </c>
      <c r="W145" s="3">
        <f t="shared" si="68"/>
        <v>3.5931837599499604E-3</v>
      </c>
      <c r="X145" s="3">
        <f t="shared" si="68"/>
        <v>3.59318375994978E-3</v>
      </c>
      <c r="Y145" s="3">
        <f t="shared" si="68"/>
        <v>3.593183759947978E-3</v>
      </c>
      <c r="Z145" s="3">
        <f t="shared" si="68"/>
        <v>3.5931837599299582E-3</v>
      </c>
      <c r="AA145" s="3">
        <f t="shared" ref="AA145" si="69">$C31*EXP(-AA$129/$A31/EXP(-$B$126))</f>
        <v>3.593183759749762E-3</v>
      </c>
      <c r="AB145" s="3">
        <f t="shared" si="67"/>
        <v>3.5931837579478007E-3</v>
      </c>
      <c r="AC145" s="3">
        <f t="shared" si="67"/>
        <v>3.5931837399281849E-3</v>
      </c>
      <c r="AD145" s="3">
        <f t="shared" si="67"/>
        <v>3.5931835597320301E-3</v>
      </c>
      <c r="AE145" s="3">
        <f t="shared" si="67"/>
        <v>3.5931817577709788E-3</v>
      </c>
      <c r="AF145" s="3">
        <f t="shared" si="67"/>
        <v>3.5931637382101696E-3</v>
      </c>
    </row>
    <row r="146" spans="1:32" x14ac:dyDescent="0.25">
      <c r="B146" s="3">
        <f t="shared" ref="B146:Z146" si="70">$C32*EXP(-B$129/$A32/EXP(-$B$126))</f>
        <v>1.3759911447272116E-3</v>
      </c>
      <c r="C146" s="3">
        <f t="shared" si="70"/>
        <v>1.3759911447272116E-3</v>
      </c>
      <c r="D146" s="3">
        <f t="shared" si="70"/>
        <v>1.3759911447272116E-3</v>
      </c>
      <c r="E146" s="3">
        <f t="shared" si="70"/>
        <v>1.3759911447272116E-3</v>
      </c>
      <c r="F146" s="3">
        <f t="shared" si="70"/>
        <v>1.3759911447272116E-3</v>
      </c>
      <c r="G146" s="3">
        <f t="shared" si="70"/>
        <v>1.3759911447272116E-3</v>
      </c>
      <c r="H146" s="3">
        <f t="shared" si="70"/>
        <v>1.3759911447272116E-3</v>
      </c>
      <c r="I146" s="3">
        <f t="shared" si="70"/>
        <v>1.3759911447272116E-3</v>
      </c>
      <c r="J146" s="3">
        <f t="shared" si="70"/>
        <v>1.3759911447272116E-3</v>
      </c>
      <c r="K146" s="3">
        <f t="shared" si="70"/>
        <v>1.3759911447272116E-3</v>
      </c>
      <c r="L146" s="3">
        <f t="shared" si="70"/>
        <v>1.3759911447272116E-3</v>
      </c>
      <c r="M146" s="3">
        <f t="shared" si="70"/>
        <v>1.3759911447272116E-3</v>
      </c>
      <c r="N146" s="3">
        <f t="shared" si="70"/>
        <v>1.3759911447272116E-3</v>
      </c>
      <c r="O146" s="3">
        <f t="shared" si="70"/>
        <v>1.3759911447272116E-3</v>
      </c>
      <c r="P146" s="3">
        <f t="shared" si="70"/>
        <v>1.3759911447272116E-3</v>
      </c>
      <c r="Q146" s="3">
        <f t="shared" si="70"/>
        <v>1.3759911447272116E-3</v>
      </c>
      <c r="R146" s="3">
        <f t="shared" si="70"/>
        <v>1.3759911447272116E-3</v>
      </c>
      <c r="S146" s="3">
        <f t="shared" si="70"/>
        <v>1.3759911447272116E-3</v>
      </c>
      <c r="T146" s="3">
        <f t="shared" si="70"/>
        <v>1.3759911447272116E-3</v>
      </c>
      <c r="U146" s="3">
        <f t="shared" si="70"/>
        <v>1.3759911447272116E-3</v>
      </c>
      <c r="V146" s="3">
        <f t="shared" si="70"/>
        <v>1.3759911447272116E-3</v>
      </c>
      <c r="W146" s="3">
        <f t="shared" si="70"/>
        <v>1.3759911447272107E-3</v>
      </c>
      <c r="X146" s="3">
        <f t="shared" si="70"/>
        <v>1.3759911447272046E-3</v>
      </c>
      <c r="Y146" s="3">
        <f t="shared" si="70"/>
        <v>1.3759911447271424E-3</v>
      </c>
      <c r="Z146" s="3">
        <f t="shared" si="70"/>
        <v>1.3759911447265199E-3</v>
      </c>
      <c r="AA146" s="3">
        <f t="shared" ref="AA146" si="71">$C32*EXP(-AA$129/$A32/EXP(-$B$126))</f>
        <v>1.375991144720295E-3</v>
      </c>
      <c r="AB146" s="3">
        <f t="shared" si="67"/>
        <v>1.3759911446580466E-3</v>
      </c>
      <c r="AC146" s="3">
        <f t="shared" si="67"/>
        <v>1.3759911440355624E-3</v>
      </c>
      <c r="AD146" s="3">
        <f t="shared" si="67"/>
        <v>1.3759911378107205E-3</v>
      </c>
      <c r="AE146" s="3">
        <f t="shared" si="67"/>
        <v>1.3759910755623019E-3</v>
      </c>
      <c r="AF146" s="3">
        <f t="shared" si="67"/>
        <v>1.3759904530782712E-3</v>
      </c>
    </row>
    <row r="147" spans="1:32" x14ac:dyDescent="0.25">
      <c r="B147" s="3">
        <f t="shared" ref="B147:Z147" si="72">$C33*EXP(-B$129/$A33/EXP(-$B$126))</f>
        <v>1.7729334570218164E-4</v>
      </c>
      <c r="C147" s="3">
        <f t="shared" si="72"/>
        <v>1.7729334570218164E-4</v>
      </c>
      <c r="D147" s="3">
        <f t="shared" si="72"/>
        <v>1.7729334570218164E-4</v>
      </c>
      <c r="E147" s="3">
        <f t="shared" si="72"/>
        <v>1.7729334570218164E-4</v>
      </c>
      <c r="F147" s="3">
        <f t="shared" si="72"/>
        <v>1.7729334570218164E-4</v>
      </c>
      <c r="G147" s="3">
        <f t="shared" si="72"/>
        <v>1.7729334570218164E-4</v>
      </c>
      <c r="H147" s="3">
        <f t="shared" si="72"/>
        <v>1.7729334570218164E-4</v>
      </c>
      <c r="I147" s="3">
        <f t="shared" si="72"/>
        <v>1.7729334570218164E-4</v>
      </c>
      <c r="J147" s="3">
        <f t="shared" si="72"/>
        <v>1.7729334570218164E-4</v>
      </c>
      <c r="K147" s="3">
        <f t="shared" si="72"/>
        <v>1.7729334570218164E-4</v>
      </c>
      <c r="L147" s="3">
        <f t="shared" si="72"/>
        <v>1.7729334570218164E-4</v>
      </c>
      <c r="M147" s="3">
        <f t="shared" si="72"/>
        <v>1.7729334570218164E-4</v>
      </c>
      <c r="N147" s="3">
        <f t="shared" si="72"/>
        <v>1.7729334570218164E-4</v>
      </c>
      <c r="O147" s="3">
        <f t="shared" si="72"/>
        <v>1.7729334570218164E-4</v>
      </c>
      <c r="P147" s="3">
        <f t="shared" si="72"/>
        <v>1.7729334570218164E-4</v>
      </c>
      <c r="Q147" s="3">
        <f t="shared" si="72"/>
        <v>1.7729334570218164E-4</v>
      </c>
      <c r="R147" s="3">
        <f t="shared" si="72"/>
        <v>1.7729334570218164E-4</v>
      </c>
      <c r="S147" s="3">
        <f t="shared" si="72"/>
        <v>1.7729334570218164E-4</v>
      </c>
      <c r="T147" s="3">
        <f t="shared" si="72"/>
        <v>1.7729334570218164E-4</v>
      </c>
      <c r="U147" s="3">
        <f t="shared" si="72"/>
        <v>1.7729334570218164E-4</v>
      </c>
      <c r="V147" s="3">
        <f t="shared" si="72"/>
        <v>1.7729334570218164E-4</v>
      </c>
      <c r="W147" s="3">
        <f t="shared" si="72"/>
        <v>1.7729334570218164E-4</v>
      </c>
      <c r="X147" s="3">
        <f t="shared" si="72"/>
        <v>1.7729334570218156E-4</v>
      </c>
      <c r="Y147" s="3">
        <f t="shared" si="72"/>
        <v>1.7729334570218083E-4</v>
      </c>
      <c r="Z147" s="3">
        <f t="shared" si="72"/>
        <v>1.7729334570217362E-4</v>
      </c>
      <c r="AA147" s="3">
        <f t="shared" ref="AA147" si="73">$C33*EXP(-AA$129/$A33/EXP(-$B$126))</f>
        <v>1.7729334570210125E-4</v>
      </c>
      <c r="AB147" s="3">
        <f t="shared" si="67"/>
        <v>1.7729334570137773E-4</v>
      </c>
      <c r="AC147" s="3">
        <f t="shared" si="67"/>
        <v>1.772933456941425E-4</v>
      </c>
      <c r="AD147" s="3">
        <f t="shared" si="67"/>
        <v>1.772933456217903E-4</v>
      </c>
      <c r="AE147" s="3">
        <f t="shared" si="67"/>
        <v>1.7729334489826836E-4</v>
      </c>
      <c r="AF147" s="3">
        <f t="shared" si="67"/>
        <v>1.7729333766304883E-4</v>
      </c>
    </row>
    <row r="148" spans="1:32" x14ac:dyDescent="0.25">
      <c r="B148" s="3">
        <f t="shared" ref="B148:Z148" si="74">$C34*EXP(-B$129/$A34/EXP(-$B$126))</f>
        <v>4.3065005159432222E-4</v>
      </c>
      <c r="C148" s="3">
        <f t="shared" si="74"/>
        <v>4.3065005159432222E-4</v>
      </c>
      <c r="D148" s="3">
        <f t="shared" si="74"/>
        <v>4.3065005159432222E-4</v>
      </c>
      <c r="E148" s="3">
        <f t="shared" si="74"/>
        <v>4.3065005159432222E-4</v>
      </c>
      <c r="F148" s="3">
        <f t="shared" si="74"/>
        <v>4.3065005159432222E-4</v>
      </c>
      <c r="G148" s="3">
        <f t="shared" si="74"/>
        <v>4.3065005159432222E-4</v>
      </c>
      <c r="H148" s="3">
        <f t="shared" si="74"/>
        <v>4.3065005159432222E-4</v>
      </c>
      <c r="I148" s="3">
        <f t="shared" si="74"/>
        <v>4.3065005159432222E-4</v>
      </c>
      <c r="J148" s="3">
        <f t="shared" si="74"/>
        <v>4.3065005159432222E-4</v>
      </c>
      <c r="K148" s="3">
        <f t="shared" si="74"/>
        <v>4.3065005159432222E-4</v>
      </c>
      <c r="L148" s="3">
        <f t="shared" si="74"/>
        <v>4.3065005159432222E-4</v>
      </c>
      <c r="M148" s="3">
        <f t="shared" si="74"/>
        <v>4.3065005159432222E-4</v>
      </c>
      <c r="N148" s="3">
        <f t="shared" si="74"/>
        <v>4.3065005159432222E-4</v>
      </c>
      <c r="O148" s="3">
        <f t="shared" si="74"/>
        <v>4.3065005159432222E-4</v>
      </c>
      <c r="P148" s="3">
        <f t="shared" si="74"/>
        <v>4.3065005159432222E-4</v>
      </c>
      <c r="Q148" s="3">
        <f t="shared" si="74"/>
        <v>4.3065005159432222E-4</v>
      </c>
      <c r="R148" s="3">
        <f t="shared" si="74"/>
        <v>4.3065005159432222E-4</v>
      </c>
      <c r="S148" s="3">
        <f t="shared" si="74"/>
        <v>4.3065005159432222E-4</v>
      </c>
      <c r="T148" s="3">
        <f t="shared" si="74"/>
        <v>4.3065005159432222E-4</v>
      </c>
      <c r="U148" s="3">
        <f t="shared" si="74"/>
        <v>4.3065005159432222E-4</v>
      </c>
      <c r="V148" s="3">
        <f t="shared" si="74"/>
        <v>4.3065005159432222E-4</v>
      </c>
      <c r="W148" s="3">
        <f t="shared" si="74"/>
        <v>4.3065005159432222E-4</v>
      </c>
      <c r="X148" s="3">
        <f t="shared" si="74"/>
        <v>4.3065005159432222E-4</v>
      </c>
      <c r="Y148" s="3">
        <f t="shared" si="74"/>
        <v>4.30650051594322E-4</v>
      </c>
      <c r="Z148" s="3">
        <f t="shared" si="74"/>
        <v>4.3065005159432043E-4</v>
      </c>
      <c r="AA148" s="3">
        <f>$C34*EXP(-AA$129/$A34/EXP(-$B$126))</f>
        <v>4.306500515943046E-4</v>
      </c>
      <c r="AB148" s="3">
        <f t="shared" si="67"/>
        <v>4.3065005159414609E-4</v>
      </c>
      <c r="AC148" s="3">
        <f t="shared" si="67"/>
        <v>4.3065005159256071E-4</v>
      </c>
      <c r="AD148" s="3">
        <f t="shared" si="67"/>
        <v>4.3065005157670702E-4</v>
      </c>
      <c r="AE148" s="3">
        <f t="shared" si="67"/>
        <v>4.306500514181701E-4</v>
      </c>
      <c r="AF148" s="3">
        <f t="shared" si="67"/>
        <v>4.3065004983280106E-4</v>
      </c>
    </row>
    <row r="149" spans="1:32" x14ac:dyDescent="0.25">
      <c r="B149" s="3">
        <f t="shared" ref="B149:Z149" si="75">$C35*EXP(-B$129/$A35/EXP(-$B$126))</f>
        <v>5.9717869572018282E-4</v>
      </c>
      <c r="C149" s="3">
        <f t="shared" si="75"/>
        <v>5.9717869572018282E-4</v>
      </c>
      <c r="D149" s="3">
        <f t="shared" si="75"/>
        <v>5.9717869572018282E-4</v>
      </c>
      <c r="E149" s="3">
        <f t="shared" si="75"/>
        <v>5.9717869572018282E-4</v>
      </c>
      <c r="F149" s="3">
        <f t="shared" si="75"/>
        <v>5.9717869572018282E-4</v>
      </c>
      <c r="G149" s="3">
        <f t="shared" si="75"/>
        <v>5.9717869572018282E-4</v>
      </c>
      <c r="H149" s="3">
        <f t="shared" si="75"/>
        <v>5.9717869572018282E-4</v>
      </c>
      <c r="I149" s="3">
        <f t="shared" si="75"/>
        <v>5.9717869572018282E-4</v>
      </c>
      <c r="J149" s="3">
        <f t="shared" si="75"/>
        <v>5.9717869572018282E-4</v>
      </c>
      <c r="K149" s="3">
        <f t="shared" si="75"/>
        <v>5.9717869572018282E-4</v>
      </c>
      <c r="L149" s="3">
        <f t="shared" si="75"/>
        <v>5.9717869572018282E-4</v>
      </c>
      <c r="M149" s="3">
        <f t="shared" si="75"/>
        <v>5.9717869572018282E-4</v>
      </c>
      <c r="N149" s="3">
        <f t="shared" si="75"/>
        <v>5.9717869572018282E-4</v>
      </c>
      <c r="O149" s="3">
        <f t="shared" si="75"/>
        <v>5.9717869572018282E-4</v>
      </c>
      <c r="P149" s="3">
        <f t="shared" si="75"/>
        <v>5.9717869572018282E-4</v>
      </c>
      <c r="Q149" s="3">
        <f t="shared" si="75"/>
        <v>5.9717869572018282E-4</v>
      </c>
      <c r="R149" s="3">
        <f t="shared" si="75"/>
        <v>5.9717869572018282E-4</v>
      </c>
      <c r="S149" s="3">
        <f t="shared" si="75"/>
        <v>5.9717869572018282E-4</v>
      </c>
      <c r="T149" s="3">
        <f t="shared" si="75"/>
        <v>5.9717869572018282E-4</v>
      </c>
      <c r="U149" s="3">
        <f t="shared" si="75"/>
        <v>5.9717869572018282E-4</v>
      </c>
      <c r="V149" s="3">
        <f t="shared" si="75"/>
        <v>5.9717869572018282E-4</v>
      </c>
      <c r="W149" s="3">
        <f t="shared" si="75"/>
        <v>5.9717869572018282E-4</v>
      </c>
      <c r="X149" s="3">
        <f t="shared" si="75"/>
        <v>5.9717869572018282E-4</v>
      </c>
      <c r="Y149" s="3">
        <f t="shared" si="75"/>
        <v>5.9717869572018282E-4</v>
      </c>
      <c r="Z149" s="3">
        <f t="shared" si="75"/>
        <v>5.971786957201826E-4</v>
      </c>
      <c r="AA149" s="3">
        <f t="shared" ref="AA149" si="76">$C35*EXP(-AA$129/$A35/EXP(-$B$126))</f>
        <v>5.9717869572018065E-4</v>
      </c>
      <c r="AB149" s="3">
        <f t="shared" si="67"/>
        <v>5.9717869572016081E-4</v>
      </c>
      <c r="AC149" s="3">
        <f t="shared" si="67"/>
        <v>5.971786957199624E-4</v>
      </c>
      <c r="AD149" s="3">
        <f t="shared" si="67"/>
        <v>5.9717869571797929E-4</v>
      </c>
      <c r="AE149" s="3">
        <f t="shared" si="67"/>
        <v>5.9717869569814771E-4</v>
      </c>
      <c r="AF149" s="3">
        <f t="shared" si="67"/>
        <v>5.9717869549983217E-4</v>
      </c>
    </row>
    <row r="150" spans="1:32" x14ac:dyDescent="0.25">
      <c r="B150" s="3">
        <f t="shared" ref="B150:Z150" si="77">$C36*EXP(-B$129/$A36/EXP(-$B$126))</f>
        <v>5.2966364389967348E-4</v>
      </c>
      <c r="C150" s="3">
        <f t="shared" si="77"/>
        <v>5.2966364389967348E-4</v>
      </c>
      <c r="D150" s="3">
        <f t="shared" si="77"/>
        <v>5.2966364389967348E-4</v>
      </c>
      <c r="E150" s="3">
        <f t="shared" si="77"/>
        <v>5.2966364389967348E-4</v>
      </c>
      <c r="F150" s="3">
        <f t="shared" si="77"/>
        <v>5.2966364389967348E-4</v>
      </c>
      <c r="G150" s="3">
        <f t="shared" si="77"/>
        <v>5.2966364389967348E-4</v>
      </c>
      <c r="H150" s="3">
        <f t="shared" si="77"/>
        <v>5.2966364389967348E-4</v>
      </c>
      <c r="I150" s="3">
        <f t="shared" si="77"/>
        <v>5.2966364389967348E-4</v>
      </c>
      <c r="J150" s="3">
        <f t="shared" si="77"/>
        <v>5.2966364389967348E-4</v>
      </c>
      <c r="K150" s="3">
        <f t="shared" si="77"/>
        <v>5.2966364389967348E-4</v>
      </c>
      <c r="L150" s="3">
        <f t="shared" si="77"/>
        <v>5.2966364389967348E-4</v>
      </c>
      <c r="M150" s="3">
        <f t="shared" si="77"/>
        <v>5.2966364389967348E-4</v>
      </c>
      <c r="N150" s="3">
        <f t="shared" si="77"/>
        <v>5.2966364389967348E-4</v>
      </c>
      <c r="O150" s="3">
        <f t="shared" si="77"/>
        <v>5.2966364389967348E-4</v>
      </c>
      <c r="P150" s="3">
        <f t="shared" si="77"/>
        <v>5.2966364389967348E-4</v>
      </c>
      <c r="Q150" s="3">
        <f t="shared" si="77"/>
        <v>5.2966364389967348E-4</v>
      </c>
      <c r="R150" s="3">
        <f t="shared" si="77"/>
        <v>5.2966364389967348E-4</v>
      </c>
      <c r="S150" s="3">
        <f t="shared" si="77"/>
        <v>5.2966364389967348E-4</v>
      </c>
      <c r="T150" s="3">
        <f t="shared" si="77"/>
        <v>5.2966364389967348E-4</v>
      </c>
      <c r="U150" s="3">
        <f t="shared" si="77"/>
        <v>5.2966364389967348E-4</v>
      </c>
      <c r="V150" s="3">
        <f t="shared" si="77"/>
        <v>5.2966364389967348E-4</v>
      </c>
      <c r="W150" s="3">
        <f t="shared" si="77"/>
        <v>5.2966364389967348E-4</v>
      </c>
      <c r="X150" s="3">
        <f t="shared" si="77"/>
        <v>5.2966364389967348E-4</v>
      </c>
      <c r="Y150" s="3">
        <f t="shared" si="77"/>
        <v>5.2966364389967348E-4</v>
      </c>
      <c r="Z150" s="3">
        <f t="shared" si="77"/>
        <v>5.2966364389967348E-4</v>
      </c>
      <c r="AA150" s="3">
        <f t="shared" ref="AA150" si="78">$C36*EXP(-AA$129/$A36/EXP(-$B$126))</f>
        <v>5.2966364389967326E-4</v>
      </c>
      <c r="AB150" s="3">
        <f t="shared" si="67"/>
        <v>5.2966364389967174E-4</v>
      </c>
      <c r="AC150" s="3">
        <f t="shared" si="67"/>
        <v>5.296636438996558E-4</v>
      </c>
      <c r="AD150" s="3">
        <f t="shared" si="67"/>
        <v>5.2966364389949719E-4</v>
      </c>
      <c r="AE150" s="3">
        <f t="shared" si="67"/>
        <v>5.2966364389791046E-4</v>
      </c>
      <c r="AF150" s="3">
        <f t="shared" si="67"/>
        <v>5.2966364388204326E-4</v>
      </c>
    </row>
    <row r="151" spans="1:32" x14ac:dyDescent="0.25">
      <c r="B151" s="3">
        <f t="shared" ref="B151:Z151" si="79">$C37*EXP(-B$129/$A37/EXP(-$B$126))</f>
        <v>3.7946363748828321E-4</v>
      </c>
      <c r="C151" s="3">
        <f t="shared" si="79"/>
        <v>3.7946363748828321E-4</v>
      </c>
      <c r="D151" s="3">
        <f t="shared" si="79"/>
        <v>3.7946363748828321E-4</v>
      </c>
      <c r="E151" s="3">
        <f t="shared" si="79"/>
        <v>3.7946363748828321E-4</v>
      </c>
      <c r="F151" s="3">
        <f t="shared" si="79"/>
        <v>3.7946363748828321E-4</v>
      </c>
      <c r="G151" s="3">
        <f t="shared" si="79"/>
        <v>3.7946363748828321E-4</v>
      </c>
      <c r="H151" s="3">
        <f t="shared" si="79"/>
        <v>3.7946363748828321E-4</v>
      </c>
      <c r="I151" s="3">
        <f t="shared" si="79"/>
        <v>3.7946363748828321E-4</v>
      </c>
      <c r="J151" s="3">
        <f t="shared" si="79"/>
        <v>3.7946363748828321E-4</v>
      </c>
      <c r="K151" s="3">
        <f t="shared" si="79"/>
        <v>3.7946363748828321E-4</v>
      </c>
      <c r="L151" s="3">
        <f t="shared" si="79"/>
        <v>3.7946363748828321E-4</v>
      </c>
      <c r="M151" s="3">
        <f t="shared" si="79"/>
        <v>3.7946363748828321E-4</v>
      </c>
      <c r="N151" s="3">
        <f t="shared" si="79"/>
        <v>3.7946363748828321E-4</v>
      </c>
      <c r="O151" s="3">
        <f t="shared" si="79"/>
        <v>3.7946363748828321E-4</v>
      </c>
      <c r="P151" s="3">
        <f t="shared" si="79"/>
        <v>3.7946363748828321E-4</v>
      </c>
      <c r="Q151" s="3">
        <f t="shared" si="79"/>
        <v>3.7946363748828321E-4</v>
      </c>
      <c r="R151" s="3">
        <f t="shared" si="79"/>
        <v>3.7946363748828321E-4</v>
      </c>
      <c r="S151" s="3">
        <f t="shared" si="79"/>
        <v>3.7946363748828321E-4</v>
      </c>
      <c r="T151" s="3">
        <f t="shared" si="79"/>
        <v>3.7946363748828321E-4</v>
      </c>
      <c r="U151" s="3">
        <f t="shared" si="79"/>
        <v>3.7946363748828321E-4</v>
      </c>
      <c r="V151" s="3">
        <f t="shared" si="79"/>
        <v>3.7946363748828321E-4</v>
      </c>
      <c r="W151" s="3">
        <f t="shared" si="79"/>
        <v>3.7946363748828321E-4</v>
      </c>
      <c r="X151" s="3">
        <f t="shared" si="79"/>
        <v>3.7946363748828321E-4</v>
      </c>
      <c r="Y151" s="3">
        <f t="shared" si="79"/>
        <v>3.7946363748828321E-4</v>
      </c>
      <c r="Z151" s="3">
        <f t="shared" si="79"/>
        <v>3.7946363748828321E-4</v>
      </c>
      <c r="AA151" s="3">
        <f t="shared" ref="AA151" si="80">$C37*EXP(-AA$129/$A37/EXP(-$B$126))</f>
        <v>3.7946363748828321E-4</v>
      </c>
      <c r="AB151" s="3">
        <f t="shared" si="67"/>
        <v>3.794636374882831E-4</v>
      </c>
      <c r="AC151" s="3">
        <f t="shared" si="67"/>
        <v>3.7946363748828207E-4</v>
      </c>
      <c r="AD151" s="3">
        <f t="shared" si="67"/>
        <v>3.7946363748827183E-4</v>
      </c>
      <c r="AE151" s="3">
        <f t="shared" si="67"/>
        <v>3.7946363748816926E-4</v>
      </c>
      <c r="AF151" s="3">
        <f t="shared" si="67"/>
        <v>3.7946363748714382E-4</v>
      </c>
    </row>
    <row r="152" spans="1:32" x14ac:dyDescent="0.25">
      <c r="B152" s="3">
        <f t="shared" ref="B152:Z152" si="81">$C38*EXP(-B$129/$A38/EXP(-$B$126))</f>
        <v>2.9006625777866605E-4</v>
      </c>
      <c r="C152" s="3">
        <f t="shared" si="81"/>
        <v>2.9006625777866605E-4</v>
      </c>
      <c r="D152" s="3">
        <f t="shared" si="81"/>
        <v>2.9006625777866605E-4</v>
      </c>
      <c r="E152" s="3">
        <f t="shared" si="81"/>
        <v>2.9006625777866605E-4</v>
      </c>
      <c r="F152" s="3">
        <f t="shared" si="81"/>
        <v>2.9006625777866605E-4</v>
      </c>
      <c r="G152" s="3">
        <f t="shared" si="81"/>
        <v>2.9006625777866605E-4</v>
      </c>
      <c r="H152" s="3">
        <f t="shared" si="81"/>
        <v>2.9006625777866605E-4</v>
      </c>
      <c r="I152" s="3">
        <f t="shared" si="81"/>
        <v>2.9006625777866605E-4</v>
      </c>
      <c r="J152" s="3">
        <f t="shared" si="81"/>
        <v>2.9006625777866605E-4</v>
      </c>
      <c r="K152" s="3">
        <f t="shared" si="81"/>
        <v>2.9006625777866605E-4</v>
      </c>
      <c r="L152" s="3">
        <f t="shared" si="81"/>
        <v>2.9006625777866605E-4</v>
      </c>
      <c r="M152" s="3">
        <f t="shared" si="81"/>
        <v>2.9006625777866605E-4</v>
      </c>
      <c r="N152" s="3">
        <f t="shared" si="81"/>
        <v>2.9006625777866605E-4</v>
      </c>
      <c r="O152" s="3">
        <f t="shared" si="81"/>
        <v>2.9006625777866605E-4</v>
      </c>
      <c r="P152" s="3">
        <f t="shared" si="81"/>
        <v>2.9006625777866605E-4</v>
      </c>
      <c r="Q152" s="3">
        <f t="shared" si="81"/>
        <v>2.9006625777866605E-4</v>
      </c>
      <c r="R152" s="3">
        <f t="shared" si="81"/>
        <v>2.9006625777866605E-4</v>
      </c>
      <c r="S152" s="3">
        <f t="shared" si="81"/>
        <v>2.9006625777866605E-4</v>
      </c>
      <c r="T152" s="3">
        <f t="shared" si="81"/>
        <v>2.9006625777866605E-4</v>
      </c>
      <c r="U152" s="3">
        <f t="shared" si="81"/>
        <v>2.9006625777866605E-4</v>
      </c>
      <c r="V152" s="3">
        <f t="shared" si="81"/>
        <v>2.9006625777866605E-4</v>
      </c>
      <c r="W152" s="3">
        <f t="shared" si="81"/>
        <v>2.9006625777866605E-4</v>
      </c>
      <c r="X152" s="3">
        <f t="shared" si="81"/>
        <v>2.9006625777866605E-4</v>
      </c>
      <c r="Y152" s="3">
        <f t="shared" si="81"/>
        <v>2.9006625777866605E-4</v>
      </c>
      <c r="Z152" s="3">
        <f t="shared" si="81"/>
        <v>2.9006625777866605E-4</v>
      </c>
      <c r="AA152" s="3">
        <f t="shared" ref="AA152" si="82">$C38*EXP(-AA$129/$A38/EXP(-$B$126))</f>
        <v>2.9006625777866605E-4</v>
      </c>
      <c r="AB152" s="3">
        <f t="shared" si="67"/>
        <v>2.9006625777866605E-4</v>
      </c>
      <c r="AC152" s="3">
        <f t="shared" si="67"/>
        <v>2.9006625777866599E-4</v>
      </c>
      <c r="AD152" s="3">
        <f t="shared" si="67"/>
        <v>2.9006625777866529E-4</v>
      </c>
      <c r="AE152" s="3">
        <f t="shared" si="67"/>
        <v>2.9006625777865818E-4</v>
      </c>
      <c r="AF152" s="3">
        <f t="shared" si="67"/>
        <v>2.9006625777858749E-4</v>
      </c>
    </row>
    <row r="153" spans="1:32" x14ac:dyDescent="0.25">
      <c r="B153" s="3">
        <f t="shared" ref="B153:Z153" si="83">$C39*EXP(-B$129/$A39/EXP(-$B$126))</f>
        <v>0</v>
      </c>
      <c r="C153" s="3">
        <f t="shared" si="83"/>
        <v>0</v>
      </c>
      <c r="D153" s="3">
        <f t="shared" si="83"/>
        <v>0</v>
      </c>
      <c r="E153" s="3">
        <f t="shared" si="83"/>
        <v>0</v>
      </c>
      <c r="F153" s="3">
        <f t="shared" si="83"/>
        <v>0</v>
      </c>
      <c r="G153" s="3">
        <f t="shared" si="83"/>
        <v>0</v>
      </c>
      <c r="H153" s="3">
        <f t="shared" si="83"/>
        <v>0</v>
      </c>
      <c r="I153" s="3">
        <f t="shared" si="83"/>
        <v>0</v>
      </c>
      <c r="J153" s="3">
        <f t="shared" si="83"/>
        <v>0</v>
      </c>
      <c r="K153" s="3">
        <f t="shared" si="83"/>
        <v>0</v>
      </c>
      <c r="L153" s="3">
        <f t="shared" si="83"/>
        <v>0</v>
      </c>
      <c r="M153" s="3">
        <f t="shared" si="83"/>
        <v>0</v>
      </c>
      <c r="N153" s="3">
        <f t="shared" si="83"/>
        <v>0</v>
      </c>
      <c r="O153" s="3">
        <f t="shared" si="83"/>
        <v>0</v>
      </c>
      <c r="P153" s="3">
        <f t="shared" si="83"/>
        <v>0</v>
      </c>
      <c r="Q153" s="3">
        <f t="shared" si="83"/>
        <v>0</v>
      </c>
      <c r="R153" s="3">
        <f t="shared" si="83"/>
        <v>0</v>
      </c>
      <c r="S153" s="3">
        <f t="shared" si="83"/>
        <v>0</v>
      </c>
      <c r="T153" s="3">
        <f t="shared" si="83"/>
        <v>0</v>
      </c>
      <c r="U153" s="3">
        <f t="shared" si="83"/>
        <v>0</v>
      </c>
      <c r="V153" s="3">
        <f t="shared" si="83"/>
        <v>0</v>
      </c>
      <c r="W153" s="3">
        <f t="shared" si="83"/>
        <v>0</v>
      </c>
      <c r="X153" s="3">
        <f t="shared" si="83"/>
        <v>0</v>
      </c>
      <c r="Y153" s="3">
        <f t="shared" si="83"/>
        <v>0</v>
      </c>
      <c r="Z153" s="3">
        <f t="shared" si="83"/>
        <v>0</v>
      </c>
      <c r="AA153" s="3">
        <f t="shared" ref="AA153" si="84">$C39*EXP(-AA$129/$A39/EXP(-$B$126))</f>
        <v>0</v>
      </c>
      <c r="AB153" s="3">
        <f t="shared" si="67"/>
        <v>0</v>
      </c>
      <c r="AC153" s="3">
        <f t="shared" si="67"/>
        <v>0</v>
      </c>
      <c r="AD153" s="3">
        <f t="shared" si="67"/>
        <v>0</v>
      </c>
      <c r="AE153" s="3">
        <f t="shared" si="67"/>
        <v>0</v>
      </c>
      <c r="AF153" s="3">
        <f t="shared" si="67"/>
        <v>0</v>
      </c>
    </row>
    <row r="154" spans="1:32" x14ac:dyDescent="0.25">
      <c r="B154" s="3">
        <f t="shared" ref="B154:Z154" si="85">$C40*EXP(-B$129/$A40/EXP(-$B$126))</f>
        <v>3.0334619433978663E-4</v>
      </c>
      <c r="C154" s="3">
        <f t="shared" si="85"/>
        <v>3.0334619433978663E-4</v>
      </c>
      <c r="D154" s="3">
        <f t="shared" si="85"/>
        <v>3.0334619433978663E-4</v>
      </c>
      <c r="E154" s="3">
        <f t="shared" si="85"/>
        <v>3.0334619433978663E-4</v>
      </c>
      <c r="F154" s="3">
        <f t="shared" si="85"/>
        <v>3.0334619433978663E-4</v>
      </c>
      <c r="G154" s="3">
        <f t="shared" si="85"/>
        <v>3.0334619433978663E-4</v>
      </c>
      <c r="H154" s="3">
        <f t="shared" si="85"/>
        <v>3.0334619433978663E-4</v>
      </c>
      <c r="I154" s="3">
        <f t="shared" si="85"/>
        <v>3.0334619433978663E-4</v>
      </c>
      <c r="J154" s="3">
        <f t="shared" si="85"/>
        <v>3.0334619433978663E-4</v>
      </c>
      <c r="K154" s="3">
        <f t="shared" si="85"/>
        <v>3.0334619433978663E-4</v>
      </c>
      <c r="L154" s="3">
        <f t="shared" si="85"/>
        <v>3.0334619433978663E-4</v>
      </c>
      <c r="M154" s="3">
        <f t="shared" si="85"/>
        <v>3.0334619433978663E-4</v>
      </c>
      <c r="N154" s="3">
        <f t="shared" si="85"/>
        <v>3.0334619433978663E-4</v>
      </c>
      <c r="O154" s="3">
        <f t="shared" si="85"/>
        <v>3.0334619433978663E-4</v>
      </c>
      <c r="P154" s="3">
        <f t="shared" si="85"/>
        <v>3.0334619433978663E-4</v>
      </c>
      <c r="Q154" s="3">
        <f t="shared" si="85"/>
        <v>3.0334619433978663E-4</v>
      </c>
      <c r="R154" s="3">
        <f t="shared" si="85"/>
        <v>3.0334619433978663E-4</v>
      </c>
      <c r="S154" s="3">
        <f t="shared" si="85"/>
        <v>3.0334619433978663E-4</v>
      </c>
      <c r="T154" s="3">
        <f t="shared" si="85"/>
        <v>3.0334619433978663E-4</v>
      </c>
      <c r="U154" s="3">
        <f t="shared" si="85"/>
        <v>3.0334619433978663E-4</v>
      </c>
      <c r="V154" s="3">
        <f t="shared" si="85"/>
        <v>3.0334619433978663E-4</v>
      </c>
      <c r="W154" s="3">
        <f t="shared" si="85"/>
        <v>3.0334619433978663E-4</v>
      </c>
      <c r="X154" s="3">
        <f t="shared" si="85"/>
        <v>3.0334619433978663E-4</v>
      </c>
      <c r="Y154" s="3">
        <f t="shared" si="85"/>
        <v>3.0334619433978663E-4</v>
      </c>
      <c r="Z154" s="3">
        <f t="shared" si="85"/>
        <v>3.0334619433978663E-4</v>
      </c>
      <c r="AA154" s="3">
        <f t="shared" ref="AA154:AF154" si="86">$C40*EXP(-AA$129/$A40/EXP(-$B$126))</f>
        <v>3.0334619433978663E-4</v>
      </c>
      <c r="AB154" s="3">
        <f t="shared" si="86"/>
        <v>3.0334619433978663E-4</v>
      </c>
      <c r="AC154" s="3">
        <f t="shared" si="86"/>
        <v>3.0334619433978663E-4</v>
      </c>
      <c r="AD154" s="3">
        <f t="shared" si="86"/>
        <v>3.0334619433978658E-4</v>
      </c>
      <c r="AE154" s="3">
        <f t="shared" si="86"/>
        <v>3.0334619433978642E-4</v>
      </c>
      <c r="AF154" s="3">
        <f t="shared" si="86"/>
        <v>3.0334619433978436E-4</v>
      </c>
    </row>
    <row r="155" spans="1:32" x14ac:dyDescent="0.25">
      <c r="B155" s="3">
        <f t="shared" ref="B155:Z155" si="87">$C41*EXP(-B$129/$A41/EXP(-$B$126))</f>
        <v>0</v>
      </c>
      <c r="C155" s="3">
        <f t="shared" si="87"/>
        <v>0</v>
      </c>
      <c r="D155" s="3">
        <f t="shared" si="87"/>
        <v>0</v>
      </c>
      <c r="E155" s="3">
        <f t="shared" si="87"/>
        <v>0</v>
      </c>
      <c r="F155" s="3">
        <f t="shared" si="87"/>
        <v>0</v>
      </c>
      <c r="G155" s="3">
        <f t="shared" si="87"/>
        <v>0</v>
      </c>
      <c r="H155" s="3">
        <f t="shared" si="87"/>
        <v>0</v>
      </c>
      <c r="I155" s="3">
        <f t="shared" si="87"/>
        <v>0</v>
      </c>
      <c r="J155" s="3">
        <f t="shared" si="87"/>
        <v>0</v>
      </c>
      <c r="K155" s="3">
        <f t="shared" si="87"/>
        <v>0</v>
      </c>
      <c r="L155" s="3">
        <f t="shared" si="87"/>
        <v>0</v>
      </c>
      <c r="M155" s="3">
        <f t="shared" si="87"/>
        <v>0</v>
      </c>
      <c r="N155" s="3">
        <f t="shared" si="87"/>
        <v>0</v>
      </c>
      <c r="O155" s="3">
        <f t="shared" si="87"/>
        <v>0</v>
      </c>
      <c r="P155" s="3">
        <f t="shared" si="87"/>
        <v>0</v>
      </c>
      <c r="Q155" s="3">
        <f t="shared" si="87"/>
        <v>0</v>
      </c>
      <c r="R155" s="3">
        <f t="shared" si="87"/>
        <v>0</v>
      </c>
      <c r="S155" s="3">
        <f t="shared" si="87"/>
        <v>0</v>
      </c>
      <c r="T155" s="3">
        <f t="shared" si="87"/>
        <v>0</v>
      </c>
      <c r="U155" s="3">
        <f t="shared" si="87"/>
        <v>0</v>
      </c>
      <c r="V155" s="3">
        <f t="shared" si="87"/>
        <v>0</v>
      </c>
      <c r="W155" s="3">
        <f t="shared" si="87"/>
        <v>0</v>
      </c>
      <c r="X155" s="3">
        <f t="shared" si="87"/>
        <v>0</v>
      </c>
      <c r="Y155" s="3">
        <f t="shared" si="87"/>
        <v>0</v>
      </c>
      <c r="Z155" s="3">
        <f t="shared" si="87"/>
        <v>0</v>
      </c>
      <c r="AA155" s="3">
        <f t="shared" ref="AA155:AF155" si="88">$C41*EXP(-AA$129/$A41/EXP(-$B$126))</f>
        <v>0</v>
      </c>
      <c r="AB155" s="3">
        <f t="shared" si="88"/>
        <v>0</v>
      </c>
      <c r="AC155" s="3">
        <f t="shared" si="88"/>
        <v>0</v>
      </c>
      <c r="AD155" s="3">
        <f t="shared" si="88"/>
        <v>0</v>
      </c>
      <c r="AE155" s="3">
        <f t="shared" si="88"/>
        <v>0</v>
      </c>
      <c r="AF155" s="3">
        <f t="shared" si="88"/>
        <v>0</v>
      </c>
    </row>
    <row r="156" spans="1:32" x14ac:dyDescent="0.25">
      <c r="B156" s="3">
        <f t="shared" ref="B156:Z156" si="89">$C42*EXP(-B$129/$A42/EXP(-$B$126))</f>
        <v>0</v>
      </c>
      <c r="C156" s="3">
        <f t="shared" si="89"/>
        <v>0</v>
      </c>
      <c r="D156" s="3">
        <f t="shared" si="89"/>
        <v>0</v>
      </c>
      <c r="E156" s="3">
        <f t="shared" si="89"/>
        <v>0</v>
      </c>
      <c r="F156" s="3">
        <f t="shared" si="89"/>
        <v>0</v>
      </c>
      <c r="G156" s="3">
        <f t="shared" si="89"/>
        <v>0</v>
      </c>
      <c r="H156" s="3">
        <f t="shared" si="89"/>
        <v>0</v>
      </c>
      <c r="I156" s="3">
        <f t="shared" si="89"/>
        <v>0</v>
      </c>
      <c r="J156" s="3">
        <f t="shared" si="89"/>
        <v>0</v>
      </c>
      <c r="K156" s="3">
        <f t="shared" si="89"/>
        <v>0</v>
      </c>
      <c r="L156" s="3">
        <f t="shared" si="89"/>
        <v>0</v>
      </c>
      <c r="M156" s="3">
        <f t="shared" si="89"/>
        <v>0</v>
      </c>
      <c r="N156" s="3">
        <f t="shared" si="89"/>
        <v>0</v>
      </c>
      <c r="O156" s="3">
        <f t="shared" si="89"/>
        <v>0</v>
      </c>
      <c r="P156" s="3">
        <f t="shared" si="89"/>
        <v>0</v>
      </c>
      <c r="Q156" s="3">
        <f t="shared" si="89"/>
        <v>0</v>
      </c>
      <c r="R156" s="3">
        <f t="shared" si="89"/>
        <v>0</v>
      </c>
      <c r="S156" s="3">
        <f t="shared" si="89"/>
        <v>0</v>
      </c>
      <c r="T156" s="3">
        <f t="shared" si="89"/>
        <v>0</v>
      </c>
      <c r="U156" s="3">
        <f t="shared" si="89"/>
        <v>0</v>
      </c>
      <c r="V156" s="3">
        <f t="shared" si="89"/>
        <v>0</v>
      </c>
      <c r="W156" s="3">
        <f t="shared" si="89"/>
        <v>0</v>
      </c>
      <c r="X156" s="3">
        <f t="shared" si="89"/>
        <v>0</v>
      </c>
      <c r="Y156" s="3">
        <f t="shared" si="89"/>
        <v>0</v>
      </c>
      <c r="Z156" s="3">
        <f t="shared" si="89"/>
        <v>0</v>
      </c>
      <c r="AA156" s="3">
        <f t="shared" ref="AA156:AF156" si="90">$C42*EXP(-AA$129/$A42/EXP(-$B$126))</f>
        <v>0</v>
      </c>
      <c r="AB156" s="3">
        <f t="shared" si="90"/>
        <v>0</v>
      </c>
      <c r="AC156" s="3">
        <f t="shared" si="90"/>
        <v>0</v>
      </c>
      <c r="AD156" s="3">
        <f t="shared" si="90"/>
        <v>0</v>
      </c>
      <c r="AE156" s="3">
        <f t="shared" si="90"/>
        <v>0</v>
      </c>
      <c r="AF156" s="3">
        <f t="shared" si="90"/>
        <v>0</v>
      </c>
    </row>
    <row r="157" spans="1:32" x14ac:dyDescent="0.25">
      <c r="B157" s="3">
        <f t="shared" ref="B157:Z157" si="91">$C43*EXP(-B$129/$A43/EXP(-$B$126))</f>
        <v>7.7330920795246901E-5</v>
      </c>
      <c r="C157" s="3">
        <f t="shared" si="91"/>
        <v>7.7330920795246901E-5</v>
      </c>
      <c r="D157" s="3">
        <f t="shared" si="91"/>
        <v>7.7330920795246901E-5</v>
      </c>
      <c r="E157" s="3">
        <f t="shared" si="91"/>
        <v>7.7330920795246901E-5</v>
      </c>
      <c r="F157" s="3">
        <f t="shared" si="91"/>
        <v>7.7330920795246901E-5</v>
      </c>
      <c r="G157" s="3">
        <f t="shared" si="91"/>
        <v>7.7330920795246901E-5</v>
      </c>
      <c r="H157" s="3">
        <f t="shared" si="91"/>
        <v>7.7330920795246901E-5</v>
      </c>
      <c r="I157" s="3">
        <f t="shared" si="91"/>
        <v>7.7330920795246901E-5</v>
      </c>
      <c r="J157" s="3">
        <f t="shared" si="91"/>
        <v>7.7330920795246901E-5</v>
      </c>
      <c r="K157" s="3">
        <f t="shared" si="91"/>
        <v>7.7330920795246901E-5</v>
      </c>
      <c r="L157" s="3">
        <f t="shared" si="91"/>
        <v>7.7330920795246901E-5</v>
      </c>
      <c r="M157" s="3">
        <f t="shared" si="91"/>
        <v>7.7330920795246901E-5</v>
      </c>
      <c r="N157" s="3">
        <f t="shared" si="91"/>
        <v>7.7330920795246901E-5</v>
      </c>
      <c r="O157" s="3">
        <f t="shared" si="91"/>
        <v>7.7330920795246901E-5</v>
      </c>
      <c r="P157" s="3">
        <f t="shared" si="91"/>
        <v>7.7330920795246901E-5</v>
      </c>
      <c r="Q157" s="3">
        <f t="shared" si="91"/>
        <v>7.7330920795246901E-5</v>
      </c>
      <c r="R157" s="3">
        <f t="shared" si="91"/>
        <v>7.7330920795246901E-5</v>
      </c>
      <c r="S157" s="3">
        <f t="shared" si="91"/>
        <v>7.7330920795246901E-5</v>
      </c>
      <c r="T157" s="3">
        <f t="shared" si="91"/>
        <v>7.7330920795246901E-5</v>
      </c>
      <c r="U157" s="3">
        <f t="shared" si="91"/>
        <v>7.7330920795246901E-5</v>
      </c>
      <c r="V157" s="3">
        <f t="shared" si="91"/>
        <v>7.7330920795246901E-5</v>
      </c>
      <c r="W157" s="3">
        <f t="shared" si="91"/>
        <v>7.7330920795246901E-5</v>
      </c>
      <c r="X157" s="3">
        <f t="shared" si="91"/>
        <v>7.7330920795246901E-5</v>
      </c>
      <c r="Y157" s="3">
        <f t="shared" si="91"/>
        <v>7.7330920795246901E-5</v>
      </c>
      <c r="Z157" s="3">
        <f t="shared" si="91"/>
        <v>7.7330920795246901E-5</v>
      </c>
      <c r="AA157" s="3">
        <f t="shared" ref="AA157:AF157" si="92">$C43*EXP(-AA$129/$A43/EXP(-$B$126))</f>
        <v>7.7330920795246901E-5</v>
      </c>
      <c r="AB157" s="3">
        <f t="shared" si="92"/>
        <v>7.7330920795246901E-5</v>
      </c>
      <c r="AC157" s="3">
        <f t="shared" si="92"/>
        <v>7.7330920795246901E-5</v>
      </c>
      <c r="AD157" s="3">
        <f t="shared" si="92"/>
        <v>7.7330920795246901E-5</v>
      </c>
      <c r="AE157" s="3">
        <f t="shared" si="92"/>
        <v>7.7330920795246901E-5</v>
      </c>
      <c r="AF157" s="3">
        <f t="shared" si="92"/>
        <v>7.7330920795246901E-5</v>
      </c>
    </row>
    <row r="158" spans="1:32" x14ac:dyDescent="0.25">
      <c r="B158" s="3">
        <f t="shared" ref="B158:Z158" si="93">$C44*EXP(-B$129/$A44/EXP(-$B$126))</f>
        <v>1.3850961695873314E-4</v>
      </c>
      <c r="C158" s="3">
        <f t="shared" si="93"/>
        <v>1.3850961695873314E-4</v>
      </c>
      <c r="D158" s="3">
        <f t="shared" si="93"/>
        <v>1.3850961695873314E-4</v>
      </c>
      <c r="E158" s="3">
        <f t="shared" si="93"/>
        <v>1.3850961695873314E-4</v>
      </c>
      <c r="F158" s="3">
        <f t="shared" si="93"/>
        <v>1.3850961695873314E-4</v>
      </c>
      <c r="G158" s="3">
        <f t="shared" si="93"/>
        <v>1.3850961695873314E-4</v>
      </c>
      <c r="H158" s="3">
        <f t="shared" si="93"/>
        <v>1.3850961695873314E-4</v>
      </c>
      <c r="I158" s="3">
        <f t="shared" si="93"/>
        <v>1.3850961695873314E-4</v>
      </c>
      <c r="J158" s="3">
        <f t="shared" si="93"/>
        <v>1.3850961695873314E-4</v>
      </c>
      <c r="K158" s="3">
        <f t="shared" si="93"/>
        <v>1.3850961695873314E-4</v>
      </c>
      <c r="L158" s="3">
        <f t="shared" si="93"/>
        <v>1.3850961695873314E-4</v>
      </c>
      <c r="M158" s="3">
        <f t="shared" si="93"/>
        <v>1.3850961695873314E-4</v>
      </c>
      <c r="N158" s="3">
        <f t="shared" si="93"/>
        <v>1.3850961695873314E-4</v>
      </c>
      <c r="O158" s="3">
        <f t="shared" si="93"/>
        <v>1.3850961695873314E-4</v>
      </c>
      <c r="P158" s="3">
        <f t="shared" si="93"/>
        <v>1.3850961695873314E-4</v>
      </c>
      <c r="Q158" s="3">
        <f t="shared" si="93"/>
        <v>1.3850961695873314E-4</v>
      </c>
      <c r="R158" s="3">
        <f t="shared" si="93"/>
        <v>1.3850961695873314E-4</v>
      </c>
      <c r="S158" s="3">
        <f t="shared" si="93"/>
        <v>1.3850961695873314E-4</v>
      </c>
      <c r="T158" s="3">
        <f t="shared" si="93"/>
        <v>1.3850961695873314E-4</v>
      </c>
      <c r="U158" s="3">
        <f t="shared" si="93"/>
        <v>1.3850961695873314E-4</v>
      </c>
      <c r="V158" s="3">
        <f t="shared" si="93"/>
        <v>1.3850961695873314E-4</v>
      </c>
      <c r="W158" s="3">
        <f t="shared" si="93"/>
        <v>1.3850961695873314E-4</v>
      </c>
      <c r="X158" s="3">
        <f t="shared" si="93"/>
        <v>1.3850961695873314E-4</v>
      </c>
      <c r="Y158" s="3">
        <f t="shared" si="93"/>
        <v>1.3850961695873314E-4</v>
      </c>
      <c r="Z158" s="3">
        <f t="shared" si="93"/>
        <v>1.3850961695873314E-4</v>
      </c>
      <c r="AA158" s="3">
        <f t="shared" ref="AA158:AF158" si="94">$C44*EXP(-AA$129/$A44/EXP(-$B$126))</f>
        <v>1.3850961695873314E-4</v>
      </c>
      <c r="AB158" s="3">
        <f t="shared" si="94"/>
        <v>1.3850961695873314E-4</v>
      </c>
      <c r="AC158" s="3">
        <f t="shared" si="94"/>
        <v>1.3850961695873314E-4</v>
      </c>
      <c r="AD158" s="3">
        <f t="shared" si="94"/>
        <v>1.3850961695873314E-4</v>
      </c>
      <c r="AE158" s="3">
        <f t="shared" si="94"/>
        <v>1.3850961695873314E-4</v>
      </c>
      <c r="AF158" s="3">
        <f t="shared" si="94"/>
        <v>1.3850961695873314E-4</v>
      </c>
    </row>
    <row r="159" spans="1:32" x14ac:dyDescent="0.25">
      <c r="A159" s="11" t="s">
        <v>75</v>
      </c>
      <c r="B159" s="3">
        <f t="shared" ref="B159:Z159" si="95">$C45*EXP(-B$129/$A45/EXP(-$B$126))</f>
        <v>0</v>
      </c>
      <c r="C159" s="3">
        <f t="shared" si="95"/>
        <v>0</v>
      </c>
      <c r="D159" s="3">
        <f t="shared" si="95"/>
        <v>0</v>
      </c>
      <c r="E159" s="3">
        <f t="shared" si="95"/>
        <v>0</v>
      </c>
      <c r="F159" s="3">
        <f t="shared" si="95"/>
        <v>0</v>
      </c>
      <c r="G159" s="3">
        <f t="shared" si="95"/>
        <v>0</v>
      </c>
      <c r="H159" s="3">
        <f t="shared" si="95"/>
        <v>0</v>
      </c>
      <c r="I159" s="3">
        <f t="shared" si="95"/>
        <v>0</v>
      </c>
      <c r="J159" s="3">
        <f t="shared" si="95"/>
        <v>0</v>
      </c>
      <c r="K159" s="3">
        <f t="shared" si="95"/>
        <v>0</v>
      </c>
      <c r="L159" s="3">
        <f t="shared" si="95"/>
        <v>0</v>
      </c>
      <c r="M159" s="3">
        <f t="shared" si="95"/>
        <v>0</v>
      </c>
      <c r="N159" s="3">
        <f t="shared" si="95"/>
        <v>0</v>
      </c>
      <c r="O159" s="3">
        <f t="shared" si="95"/>
        <v>0</v>
      </c>
      <c r="P159" s="3">
        <f t="shared" si="95"/>
        <v>0</v>
      </c>
      <c r="Q159" s="3">
        <f t="shared" si="95"/>
        <v>0</v>
      </c>
      <c r="R159" s="3">
        <f t="shared" si="95"/>
        <v>0</v>
      </c>
      <c r="S159" s="3">
        <f t="shared" si="95"/>
        <v>0</v>
      </c>
      <c r="T159" s="3">
        <f t="shared" si="95"/>
        <v>0</v>
      </c>
      <c r="U159" s="3">
        <f t="shared" si="95"/>
        <v>0</v>
      </c>
      <c r="V159" s="3">
        <f t="shared" si="95"/>
        <v>0</v>
      </c>
      <c r="W159" s="3">
        <f t="shared" si="95"/>
        <v>0</v>
      </c>
      <c r="X159" s="3">
        <f t="shared" si="95"/>
        <v>0</v>
      </c>
      <c r="Y159" s="3">
        <f t="shared" si="95"/>
        <v>0</v>
      </c>
      <c r="Z159" s="3">
        <f t="shared" si="95"/>
        <v>0</v>
      </c>
      <c r="AA159" s="3">
        <f t="shared" ref="AA159:AF159" si="96">$C45*EXP(-AA$129/$A45/EXP(-$B$126))</f>
        <v>0</v>
      </c>
      <c r="AB159" s="3">
        <f t="shared" si="96"/>
        <v>0</v>
      </c>
      <c r="AC159" s="3">
        <f t="shared" si="96"/>
        <v>0</v>
      </c>
      <c r="AD159" s="3">
        <f t="shared" si="96"/>
        <v>0</v>
      </c>
      <c r="AE159" s="3">
        <f t="shared" si="96"/>
        <v>0</v>
      </c>
      <c r="AF159" s="3">
        <f t="shared" si="96"/>
        <v>0</v>
      </c>
    </row>
    <row r="160" spans="1:32" x14ac:dyDescent="0.25">
      <c r="B160" s="3">
        <f t="shared" ref="B160:Z160" si="97">$C46*EXP(-B$129/$A46/EXP(-$B$126))</f>
        <v>0</v>
      </c>
      <c r="C160" s="3">
        <f t="shared" si="97"/>
        <v>0</v>
      </c>
      <c r="D160" s="3">
        <f t="shared" si="97"/>
        <v>0</v>
      </c>
      <c r="E160" s="3">
        <f t="shared" si="97"/>
        <v>0</v>
      </c>
      <c r="F160" s="3">
        <f t="shared" si="97"/>
        <v>0</v>
      </c>
      <c r="G160" s="3">
        <f t="shared" si="97"/>
        <v>0</v>
      </c>
      <c r="H160" s="3">
        <f t="shared" si="97"/>
        <v>0</v>
      </c>
      <c r="I160" s="3">
        <f t="shared" si="97"/>
        <v>0</v>
      </c>
      <c r="J160" s="3">
        <f t="shared" si="97"/>
        <v>0</v>
      </c>
      <c r="K160" s="3">
        <f t="shared" si="97"/>
        <v>0</v>
      </c>
      <c r="L160" s="3">
        <f t="shared" si="97"/>
        <v>0</v>
      </c>
      <c r="M160" s="3">
        <f t="shared" si="97"/>
        <v>0</v>
      </c>
      <c r="N160" s="3">
        <f t="shared" si="97"/>
        <v>0</v>
      </c>
      <c r="O160" s="3">
        <f t="shared" si="97"/>
        <v>0</v>
      </c>
      <c r="P160" s="3">
        <f t="shared" si="97"/>
        <v>0</v>
      </c>
      <c r="Q160" s="3">
        <f t="shared" si="97"/>
        <v>0</v>
      </c>
      <c r="R160" s="3">
        <f t="shared" si="97"/>
        <v>0</v>
      </c>
      <c r="S160" s="3">
        <f t="shared" si="97"/>
        <v>0</v>
      </c>
      <c r="T160" s="3">
        <f t="shared" si="97"/>
        <v>0</v>
      </c>
      <c r="U160" s="3">
        <f t="shared" si="97"/>
        <v>0</v>
      </c>
      <c r="V160" s="3">
        <f t="shared" si="97"/>
        <v>0</v>
      </c>
      <c r="W160" s="3">
        <f t="shared" si="97"/>
        <v>0</v>
      </c>
      <c r="X160" s="3">
        <f t="shared" si="97"/>
        <v>0</v>
      </c>
      <c r="Y160" s="3">
        <f t="shared" si="97"/>
        <v>0</v>
      </c>
      <c r="Z160" s="3">
        <f t="shared" si="97"/>
        <v>0</v>
      </c>
      <c r="AA160" s="3">
        <f t="shared" ref="AA160:AF160" si="98">$C46*EXP(-AA$129/$A46/EXP(-$B$126))</f>
        <v>0</v>
      </c>
      <c r="AB160" s="3">
        <f t="shared" si="98"/>
        <v>0</v>
      </c>
      <c r="AC160" s="3">
        <f t="shared" si="98"/>
        <v>0</v>
      </c>
      <c r="AD160" s="3">
        <f t="shared" si="98"/>
        <v>0</v>
      </c>
      <c r="AE160" s="3">
        <f t="shared" si="98"/>
        <v>0</v>
      </c>
      <c r="AF160" s="3">
        <f t="shared" si="98"/>
        <v>0</v>
      </c>
    </row>
    <row r="161" spans="1:34" x14ac:dyDescent="0.25">
      <c r="A161" s="11" t="s">
        <v>75</v>
      </c>
      <c r="B161" s="3">
        <f t="shared" ref="B161:Z161" si="99">$C47*EXP(-B$129/$A47/EXP(-$B$126))</f>
        <v>0</v>
      </c>
      <c r="C161" s="3">
        <f t="shared" si="99"/>
        <v>0</v>
      </c>
      <c r="D161" s="3">
        <f t="shared" si="99"/>
        <v>0</v>
      </c>
      <c r="E161" s="3">
        <f t="shared" si="99"/>
        <v>0</v>
      </c>
      <c r="F161" s="3">
        <f t="shared" si="99"/>
        <v>0</v>
      </c>
      <c r="G161" s="3">
        <f t="shared" si="99"/>
        <v>0</v>
      </c>
      <c r="H161" s="3">
        <f t="shared" si="99"/>
        <v>0</v>
      </c>
      <c r="I161" s="3">
        <f t="shared" si="99"/>
        <v>0</v>
      </c>
      <c r="J161" s="3">
        <f t="shared" si="99"/>
        <v>0</v>
      </c>
      <c r="K161" s="3">
        <f t="shared" si="99"/>
        <v>0</v>
      </c>
      <c r="L161" s="3">
        <f t="shared" si="99"/>
        <v>0</v>
      </c>
      <c r="M161" s="3">
        <f t="shared" si="99"/>
        <v>0</v>
      </c>
      <c r="N161" s="3">
        <f t="shared" si="99"/>
        <v>0</v>
      </c>
      <c r="O161" s="3">
        <f t="shared" si="99"/>
        <v>0</v>
      </c>
      <c r="P161" s="3">
        <f t="shared" si="99"/>
        <v>0</v>
      </c>
      <c r="Q161" s="3">
        <f t="shared" si="99"/>
        <v>0</v>
      </c>
      <c r="R161" s="3">
        <f t="shared" si="99"/>
        <v>0</v>
      </c>
      <c r="S161" s="3">
        <f t="shared" si="99"/>
        <v>0</v>
      </c>
      <c r="T161" s="3">
        <f t="shared" si="99"/>
        <v>0</v>
      </c>
      <c r="U161" s="3">
        <f t="shared" si="99"/>
        <v>0</v>
      </c>
      <c r="V161" s="3">
        <f t="shared" si="99"/>
        <v>0</v>
      </c>
      <c r="W161" s="3">
        <f t="shared" si="99"/>
        <v>0</v>
      </c>
      <c r="X161" s="3">
        <f t="shared" si="99"/>
        <v>0</v>
      </c>
      <c r="Y161" s="3">
        <f t="shared" si="99"/>
        <v>0</v>
      </c>
      <c r="Z161" s="3">
        <f t="shared" si="99"/>
        <v>0</v>
      </c>
      <c r="AA161" s="3">
        <f t="shared" ref="AA161:AF161" si="100">$C47*EXP(-AA$129/$A47/EXP(-$B$126))</f>
        <v>0</v>
      </c>
      <c r="AB161" s="3">
        <f t="shared" si="100"/>
        <v>0</v>
      </c>
      <c r="AC161" s="3">
        <f t="shared" si="100"/>
        <v>0</v>
      </c>
      <c r="AD161" s="3">
        <f t="shared" si="100"/>
        <v>0</v>
      </c>
      <c r="AE161" s="3">
        <f t="shared" si="100"/>
        <v>0</v>
      </c>
      <c r="AF161" s="3">
        <f t="shared" si="100"/>
        <v>0</v>
      </c>
    </row>
    <row r="162" spans="1:34" x14ac:dyDescent="0.25">
      <c r="B162" s="3">
        <f t="shared" ref="B162:Z162" si="101">$C48*EXP(-B$129/$A48/EXP(-$B$126))</f>
        <v>3.8158806353945737E-4</v>
      </c>
      <c r="C162" s="3">
        <f t="shared" si="101"/>
        <v>3.8158806353945737E-4</v>
      </c>
      <c r="D162" s="3">
        <f t="shared" si="101"/>
        <v>3.8158806353945737E-4</v>
      </c>
      <c r="E162" s="3">
        <f t="shared" si="101"/>
        <v>3.8158806353945737E-4</v>
      </c>
      <c r="F162" s="3">
        <f t="shared" si="101"/>
        <v>3.8158806353945737E-4</v>
      </c>
      <c r="G162" s="3">
        <f t="shared" si="101"/>
        <v>3.8158806353945737E-4</v>
      </c>
      <c r="H162" s="3">
        <f t="shared" si="101"/>
        <v>3.8158806353945737E-4</v>
      </c>
      <c r="I162" s="3">
        <f t="shared" si="101"/>
        <v>3.8158806353945737E-4</v>
      </c>
      <c r="J162" s="3">
        <f t="shared" si="101"/>
        <v>3.8158806353945737E-4</v>
      </c>
      <c r="K162" s="3">
        <f t="shared" si="101"/>
        <v>3.8158806353945737E-4</v>
      </c>
      <c r="L162" s="3">
        <f t="shared" si="101"/>
        <v>3.8158806353945737E-4</v>
      </c>
      <c r="M162" s="3">
        <f t="shared" si="101"/>
        <v>3.8158806353945737E-4</v>
      </c>
      <c r="N162" s="3">
        <f t="shared" si="101"/>
        <v>3.8158806353945737E-4</v>
      </c>
      <c r="O162" s="3">
        <f t="shared" si="101"/>
        <v>3.8158806353945737E-4</v>
      </c>
      <c r="P162" s="3">
        <f t="shared" si="101"/>
        <v>3.8158806353945737E-4</v>
      </c>
      <c r="Q162" s="3">
        <f t="shared" si="101"/>
        <v>3.8158806353945737E-4</v>
      </c>
      <c r="R162" s="3">
        <f t="shared" si="101"/>
        <v>3.8158806353945737E-4</v>
      </c>
      <c r="S162" s="3">
        <f t="shared" si="101"/>
        <v>3.8158806353945737E-4</v>
      </c>
      <c r="T162" s="3">
        <f t="shared" si="101"/>
        <v>3.8158806353945737E-4</v>
      </c>
      <c r="U162" s="3">
        <f t="shared" si="101"/>
        <v>3.8158806353945737E-4</v>
      </c>
      <c r="V162" s="3">
        <f t="shared" si="101"/>
        <v>3.8158806353945737E-4</v>
      </c>
      <c r="W162" s="3">
        <f t="shared" si="101"/>
        <v>3.8158806353945737E-4</v>
      </c>
      <c r="X162" s="3">
        <f t="shared" si="101"/>
        <v>3.8158806353945737E-4</v>
      </c>
      <c r="Y162" s="3">
        <f t="shared" si="101"/>
        <v>3.8158806353945737E-4</v>
      </c>
      <c r="Z162" s="3">
        <f t="shared" si="101"/>
        <v>3.8158806353945737E-4</v>
      </c>
      <c r="AA162" s="3">
        <f t="shared" ref="AA162:AF162" si="102">$C48*EXP(-AA$129/$A48/EXP(-$B$126))</f>
        <v>3.8158806353945737E-4</v>
      </c>
      <c r="AB162" s="3">
        <f t="shared" si="102"/>
        <v>3.8158806353945737E-4</v>
      </c>
      <c r="AC162" s="3">
        <f t="shared" si="102"/>
        <v>3.8158806353945737E-4</v>
      </c>
      <c r="AD162" s="3">
        <f t="shared" si="102"/>
        <v>3.8158806353945737E-4</v>
      </c>
      <c r="AE162" s="3">
        <f t="shared" si="102"/>
        <v>3.8158806353945737E-4</v>
      </c>
      <c r="AF162" s="3">
        <f t="shared" si="102"/>
        <v>3.8158806353945737E-4</v>
      </c>
    </row>
    <row r="163" spans="1:34" x14ac:dyDescent="0.25">
      <c r="A163" s="79">
        <f>AVERAGE(B163:AF163)</f>
        <v>2.276822369488414E-2</v>
      </c>
      <c r="B163" s="80">
        <f>IF($A$64&lt;=B129,IF($B$64&gt;=B129,ABS((B131-B130)/B130),0),0)</f>
        <v>0</v>
      </c>
      <c r="C163" s="80">
        <f t="shared" ref="C163:AF163" si="103">IF($A$64&lt;=C129,IF($B$64&gt;=C129,ABS((C131-C130)/C130),0),0)</f>
        <v>0</v>
      </c>
      <c r="D163" s="80">
        <f t="shared" si="103"/>
        <v>0</v>
      </c>
      <c r="E163" s="80">
        <f t="shared" si="103"/>
        <v>0</v>
      </c>
      <c r="F163" s="80">
        <f t="shared" si="103"/>
        <v>0</v>
      </c>
      <c r="G163" s="80">
        <f t="shared" si="103"/>
        <v>0</v>
      </c>
      <c r="H163" s="80">
        <f t="shared" si="103"/>
        <v>0</v>
      </c>
      <c r="I163" s="80">
        <f t="shared" si="103"/>
        <v>0</v>
      </c>
      <c r="J163" s="80">
        <f t="shared" si="103"/>
        <v>0</v>
      </c>
      <c r="K163" s="80">
        <f t="shared" si="103"/>
        <v>0</v>
      </c>
      <c r="L163" s="80">
        <f t="shared" si="103"/>
        <v>7.614327653601519E-3</v>
      </c>
      <c r="M163" s="80">
        <f t="shared" si="103"/>
        <v>7.6154464635838498E-3</v>
      </c>
      <c r="N163" s="80">
        <f t="shared" si="103"/>
        <v>7.6269659309838511E-3</v>
      </c>
      <c r="O163" s="80">
        <f t="shared" si="103"/>
        <v>7.7418008651372753E-3</v>
      </c>
      <c r="P163" s="80">
        <f t="shared" si="103"/>
        <v>8.885864113673262E-3</v>
      </c>
      <c r="Q163" s="80">
        <f t="shared" si="103"/>
        <v>1.9909993573061821E-2</v>
      </c>
      <c r="R163" s="80">
        <f t="shared" si="103"/>
        <v>9.7224534386885678E-2</v>
      </c>
      <c r="S163" s="80">
        <f t="shared" si="103"/>
        <v>0.17135701877559578</v>
      </c>
      <c r="T163" s="80">
        <f t="shared" si="103"/>
        <v>0.1518667139887572</v>
      </c>
      <c r="U163" s="80">
        <f t="shared" si="103"/>
        <v>0.12989164986411969</v>
      </c>
      <c r="V163" s="80">
        <f t="shared" si="103"/>
        <v>9.6080618926008388E-2</v>
      </c>
      <c r="W163" s="80">
        <f t="shared" si="103"/>
        <v>0</v>
      </c>
      <c r="X163" s="80">
        <f t="shared" si="103"/>
        <v>0</v>
      </c>
      <c r="Y163" s="80">
        <f t="shared" si="103"/>
        <v>0</v>
      </c>
      <c r="Z163" s="80">
        <f t="shared" si="103"/>
        <v>0</v>
      </c>
      <c r="AA163" s="80">
        <f t="shared" si="103"/>
        <v>0</v>
      </c>
      <c r="AB163" s="80">
        <f t="shared" si="103"/>
        <v>0</v>
      </c>
      <c r="AC163" s="80">
        <f t="shared" si="103"/>
        <v>0</v>
      </c>
      <c r="AD163" s="80">
        <f t="shared" si="103"/>
        <v>0</v>
      </c>
      <c r="AE163" s="80">
        <f t="shared" si="103"/>
        <v>0</v>
      </c>
      <c r="AF163" s="80">
        <f t="shared" si="103"/>
        <v>0</v>
      </c>
    </row>
    <row r="164" spans="1:34" x14ac:dyDescent="0.25">
      <c r="B164" s="21">
        <f>(B131-B130)^2</f>
        <v>2505.0037988581948</v>
      </c>
      <c r="C164" s="21">
        <f t="shared" ref="C164:AF164" si="104">(C131-C130)^2</f>
        <v>2510.6162890860892</v>
      </c>
      <c r="D164" s="21">
        <f t="shared" si="104"/>
        <v>2507.1871877231019</v>
      </c>
      <c r="E164" s="21">
        <f t="shared" si="104"/>
        <v>2506.1584266998138</v>
      </c>
      <c r="F164" s="21">
        <f t="shared" si="104"/>
        <v>2505.8394554717556</v>
      </c>
      <c r="G164" s="21">
        <f t="shared" si="104"/>
        <v>2505.733137046785</v>
      </c>
      <c r="H164" s="21">
        <f t="shared" si="104"/>
        <v>2505.6985296245202</v>
      </c>
      <c r="I164" s="21">
        <f t="shared" si="104"/>
        <v>2505.6936609718723</v>
      </c>
      <c r="J164" s="21">
        <f t="shared" si="104"/>
        <v>2505.6944243248636</v>
      </c>
      <c r="K164" s="21">
        <f t="shared" si="104"/>
        <v>2505.7020578605338</v>
      </c>
      <c r="L164" s="21">
        <f t="shared" si="104"/>
        <v>2505.7759212945184</v>
      </c>
      <c r="M164" s="21">
        <f t="shared" si="104"/>
        <v>2506.5121397858265</v>
      </c>
      <c r="N164" s="21">
        <f t="shared" si="104"/>
        <v>2514.1004046143476</v>
      </c>
      <c r="O164" s="21">
        <f t="shared" si="104"/>
        <v>2590.3713906100725</v>
      </c>
      <c r="P164" s="21">
        <f t="shared" si="104"/>
        <v>3412.4613565207032</v>
      </c>
      <c r="Q164" s="21">
        <f t="shared" si="104"/>
        <v>17128.319951731617</v>
      </c>
      <c r="R164" s="21">
        <f t="shared" si="104"/>
        <v>407555.23214932403</v>
      </c>
      <c r="S164" s="21">
        <f t="shared" si="104"/>
        <v>1244117.135257392</v>
      </c>
      <c r="T164" s="21">
        <f t="shared" si="104"/>
        <v>932580.11232640711</v>
      </c>
      <c r="U164" s="21">
        <f t="shared" si="104"/>
        <v>648169.86098547559</v>
      </c>
      <c r="V164" s="21">
        <f t="shared" si="104"/>
        <v>328491.41134191881</v>
      </c>
      <c r="W164" s="21">
        <f t="shared" si="104"/>
        <v>32670.79608980579</v>
      </c>
      <c r="X164" s="21">
        <f t="shared" si="104"/>
        <v>49706.772364088305</v>
      </c>
      <c r="Y164" s="21">
        <f t="shared" si="104"/>
        <v>87387.625197705856</v>
      </c>
      <c r="Z164" s="21">
        <f t="shared" si="104"/>
        <v>202652.44051816422</v>
      </c>
      <c r="AA164" s="21">
        <f t="shared" si="104"/>
        <v>244520.72238817037</v>
      </c>
      <c r="AB164" s="21">
        <f t="shared" si="104"/>
        <v>227814.53910328858</v>
      </c>
      <c r="AC164" s="21">
        <f t="shared" si="104"/>
        <v>118743.62246030611</v>
      </c>
      <c r="AD164" s="21">
        <f t="shared" si="104"/>
        <v>23286.756410735619</v>
      </c>
      <c r="AE164" s="21">
        <f t="shared" si="104"/>
        <v>5035.8984033615279</v>
      </c>
      <c r="AF164" s="21">
        <f t="shared" si="104"/>
        <v>103020.34045879013</v>
      </c>
    </row>
    <row r="165" spans="1:34" x14ac:dyDescent="0.25">
      <c r="A165" s="71">
        <f>SUM(B165:AF165)</f>
        <v>3591571.2932250742</v>
      </c>
      <c r="B165" s="60">
        <f>IF($A$64&lt;=B129,IF($B$64&gt;=B129,ABS(B164),0),0)</f>
        <v>0</v>
      </c>
      <c r="C165" s="60">
        <f t="shared" ref="C165:AF165" si="105">IF($A$64&lt;=C129,IF($B$64&gt;=C129,ABS(C164),0),0)</f>
        <v>0</v>
      </c>
      <c r="D165" s="60">
        <f t="shared" si="105"/>
        <v>0</v>
      </c>
      <c r="E165" s="60">
        <f t="shared" si="105"/>
        <v>0</v>
      </c>
      <c r="F165" s="60">
        <f t="shared" si="105"/>
        <v>0</v>
      </c>
      <c r="G165" s="60">
        <f t="shared" si="105"/>
        <v>0</v>
      </c>
      <c r="H165" s="60">
        <f t="shared" si="105"/>
        <v>0</v>
      </c>
      <c r="I165" s="60">
        <f t="shared" si="105"/>
        <v>0</v>
      </c>
      <c r="J165" s="60">
        <f t="shared" si="105"/>
        <v>0</v>
      </c>
      <c r="K165" s="60">
        <f t="shared" si="105"/>
        <v>0</v>
      </c>
      <c r="L165" s="60">
        <f t="shared" si="105"/>
        <v>2505.7759212945184</v>
      </c>
      <c r="M165" s="60">
        <f t="shared" si="105"/>
        <v>2506.5121397858265</v>
      </c>
      <c r="N165" s="60">
        <f t="shared" si="105"/>
        <v>2514.1004046143476</v>
      </c>
      <c r="O165" s="60">
        <f t="shared" si="105"/>
        <v>2590.3713906100725</v>
      </c>
      <c r="P165" s="60">
        <f t="shared" si="105"/>
        <v>3412.4613565207032</v>
      </c>
      <c r="Q165" s="60">
        <f t="shared" si="105"/>
        <v>17128.319951731617</v>
      </c>
      <c r="R165" s="60">
        <f t="shared" si="105"/>
        <v>407555.23214932403</v>
      </c>
      <c r="S165" s="60">
        <f t="shared" si="105"/>
        <v>1244117.135257392</v>
      </c>
      <c r="T165" s="60">
        <f t="shared" si="105"/>
        <v>932580.11232640711</v>
      </c>
      <c r="U165" s="60">
        <f t="shared" si="105"/>
        <v>648169.86098547559</v>
      </c>
      <c r="V165" s="60">
        <f t="shared" si="105"/>
        <v>328491.41134191881</v>
      </c>
      <c r="W165" s="60">
        <f t="shared" si="105"/>
        <v>0</v>
      </c>
      <c r="X165" s="60">
        <f t="shared" si="105"/>
        <v>0</v>
      </c>
      <c r="Y165" s="60">
        <f t="shared" si="105"/>
        <v>0</v>
      </c>
      <c r="Z165" s="60">
        <f t="shared" si="105"/>
        <v>0</v>
      </c>
      <c r="AA165" s="60">
        <f t="shared" si="105"/>
        <v>0</v>
      </c>
      <c r="AB165" s="60">
        <f t="shared" si="105"/>
        <v>0</v>
      </c>
      <c r="AC165" s="60">
        <f t="shared" si="105"/>
        <v>0</v>
      </c>
      <c r="AD165" s="60">
        <f t="shared" si="105"/>
        <v>0</v>
      </c>
      <c r="AE165" s="60">
        <f t="shared" si="105"/>
        <v>0</v>
      </c>
      <c r="AF165" s="60">
        <f t="shared" si="105"/>
        <v>0</v>
      </c>
    </row>
    <row r="166" spans="1:34" x14ac:dyDescent="0.25">
      <c r="B166" s="38"/>
      <c r="C166" s="38"/>
      <c r="D166" s="38"/>
      <c r="E166" s="38"/>
      <c r="F166" s="38"/>
      <c r="G166" s="38"/>
      <c r="H166" s="38"/>
      <c r="I166" s="38"/>
      <c r="J166" s="38"/>
      <c r="K166" s="38"/>
      <c r="L166" s="38"/>
      <c r="M166" s="38"/>
      <c r="N166" s="38"/>
      <c r="O166" s="38"/>
      <c r="P166" s="38"/>
      <c r="Q166" s="38"/>
      <c r="R166" s="38"/>
      <c r="S166" s="38"/>
      <c r="T166" s="38"/>
      <c r="U166" s="38"/>
      <c r="V166" s="38"/>
      <c r="W166" s="38"/>
      <c r="X166" s="38"/>
      <c r="Y166" s="38"/>
      <c r="Z166" s="38"/>
      <c r="AA166" s="38"/>
      <c r="AB166" s="38"/>
      <c r="AC166" s="38"/>
      <c r="AD166" s="38"/>
      <c r="AE166" s="38"/>
      <c r="AF166" s="38"/>
    </row>
    <row r="167" spans="1:34" x14ac:dyDescent="0.25">
      <c r="A167" s="69" t="s">
        <v>27</v>
      </c>
      <c r="B167" s="11">
        <f>INDEX($D$1:$M$1,1,$C$122)</f>
        <v>0</v>
      </c>
    </row>
    <row r="168" spans="1:34" x14ac:dyDescent="0.25">
      <c r="A168" s="69" t="s">
        <v>17</v>
      </c>
      <c r="B168" s="22">
        <f>INDEX(Comparison!$AL$3:$AL$33,F$14,1)</f>
        <v>1.0000000000000001E-15</v>
      </c>
      <c r="C168" s="22">
        <f>INDEX(Comparison!$AL$3:$AL$33,G$14,1)</f>
        <v>1E-14</v>
      </c>
      <c r="D168" s="22">
        <f>INDEX(Comparison!$AL$3:$AL$33,H$14,1)</f>
        <v>1E-13</v>
      </c>
      <c r="E168" s="22">
        <f>INDEX(Comparison!$AL$3:$AL$33,I$14,1)</f>
        <v>9.9999999999999998E-13</v>
      </c>
      <c r="F168" s="22">
        <f>INDEX(Comparison!$AL$3:$AL$33,J$14,1)</f>
        <v>9.9999999999999994E-12</v>
      </c>
      <c r="G168" s="22">
        <f>INDEX(Comparison!$AL$3:$AL$33,K$14,1)</f>
        <v>1E-10</v>
      </c>
      <c r="H168" s="22">
        <f>INDEX(Comparison!$AL$3:$AL$33,L$14,1)</f>
        <v>1.0000000000000001E-9</v>
      </c>
      <c r="I168" s="22">
        <f>INDEX(Comparison!$AL$3:$AL$33,M$14,1)</f>
        <v>1E-8</v>
      </c>
      <c r="J168" s="22">
        <f>INDEX(Comparison!$AL$3:$AL$33,N$14,1)</f>
        <v>9.9999999999999995E-8</v>
      </c>
      <c r="K168" s="22">
        <f>INDEX(Comparison!$AL$3:$AL$33,O$14,1)</f>
        <v>9.9999999999999995E-7</v>
      </c>
      <c r="L168" s="22">
        <f>INDEX(Comparison!$AL$3:$AL$33,P$14,1)</f>
        <v>1.0000000000000001E-5</v>
      </c>
      <c r="M168" s="22">
        <f>INDEX(Comparison!$AL$3:$AL$33,Q$14,1)</f>
        <v>1E-4</v>
      </c>
      <c r="N168" s="22">
        <f>INDEX(Comparison!$AL$3:$AL$33,R$14,1)</f>
        <v>1E-3</v>
      </c>
      <c r="O168" s="22">
        <f>INDEX(Comparison!$AL$3:$AL$33,S$14,1)</f>
        <v>0.01</v>
      </c>
      <c r="P168" s="22">
        <f>INDEX(Comparison!$AL$3:$AL$33,T$14,1)</f>
        <v>0.1</v>
      </c>
      <c r="Q168" s="22">
        <f>INDEX(Comparison!$AL$3:$AL$33,U$14,1)</f>
        <v>1</v>
      </c>
      <c r="R168" s="22">
        <f>INDEX(Comparison!$AL$3:$AL$33,V$14,1)</f>
        <v>10</v>
      </c>
      <c r="S168" s="22">
        <f>INDEX(Comparison!$AL$3:$AL$33,W$14,1)</f>
        <v>100</v>
      </c>
      <c r="T168" s="22">
        <f>INDEX(Comparison!$AL$3:$AL$33,X$14,1)</f>
        <v>1000</v>
      </c>
      <c r="U168" s="22">
        <f>INDEX(Comparison!$AL$3:$AL$33,Y$14,1)</f>
        <v>10000</v>
      </c>
      <c r="V168" s="22">
        <f>INDEX(Comparison!$AL$3:$AL$33,Z$14,1)</f>
        <v>100000</v>
      </c>
      <c r="W168" s="22">
        <f>INDEX(Comparison!$AL$3:$AL$33,AA$14,1)</f>
        <v>1000000</v>
      </c>
      <c r="X168" s="22">
        <f>INDEX(Comparison!$AL$3:$AL$33,AB$14,1)</f>
        <v>10000000</v>
      </c>
      <c r="Y168" s="22">
        <f>INDEX(Comparison!$AL$3:$AL$33,AC$14,1)</f>
        <v>100000000</v>
      </c>
      <c r="Z168" s="22">
        <f>INDEX(Comparison!$AL$3:$AL$33,AD$14,1)</f>
        <v>1000000000</v>
      </c>
      <c r="AA168" s="22">
        <f>INDEX(Comparison!$AL$3:$AL$33,AE$14,1)</f>
        <v>10000000000</v>
      </c>
      <c r="AB168" s="22">
        <f>INDEX(Comparison!$AL$3:$AL$33,AF$14,1)</f>
        <v>100000000000</v>
      </c>
      <c r="AC168" s="22">
        <f>INDEX(Comparison!$AL$3:$AL$33,AG$14,1)</f>
        <v>1000000000000</v>
      </c>
      <c r="AD168" s="22">
        <f>INDEX(Comparison!$AL$3:$AL$33,AH$14,1)</f>
        <v>10000000000000</v>
      </c>
      <c r="AE168" s="22">
        <f>INDEX(Comparison!$AL$3:$AL$33,AI$14,1)</f>
        <v>100000000000000</v>
      </c>
      <c r="AF168" s="22">
        <f>INDEX(Comparison!$AL$3:$AL$33,AJ$14,1)</f>
        <v>1000000000000000</v>
      </c>
      <c r="AG168" s="22"/>
      <c r="AH168" s="22"/>
    </row>
    <row r="169" spans="1:34" x14ac:dyDescent="0.25">
      <c r="A169" s="25" t="s">
        <v>23</v>
      </c>
      <c r="B169" s="26">
        <f>INDEX(Comparison!$AM$3:$AS$33,F$14,$C$122)</f>
        <v>6543.7252261807771</v>
      </c>
      <c r="C169" s="26">
        <f>INDEX(Comparison!$AM$3:$AS$33,G$14,$C$122)</f>
        <v>6543.7799387981568</v>
      </c>
      <c r="D169" s="26">
        <f>INDEX(Comparison!$AM$3:$AS$33,H$14,$C$122)</f>
        <v>6543.7462938558028</v>
      </c>
      <c r="E169" s="26">
        <f>INDEX(Comparison!$AM$3:$AS$33,I$14,$C$122)</f>
        <v>6543.7363350192272</v>
      </c>
      <c r="F169" s="26">
        <f>INDEX(Comparison!$AM$3:$AS$33,J$14,$C$122)</f>
        <v>6543.7332030080934</v>
      </c>
      <c r="G169" s="26">
        <f>INDEX(Comparison!$AM$3:$AS$33,K$14,$C$122)</f>
        <v>6543.7321508487757</v>
      </c>
      <c r="H169" s="26">
        <f>INDEX(Comparison!$AM$3:$AS$33,L$14,$C$122)</f>
        <v>6543.7318082853499</v>
      </c>
      <c r="I169" s="26">
        <f>INDEX(Comparison!$AM$3:$AS$33,M$14,$C$122)</f>
        <v>6543.7317593477201</v>
      </c>
      <c r="J169" s="26">
        <f>INDEX(Comparison!$AM$3:$AS$33,N$14,$C$122)</f>
        <v>6543.7315146595847</v>
      </c>
      <c r="K169" s="26">
        <f>INDEX(Comparison!$AM$3:$AS$33,O$14,$C$122)</f>
        <v>6543.731490190773</v>
      </c>
      <c r="L169" s="26">
        <f>INDEX(Comparison!$AM$3:$AS$33,P$14,$C$122)</f>
        <v>6543.7313923155243</v>
      </c>
      <c r="M169" s="26">
        <f>INDEX(Comparison!$AM$3:$AS$33,Q$14,$C$122)</f>
        <v>6543.7286518097571</v>
      </c>
      <c r="N169" s="26">
        <f>INDEX(Comparison!$AM$3:$AS$33,R$14,$C$122)</f>
        <v>6543.7023234963144</v>
      </c>
      <c r="O169" s="26">
        <f>INDEX(Comparison!$AM$3:$AS$33,S$14,$C$122)</f>
        <v>6543.4393456132884</v>
      </c>
      <c r="P169" s="26">
        <f>INDEX(Comparison!$AM$3:$AS$33,T$14,$C$122)</f>
        <v>6540.8297975507394</v>
      </c>
      <c r="Q169" s="26">
        <f>INDEX(Comparison!$AM$3:$AS$33,U$14,$C$122)</f>
        <v>6516.7915822655277</v>
      </c>
      <c r="R169" s="26">
        <f>INDEX(Comparison!$AM$3:$AS$33,V$14,$C$122)</f>
        <v>6390.814079024768</v>
      </c>
      <c r="S169" s="26">
        <f>INDEX(Comparison!$AM$3:$AS$33,W$14,$C$122)</f>
        <v>6240.1474757230608</v>
      </c>
      <c r="T169" s="26">
        <f>INDEX(Comparison!$AM$3:$AS$33,X$14,$C$122)</f>
        <v>6044.4265071962272</v>
      </c>
      <c r="U169" s="26">
        <f>INDEX(Comparison!$AM$3:$AS$33,Y$14,$C$122)</f>
        <v>5697.9764219559002</v>
      </c>
      <c r="V169" s="26">
        <f>INDEX(Comparison!$AM$3:$AS$33,Z$14,$C$122)</f>
        <v>5222.1642197271249</v>
      </c>
      <c r="W169" s="26">
        <f>INDEX(Comparison!$AM$3:$AS$33,AA$14,$C$122)</f>
        <v>4741.2273341563377</v>
      </c>
      <c r="X169" s="26">
        <f>INDEX(Comparison!$AM$3:$AS$33,AB$14,$C$122)</f>
        <v>4311.1706397553053</v>
      </c>
      <c r="Y169" s="26">
        <f>INDEX(Comparison!$AM$3:$AS$33,AC$14,$C$122)</f>
        <v>3952.2593271118144</v>
      </c>
      <c r="Z169" s="26">
        <f>INDEX(Comparison!$AM$3:$AS$33,AD$14,$C$122)</f>
        <v>3639.2172363975619</v>
      </c>
      <c r="AA169" s="26">
        <f>INDEX(Comparison!$AM$3:$AS$33,AE$14,$C$122)</f>
        <v>3344.7021990881808</v>
      </c>
      <c r="AB169" s="26">
        <f>INDEX(Comparison!$AM$3:$AS$33,AF$14,$C$122)</f>
        <v>3034.0126163953428</v>
      </c>
      <c r="AC169" s="26">
        <f>INDEX(Comparison!$AM$3:$AS$33,AG$14,$C$122)</f>
        <v>2653.5608861364908</v>
      </c>
      <c r="AD169" s="26">
        <f>INDEX(Comparison!$AM$3:$AS$33,AH$14,$C$122)</f>
        <v>2203.3378680125074</v>
      </c>
      <c r="AE169" s="26">
        <f>INDEX(Comparison!$AM$3:$AS$33,AI$14,$C$122)</f>
        <v>1683.4592204898881</v>
      </c>
      <c r="AF169" s="26">
        <f>INDEX(Comparison!$AM$3:$AS$33,AJ$14,$C$122)</f>
        <v>1118.1414735463829</v>
      </c>
      <c r="AG169" s="26"/>
      <c r="AH169" s="26"/>
    </row>
    <row r="170" spans="1:34" x14ac:dyDescent="0.25">
      <c r="A170" s="70" t="s">
        <v>22</v>
      </c>
      <c r="B170" s="27">
        <f>($C$17+SUM(B171:B201))*$B$51</f>
        <v>6524.0923000000021</v>
      </c>
      <c r="C170" s="27">
        <f t="shared" ref="C170:AF170" si="106">($C$17+SUM(C171:C201))*$B$51</f>
        <v>6524.0922999999875</v>
      </c>
      <c r="D170" s="27">
        <f t="shared" si="106"/>
        <v>6524.0922999998493</v>
      </c>
      <c r="E170" s="27">
        <f t="shared" si="106"/>
        <v>6524.0922999984678</v>
      </c>
      <c r="F170" s="27">
        <f t="shared" si="106"/>
        <v>6524.0922999846516</v>
      </c>
      <c r="G170" s="27">
        <f t="shared" si="106"/>
        <v>6524.0922998464894</v>
      </c>
      <c r="H170" s="27">
        <f t="shared" si="106"/>
        <v>6524.092298464876</v>
      </c>
      <c r="I170" s="27">
        <f t="shared" si="106"/>
        <v>6524.0922846487265</v>
      </c>
      <c r="J170" s="27">
        <f t="shared" si="106"/>
        <v>6524.0921464872617</v>
      </c>
      <c r="K170" s="27">
        <f t="shared" si="106"/>
        <v>6524.0907648735347</v>
      </c>
      <c r="L170" s="27">
        <f t="shared" si="106"/>
        <v>6524.0769488290944</v>
      </c>
      <c r="M170" s="27">
        <f t="shared" si="106"/>
        <v>6523.9387976676908</v>
      </c>
      <c r="N170" s="27">
        <f t="shared" si="106"/>
        <v>6522.558213934436</v>
      </c>
      <c r="O170" s="27">
        <f t="shared" si="106"/>
        <v>6508.8447466218513</v>
      </c>
      <c r="P170" s="27">
        <f t="shared" si="106"/>
        <v>6380.5428367079494</v>
      </c>
      <c r="Q170" s="27">
        <f t="shared" si="106"/>
        <v>5684.1921265919791</v>
      </c>
      <c r="R170" s="27">
        <f t="shared" si="106"/>
        <v>5393.1864742989546</v>
      </c>
      <c r="S170" s="27">
        <f t="shared" si="106"/>
        <v>5393.1668814792592</v>
      </c>
      <c r="T170" s="27">
        <f t="shared" si="106"/>
        <v>5392.9853771898288</v>
      </c>
      <c r="U170" s="27">
        <f t="shared" si="106"/>
        <v>5391.1733508610841</v>
      </c>
      <c r="V170" s="27">
        <f t="shared" si="106"/>
        <v>5373.351289586436</v>
      </c>
      <c r="W170" s="27">
        <f t="shared" si="106"/>
        <v>5221.7773233376884</v>
      </c>
      <c r="X170" s="27">
        <f t="shared" si="106"/>
        <v>4787.3703038615076</v>
      </c>
      <c r="Y170" s="27">
        <f t="shared" si="106"/>
        <v>4550.847861113406</v>
      </c>
      <c r="Z170" s="27">
        <f t="shared" si="106"/>
        <v>4231.1933768925683</v>
      </c>
      <c r="AA170" s="27">
        <f t="shared" si="106"/>
        <v>3887.0187590019527</v>
      </c>
      <c r="AB170" s="27">
        <f t="shared" si="106"/>
        <v>3421.5258300713367</v>
      </c>
      <c r="AC170" s="27">
        <f t="shared" si="106"/>
        <v>2853.2615899522875</v>
      </c>
      <c r="AD170" s="27">
        <f t="shared" si="106"/>
        <v>2187.8683882770292</v>
      </c>
      <c r="AE170" s="27">
        <f t="shared" si="106"/>
        <v>1447.5879168121915</v>
      </c>
      <c r="AF170" s="27">
        <f t="shared" si="106"/>
        <v>862.47084525649279</v>
      </c>
      <c r="AG170" s="27"/>
      <c r="AH170" s="27"/>
    </row>
    <row r="171" spans="1:34" x14ac:dyDescent="0.25">
      <c r="B171" s="3">
        <f t="shared" ref="B171:AF171" si="107">$C18*EXP(-B$168/$A18/EXP(-$C$126))</f>
        <v>0.17334292587920039</v>
      </c>
      <c r="C171" s="3">
        <f t="shared" si="107"/>
        <v>0.17334292587919825</v>
      </c>
      <c r="D171" s="3">
        <f t="shared" si="107"/>
        <v>0.17334292587917707</v>
      </c>
      <c r="E171" s="3">
        <f t="shared" si="107"/>
        <v>0.1733429258789653</v>
      </c>
      <c r="F171" s="3">
        <f t="shared" si="107"/>
        <v>0.1733429258768476</v>
      </c>
      <c r="G171" s="3">
        <f t="shared" si="107"/>
        <v>0.17334292585567049</v>
      </c>
      <c r="H171" s="3">
        <f t="shared" si="107"/>
        <v>0.17334292564389933</v>
      </c>
      <c r="I171" s="3">
        <f t="shared" si="107"/>
        <v>0.17334292352618777</v>
      </c>
      <c r="J171" s="3">
        <f t="shared" si="107"/>
        <v>0.1733429023490736</v>
      </c>
      <c r="K171" s="3">
        <f t="shared" si="107"/>
        <v>0.1733426905780743</v>
      </c>
      <c r="L171" s="3">
        <f t="shared" si="107"/>
        <v>0.17334057288231067</v>
      </c>
      <c r="M171" s="3">
        <f t="shared" si="107"/>
        <v>0.17331939734755472</v>
      </c>
      <c r="N171" s="3">
        <f t="shared" si="107"/>
        <v>0.1731077842237313</v>
      </c>
      <c r="O171" s="3">
        <f t="shared" si="107"/>
        <v>0.17100581127996919</v>
      </c>
      <c r="P171" s="3">
        <f t="shared" si="107"/>
        <v>0.15133995036624212</v>
      </c>
      <c r="Q171" s="3">
        <f t="shared" si="107"/>
        <v>4.4604714787469225E-2</v>
      </c>
      <c r="R171" s="3">
        <f t="shared" si="107"/>
        <v>2.2062390239745342E-7</v>
      </c>
      <c r="S171" s="3">
        <f t="shared" si="107"/>
        <v>1.9336172686535499E-60</v>
      </c>
      <c r="T171" s="3">
        <f t="shared" si="107"/>
        <v>0</v>
      </c>
      <c r="U171" s="3">
        <f t="shared" si="107"/>
        <v>0</v>
      </c>
      <c r="V171" s="3">
        <f t="shared" si="107"/>
        <v>0</v>
      </c>
      <c r="W171" s="3">
        <f t="shared" si="107"/>
        <v>0</v>
      </c>
      <c r="X171" s="3">
        <f t="shared" si="107"/>
        <v>0</v>
      </c>
      <c r="Y171" s="3">
        <f t="shared" si="107"/>
        <v>0</v>
      </c>
      <c r="Z171" s="3">
        <f t="shared" si="107"/>
        <v>0</v>
      </c>
      <c r="AA171" s="3">
        <f t="shared" si="107"/>
        <v>0</v>
      </c>
      <c r="AB171" s="3">
        <f t="shared" si="107"/>
        <v>0</v>
      </c>
      <c r="AC171" s="3">
        <f t="shared" si="107"/>
        <v>0</v>
      </c>
      <c r="AD171" s="3">
        <f t="shared" si="107"/>
        <v>0</v>
      </c>
      <c r="AE171" s="3">
        <f t="shared" si="107"/>
        <v>0</v>
      </c>
      <c r="AF171" s="3">
        <f t="shared" si="107"/>
        <v>0</v>
      </c>
      <c r="AG171" s="3"/>
      <c r="AH171" s="3"/>
    </row>
    <row r="172" spans="1:34" x14ac:dyDescent="0.25">
      <c r="B172" s="3">
        <f t="shared" ref="B172:AF172" si="108">$C19*EXP(-B$168/$A19/EXP(-$C$126))</f>
        <v>8.5701557636401818E-2</v>
      </c>
      <c r="C172" s="3">
        <f t="shared" si="108"/>
        <v>8.5701557636401818E-2</v>
      </c>
      <c r="D172" s="3">
        <f t="shared" si="108"/>
        <v>8.5701557636401818E-2</v>
      </c>
      <c r="E172" s="3">
        <f t="shared" si="108"/>
        <v>8.5701557636401818E-2</v>
      </c>
      <c r="F172" s="3">
        <f t="shared" si="108"/>
        <v>8.5701557636401818E-2</v>
      </c>
      <c r="G172" s="3">
        <f t="shared" si="108"/>
        <v>8.5701557636401818E-2</v>
      </c>
      <c r="H172" s="3">
        <f t="shared" si="108"/>
        <v>8.570155763640179E-2</v>
      </c>
      <c r="I172" s="3">
        <f t="shared" si="108"/>
        <v>8.5701557636401526E-2</v>
      </c>
      <c r="J172" s="3">
        <f t="shared" si="108"/>
        <v>8.5701557636398834E-2</v>
      </c>
      <c r="K172" s="3">
        <f t="shared" si="108"/>
        <v>8.5701557636372022E-2</v>
      </c>
      <c r="L172" s="3">
        <f t="shared" si="108"/>
        <v>8.570155763610382E-2</v>
      </c>
      <c r="M172" s="3">
        <f t="shared" si="108"/>
        <v>8.5701557633421868E-2</v>
      </c>
      <c r="N172" s="3">
        <f t="shared" si="108"/>
        <v>8.5701557606602335E-2</v>
      </c>
      <c r="O172" s="3">
        <f t="shared" si="108"/>
        <v>8.5701557338406939E-2</v>
      </c>
      <c r="P172" s="3">
        <f t="shared" si="108"/>
        <v>8.5701554656453058E-2</v>
      </c>
      <c r="Q172" s="3">
        <f t="shared" si="108"/>
        <v>8.5701527836918895E-2</v>
      </c>
      <c r="R172" s="3">
        <f t="shared" si="108"/>
        <v>8.5701259642038799E-2</v>
      </c>
      <c r="S172" s="3">
        <f t="shared" si="108"/>
        <v>8.5698577739398471E-2</v>
      </c>
      <c r="T172" s="3">
        <f t="shared" si="108"/>
        <v>8.5671763328516157E-2</v>
      </c>
      <c r="U172" s="3">
        <f t="shared" si="108"/>
        <v>8.5404080237814414E-2</v>
      </c>
      <c r="V172" s="3">
        <f t="shared" si="108"/>
        <v>8.2772821777199385E-2</v>
      </c>
      <c r="W172" s="3">
        <f t="shared" si="108"/>
        <v>6.0531184165700025E-2</v>
      </c>
      <c r="X172" s="3">
        <f t="shared" si="108"/>
        <v>2.6478492903897291E-3</v>
      </c>
      <c r="Y172" s="3">
        <f t="shared" si="108"/>
        <v>6.7925709892139908E-17</v>
      </c>
      <c r="Z172" s="3">
        <f t="shared" si="108"/>
        <v>8.3838484868902727E-153</v>
      </c>
      <c r="AA172" s="3">
        <f t="shared" si="108"/>
        <v>0</v>
      </c>
      <c r="AB172" s="3">
        <f t="shared" si="108"/>
        <v>0</v>
      </c>
      <c r="AC172" s="3">
        <f t="shared" si="108"/>
        <v>0</v>
      </c>
      <c r="AD172" s="3">
        <f t="shared" si="108"/>
        <v>0</v>
      </c>
      <c r="AE172" s="3">
        <f t="shared" si="108"/>
        <v>0</v>
      </c>
      <c r="AF172" s="3">
        <f t="shared" si="108"/>
        <v>0</v>
      </c>
      <c r="AG172" s="3"/>
      <c r="AH172" s="3"/>
    </row>
    <row r="173" spans="1:34" x14ac:dyDescent="0.25">
      <c r="B173" s="3">
        <f t="shared" ref="B173:AF173" si="109">$C20*EXP(-B$168/$A20/EXP(-$C$126))</f>
        <v>3.0493834764101356E-2</v>
      </c>
      <c r="C173" s="3">
        <f t="shared" si="109"/>
        <v>3.0493834764101356E-2</v>
      </c>
      <c r="D173" s="3">
        <f t="shared" si="109"/>
        <v>3.0493834764101356E-2</v>
      </c>
      <c r="E173" s="3">
        <f t="shared" si="109"/>
        <v>3.0493834764101356E-2</v>
      </c>
      <c r="F173" s="3">
        <f t="shared" si="109"/>
        <v>3.0493834764101356E-2</v>
      </c>
      <c r="G173" s="3">
        <f t="shared" si="109"/>
        <v>3.0493834764101356E-2</v>
      </c>
      <c r="H173" s="3">
        <f t="shared" si="109"/>
        <v>3.0493834764101356E-2</v>
      </c>
      <c r="I173" s="3">
        <f t="shared" si="109"/>
        <v>3.0493834764101346E-2</v>
      </c>
      <c r="J173" s="3">
        <f t="shared" si="109"/>
        <v>3.0493834764101262E-2</v>
      </c>
      <c r="K173" s="3">
        <f t="shared" si="109"/>
        <v>3.0493834764100398E-2</v>
      </c>
      <c r="L173" s="3">
        <f t="shared" si="109"/>
        <v>3.0493834764091791E-2</v>
      </c>
      <c r="M173" s="3">
        <f t="shared" si="109"/>
        <v>3.049383476400571E-2</v>
      </c>
      <c r="N173" s="3">
        <f t="shared" si="109"/>
        <v>3.0493834763144868E-2</v>
      </c>
      <c r="O173" s="3">
        <f t="shared" si="109"/>
        <v>3.0493834754536493E-2</v>
      </c>
      <c r="P173" s="3">
        <f t="shared" si="109"/>
        <v>3.0493834668452732E-2</v>
      </c>
      <c r="Q173" s="3">
        <f t="shared" si="109"/>
        <v>3.0493833807615143E-2</v>
      </c>
      <c r="R173" s="3">
        <f t="shared" si="109"/>
        <v>3.0493825199240557E-2</v>
      </c>
      <c r="S173" s="3">
        <f t="shared" si="109"/>
        <v>3.0493739115628353E-2</v>
      </c>
      <c r="T173" s="3">
        <f t="shared" si="109"/>
        <v>3.0492878292871929E-2</v>
      </c>
      <c r="U173" s="3">
        <f t="shared" si="109"/>
        <v>3.0484271401726888E-2</v>
      </c>
      <c r="V173" s="3">
        <f t="shared" si="109"/>
        <v>3.0398335992712695E-2</v>
      </c>
      <c r="W173" s="3">
        <f t="shared" si="109"/>
        <v>2.9552193748800398E-2</v>
      </c>
      <c r="X173" s="3">
        <f t="shared" si="109"/>
        <v>2.228378040341018E-2</v>
      </c>
      <c r="Y173" s="3">
        <f t="shared" si="109"/>
        <v>1.3242815128348849E-3</v>
      </c>
      <c r="Z173" s="3">
        <f t="shared" si="109"/>
        <v>7.2760349873656549E-16</v>
      </c>
      <c r="AA173" s="3">
        <f t="shared" si="109"/>
        <v>1.8240611908687894E-138</v>
      </c>
      <c r="AB173" s="3">
        <f t="shared" si="109"/>
        <v>0</v>
      </c>
      <c r="AC173" s="3">
        <f t="shared" si="109"/>
        <v>0</v>
      </c>
      <c r="AD173" s="3">
        <f t="shared" si="109"/>
        <v>0</v>
      </c>
      <c r="AE173" s="3">
        <f t="shared" si="109"/>
        <v>0</v>
      </c>
      <c r="AF173" s="3">
        <f t="shared" si="109"/>
        <v>0</v>
      </c>
      <c r="AG173" s="3"/>
      <c r="AH173" s="3"/>
    </row>
    <row r="174" spans="1:34" x14ac:dyDescent="0.25">
      <c r="B174" s="3">
        <f t="shared" ref="B174:AF174" si="110">$C21*EXP(-B$168/$A21/EXP(-$C$126))</f>
        <v>5.1956618575789072E-2</v>
      </c>
      <c r="C174" s="3">
        <f t="shared" si="110"/>
        <v>5.1956618575789072E-2</v>
      </c>
      <c r="D174" s="3">
        <f t="shared" si="110"/>
        <v>5.1956618575789072E-2</v>
      </c>
      <c r="E174" s="3">
        <f t="shared" si="110"/>
        <v>5.1956618575789072E-2</v>
      </c>
      <c r="F174" s="3">
        <f t="shared" si="110"/>
        <v>5.1956618575789072E-2</v>
      </c>
      <c r="G174" s="3">
        <f t="shared" si="110"/>
        <v>5.1956618575789072E-2</v>
      </c>
      <c r="H174" s="3">
        <f t="shared" si="110"/>
        <v>5.1956618575789072E-2</v>
      </c>
      <c r="I174" s="3">
        <f t="shared" si="110"/>
        <v>5.1956618575789072E-2</v>
      </c>
      <c r="J174" s="3">
        <f t="shared" si="110"/>
        <v>5.1956618575789058E-2</v>
      </c>
      <c r="K174" s="3">
        <f t="shared" si="110"/>
        <v>5.1956618575788927E-2</v>
      </c>
      <c r="L174" s="3">
        <f t="shared" si="110"/>
        <v>5.1956618575787601E-2</v>
      </c>
      <c r="M174" s="3">
        <f t="shared" si="110"/>
        <v>5.1956618575774369E-2</v>
      </c>
      <c r="N174" s="3">
        <f t="shared" si="110"/>
        <v>5.1956618575642058E-2</v>
      </c>
      <c r="O174" s="3">
        <f t="shared" si="110"/>
        <v>5.195661857431895E-2</v>
      </c>
      <c r="P174" s="3">
        <f t="shared" si="110"/>
        <v>5.1956618561087825E-2</v>
      </c>
      <c r="Q174" s="3">
        <f t="shared" si="110"/>
        <v>5.1956618428776608E-2</v>
      </c>
      <c r="R174" s="3">
        <f t="shared" si="110"/>
        <v>5.1956617105664474E-2</v>
      </c>
      <c r="S174" s="3">
        <f t="shared" si="110"/>
        <v>5.195660387454501E-2</v>
      </c>
      <c r="T174" s="3">
        <f t="shared" si="110"/>
        <v>5.1956471563535604E-2</v>
      </c>
      <c r="U174" s="3">
        <f t="shared" si="110"/>
        <v>5.1955148471973064E-2</v>
      </c>
      <c r="V174" s="3">
        <f t="shared" si="110"/>
        <v>5.1941919409323099E-2</v>
      </c>
      <c r="W174" s="3">
        <f t="shared" si="110"/>
        <v>5.1809813905892496E-2</v>
      </c>
      <c r="X174" s="3">
        <f t="shared" si="110"/>
        <v>5.0507097931540651E-2</v>
      </c>
      <c r="Y174" s="3">
        <f t="shared" si="110"/>
        <v>3.9152206653244752E-2</v>
      </c>
      <c r="Z174" s="3">
        <f t="shared" si="110"/>
        <v>3.0675703736378944E-3</v>
      </c>
      <c r="AA174" s="3">
        <f t="shared" si="110"/>
        <v>2.6740987377653739E-14</v>
      </c>
      <c r="AB174" s="3">
        <f t="shared" si="110"/>
        <v>6.776516212698712E-125</v>
      </c>
      <c r="AC174" s="3">
        <f t="shared" si="110"/>
        <v>0</v>
      </c>
      <c r="AD174" s="3">
        <f t="shared" si="110"/>
        <v>0</v>
      </c>
      <c r="AE174" s="3">
        <f t="shared" si="110"/>
        <v>0</v>
      </c>
      <c r="AF174" s="3">
        <f t="shared" si="110"/>
        <v>0</v>
      </c>
      <c r="AG174" s="3"/>
      <c r="AH174" s="3"/>
    </row>
    <row r="175" spans="1:34" x14ac:dyDescent="0.25">
      <c r="B175" s="3">
        <f t="shared" ref="B175:AF175" si="111">$C22*EXP(-B$168/$A22/EXP(-$C$126))</f>
        <v>4.953314033701034E-2</v>
      </c>
      <c r="C175" s="3">
        <f t="shared" si="111"/>
        <v>4.953314033701034E-2</v>
      </c>
      <c r="D175" s="3">
        <f t="shared" si="111"/>
        <v>4.953314033701034E-2</v>
      </c>
      <c r="E175" s="3">
        <f t="shared" si="111"/>
        <v>4.953314033701034E-2</v>
      </c>
      <c r="F175" s="3">
        <f t="shared" si="111"/>
        <v>4.953314033701034E-2</v>
      </c>
      <c r="G175" s="3">
        <f t="shared" si="111"/>
        <v>4.953314033701034E-2</v>
      </c>
      <c r="H175" s="3">
        <f t="shared" si="111"/>
        <v>4.953314033701034E-2</v>
      </c>
      <c r="I175" s="3">
        <f t="shared" si="111"/>
        <v>4.953314033701034E-2</v>
      </c>
      <c r="J175" s="3">
        <f t="shared" si="111"/>
        <v>4.953314033701034E-2</v>
      </c>
      <c r="K175" s="3">
        <f t="shared" si="111"/>
        <v>4.9533140337010326E-2</v>
      </c>
      <c r="L175" s="3">
        <f t="shared" si="111"/>
        <v>4.9533140337010215E-2</v>
      </c>
      <c r="M175" s="3">
        <f t="shared" si="111"/>
        <v>4.9533140337009077E-2</v>
      </c>
      <c r="N175" s="3">
        <f t="shared" si="111"/>
        <v>4.9533140336997697E-2</v>
      </c>
      <c r="O175" s="3">
        <f t="shared" si="111"/>
        <v>4.9533140336883906E-2</v>
      </c>
      <c r="P175" s="3">
        <f t="shared" si="111"/>
        <v>4.9533140335746025E-2</v>
      </c>
      <c r="Q175" s="3">
        <f t="shared" si="111"/>
        <v>4.9533140324367182E-2</v>
      </c>
      <c r="R175" s="3">
        <f t="shared" si="111"/>
        <v>4.9533140210578717E-2</v>
      </c>
      <c r="S175" s="3">
        <f t="shared" si="111"/>
        <v>4.9533139072694098E-2</v>
      </c>
      <c r="T175" s="3">
        <f t="shared" si="111"/>
        <v>4.9533127693849335E-2</v>
      </c>
      <c r="U175" s="3">
        <f t="shared" si="111"/>
        <v>4.9533013905545521E-2</v>
      </c>
      <c r="V175" s="3">
        <f t="shared" si="111"/>
        <v>4.9531876036884068E-2</v>
      </c>
      <c r="W175" s="3">
        <f t="shared" si="111"/>
        <v>4.9520498787817342E-2</v>
      </c>
      <c r="X175" s="3">
        <f t="shared" si="111"/>
        <v>4.9406869929812643E-2</v>
      </c>
      <c r="Y175" s="3">
        <f t="shared" si="111"/>
        <v>4.8284823278976423E-2</v>
      </c>
      <c r="Z175" s="3">
        <f t="shared" si="111"/>
        <v>3.83745856596691E-2</v>
      </c>
      <c r="AA175" s="3">
        <f t="shared" si="111"/>
        <v>3.8581066625991783E-3</v>
      </c>
      <c r="AB175" s="3">
        <f t="shared" si="111"/>
        <v>4.0707978669012035E-13</v>
      </c>
      <c r="AC175" s="3">
        <f t="shared" si="111"/>
        <v>6.9619775689055163E-113</v>
      </c>
      <c r="AD175" s="3">
        <f t="shared" si="111"/>
        <v>0</v>
      </c>
      <c r="AE175" s="3">
        <f t="shared" si="111"/>
        <v>0</v>
      </c>
      <c r="AF175" s="3">
        <f t="shared" si="111"/>
        <v>0</v>
      </c>
      <c r="AG175" s="3"/>
      <c r="AH175" s="3"/>
    </row>
    <row r="176" spans="1:34" x14ac:dyDescent="0.25">
      <c r="B176" s="3">
        <f t="shared" ref="B176:AF176" si="112">$C23*EXP(-B$168/$A23/EXP(-$C$126))</f>
        <v>7.2790684842208797E-2</v>
      </c>
      <c r="C176" s="3">
        <f t="shared" si="112"/>
        <v>7.2790684842208797E-2</v>
      </c>
      <c r="D176" s="3">
        <f t="shared" si="112"/>
        <v>7.2790684842208797E-2</v>
      </c>
      <c r="E176" s="3">
        <f t="shared" si="112"/>
        <v>7.2790684842208797E-2</v>
      </c>
      <c r="F176" s="3">
        <f t="shared" si="112"/>
        <v>7.2790684842208797E-2</v>
      </c>
      <c r="G176" s="3">
        <f t="shared" si="112"/>
        <v>7.2790684842208797E-2</v>
      </c>
      <c r="H176" s="3">
        <f t="shared" si="112"/>
        <v>7.2790684842208797E-2</v>
      </c>
      <c r="I176" s="3">
        <f t="shared" si="112"/>
        <v>7.2790684842208797E-2</v>
      </c>
      <c r="J176" s="3">
        <f t="shared" si="112"/>
        <v>7.2790684842208797E-2</v>
      </c>
      <c r="K176" s="3">
        <f t="shared" si="112"/>
        <v>7.2790684842208797E-2</v>
      </c>
      <c r="L176" s="3">
        <f t="shared" si="112"/>
        <v>7.2790684842208783E-2</v>
      </c>
      <c r="M176" s="3">
        <f t="shared" si="112"/>
        <v>7.2790684842208631E-2</v>
      </c>
      <c r="N176" s="3">
        <f t="shared" si="112"/>
        <v>7.2790684842207118E-2</v>
      </c>
      <c r="O176" s="3">
        <f t="shared" si="112"/>
        <v>7.2790684842192033E-2</v>
      </c>
      <c r="P176" s="3">
        <f t="shared" si="112"/>
        <v>7.2790684842041195E-2</v>
      </c>
      <c r="Q176" s="3">
        <f t="shared" si="112"/>
        <v>7.2790684840532763E-2</v>
      </c>
      <c r="R176" s="3">
        <f t="shared" si="112"/>
        <v>7.2790684825448482E-2</v>
      </c>
      <c r="S176" s="3">
        <f t="shared" si="112"/>
        <v>7.2790684674605616E-2</v>
      </c>
      <c r="T176" s="3">
        <f t="shared" si="112"/>
        <v>7.2790683166177012E-2</v>
      </c>
      <c r="U176" s="3">
        <f t="shared" si="112"/>
        <v>7.2790668081892607E-2</v>
      </c>
      <c r="V176" s="3">
        <f t="shared" si="112"/>
        <v>7.279051723922049E-2</v>
      </c>
      <c r="W176" s="3">
        <f t="shared" si="112"/>
        <v>7.2789008829691651E-2</v>
      </c>
      <c r="X176" s="3">
        <f t="shared" si="112"/>
        <v>7.2773926453496479E-2</v>
      </c>
      <c r="Y176" s="3">
        <f t="shared" si="112"/>
        <v>7.2623274469126128E-2</v>
      </c>
      <c r="Z176" s="3">
        <f t="shared" si="112"/>
        <v>7.1133801400937127E-2</v>
      </c>
      <c r="AA176" s="3">
        <f t="shared" si="112"/>
        <v>5.7819979339257394E-2</v>
      </c>
      <c r="AB176" s="3">
        <f t="shared" si="112"/>
        <v>7.2794249494721446E-3</v>
      </c>
      <c r="AC176" s="3">
        <f t="shared" si="112"/>
        <v>7.2826339223811873E-12</v>
      </c>
      <c r="AD176" s="3">
        <f t="shared" si="112"/>
        <v>7.3148015577020839E-102</v>
      </c>
      <c r="AE176" s="3">
        <f t="shared" si="112"/>
        <v>0</v>
      </c>
      <c r="AF176" s="3">
        <f t="shared" si="112"/>
        <v>0</v>
      </c>
      <c r="AG176" s="3"/>
      <c r="AH176" s="3"/>
    </row>
    <row r="177" spans="2:34" x14ac:dyDescent="0.25">
      <c r="B177" s="3">
        <f t="shared" ref="B177:AF177" si="113">$C24*EXP(-B$168/$A24/EXP(-$C$126))</f>
        <v>8.9662910534614892E-2</v>
      </c>
      <c r="C177" s="3">
        <f t="shared" si="113"/>
        <v>8.9662910534614892E-2</v>
      </c>
      <c r="D177" s="3">
        <f t="shared" si="113"/>
        <v>8.9662910534614892E-2</v>
      </c>
      <c r="E177" s="3">
        <f t="shared" si="113"/>
        <v>8.9662910534614892E-2</v>
      </c>
      <c r="F177" s="3">
        <f t="shared" si="113"/>
        <v>8.9662910534614892E-2</v>
      </c>
      <c r="G177" s="3">
        <f t="shared" si="113"/>
        <v>8.9662910534614892E-2</v>
      </c>
      <c r="H177" s="3">
        <f t="shared" si="113"/>
        <v>8.9662910534614892E-2</v>
      </c>
      <c r="I177" s="3">
        <f t="shared" si="113"/>
        <v>8.9662910534614892E-2</v>
      </c>
      <c r="J177" s="3">
        <f t="shared" si="113"/>
        <v>8.9662910534614892E-2</v>
      </c>
      <c r="K177" s="3">
        <f t="shared" si="113"/>
        <v>8.9662910534614892E-2</v>
      </c>
      <c r="L177" s="3">
        <f t="shared" si="113"/>
        <v>8.9662910534614892E-2</v>
      </c>
      <c r="M177" s="3">
        <f t="shared" si="113"/>
        <v>8.9662910534614879E-2</v>
      </c>
      <c r="N177" s="3">
        <f t="shared" si="113"/>
        <v>8.9662910534614698E-2</v>
      </c>
      <c r="O177" s="3">
        <f t="shared" si="113"/>
        <v>8.9662910534613033E-2</v>
      </c>
      <c r="P177" s="3">
        <f t="shared" si="113"/>
        <v>8.9662910534596268E-2</v>
      </c>
      <c r="Q177" s="3">
        <f t="shared" si="113"/>
        <v>8.9662910534428653E-2</v>
      </c>
      <c r="R177" s="3">
        <f t="shared" si="113"/>
        <v>8.9662910532752521E-2</v>
      </c>
      <c r="S177" s="3">
        <f t="shared" si="113"/>
        <v>8.9662910515991193E-2</v>
      </c>
      <c r="T177" s="3">
        <f t="shared" si="113"/>
        <v>8.9662910348377922E-2</v>
      </c>
      <c r="U177" s="3">
        <f t="shared" si="113"/>
        <v>8.9662908672245314E-2</v>
      </c>
      <c r="V177" s="3">
        <f t="shared" si="113"/>
        <v>8.966289191092075E-2</v>
      </c>
      <c r="W177" s="3">
        <f t="shared" si="113"/>
        <v>8.9662724297847607E-2</v>
      </c>
      <c r="X177" s="3">
        <f t="shared" si="113"/>
        <v>8.9661048184349279E-2</v>
      </c>
      <c r="Y177" s="3">
        <f t="shared" si="113"/>
        <v>8.9644288772556202E-2</v>
      </c>
      <c r="Z177" s="3">
        <f t="shared" si="113"/>
        <v>8.9476866854531587E-2</v>
      </c>
      <c r="AA177" s="3">
        <f t="shared" si="113"/>
        <v>8.7819749153062135E-2</v>
      </c>
      <c r="AB177" s="3">
        <f t="shared" si="113"/>
        <v>7.2846121126623739E-2</v>
      </c>
      <c r="AC177" s="3">
        <f t="shared" si="113"/>
        <v>1.1234372644371736E-2</v>
      </c>
      <c r="AD177" s="3">
        <f t="shared" si="113"/>
        <v>8.5501308745102202E-11</v>
      </c>
      <c r="AE177" s="3">
        <f t="shared" si="113"/>
        <v>5.5745797530947428E-92</v>
      </c>
      <c r="AF177" s="3">
        <f t="shared" si="113"/>
        <v>0</v>
      </c>
      <c r="AG177" s="3"/>
      <c r="AH177" s="3"/>
    </row>
    <row r="178" spans="2:34" x14ac:dyDescent="0.25">
      <c r="B178" s="3">
        <f t="shared" ref="B178:AF178" si="114">$C25*EXP(-B$168/$A25/EXP(-$C$126))</f>
        <v>0.1059802083256471</v>
      </c>
      <c r="C178" s="3">
        <f t="shared" si="114"/>
        <v>0.1059802083256471</v>
      </c>
      <c r="D178" s="3">
        <f t="shared" si="114"/>
        <v>0.1059802083256471</v>
      </c>
      <c r="E178" s="3">
        <f t="shared" si="114"/>
        <v>0.1059802083256471</v>
      </c>
      <c r="F178" s="3">
        <f t="shared" si="114"/>
        <v>0.1059802083256471</v>
      </c>
      <c r="G178" s="3">
        <f t="shared" si="114"/>
        <v>0.1059802083256471</v>
      </c>
      <c r="H178" s="3">
        <f t="shared" si="114"/>
        <v>0.1059802083256471</v>
      </c>
      <c r="I178" s="3">
        <f t="shared" si="114"/>
        <v>0.1059802083256471</v>
      </c>
      <c r="J178" s="3">
        <f t="shared" si="114"/>
        <v>0.1059802083256471</v>
      </c>
      <c r="K178" s="3">
        <f t="shared" si="114"/>
        <v>0.1059802083256471</v>
      </c>
      <c r="L178" s="3">
        <f t="shared" si="114"/>
        <v>0.1059802083256471</v>
      </c>
      <c r="M178" s="3">
        <f t="shared" si="114"/>
        <v>0.1059802083256471</v>
      </c>
      <c r="N178" s="3">
        <f t="shared" si="114"/>
        <v>0.10598020832564707</v>
      </c>
      <c r="O178" s="3">
        <f t="shared" si="114"/>
        <v>0.1059802083256469</v>
      </c>
      <c r="P178" s="3">
        <f t="shared" si="114"/>
        <v>0.10598020832564511</v>
      </c>
      <c r="Q178" s="3">
        <f t="shared" si="114"/>
        <v>0.10598020832562724</v>
      </c>
      <c r="R178" s="3">
        <f t="shared" si="114"/>
        <v>0.10598020832544852</v>
      </c>
      <c r="S178" s="3">
        <f t="shared" si="114"/>
        <v>0.10598020832366134</v>
      </c>
      <c r="T178" s="3">
        <f t="shared" si="114"/>
        <v>0.10598020830578961</v>
      </c>
      <c r="U178" s="3">
        <f t="shared" si="114"/>
        <v>0.10598020812707218</v>
      </c>
      <c r="V178" s="3">
        <f t="shared" si="114"/>
        <v>0.10598020633989788</v>
      </c>
      <c r="W178" s="3">
        <f t="shared" si="114"/>
        <v>0.10598018846815664</v>
      </c>
      <c r="X178" s="3">
        <f t="shared" si="114"/>
        <v>0.10598000975091004</v>
      </c>
      <c r="Y178" s="3">
        <f t="shared" si="114"/>
        <v>0.10597822259501961</v>
      </c>
      <c r="Z178" s="3">
        <f t="shared" si="114"/>
        <v>0.10596035269356986</v>
      </c>
      <c r="AA178" s="3">
        <f t="shared" si="114"/>
        <v>0.105781819321162</v>
      </c>
      <c r="AB178" s="3">
        <f t="shared" si="114"/>
        <v>0.10401294691962162</v>
      </c>
      <c r="AC178" s="3">
        <f t="shared" si="114"/>
        <v>8.7872117307002243E-2</v>
      </c>
      <c r="AD178" s="3">
        <f t="shared" si="114"/>
        <v>1.6273763117410751E-2</v>
      </c>
      <c r="AE178" s="3">
        <f t="shared" si="114"/>
        <v>7.724261726201926E-10</v>
      </c>
      <c r="AF178" s="3">
        <f t="shared" si="114"/>
        <v>4.4827744559420895E-83</v>
      </c>
      <c r="AG178" s="3"/>
      <c r="AH178" s="3"/>
    </row>
    <row r="179" spans="2:34" x14ac:dyDescent="0.25">
      <c r="B179" s="3">
        <f t="shared" ref="B179:AF179" si="115">$C26*EXP(-B$168/$A26/EXP(-$C$126))</f>
        <v>0.12848084538695642</v>
      </c>
      <c r="C179" s="3">
        <f t="shared" si="115"/>
        <v>0.12848084538695642</v>
      </c>
      <c r="D179" s="3">
        <f t="shared" si="115"/>
        <v>0.12848084538695642</v>
      </c>
      <c r="E179" s="3">
        <f t="shared" si="115"/>
        <v>0.12848084538695642</v>
      </c>
      <c r="F179" s="3">
        <f t="shared" si="115"/>
        <v>0.12848084538695642</v>
      </c>
      <c r="G179" s="3">
        <f t="shared" si="115"/>
        <v>0.12848084538695642</v>
      </c>
      <c r="H179" s="3">
        <f t="shared" si="115"/>
        <v>0.12848084538695642</v>
      </c>
      <c r="I179" s="3">
        <f t="shared" si="115"/>
        <v>0.12848084538695642</v>
      </c>
      <c r="J179" s="3">
        <f t="shared" si="115"/>
        <v>0.12848084538695642</v>
      </c>
      <c r="K179" s="3">
        <f t="shared" si="115"/>
        <v>0.12848084538695642</v>
      </c>
      <c r="L179" s="3">
        <f t="shared" si="115"/>
        <v>0.12848084538695642</v>
      </c>
      <c r="M179" s="3">
        <f t="shared" si="115"/>
        <v>0.12848084538695642</v>
      </c>
      <c r="N179" s="3">
        <f t="shared" si="115"/>
        <v>0.12848084538695642</v>
      </c>
      <c r="O179" s="3">
        <f t="shared" si="115"/>
        <v>0.12848084538695639</v>
      </c>
      <c r="P179" s="3">
        <f t="shared" si="115"/>
        <v>0.1284808453869562</v>
      </c>
      <c r="Q179" s="3">
        <f t="shared" si="115"/>
        <v>0.12848084538695426</v>
      </c>
      <c r="R179" s="3">
        <f t="shared" si="115"/>
        <v>0.12848084538693472</v>
      </c>
      <c r="S179" s="3">
        <f t="shared" si="115"/>
        <v>0.12848084538673926</v>
      </c>
      <c r="T179" s="3">
        <f t="shared" si="115"/>
        <v>0.1284808453847848</v>
      </c>
      <c r="U179" s="3">
        <f t="shared" si="115"/>
        <v>0.12848084536524018</v>
      </c>
      <c r="V179" s="3">
        <f t="shared" si="115"/>
        <v>0.12848084516979402</v>
      </c>
      <c r="W179" s="3">
        <f t="shared" si="115"/>
        <v>0.12848084321533254</v>
      </c>
      <c r="X179" s="3">
        <f t="shared" si="115"/>
        <v>0.12848082367071936</v>
      </c>
      <c r="Y179" s="3">
        <f t="shared" si="115"/>
        <v>0.12848062822475098</v>
      </c>
      <c r="Z179" s="3">
        <f t="shared" si="115"/>
        <v>0.12847867378141942</v>
      </c>
      <c r="AA179" s="3">
        <f t="shared" si="115"/>
        <v>0.12845913098323047</v>
      </c>
      <c r="AB179" s="3">
        <f t="shared" si="115"/>
        <v>0.12826386642200599</v>
      </c>
      <c r="AC179" s="3">
        <f t="shared" si="115"/>
        <v>0.12632747126848845</v>
      </c>
      <c r="AD179" s="3">
        <f t="shared" si="115"/>
        <v>0.1085007045926344</v>
      </c>
      <c r="AE179" s="3">
        <f t="shared" si="115"/>
        <v>2.3701733720232505E-2</v>
      </c>
      <c r="AF179" s="3">
        <f t="shared" si="115"/>
        <v>5.8648333615828179E-9</v>
      </c>
      <c r="AG179" s="3"/>
      <c r="AH179" s="3"/>
    </row>
    <row r="180" spans="2:34" x14ac:dyDescent="0.25">
      <c r="B180" s="3">
        <f t="shared" ref="B180:AF180" si="116">$C27*EXP(-B$168/$A27/EXP(-$C$126))</f>
        <v>9.2499277670536229E-2</v>
      </c>
      <c r="C180" s="3">
        <f t="shared" si="116"/>
        <v>9.2499277670536229E-2</v>
      </c>
      <c r="D180" s="3">
        <f t="shared" si="116"/>
        <v>9.2499277670536229E-2</v>
      </c>
      <c r="E180" s="3">
        <f t="shared" si="116"/>
        <v>9.2499277670536229E-2</v>
      </c>
      <c r="F180" s="3">
        <f t="shared" si="116"/>
        <v>9.2499277670536229E-2</v>
      </c>
      <c r="G180" s="3">
        <f t="shared" si="116"/>
        <v>9.2499277670536229E-2</v>
      </c>
      <c r="H180" s="3">
        <f t="shared" si="116"/>
        <v>9.2499277670536229E-2</v>
      </c>
      <c r="I180" s="3">
        <f t="shared" si="116"/>
        <v>9.2499277670536229E-2</v>
      </c>
      <c r="J180" s="3">
        <f t="shared" si="116"/>
        <v>9.2499277670536229E-2</v>
      </c>
      <c r="K180" s="3">
        <f t="shared" si="116"/>
        <v>9.2499277670536229E-2</v>
      </c>
      <c r="L180" s="3">
        <f t="shared" si="116"/>
        <v>9.2499277670536229E-2</v>
      </c>
      <c r="M180" s="3">
        <f t="shared" si="116"/>
        <v>9.2499277670536229E-2</v>
      </c>
      <c r="N180" s="3">
        <f t="shared" si="116"/>
        <v>9.2499277670536229E-2</v>
      </c>
      <c r="O180" s="3">
        <f t="shared" si="116"/>
        <v>9.2499277670536229E-2</v>
      </c>
      <c r="P180" s="3">
        <f t="shared" si="116"/>
        <v>9.2499277670536215E-2</v>
      </c>
      <c r="Q180" s="3">
        <f t="shared" si="116"/>
        <v>9.249927767053609E-2</v>
      </c>
      <c r="R180" s="3">
        <f t="shared" si="116"/>
        <v>9.2499277670534827E-2</v>
      </c>
      <c r="S180" s="3">
        <f t="shared" si="116"/>
        <v>9.2499277670522129E-2</v>
      </c>
      <c r="T180" s="3">
        <f t="shared" si="116"/>
        <v>9.2499277670395189E-2</v>
      </c>
      <c r="U180" s="3">
        <f t="shared" si="116"/>
        <v>9.2499277669125871E-2</v>
      </c>
      <c r="V180" s="3">
        <f t="shared" si="116"/>
        <v>9.2499277656432594E-2</v>
      </c>
      <c r="W180" s="3">
        <f t="shared" si="116"/>
        <v>9.2499277529499851E-2</v>
      </c>
      <c r="X180" s="3">
        <f t="shared" si="116"/>
        <v>9.2499276260172431E-2</v>
      </c>
      <c r="Y180" s="3">
        <f t="shared" si="116"/>
        <v>9.2499263566899137E-2</v>
      </c>
      <c r="Z180" s="3">
        <f t="shared" si="116"/>
        <v>9.2499136634262125E-2</v>
      </c>
      <c r="AA180" s="3">
        <f t="shared" si="116"/>
        <v>9.2497867317472116E-2</v>
      </c>
      <c r="AB180" s="3">
        <f t="shared" si="116"/>
        <v>9.2485175107531514E-2</v>
      </c>
      <c r="AC180" s="3">
        <f t="shared" si="116"/>
        <v>9.235834875546152E-2</v>
      </c>
      <c r="AD180" s="3">
        <f t="shared" si="116"/>
        <v>9.1099611532032609E-2</v>
      </c>
      <c r="AE180" s="3">
        <f t="shared" si="116"/>
        <v>7.9418225399806919E-2</v>
      </c>
      <c r="AF180" s="3">
        <f t="shared" si="116"/>
        <v>2.0135235491163729E-2</v>
      </c>
      <c r="AG180" s="3"/>
      <c r="AH180" s="3"/>
    </row>
    <row r="181" spans="2:34" x14ac:dyDescent="0.25">
      <c r="B181" s="3">
        <f t="shared" ref="B181:AF181" si="117">$C28*EXP(-B$168/$A28/EXP(-$C$126))</f>
        <v>5.52958361106754E-2</v>
      </c>
      <c r="C181" s="3">
        <f t="shared" si="117"/>
        <v>5.52958361106754E-2</v>
      </c>
      <c r="D181" s="3">
        <f t="shared" si="117"/>
        <v>5.52958361106754E-2</v>
      </c>
      <c r="E181" s="3">
        <f t="shared" si="117"/>
        <v>5.52958361106754E-2</v>
      </c>
      <c r="F181" s="3">
        <f t="shared" si="117"/>
        <v>5.52958361106754E-2</v>
      </c>
      <c r="G181" s="3">
        <f t="shared" si="117"/>
        <v>5.52958361106754E-2</v>
      </c>
      <c r="H181" s="3">
        <f t="shared" si="117"/>
        <v>5.52958361106754E-2</v>
      </c>
      <c r="I181" s="3">
        <f t="shared" si="117"/>
        <v>5.52958361106754E-2</v>
      </c>
      <c r="J181" s="3">
        <f t="shared" si="117"/>
        <v>5.52958361106754E-2</v>
      </c>
      <c r="K181" s="3">
        <f t="shared" si="117"/>
        <v>5.52958361106754E-2</v>
      </c>
      <c r="L181" s="3">
        <f t="shared" si="117"/>
        <v>5.52958361106754E-2</v>
      </c>
      <c r="M181" s="3">
        <f t="shared" si="117"/>
        <v>5.52958361106754E-2</v>
      </c>
      <c r="N181" s="3">
        <f t="shared" si="117"/>
        <v>5.52958361106754E-2</v>
      </c>
      <c r="O181" s="3">
        <f t="shared" si="117"/>
        <v>5.52958361106754E-2</v>
      </c>
      <c r="P181" s="3">
        <f t="shared" si="117"/>
        <v>5.52958361106754E-2</v>
      </c>
      <c r="Q181" s="3">
        <f t="shared" si="117"/>
        <v>5.5295836110675393E-2</v>
      </c>
      <c r="R181" s="3">
        <f t="shared" si="117"/>
        <v>5.5295836110675324E-2</v>
      </c>
      <c r="S181" s="3">
        <f t="shared" si="117"/>
        <v>5.5295836110674637E-2</v>
      </c>
      <c r="T181" s="3">
        <f t="shared" si="117"/>
        <v>5.5295836110667795E-2</v>
      </c>
      <c r="U181" s="3">
        <f t="shared" si="117"/>
        <v>5.5295836110599343E-2</v>
      </c>
      <c r="V181" s="3">
        <f t="shared" si="117"/>
        <v>5.5295836109914842E-2</v>
      </c>
      <c r="W181" s="3">
        <f t="shared" si="117"/>
        <v>5.5295836103069831E-2</v>
      </c>
      <c r="X181" s="3">
        <f t="shared" si="117"/>
        <v>5.529583603461969E-2</v>
      </c>
      <c r="Y181" s="3">
        <f t="shared" si="117"/>
        <v>5.5295835350118283E-2</v>
      </c>
      <c r="Z181" s="3">
        <f t="shared" si="117"/>
        <v>5.5295828505104727E-2</v>
      </c>
      <c r="AA181" s="3">
        <f t="shared" si="117"/>
        <v>5.5295760055015734E-2</v>
      </c>
      <c r="AB181" s="3">
        <f t="shared" si="117"/>
        <v>5.5295075558786155E-2</v>
      </c>
      <c r="AC181" s="3">
        <f t="shared" si="117"/>
        <v>5.5288231062502115E-2</v>
      </c>
      <c r="AD181" s="3">
        <f t="shared" si="117"/>
        <v>5.521983267949767E-2</v>
      </c>
      <c r="AE181" s="3">
        <f t="shared" si="117"/>
        <v>5.4540485569055684E-2</v>
      </c>
      <c r="AF181" s="3">
        <f t="shared" si="117"/>
        <v>4.8190134407994765E-2</v>
      </c>
      <c r="AG181" s="3"/>
      <c r="AH181" s="3"/>
    </row>
    <row r="182" spans="2:34" x14ac:dyDescent="0.25">
      <c r="B182" s="3">
        <f t="shared" ref="B182:AF182" si="118">$C29*EXP(-B$168/$A29/EXP(-$C$126))</f>
        <v>3.0991280928739252E-2</v>
      </c>
      <c r="C182" s="3">
        <f t="shared" si="118"/>
        <v>3.0991280928739252E-2</v>
      </c>
      <c r="D182" s="3">
        <f t="shared" si="118"/>
        <v>3.0991280928739252E-2</v>
      </c>
      <c r="E182" s="3">
        <f t="shared" si="118"/>
        <v>3.0991280928739252E-2</v>
      </c>
      <c r="F182" s="3">
        <f t="shared" si="118"/>
        <v>3.0991280928739252E-2</v>
      </c>
      <c r="G182" s="3">
        <f t="shared" si="118"/>
        <v>3.0991280928739252E-2</v>
      </c>
      <c r="H182" s="3">
        <f t="shared" si="118"/>
        <v>3.0991280928739252E-2</v>
      </c>
      <c r="I182" s="3">
        <f t="shared" si="118"/>
        <v>3.0991280928739252E-2</v>
      </c>
      <c r="J182" s="3">
        <f t="shared" si="118"/>
        <v>3.0991280928739252E-2</v>
      </c>
      <c r="K182" s="3">
        <f t="shared" si="118"/>
        <v>3.0991280928739252E-2</v>
      </c>
      <c r="L182" s="3">
        <f t="shared" si="118"/>
        <v>3.0991280928739252E-2</v>
      </c>
      <c r="M182" s="3">
        <f t="shared" si="118"/>
        <v>3.0991280928739252E-2</v>
      </c>
      <c r="N182" s="3">
        <f t="shared" si="118"/>
        <v>3.0991280928739252E-2</v>
      </c>
      <c r="O182" s="3">
        <f t="shared" si="118"/>
        <v>3.0991280928739252E-2</v>
      </c>
      <c r="P182" s="3">
        <f t="shared" si="118"/>
        <v>3.0991280928739252E-2</v>
      </c>
      <c r="Q182" s="3">
        <f t="shared" si="118"/>
        <v>3.0991280928739252E-2</v>
      </c>
      <c r="R182" s="3">
        <f t="shared" si="118"/>
        <v>3.0991280928739248E-2</v>
      </c>
      <c r="S182" s="3">
        <f t="shared" si="118"/>
        <v>3.0991280928739214E-2</v>
      </c>
      <c r="T182" s="3">
        <f t="shared" si="118"/>
        <v>3.0991280928738867E-2</v>
      </c>
      <c r="U182" s="3">
        <f t="shared" si="118"/>
        <v>3.0991280928735404E-2</v>
      </c>
      <c r="V182" s="3">
        <f t="shared" si="118"/>
        <v>3.09912809287008E-2</v>
      </c>
      <c r="W182" s="3">
        <f t="shared" si="118"/>
        <v>3.0991280928354726E-2</v>
      </c>
      <c r="X182" s="3">
        <f t="shared" si="118"/>
        <v>3.0991280924893991E-2</v>
      </c>
      <c r="Y182" s="3">
        <f t="shared" si="118"/>
        <v>3.0991280890286667E-2</v>
      </c>
      <c r="Z182" s="3">
        <f t="shared" si="118"/>
        <v>3.099128054421342E-2</v>
      </c>
      <c r="AA182" s="3">
        <f t="shared" si="118"/>
        <v>3.0991277083481133E-2</v>
      </c>
      <c r="AB182" s="3">
        <f t="shared" si="118"/>
        <v>3.0991242476179539E-2</v>
      </c>
      <c r="AC182" s="3">
        <f t="shared" si="118"/>
        <v>3.0990896405289077E-2</v>
      </c>
      <c r="AD182" s="3">
        <f t="shared" si="118"/>
        <v>3.0987435908923763E-2</v>
      </c>
      <c r="AE182" s="3">
        <f t="shared" si="118"/>
        <v>3.0952852190424106E-2</v>
      </c>
      <c r="AF182" s="3">
        <f t="shared" si="118"/>
        <v>3.0609130769039868E-2</v>
      </c>
      <c r="AG182" s="3"/>
      <c r="AH182" s="3"/>
    </row>
    <row r="183" spans="2:34" x14ac:dyDescent="0.25">
      <c r="B183" s="3">
        <f t="shared" ref="B183:AF183" si="119">$C30*EXP(-B$168/$A30/EXP(-$C$126))</f>
        <v>6.4185010590350885E-3</v>
      </c>
      <c r="C183" s="3">
        <f t="shared" si="119"/>
        <v>6.4185010590350885E-3</v>
      </c>
      <c r="D183" s="3">
        <f t="shared" si="119"/>
        <v>6.4185010590350885E-3</v>
      </c>
      <c r="E183" s="3">
        <f t="shared" si="119"/>
        <v>6.4185010590350885E-3</v>
      </c>
      <c r="F183" s="3">
        <f t="shared" si="119"/>
        <v>6.4185010590350885E-3</v>
      </c>
      <c r="G183" s="3">
        <f t="shared" si="119"/>
        <v>6.4185010590350885E-3</v>
      </c>
      <c r="H183" s="3">
        <f t="shared" si="119"/>
        <v>6.4185010590350885E-3</v>
      </c>
      <c r="I183" s="3">
        <f t="shared" si="119"/>
        <v>6.4185010590350885E-3</v>
      </c>
      <c r="J183" s="3">
        <f t="shared" si="119"/>
        <v>6.4185010590350885E-3</v>
      </c>
      <c r="K183" s="3">
        <f t="shared" si="119"/>
        <v>6.4185010590350885E-3</v>
      </c>
      <c r="L183" s="3">
        <f t="shared" si="119"/>
        <v>6.4185010590350885E-3</v>
      </c>
      <c r="M183" s="3">
        <f t="shared" si="119"/>
        <v>6.4185010590350885E-3</v>
      </c>
      <c r="N183" s="3">
        <f t="shared" si="119"/>
        <v>6.4185010590350885E-3</v>
      </c>
      <c r="O183" s="3">
        <f t="shared" si="119"/>
        <v>6.4185010590350885E-3</v>
      </c>
      <c r="P183" s="3">
        <f t="shared" si="119"/>
        <v>6.4185010590350885E-3</v>
      </c>
      <c r="Q183" s="3">
        <f t="shared" si="119"/>
        <v>6.4185010590350885E-3</v>
      </c>
      <c r="R183" s="3">
        <f t="shared" si="119"/>
        <v>6.4185010590350885E-3</v>
      </c>
      <c r="S183" s="3">
        <f t="shared" si="119"/>
        <v>6.4185010590350876E-3</v>
      </c>
      <c r="T183" s="3">
        <f t="shared" si="119"/>
        <v>6.4185010590350816E-3</v>
      </c>
      <c r="U183" s="3">
        <f t="shared" si="119"/>
        <v>6.4185010590350165E-3</v>
      </c>
      <c r="V183" s="3">
        <f t="shared" si="119"/>
        <v>6.4185010590343703E-3</v>
      </c>
      <c r="W183" s="3">
        <f t="shared" si="119"/>
        <v>6.418501059027905E-3</v>
      </c>
      <c r="X183" s="3">
        <f t="shared" si="119"/>
        <v>6.4185010589632484E-3</v>
      </c>
      <c r="Y183" s="3">
        <f t="shared" si="119"/>
        <v>6.4185010583166884E-3</v>
      </c>
      <c r="Z183" s="3">
        <f t="shared" si="119"/>
        <v>6.4185010518510903E-3</v>
      </c>
      <c r="AA183" s="3">
        <f t="shared" si="119"/>
        <v>6.4185009871951084E-3</v>
      </c>
      <c r="AB183" s="3">
        <f t="shared" si="119"/>
        <v>6.4185003406353235E-3</v>
      </c>
      <c r="AC183" s="3">
        <f t="shared" si="119"/>
        <v>6.418493875041056E-3</v>
      </c>
      <c r="AD183" s="3">
        <f t="shared" si="119"/>
        <v>6.4184292194565951E-3</v>
      </c>
      <c r="AE183" s="3">
        <f t="shared" si="119"/>
        <v>6.4177826994322286E-3</v>
      </c>
      <c r="AF183" s="3">
        <f t="shared" si="119"/>
        <v>6.4113210798780731E-3</v>
      </c>
      <c r="AG183" s="3"/>
      <c r="AH183" s="3"/>
    </row>
    <row r="184" spans="2:34" x14ac:dyDescent="0.25">
      <c r="B184" s="3">
        <f t="shared" ref="B184:AF184" si="120">$C31*EXP(-B$168/$A31/EXP(-$C$126))</f>
        <v>3.5931837599499803E-3</v>
      </c>
      <c r="C184" s="3">
        <f t="shared" si="120"/>
        <v>3.5931837599499803E-3</v>
      </c>
      <c r="D184" s="3">
        <f t="shared" si="120"/>
        <v>3.5931837599499803E-3</v>
      </c>
      <c r="E184" s="3">
        <f t="shared" si="120"/>
        <v>3.5931837599499803E-3</v>
      </c>
      <c r="F184" s="3">
        <f t="shared" si="120"/>
        <v>3.5931837599499803E-3</v>
      </c>
      <c r="G184" s="3">
        <f t="shared" si="120"/>
        <v>3.5931837599499803E-3</v>
      </c>
      <c r="H184" s="3">
        <f t="shared" si="120"/>
        <v>3.5931837599499803E-3</v>
      </c>
      <c r="I184" s="3">
        <f t="shared" si="120"/>
        <v>3.5931837599499803E-3</v>
      </c>
      <c r="J184" s="3">
        <f t="shared" si="120"/>
        <v>3.5931837599499803E-3</v>
      </c>
      <c r="K184" s="3">
        <f t="shared" si="120"/>
        <v>3.5931837599499803E-3</v>
      </c>
      <c r="L184" s="3">
        <f t="shared" si="120"/>
        <v>3.5931837599499803E-3</v>
      </c>
      <c r="M184" s="3">
        <f t="shared" si="120"/>
        <v>3.5931837599499803E-3</v>
      </c>
      <c r="N184" s="3">
        <f t="shared" si="120"/>
        <v>3.5931837599499803E-3</v>
      </c>
      <c r="O184" s="3">
        <f t="shared" si="120"/>
        <v>3.5931837599499803E-3</v>
      </c>
      <c r="P184" s="3">
        <f t="shared" si="120"/>
        <v>3.5931837599499803E-3</v>
      </c>
      <c r="Q184" s="3">
        <f t="shared" si="120"/>
        <v>3.5931837599499803E-3</v>
      </c>
      <c r="R184" s="3">
        <f t="shared" si="120"/>
        <v>3.5931837599499803E-3</v>
      </c>
      <c r="S184" s="3">
        <f t="shared" si="120"/>
        <v>3.5931837599499803E-3</v>
      </c>
      <c r="T184" s="3">
        <f t="shared" si="120"/>
        <v>3.5931837599499799E-3</v>
      </c>
      <c r="U184" s="3">
        <f t="shared" si="120"/>
        <v>3.5931837599499769E-3</v>
      </c>
      <c r="V184" s="3">
        <f t="shared" si="120"/>
        <v>3.5931837599499439E-3</v>
      </c>
      <c r="W184" s="3">
        <f t="shared" si="120"/>
        <v>3.5931837599496178E-3</v>
      </c>
      <c r="X184" s="3">
        <f t="shared" si="120"/>
        <v>3.5931837599463526E-3</v>
      </c>
      <c r="Y184" s="3">
        <f t="shared" si="120"/>
        <v>3.5931837599137012E-3</v>
      </c>
      <c r="Z184" s="3">
        <f t="shared" si="120"/>
        <v>3.5931837595871876E-3</v>
      </c>
      <c r="AA184" s="3">
        <f t="shared" si="120"/>
        <v>3.593183756322053E-3</v>
      </c>
      <c r="AB184" s="3">
        <f t="shared" si="120"/>
        <v>3.5931837236707048E-3</v>
      </c>
      <c r="AC184" s="3">
        <f t="shared" si="120"/>
        <v>3.5931833971572418E-3</v>
      </c>
      <c r="AD184" s="3">
        <f t="shared" si="120"/>
        <v>3.5931801320242432E-3</v>
      </c>
      <c r="AE184" s="3">
        <f t="shared" si="120"/>
        <v>3.5931474808574412E-3</v>
      </c>
      <c r="AF184" s="3">
        <f t="shared" si="120"/>
        <v>3.5928209855075133E-3</v>
      </c>
      <c r="AG184" s="3"/>
      <c r="AH184" s="3"/>
    </row>
    <row r="185" spans="2:34" x14ac:dyDescent="0.25">
      <c r="B185" s="3">
        <f t="shared" ref="B185:AF185" si="121">$C32*EXP(-B$168/$A32/EXP(-$C$126))</f>
        <v>1.3759911447272116E-3</v>
      </c>
      <c r="C185" s="3">
        <f t="shared" si="121"/>
        <v>1.3759911447272116E-3</v>
      </c>
      <c r="D185" s="3">
        <f t="shared" si="121"/>
        <v>1.3759911447272116E-3</v>
      </c>
      <c r="E185" s="3">
        <f t="shared" si="121"/>
        <v>1.3759911447272116E-3</v>
      </c>
      <c r="F185" s="3">
        <f t="shared" si="121"/>
        <v>1.3759911447272116E-3</v>
      </c>
      <c r="G185" s="3">
        <f t="shared" si="121"/>
        <v>1.3759911447272116E-3</v>
      </c>
      <c r="H185" s="3">
        <f t="shared" si="121"/>
        <v>1.3759911447272116E-3</v>
      </c>
      <c r="I185" s="3">
        <f t="shared" si="121"/>
        <v>1.3759911447272116E-3</v>
      </c>
      <c r="J185" s="3">
        <f t="shared" si="121"/>
        <v>1.3759911447272116E-3</v>
      </c>
      <c r="K185" s="3">
        <f t="shared" si="121"/>
        <v>1.3759911447272116E-3</v>
      </c>
      <c r="L185" s="3">
        <f t="shared" si="121"/>
        <v>1.3759911447272116E-3</v>
      </c>
      <c r="M185" s="3">
        <f t="shared" si="121"/>
        <v>1.3759911447272116E-3</v>
      </c>
      <c r="N185" s="3">
        <f t="shared" si="121"/>
        <v>1.3759911447272116E-3</v>
      </c>
      <c r="O185" s="3">
        <f t="shared" si="121"/>
        <v>1.3759911447272116E-3</v>
      </c>
      <c r="P185" s="3">
        <f t="shared" si="121"/>
        <v>1.3759911447272116E-3</v>
      </c>
      <c r="Q185" s="3">
        <f t="shared" si="121"/>
        <v>1.3759911447272116E-3</v>
      </c>
      <c r="R185" s="3">
        <f t="shared" si="121"/>
        <v>1.3759911447272116E-3</v>
      </c>
      <c r="S185" s="3">
        <f t="shared" si="121"/>
        <v>1.3759911447272116E-3</v>
      </c>
      <c r="T185" s="3">
        <f t="shared" si="121"/>
        <v>1.3759911447272116E-3</v>
      </c>
      <c r="U185" s="3">
        <f t="shared" si="121"/>
        <v>1.3759911447272114E-3</v>
      </c>
      <c r="V185" s="3">
        <f t="shared" si="121"/>
        <v>1.3759911447272103E-3</v>
      </c>
      <c r="W185" s="3">
        <f t="shared" si="121"/>
        <v>1.375991144727199E-3</v>
      </c>
      <c r="X185" s="3">
        <f t="shared" si="121"/>
        <v>1.3759911447270862E-3</v>
      </c>
      <c r="Y185" s="3">
        <f t="shared" si="121"/>
        <v>1.3759911447259582E-3</v>
      </c>
      <c r="Z185" s="3">
        <f t="shared" si="121"/>
        <v>1.3759911447146791E-3</v>
      </c>
      <c r="AA185" s="3">
        <f t="shared" si="121"/>
        <v>1.3759911446018854E-3</v>
      </c>
      <c r="AB185" s="3">
        <f t="shared" si="121"/>
        <v>1.3759911434739508E-3</v>
      </c>
      <c r="AC185" s="3">
        <f t="shared" si="121"/>
        <v>1.3759911321946049E-3</v>
      </c>
      <c r="AD185" s="3">
        <f t="shared" si="121"/>
        <v>1.3759910194011506E-3</v>
      </c>
      <c r="AE185" s="3">
        <f t="shared" si="121"/>
        <v>1.3759898914671156E-3</v>
      </c>
      <c r="AF185" s="3">
        <f t="shared" si="121"/>
        <v>1.3759786121776195E-3</v>
      </c>
      <c r="AG185" s="3"/>
      <c r="AH185" s="3"/>
    </row>
    <row r="186" spans="2:34" x14ac:dyDescent="0.25">
      <c r="B186" s="3">
        <f t="shared" ref="B186:AF186" si="122">$C33*EXP(-B$168/$A33/EXP(-$C$126))</f>
        <v>1.7729334570218164E-4</v>
      </c>
      <c r="C186" s="3">
        <f t="shared" si="122"/>
        <v>1.7729334570218164E-4</v>
      </c>
      <c r="D186" s="3">
        <f t="shared" si="122"/>
        <v>1.7729334570218164E-4</v>
      </c>
      <c r="E186" s="3">
        <f t="shared" si="122"/>
        <v>1.7729334570218164E-4</v>
      </c>
      <c r="F186" s="3">
        <f t="shared" si="122"/>
        <v>1.7729334570218164E-4</v>
      </c>
      <c r="G186" s="3">
        <f t="shared" si="122"/>
        <v>1.7729334570218164E-4</v>
      </c>
      <c r="H186" s="3">
        <f t="shared" si="122"/>
        <v>1.7729334570218164E-4</v>
      </c>
      <c r="I186" s="3">
        <f t="shared" si="122"/>
        <v>1.7729334570218164E-4</v>
      </c>
      <c r="J186" s="3">
        <f t="shared" si="122"/>
        <v>1.7729334570218164E-4</v>
      </c>
      <c r="K186" s="3">
        <f t="shared" si="122"/>
        <v>1.7729334570218164E-4</v>
      </c>
      <c r="L186" s="3">
        <f t="shared" si="122"/>
        <v>1.7729334570218164E-4</v>
      </c>
      <c r="M186" s="3">
        <f t="shared" si="122"/>
        <v>1.7729334570218164E-4</v>
      </c>
      <c r="N186" s="3">
        <f t="shared" si="122"/>
        <v>1.7729334570218164E-4</v>
      </c>
      <c r="O186" s="3">
        <f t="shared" si="122"/>
        <v>1.7729334570218164E-4</v>
      </c>
      <c r="P186" s="3">
        <f t="shared" si="122"/>
        <v>1.7729334570218164E-4</v>
      </c>
      <c r="Q186" s="3">
        <f t="shared" si="122"/>
        <v>1.7729334570218164E-4</v>
      </c>
      <c r="R186" s="3">
        <f t="shared" si="122"/>
        <v>1.7729334570218164E-4</v>
      </c>
      <c r="S186" s="3">
        <f t="shared" si="122"/>
        <v>1.7729334570218164E-4</v>
      </c>
      <c r="T186" s="3">
        <f t="shared" si="122"/>
        <v>1.7729334570218164E-4</v>
      </c>
      <c r="U186" s="3">
        <f t="shared" si="122"/>
        <v>1.7729334570218164E-4</v>
      </c>
      <c r="V186" s="3">
        <f t="shared" si="122"/>
        <v>1.7729334570218161E-4</v>
      </c>
      <c r="W186" s="3">
        <f t="shared" si="122"/>
        <v>1.7729334570218151E-4</v>
      </c>
      <c r="X186" s="3">
        <f t="shared" si="122"/>
        <v>1.7729334570218018E-4</v>
      </c>
      <c r="Y186" s="3">
        <f t="shared" si="122"/>
        <v>1.7729334570216709E-4</v>
      </c>
      <c r="Z186" s="3">
        <f t="shared" si="122"/>
        <v>1.7729334570203595E-4</v>
      </c>
      <c r="AA186" s="3">
        <f t="shared" si="122"/>
        <v>1.7729334570072496E-4</v>
      </c>
      <c r="AB186" s="3">
        <f t="shared" si="122"/>
        <v>1.7729334568761482E-4</v>
      </c>
      <c r="AC186" s="3">
        <f t="shared" si="122"/>
        <v>1.7729334555651344E-4</v>
      </c>
      <c r="AD186" s="3">
        <f t="shared" si="122"/>
        <v>1.7729334424549951E-4</v>
      </c>
      <c r="AE186" s="3">
        <f t="shared" si="122"/>
        <v>1.7729333113536077E-4</v>
      </c>
      <c r="AF186" s="3">
        <f t="shared" si="122"/>
        <v>1.7729320003402691E-4</v>
      </c>
      <c r="AG186" s="3"/>
      <c r="AH186" s="3"/>
    </row>
    <row r="187" spans="2:34" x14ac:dyDescent="0.25">
      <c r="B187" s="3">
        <f t="shared" ref="B187:AF187" si="123">$C34*EXP(-B$168/$A34/EXP(-$C$126))</f>
        <v>4.3065005159432222E-4</v>
      </c>
      <c r="C187" s="3">
        <f t="shared" si="123"/>
        <v>4.3065005159432222E-4</v>
      </c>
      <c r="D187" s="3">
        <f t="shared" si="123"/>
        <v>4.3065005159432222E-4</v>
      </c>
      <c r="E187" s="3">
        <f t="shared" si="123"/>
        <v>4.3065005159432222E-4</v>
      </c>
      <c r="F187" s="3">
        <f t="shared" si="123"/>
        <v>4.3065005159432222E-4</v>
      </c>
      <c r="G187" s="3">
        <f t="shared" si="123"/>
        <v>4.3065005159432222E-4</v>
      </c>
      <c r="H187" s="3">
        <f t="shared" si="123"/>
        <v>4.3065005159432222E-4</v>
      </c>
      <c r="I187" s="3">
        <f t="shared" si="123"/>
        <v>4.3065005159432222E-4</v>
      </c>
      <c r="J187" s="3">
        <f t="shared" si="123"/>
        <v>4.3065005159432222E-4</v>
      </c>
      <c r="K187" s="3">
        <f t="shared" si="123"/>
        <v>4.3065005159432222E-4</v>
      </c>
      <c r="L187" s="3">
        <f t="shared" si="123"/>
        <v>4.3065005159432222E-4</v>
      </c>
      <c r="M187" s="3">
        <f t="shared" si="123"/>
        <v>4.3065005159432222E-4</v>
      </c>
      <c r="N187" s="3">
        <f t="shared" si="123"/>
        <v>4.3065005159432222E-4</v>
      </c>
      <c r="O187" s="3">
        <f t="shared" si="123"/>
        <v>4.3065005159432222E-4</v>
      </c>
      <c r="P187" s="3">
        <f t="shared" si="123"/>
        <v>4.3065005159432222E-4</v>
      </c>
      <c r="Q187" s="3">
        <f t="shared" si="123"/>
        <v>4.3065005159432222E-4</v>
      </c>
      <c r="R187" s="3">
        <f t="shared" si="123"/>
        <v>4.3065005159432222E-4</v>
      </c>
      <c r="S187" s="3">
        <f t="shared" si="123"/>
        <v>4.3065005159432222E-4</v>
      </c>
      <c r="T187" s="3">
        <f t="shared" si="123"/>
        <v>4.3065005159432222E-4</v>
      </c>
      <c r="U187" s="3">
        <f t="shared" si="123"/>
        <v>4.3065005159432222E-4</v>
      </c>
      <c r="V187" s="3">
        <f t="shared" si="123"/>
        <v>4.3065005159432222E-4</v>
      </c>
      <c r="W187" s="3">
        <f t="shared" si="123"/>
        <v>4.3065005159432216E-4</v>
      </c>
      <c r="X187" s="3">
        <f t="shared" si="123"/>
        <v>4.3065005159432189E-4</v>
      </c>
      <c r="Y187" s="3">
        <f t="shared" si="123"/>
        <v>4.3065005159431902E-4</v>
      </c>
      <c r="Z187" s="3">
        <f t="shared" si="123"/>
        <v>4.3065005159429029E-4</v>
      </c>
      <c r="AA187" s="3">
        <f t="shared" si="123"/>
        <v>4.3065005159400303E-4</v>
      </c>
      <c r="AB187" s="3">
        <f t="shared" si="123"/>
        <v>4.3065005159113033E-4</v>
      </c>
      <c r="AC187" s="3">
        <f t="shared" si="123"/>
        <v>4.3065005156240368E-4</v>
      </c>
      <c r="AD187" s="3">
        <f t="shared" si="123"/>
        <v>4.3065005127513651E-4</v>
      </c>
      <c r="AE187" s="3">
        <f t="shared" si="123"/>
        <v>4.3065004840246501E-4</v>
      </c>
      <c r="AF187" s="3">
        <f t="shared" si="123"/>
        <v>4.3065001967575124E-4</v>
      </c>
      <c r="AG187" s="3"/>
      <c r="AH187" s="3"/>
    </row>
    <row r="188" spans="2:34" x14ac:dyDescent="0.25">
      <c r="B188" s="3">
        <f t="shared" ref="B188:AF188" si="124">$C35*EXP(-B$168/$A35/EXP(-$C$126))</f>
        <v>5.9717869572018282E-4</v>
      </c>
      <c r="C188" s="3">
        <f t="shared" si="124"/>
        <v>5.9717869572018282E-4</v>
      </c>
      <c r="D188" s="3">
        <f t="shared" si="124"/>
        <v>5.9717869572018282E-4</v>
      </c>
      <c r="E188" s="3">
        <f t="shared" si="124"/>
        <v>5.9717869572018282E-4</v>
      </c>
      <c r="F188" s="3">
        <f t="shared" si="124"/>
        <v>5.9717869572018282E-4</v>
      </c>
      <c r="G188" s="3">
        <f t="shared" si="124"/>
        <v>5.9717869572018282E-4</v>
      </c>
      <c r="H188" s="3">
        <f t="shared" si="124"/>
        <v>5.9717869572018282E-4</v>
      </c>
      <c r="I188" s="3">
        <f t="shared" si="124"/>
        <v>5.9717869572018282E-4</v>
      </c>
      <c r="J188" s="3">
        <f t="shared" si="124"/>
        <v>5.9717869572018282E-4</v>
      </c>
      <c r="K188" s="3">
        <f t="shared" si="124"/>
        <v>5.9717869572018282E-4</v>
      </c>
      <c r="L188" s="3">
        <f t="shared" si="124"/>
        <v>5.9717869572018282E-4</v>
      </c>
      <c r="M188" s="3">
        <f t="shared" si="124"/>
        <v>5.9717869572018282E-4</v>
      </c>
      <c r="N188" s="3">
        <f t="shared" si="124"/>
        <v>5.9717869572018282E-4</v>
      </c>
      <c r="O188" s="3">
        <f t="shared" si="124"/>
        <v>5.9717869572018282E-4</v>
      </c>
      <c r="P188" s="3">
        <f t="shared" si="124"/>
        <v>5.9717869572018282E-4</v>
      </c>
      <c r="Q188" s="3">
        <f t="shared" si="124"/>
        <v>5.9717869572018282E-4</v>
      </c>
      <c r="R188" s="3">
        <f t="shared" si="124"/>
        <v>5.9717869572018282E-4</v>
      </c>
      <c r="S188" s="3">
        <f t="shared" si="124"/>
        <v>5.9717869572018282E-4</v>
      </c>
      <c r="T188" s="3">
        <f t="shared" si="124"/>
        <v>5.9717869572018282E-4</v>
      </c>
      <c r="U188" s="3">
        <f t="shared" si="124"/>
        <v>5.9717869572018282E-4</v>
      </c>
      <c r="V188" s="3">
        <f t="shared" si="124"/>
        <v>5.9717869572018282E-4</v>
      </c>
      <c r="W188" s="3">
        <f t="shared" si="124"/>
        <v>5.9717869572018282E-4</v>
      </c>
      <c r="X188" s="3">
        <f t="shared" si="124"/>
        <v>5.9717869572018271E-4</v>
      </c>
      <c r="Y188" s="3">
        <f t="shared" si="124"/>
        <v>5.9717869572018239E-4</v>
      </c>
      <c r="Z188" s="3">
        <f t="shared" si="124"/>
        <v>5.9717869572017881E-4</v>
      </c>
      <c r="AA188" s="3">
        <f t="shared" si="124"/>
        <v>5.9717869572014292E-4</v>
      </c>
      <c r="AB188" s="3">
        <f t="shared" si="124"/>
        <v>5.9717869571978351E-4</v>
      </c>
      <c r="AC188" s="3">
        <f t="shared" si="124"/>
        <v>5.9717869571619014E-4</v>
      </c>
      <c r="AD188" s="3">
        <f t="shared" si="124"/>
        <v>5.9717869568025556E-4</v>
      </c>
      <c r="AE188" s="3">
        <f t="shared" si="124"/>
        <v>5.9717869532090987E-4</v>
      </c>
      <c r="AF188" s="3">
        <f t="shared" si="124"/>
        <v>5.9717869172745371E-4</v>
      </c>
      <c r="AG188" s="3"/>
      <c r="AH188" s="3"/>
    </row>
    <row r="189" spans="2:34" x14ac:dyDescent="0.25">
      <c r="B189" s="3">
        <f t="shared" ref="B189:AF189" si="125">$C36*EXP(-B$168/$A36/EXP(-$C$126))</f>
        <v>5.2966364389967348E-4</v>
      </c>
      <c r="C189" s="3">
        <f t="shared" si="125"/>
        <v>5.2966364389967348E-4</v>
      </c>
      <c r="D189" s="3">
        <f t="shared" si="125"/>
        <v>5.2966364389967348E-4</v>
      </c>
      <c r="E189" s="3">
        <f t="shared" si="125"/>
        <v>5.2966364389967348E-4</v>
      </c>
      <c r="F189" s="3">
        <f t="shared" si="125"/>
        <v>5.2966364389967348E-4</v>
      </c>
      <c r="G189" s="3">
        <f t="shared" si="125"/>
        <v>5.2966364389967348E-4</v>
      </c>
      <c r="H189" s="3">
        <f t="shared" si="125"/>
        <v>5.2966364389967348E-4</v>
      </c>
      <c r="I189" s="3">
        <f t="shared" si="125"/>
        <v>5.2966364389967348E-4</v>
      </c>
      <c r="J189" s="3">
        <f t="shared" si="125"/>
        <v>5.2966364389967348E-4</v>
      </c>
      <c r="K189" s="3">
        <f t="shared" si="125"/>
        <v>5.2966364389967348E-4</v>
      </c>
      <c r="L189" s="3">
        <f t="shared" si="125"/>
        <v>5.2966364389967348E-4</v>
      </c>
      <c r="M189" s="3">
        <f t="shared" si="125"/>
        <v>5.2966364389967348E-4</v>
      </c>
      <c r="N189" s="3">
        <f t="shared" si="125"/>
        <v>5.2966364389967348E-4</v>
      </c>
      <c r="O189" s="3">
        <f t="shared" si="125"/>
        <v>5.2966364389967348E-4</v>
      </c>
      <c r="P189" s="3">
        <f t="shared" si="125"/>
        <v>5.2966364389967348E-4</v>
      </c>
      <c r="Q189" s="3">
        <f t="shared" si="125"/>
        <v>5.2966364389967348E-4</v>
      </c>
      <c r="R189" s="3">
        <f t="shared" si="125"/>
        <v>5.2966364389967348E-4</v>
      </c>
      <c r="S189" s="3">
        <f t="shared" si="125"/>
        <v>5.2966364389967348E-4</v>
      </c>
      <c r="T189" s="3">
        <f t="shared" si="125"/>
        <v>5.2966364389967348E-4</v>
      </c>
      <c r="U189" s="3">
        <f t="shared" si="125"/>
        <v>5.2966364389967348E-4</v>
      </c>
      <c r="V189" s="3">
        <f t="shared" si="125"/>
        <v>5.2966364389967348E-4</v>
      </c>
      <c r="W189" s="3">
        <f t="shared" si="125"/>
        <v>5.2966364389967348E-4</v>
      </c>
      <c r="X189" s="3">
        <f t="shared" si="125"/>
        <v>5.2966364389967348E-4</v>
      </c>
      <c r="Y189" s="3">
        <f t="shared" si="125"/>
        <v>5.2966364389967337E-4</v>
      </c>
      <c r="Z189" s="3">
        <f t="shared" si="125"/>
        <v>5.2966364389967315E-4</v>
      </c>
      <c r="AA189" s="3">
        <f t="shared" si="125"/>
        <v>5.2966364389967033E-4</v>
      </c>
      <c r="AB189" s="3">
        <f t="shared" si="125"/>
        <v>5.2966364389964149E-4</v>
      </c>
      <c r="AC189" s="3">
        <f t="shared" si="125"/>
        <v>5.2966364389935396E-4</v>
      </c>
      <c r="AD189" s="3">
        <f t="shared" si="125"/>
        <v>5.2966364389647887E-4</v>
      </c>
      <c r="AE189" s="3">
        <f t="shared" si="125"/>
        <v>5.2966364386772778E-4</v>
      </c>
      <c r="AF189" s="3">
        <f t="shared" si="125"/>
        <v>5.2966364358021656E-4</v>
      </c>
      <c r="AG189" s="3"/>
      <c r="AH189" s="3"/>
    </row>
    <row r="190" spans="2:34" x14ac:dyDescent="0.25">
      <c r="B190" s="3">
        <f t="shared" ref="B190:AF190" si="126">$C37*EXP(-B$168/$A37/EXP(-$C$126))</f>
        <v>3.7946363748828321E-4</v>
      </c>
      <c r="C190" s="3">
        <f t="shared" si="126"/>
        <v>3.7946363748828321E-4</v>
      </c>
      <c r="D190" s="3">
        <f t="shared" si="126"/>
        <v>3.7946363748828321E-4</v>
      </c>
      <c r="E190" s="3">
        <f t="shared" si="126"/>
        <v>3.7946363748828321E-4</v>
      </c>
      <c r="F190" s="3">
        <f t="shared" si="126"/>
        <v>3.7946363748828321E-4</v>
      </c>
      <c r="G190" s="3">
        <f t="shared" si="126"/>
        <v>3.7946363748828321E-4</v>
      </c>
      <c r="H190" s="3">
        <f t="shared" si="126"/>
        <v>3.7946363748828321E-4</v>
      </c>
      <c r="I190" s="3">
        <f t="shared" si="126"/>
        <v>3.7946363748828321E-4</v>
      </c>
      <c r="J190" s="3">
        <f t="shared" si="126"/>
        <v>3.7946363748828321E-4</v>
      </c>
      <c r="K190" s="3">
        <f t="shared" si="126"/>
        <v>3.7946363748828321E-4</v>
      </c>
      <c r="L190" s="3">
        <f t="shared" si="126"/>
        <v>3.7946363748828321E-4</v>
      </c>
      <c r="M190" s="3">
        <f t="shared" si="126"/>
        <v>3.7946363748828321E-4</v>
      </c>
      <c r="N190" s="3">
        <f t="shared" si="126"/>
        <v>3.7946363748828321E-4</v>
      </c>
      <c r="O190" s="3">
        <f t="shared" si="126"/>
        <v>3.7946363748828321E-4</v>
      </c>
      <c r="P190" s="3">
        <f t="shared" si="126"/>
        <v>3.7946363748828321E-4</v>
      </c>
      <c r="Q190" s="3">
        <f t="shared" si="126"/>
        <v>3.7946363748828321E-4</v>
      </c>
      <c r="R190" s="3">
        <f t="shared" si="126"/>
        <v>3.7946363748828321E-4</v>
      </c>
      <c r="S190" s="3">
        <f t="shared" si="126"/>
        <v>3.7946363748828321E-4</v>
      </c>
      <c r="T190" s="3">
        <f t="shared" si="126"/>
        <v>3.7946363748828321E-4</v>
      </c>
      <c r="U190" s="3">
        <f t="shared" si="126"/>
        <v>3.7946363748828321E-4</v>
      </c>
      <c r="V190" s="3">
        <f t="shared" si="126"/>
        <v>3.7946363748828321E-4</v>
      </c>
      <c r="W190" s="3">
        <f t="shared" si="126"/>
        <v>3.7946363748828321E-4</v>
      </c>
      <c r="X190" s="3">
        <f t="shared" si="126"/>
        <v>3.7946363748828321E-4</v>
      </c>
      <c r="Y190" s="3">
        <f t="shared" si="126"/>
        <v>3.7946363748828321E-4</v>
      </c>
      <c r="Z190" s="3">
        <f t="shared" si="126"/>
        <v>3.7946363748828321E-4</v>
      </c>
      <c r="AA190" s="3">
        <f t="shared" si="126"/>
        <v>3.79463637488283E-4</v>
      </c>
      <c r="AB190" s="3">
        <f t="shared" si="126"/>
        <v>3.7946363748828115E-4</v>
      </c>
      <c r="AC190" s="3">
        <f t="shared" si="126"/>
        <v>3.7946363748826256E-4</v>
      </c>
      <c r="AD190" s="3">
        <f t="shared" si="126"/>
        <v>3.7946363748807673E-4</v>
      </c>
      <c r="AE190" s="3">
        <f t="shared" si="126"/>
        <v>3.7946363748621862E-4</v>
      </c>
      <c r="AF190" s="3">
        <f t="shared" si="126"/>
        <v>3.7946363746763756E-4</v>
      </c>
      <c r="AG190" s="3"/>
      <c r="AH190" s="3"/>
    </row>
    <row r="191" spans="2:34" x14ac:dyDescent="0.25">
      <c r="B191" s="3">
        <f t="shared" ref="B191:AF191" si="127">$C38*EXP(-B$168/$A38/EXP(-$C$126))</f>
        <v>2.9006625777866605E-4</v>
      </c>
      <c r="C191" s="3">
        <f t="shared" si="127"/>
        <v>2.9006625777866605E-4</v>
      </c>
      <c r="D191" s="3">
        <f t="shared" si="127"/>
        <v>2.9006625777866605E-4</v>
      </c>
      <c r="E191" s="3">
        <f t="shared" si="127"/>
        <v>2.9006625777866605E-4</v>
      </c>
      <c r="F191" s="3">
        <f t="shared" si="127"/>
        <v>2.9006625777866605E-4</v>
      </c>
      <c r="G191" s="3">
        <f t="shared" si="127"/>
        <v>2.9006625777866605E-4</v>
      </c>
      <c r="H191" s="3">
        <f t="shared" si="127"/>
        <v>2.9006625777866605E-4</v>
      </c>
      <c r="I191" s="3">
        <f t="shared" si="127"/>
        <v>2.9006625777866605E-4</v>
      </c>
      <c r="J191" s="3">
        <f t="shared" si="127"/>
        <v>2.9006625777866605E-4</v>
      </c>
      <c r="K191" s="3">
        <f t="shared" si="127"/>
        <v>2.9006625777866605E-4</v>
      </c>
      <c r="L191" s="3">
        <f t="shared" si="127"/>
        <v>2.9006625777866605E-4</v>
      </c>
      <c r="M191" s="3">
        <f t="shared" si="127"/>
        <v>2.9006625777866605E-4</v>
      </c>
      <c r="N191" s="3">
        <f t="shared" si="127"/>
        <v>2.9006625777866605E-4</v>
      </c>
      <c r="O191" s="3">
        <f t="shared" si="127"/>
        <v>2.9006625777866605E-4</v>
      </c>
      <c r="P191" s="3">
        <f t="shared" si="127"/>
        <v>2.9006625777866605E-4</v>
      </c>
      <c r="Q191" s="3">
        <f t="shared" si="127"/>
        <v>2.9006625777866605E-4</v>
      </c>
      <c r="R191" s="3">
        <f t="shared" si="127"/>
        <v>2.9006625777866605E-4</v>
      </c>
      <c r="S191" s="3">
        <f t="shared" si="127"/>
        <v>2.9006625777866605E-4</v>
      </c>
      <c r="T191" s="3">
        <f t="shared" si="127"/>
        <v>2.9006625777866605E-4</v>
      </c>
      <c r="U191" s="3">
        <f t="shared" si="127"/>
        <v>2.9006625777866605E-4</v>
      </c>
      <c r="V191" s="3">
        <f t="shared" si="127"/>
        <v>2.9006625777866605E-4</v>
      </c>
      <c r="W191" s="3">
        <f t="shared" si="127"/>
        <v>2.9006625777866605E-4</v>
      </c>
      <c r="X191" s="3">
        <f t="shared" si="127"/>
        <v>2.9006625777866605E-4</v>
      </c>
      <c r="Y191" s="3">
        <f t="shared" si="127"/>
        <v>2.9006625777866605E-4</v>
      </c>
      <c r="Z191" s="3">
        <f t="shared" si="127"/>
        <v>2.9006625777866605E-4</v>
      </c>
      <c r="AA191" s="3">
        <f t="shared" si="127"/>
        <v>2.9006625777866605E-4</v>
      </c>
      <c r="AB191" s="3">
        <f t="shared" si="127"/>
        <v>2.9006625777866594E-4</v>
      </c>
      <c r="AC191" s="3">
        <f t="shared" si="127"/>
        <v>2.9006625777866464E-4</v>
      </c>
      <c r="AD191" s="3">
        <f t="shared" si="127"/>
        <v>2.9006625777865179E-4</v>
      </c>
      <c r="AE191" s="3">
        <f t="shared" si="127"/>
        <v>2.9006625777852369E-4</v>
      </c>
      <c r="AF191" s="3">
        <f t="shared" si="127"/>
        <v>2.9006625777724243E-4</v>
      </c>
      <c r="AG191" s="3"/>
      <c r="AH191" s="3"/>
    </row>
    <row r="192" spans="2:34" x14ac:dyDescent="0.25">
      <c r="B192" s="3">
        <f t="shared" ref="B192:AF192" si="128">$C39*EXP(-B$168/$A39/EXP(-$C$126))</f>
        <v>0</v>
      </c>
      <c r="C192" s="3">
        <f t="shared" si="128"/>
        <v>0</v>
      </c>
      <c r="D192" s="3">
        <f t="shared" si="128"/>
        <v>0</v>
      </c>
      <c r="E192" s="3">
        <f t="shared" si="128"/>
        <v>0</v>
      </c>
      <c r="F192" s="3">
        <f t="shared" si="128"/>
        <v>0</v>
      </c>
      <c r="G192" s="3">
        <f t="shared" si="128"/>
        <v>0</v>
      </c>
      <c r="H192" s="3">
        <f t="shared" si="128"/>
        <v>0</v>
      </c>
      <c r="I192" s="3">
        <f t="shared" si="128"/>
        <v>0</v>
      </c>
      <c r="J192" s="3">
        <f t="shared" si="128"/>
        <v>0</v>
      </c>
      <c r="K192" s="3">
        <f t="shared" si="128"/>
        <v>0</v>
      </c>
      <c r="L192" s="3">
        <f t="shared" si="128"/>
        <v>0</v>
      </c>
      <c r="M192" s="3">
        <f t="shared" si="128"/>
        <v>0</v>
      </c>
      <c r="N192" s="3">
        <f t="shared" si="128"/>
        <v>0</v>
      </c>
      <c r="O192" s="3">
        <f t="shared" si="128"/>
        <v>0</v>
      </c>
      <c r="P192" s="3">
        <f t="shared" si="128"/>
        <v>0</v>
      </c>
      <c r="Q192" s="3">
        <f t="shared" si="128"/>
        <v>0</v>
      </c>
      <c r="R192" s="3">
        <f t="shared" si="128"/>
        <v>0</v>
      </c>
      <c r="S192" s="3">
        <f t="shared" si="128"/>
        <v>0</v>
      </c>
      <c r="T192" s="3">
        <f t="shared" si="128"/>
        <v>0</v>
      </c>
      <c r="U192" s="3">
        <f t="shared" si="128"/>
        <v>0</v>
      </c>
      <c r="V192" s="3">
        <f t="shared" si="128"/>
        <v>0</v>
      </c>
      <c r="W192" s="3">
        <f t="shared" si="128"/>
        <v>0</v>
      </c>
      <c r="X192" s="3">
        <f t="shared" si="128"/>
        <v>0</v>
      </c>
      <c r="Y192" s="3">
        <f t="shared" si="128"/>
        <v>0</v>
      </c>
      <c r="Z192" s="3">
        <f t="shared" si="128"/>
        <v>0</v>
      </c>
      <c r="AA192" s="3">
        <f t="shared" si="128"/>
        <v>0</v>
      </c>
      <c r="AB192" s="3">
        <f t="shared" si="128"/>
        <v>0</v>
      </c>
      <c r="AC192" s="3">
        <f t="shared" si="128"/>
        <v>0</v>
      </c>
      <c r="AD192" s="3">
        <f t="shared" si="128"/>
        <v>0</v>
      </c>
      <c r="AE192" s="3">
        <f t="shared" si="128"/>
        <v>0</v>
      </c>
      <c r="AF192" s="3">
        <f t="shared" si="128"/>
        <v>0</v>
      </c>
      <c r="AG192" s="3"/>
      <c r="AH192" s="3"/>
    </row>
    <row r="193" spans="1:34" x14ac:dyDescent="0.25">
      <c r="B193" s="3">
        <f t="shared" ref="B193:AF193" si="129">$C40*EXP(-B$168/$A40/EXP(-$C$126))</f>
        <v>3.0334619433978663E-4</v>
      </c>
      <c r="C193" s="3">
        <f t="shared" si="129"/>
        <v>3.0334619433978663E-4</v>
      </c>
      <c r="D193" s="3">
        <f t="shared" si="129"/>
        <v>3.0334619433978663E-4</v>
      </c>
      <c r="E193" s="3">
        <f t="shared" si="129"/>
        <v>3.0334619433978663E-4</v>
      </c>
      <c r="F193" s="3">
        <f t="shared" si="129"/>
        <v>3.0334619433978663E-4</v>
      </c>
      <c r="G193" s="3">
        <f t="shared" si="129"/>
        <v>3.0334619433978663E-4</v>
      </c>
      <c r="H193" s="3">
        <f t="shared" si="129"/>
        <v>3.0334619433978663E-4</v>
      </c>
      <c r="I193" s="3">
        <f t="shared" si="129"/>
        <v>3.0334619433978663E-4</v>
      </c>
      <c r="J193" s="3">
        <f t="shared" si="129"/>
        <v>3.0334619433978663E-4</v>
      </c>
      <c r="K193" s="3">
        <f t="shared" si="129"/>
        <v>3.0334619433978663E-4</v>
      </c>
      <c r="L193" s="3">
        <f t="shared" si="129"/>
        <v>3.0334619433978663E-4</v>
      </c>
      <c r="M193" s="3">
        <f t="shared" si="129"/>
        <v>3.0334619433978663E-4</v>
      </c>
      <c r="N193" s="3">
        <f t="shared" si="129"/>
        <v>3.0334619433978663E-4</v>
      </c>
      <c r="O193" s="3">
        <f t="shared" si="129"/>
        <v>3.0334619433978663E-4</v>
      </c>
      <c r="P193" s="3">
        <f t="shared" si="129"/>
        <v>3.0334619433978663E-4</v>
      </c>
      <c r="Q193" s="3">
        <f t="shared" si="129"/>
        <v>3.0334619433978663E-4</v>
      </c>
      <c r="R193" s="3">
        <f t="shared" si="129"/>
        <v>3.0334619433978663E-4</v>
      </c>
      <c r="S193" s="3">
        <f t="shared" si="129"/>
        <v>3.0334619433978663E-4</v>
      </c>
      <c r="T193" s="3">
        <f t="shared" si="129"/>
        <v>3.0334619433978663E-4</v>
      </c>
      <c r="U193" s="3">
        <f t="shared" si="129"/>
        <v>3.0334619433978663E-4</v>
      </c>
      <c r="V193" s="3">
        <f t="shared" si="129"/>
        <v>3.0334619433978663E-4</v>
      </c>
      <c r="W193" s="3">
        <f t="shared" si="129"/>
        <v>3.0334619433978663E-4</v>
      </c>
      <c r="X193" s="3">
        <f t="shared" si="129"/>
        <v>3.0334619433978663E-4</v>
      </c>
      <c r="Y193" s="3">
        <f t="shared" si="129"/>
        <v>3.0334619433978663E-4</v>
      </c>
      <c r="Z193" s="3">
        <f t="shared" si="129"/>
        <v>3.0334619433978663E-4</v>
      </c>
      <c r="AA193" s="3">
        <f t="shared" si="129"/>
        <v>3.0334619433978663E-4</v>
      </c>
      <c r="AB193" s="3">
        <f t="shared" si="129"/>
        <v>3.0334619433978663E-4</v>
      </c>
      <c r="AC193" s="3">
        <f t="shared" si="129"/>
        <v>3.0334619433978658E-4</v>
      </c>
      <c r="AD193" s="3">
        <f t="shared" si="129"/>
        <v>3.0334619433978625E-4</v>
      </c>
      <c r="AE193" s="3">
        <f t="shared" si="129"/>
        <v>3.0334619433978251E-4</v>
      </c>
      <c r="AF193" s="3">
        <f t="shared" si="129"/>
        <v>3.0334619433974543E-4</v>
      </c>
      <c r="AG193" s="3"/>
      <c r="AH193" s="3"/>
    </row>
    <row r="194" spans="1:34" x14ac:dyDescent="0.25">
      <c r="B194" s="3">
        <f t="shared" ref="B194:AF194" si="130">$C41*EXP(-B$168/$A41/EXP(-$C$126))</f>
        <v>0</v>
      </c>
      <c r="C194" s="3">
        <f t="shared" si="130"/>
        <v>0</v>
      </c>
      <c r="D194" s="3">
        <f t="shared" si="130"/>
        <v>0</v>
      </c>
      <c r="E194" s="3">
        <f t="shared" si="130"/>
        <v>0</v>
      </c>
      <c r="F194" s="3">
        <f t="shared" si="130"/>
        <v>0</v>
      </c>
      <c r="G194" s="3">
        <f t="shared" si="130"/>
        <v>0</v>
      </c>
      <c r="H194" s="3">
        <f t="shared" si="130"/>
        <v>0</v>
      </c>
      <c r="I194" s="3">
        <f t="shared" si="130"/>
        <v>0</v>
      </c>
      <c r="J194" s="3">
        <f t="shared" si="130"/>
        <v>0</v>
      </c>
      <c r="K194" s="3">
        <f t="shared" si="130"/>
        <v>0</v>
      </c>
      <c r="L194" s="3">
        <f t="shared" si="130"/>
        <v>0</v>
      </c>
      <c r="M194" s="3">
        <f t="shared" si="130"/>
        <v>0</v>
      </c>
      <c r="N194" s="3">
        <f t="shared" si="130"/>
        <v>0</v>
      </c>
      <c r="O194" s="3">
        <f t="shared" si="130"/>
        <v>0</v>
      </c>
      <c r="P194" s="3">
        <f t="shared" si="130"/>
        <v>0</v>
      </c>
      <c r="Q194" s="3">
        <f t="shared" si="130"/>
        <v>0</v>
      </c>
      <c r="R194" s="3">
        <f t="shared" si="130"/>
        <v>0</v>
      </c>
      <c r="S194" s="3">
        <f t="shared" si="130"/>
        <v>0</v>
      </c>
      <c r="T194" s="3">
        <f t="shared" si="130"/>
        <v>0</v>
      </c>
      <c r="U194" s="3">
        <f t="shared" si="130"/>
        <v>0</v>
      </c>
      <c r="V194" s="3">
        <f t="shared" si="130"/>
        <v>0</v>
      </c>
      <c r="W194" s="3">
        <f t="shared" si="130"/>
        <v>0</v>
      </c>
      <c r="X194" s="3">
        <f t="shared" si="130"/>
        <v>0</v>
      </c>
      <c r="Y194" s="3">
        <f t="shared" si="130"/>
        <v>0</v>
      </c>
      <c r="Z194" s="3">
        <f t="shared" si="130"/>
        <v>0</v>
      </c>
      <c r="AA194" s="3">
        <f t="shared" si="130"/>
        <v>0</v>
      </c>
      <c r="AB194" s="3">
        <f t="shared" si="130"/>
        <v>0</v>
      </c>
      <c r="AC194" s="3">
        <f t="shared" si="130"/>
        <v>0</v>
      </c>
      <c r="AD194" s="3">
        <f t="shared" si="130"/>
        <v>0</v>
      </c>
      <c r="AE194" s="3">
        <f t="shared" si="130"/>
        <v>0</v>
      </c>
      <c r="AF194" s="3">
        <f t="shared" si="130"/>
        <v>0</v>
      </c>
      <c r="AG194" s="3"/>
      <c r="AH194" s="3"/>
    </row>
    <row r="195" spans="1:34" x14ac:dyDescent="0.25">
      <c r="B195" s="3">
        <f t="shared" ref="B195:AF195" si="131">$C42*EXP(-B$168/$A42/EXP(-$C$126))</f>
        <v>0</v>
      </c>
      <c r="C195" s="3">
        <f t="shared" si="131"/>
        <v>0</v>
      </c>
      <c r="D195" s="3">
        <f t="shared" si="131"/>
        <v>0</v>
      </c>
      <c r="E195" s="3">
        <f t="shared" si="131"/>
        <v>0</v>
      </c>
      <c r="F195" s="3">
        <f t="shared" si="131"/>
        <v>0</v>
      </c>
      <c r="G195" s="3">
        <f t="shared" si="131"/>
        <v>0</v>
      </c>
      <c r="H195" s="3">
        <f t="shared" si="131"/>
        <v>0</v>
      </c>
      <c r="I195" s="3">
        <f t="shared" si="131"/>
        <v>0</v>
      </c>
      <c r="J195" s="3">
        <f t="shared" si="131"/>
        <v>0</v>
      </c>
      <c r="K195" s="3">
        <f t="shared" si="131"/>
        <v>0</v>
      </c>
      <c r="L195" s="3">
        <f t="shared" si="131"/>
        <v>0</v>
      </c>
      <c r="M195" s="3">
        <f t="shared" si="131"/>
        <v>0</v>
      </c>
      <c r="N195" s="3">
        <f t="shared" si="131"/>
        <v>0</v>
      </c>
      <c r="O195" s="3">
        <f t="shared" si="131"/>
        <v>0</v>
      </c>
      <c r="P195" s="3">
        <f t="shared" si="131"/>
        <v>0</v>
      </c>
      <c r="Q195" s="3">
        <f t="shared" si="131"/>
        <v>0</v>
      </c>
      <c r="R195" s="3">
        <f t="shared" si="131"/>
        <v>0</v>
      </c>
      <c r="S195" s="3">
        <f t="shared" si="131"/>
        <v>0</v>
      </c>
      <c r="T195" s="3">
        <f t="shared" si="131"/>
        <v>0</v>
      </c>
      <c r="U195" s="3">
        <f t="shared" si="131"/>
        <v>0</v>
      </c>
      <c r="V195" s="3">
        <f t="shared" si="131"/>
        <v>0</v>
      </c>
      <c r="W195" s="3">
        <f t="shared" si="131"/>
        <v>0</v>
      </c>
      <c r="X195" s="3">
        <f t="shared" si="131"/>
        <v>0</v>
      </c>
      <c r="Y195" s="3">
        <f t="shared" si="131"/>
        <v>0</v>
      </c>
      <c r="Z195" s="3">
        <f t="shared" si="131"/>
        <v>0</v>
      </c>
      <c r="AA195" s="3">
        <f t="shared" si="131"/>
        <v>0</v>
      </c>
      <c r="AB195" s="3">
        <f t="shared" si="131"/>
        <v>0</v>
      </c>
      <c r="AC195" s="3">
        <f t="shared" si="131"/>
        <v>0</v>
      </c>
      <c r="AD195" s="3">
        <f t="shared" si="131"/>
        <v>0</v>
      </c>
      <c r="AE195" s="3">
        <f t="shared" si="131"/>
        <v>0</v>
      </c>
      <c r="AF195" s="3">
        <f t="shared" si="131"/>
        <v>0</v>
      </c>
      <c r="AG195" s="3"/>
      <c r="AH195" s="3"/>
    </row>
    <row r="196" spans="1:34" x14ac:dyDescent="0.25">
      <c r="B196" s="3">
        <f t="shared" ref="B196:AF196" si="132">$C43*EXP(-B$168/$A43/EXP(-$C$126))</f>
        <v>7.7330920795246901E-5</v>
      </c>
      <c r="C196" s="3">
        <f t="shared" si="132"/>
        <v>7.7330920795246901E-5</v>
      </c>
      <c r="D196" s="3">
        <f t="shared" si="132"/>
        <v>7.7330920795246901E-5</v>
      </c>
      <c r="E196" s="3">
        <f t="shared" si="132"/>
        <v>7.7330920795246901E-5</v>
      </c>
      <c r="F196" s="3">
        <f t="shared" si="132"/>
        <v>7.7330920795246901E-5</v>
      </c>
      <c r="G196" s="3">
        <f t="shared" si="132"/>
        <v>7.7330920795246901E-5</v>
      </c>
      <c r="H196" s="3">
        <f t="shared" si="132"/>
        <v>7.7330920795246901E-5</v>
      </c>
      <c r="I196" s="3">
        <f t="shared" si="132"/>
        <v>7.7330920795246901E-5</v>
      </c>
      <c r="J196" s="3">
        <f t="shared" si="132"/>
        <v>7.7330920795246901E-5</v>
      </c>
      <c r="K196" s="3">
        <f t="shared" si="132"/>
        <v>7.7330920795246901E-5</v>
      </c>
      <c r="L196" s="3">
        <f t="shared" si="132"/>
        <v>7.7330920795246901E-5</v>
      </c>
      <c r="M196" s="3">
        <f t="shared" si="132"/>
        <v>7.7330920795246901E-5</v>
      </c>
      <c r="N196" s="3">
        <f t="shared" si="132"/>
        <v>7.7330920795246901E-5</v>
      </c>
      <c r="O196" s="3">
        <f t="shared" si="132"/>
        <v>7.7330920795246901E-5</v>
      </c>
      <c r="P196" s="3">
        <f t="shared" si="132"/>
        <v>7.7330920795246901E-5</v>
      </c>
      <c r="Q196" s="3">
        <f t="shared" si="132"/>
        <v>7.7330920795246901E-5</v>
      </c>
      <c r="R196" s="3">
        <f t="shared" si="132"/>
        <v>7.7330920795246901E-5</v>
      </c>
      <c r="S196" s="3">
        <f t="shared" si="132"/>
        <v>7.7330920795246901E-5</v>
      </c>
      <c r="T196" s="3">
        <f t="shared" si="132"/>
        <v>7.7330920795246901E-5</v>
      </c>
      <c r="U196" s="3">
        <f t="shared" si="132"/>
        <v>7.7330920795246901E-5</v>
      </c>
      <c r="V196" s="3">
        <f t="shared" si="132"/>
        <v>7.7330920795246901E-5</v>
      </c>
      <c r="W196" s="3">
        <f t="shared" si="132"/>
        <v>7.7330920795246901E-5</v>
      </c>
      <c r="X196" s="3">
        <f t="shared" si="132"/>
        <v>7.7330920795246901E-5</v>
      </c>
      <c r="Y196" s="3">
        <f t="shared" si="132"/>
        <v>7.7330920795246901E-5</v>
      </c>
      <c r="Z196" s="3">
        <f t="shared" si="132"/>
        <v>7.7330920795246901E-5</v>
      </c>
      <c r="AA196" s="3">
        <f t="shared" si="132"/>
        <v>7.7330920795246901E-5</v>
      </c>
      <c r="AB196" s="3">
        <f t="shared" si="132"/>
        <v>7.7330920795246901E-5</v>
      </c>
      <c r="AC196" s="3">
        <f t="shared" si="132"/>
        <v>7.7330920795246901E-5</v>
      </c>
      <c r="AD196" s="3">
        <f t="shared" si="132"/>
        <v>7.7330920795246901E-5</v>
      </c>
      <c r="AE196" s="3">
        <f t="shared" si="132"/>
        <v>7.7330920795246901E-5</v>
      </c>
      <c r="AF196" s="3">
        <f t="shared" si="132"/>
        <v>7.7330920795246888E-5</v>
      </c>
      <c r="AG196" s="3"/>
      <c r="AH196" s="3"/>
    </row>
    <row r="197" spans="1:34" x14ac:dyDescent="0.25">
      <c r="B197" s="3">
        <f t="shared" ref="B197:AF197" si="133">$C44*EXP(-B$168/$A44/EXP(-$C$126))</f>
        <v>1.3850961695873314E-4</v>
      </c>
      <c r="C197" s="3">
        <f t="shared" si="133"/>
        <v>1.3850961695873314E-4</v>
      </c>
      <c r="D197" s="3">
        <f t="shared" si="133"/>
        <v>1.3850961695873314E-4</v>
      </c>
      <c r="E197" s="3">
        <f t="shared" si="133"/>
        <v>1.3850961695873314E-4</v>
      </c>
      <c r="F197" s="3">
        <f t="shared" si="133"/>
        <v>1.3850961695873314E-4</v>
      </c>
      <c r="G197" s="3">
        <f t="shared" si="133"/>
        <v>1.3850961695873314E-4</v>
      </c>
      <c r="H197" s="3">
        <f t="shared" si="133"/>
        <v>1.3850961695873314E-4</v>
      </c>
      <c r="I197" s="3">
        <f t="shared" si="133"/>
        <v>1.3850961695873314E-4</v>
      </c>
      <c r="J197" s="3">
        <f t="shared" si="133"/>
        <v>1.3850961695873314E-4</v>
      </c>
      <c r="K197" s="3">
        <f t="shared" si="133"/>
        <v>1.3850961695873314E-4</v>
      </c>
      <c r="L197" s="3">
        <f t="shared" si="133"/>
        <v>1.3850961695873314E-4</v>
      </c>
      <c r="M197" s="3">
        <f t="shared" si="133"/>
        <v>1.3850961695873314E-4</v>
      </c>
      <c r="N197" s="3">
        <f t="shared" si="133"/>
        <v>1.3850961695873314E-4</v>
      </c>
      <c r="O197" s="3">
        <f t="shared" si="133"/>
        <v>1.3850961695873314E-4</v>
      </c>
      <c r="P197" s="3">
        <f t="shared" si="133"/>
        <v>1.3850961695873314E-4</v>
      </c>
      <c r="Q197" s="3">
        <f t="shared" si="133"/>
        <v>1.3850961695873314E-4</v>
      </c>
      <c r="R197" s="3">
        <f t="shared" si="133"/>
        <v>1.3850961695873314E-4</v>
      </c>
      <c r="S197" s="3">
        <f t="shared" si="133"/>
        <v>1.3850961695873314E-4</v>
      </c>
      <c r="T197" s="3">
        <f t="shared" si="133"/>
        <v>1.3850961695873314E-4</v>
      </c>
      <c r="U197" s="3">
        <f t="shared" si="133"/>
        <v>1.3850961695873314E-4</v>
      </c>
      <c r="V197" s="3">
        <f t="shared" si="133"/>
        <v>1.3850961695873314E-4</v>
      </c>
      <c r="W197" s="3">
        <f t="shared" si="133"/>
        <v>1.3850961695873314E-4</v>
      </c>
      <c r="X197" s="3">
        <f t="shared" si="133"/>
        <v>1.3850961695873314E-4</v>
      </c>
      <c r="Y197" s="3">
        <f t="shared" si="133"/>
        <v>1.3850961695873314E-4</v>
      </c>
      <c r="Z197" s="3">
        <f t="shared" si="133"/>
        <v>1.3850961695873314E-4</v>
      </c>
      <c r="AA197" s="3">
        <f t="shared" si="133"/>
        <v>1.3850961695873314E-4</v>
      </c>
      <c r="AB197" s="3">
        <f t="shared" si="133"/>
        <v>1.3850961695873314E-4</v>
      </c>
      <c r="AC197" s="3">
        <f t="shared" si="133"/>
        <v>1.3850961695873314E-4</v>
      </c>
      <c r="AD197" s="3">
        <f t="shared" si="133"/>
        <v>1.3850961695873314E-4</v>
      </c>
      <c r="AE197" s="3">
        <f t="shared" si="133"/>
        <v>1.3850961695873314E-4</v>
      </c>
      <c r="AF197" s="3">
        <f t="shared" si="133"/>
        <v>1.3850961695873314E-4</v>
      </c>
      <c r="AG197" s="3"/>
      <c r="AH197" s="3"/>
    </row>
    <row r="198" spans="1:34" x14ac:dyDescent="0.25">
      <c r="B198" s="3">
        <f t="shared" ref="B198:AF198" si="134">$C45*EXP(-B$168/$A45/EXP(-$C$126))</f>
        <v>0</v>
      </c>
      <c r="C198" s="3">
        <f t="shared" si="134"/>
        <v>0</v>
      </c>
      <c r="D198" s="3">
        <f t="shared" si="134"/>
        <v>0</v>
      </c>
      <c r="E198" s="3">
        <f t="shared" si="134"/>
        <v>0</v>
      </c>
      <c r="F198" s="3">
        <f t="shared" si="134"/>
        <v>0</v>
      </c>
      <c r="G198" s="3">
        <f t="shared" si="134"/>
        <v>0</v>
      </c>
      <c r="H198" s="3">
        <f t="shared" si="134"/>
        <v>0</v>
      </c>
      <c r="I198" s="3">
        <f t="shared" si="134"/>
        <v>0</v>
      </c>
      <c r="J198" s="3">
        <f t="shared" si="134"/>
        <v>0</v>
      </c>
      <c r="K198" s="3">
        <f t="shared" si="134"/>
        <v>0</v>
      </c>
      <c r="L198" s="3">
        <f t="shared" si="134"/>
        <v>0</v>
      </c>
      <c r="M198" s="3">
        <f t="shared" si="134"/>
        <v>0</v>
      </c>
      <c r="N198" s="3">
        <f t="shared" si="134"/>
        <v>0</v>
      </c>
      <c r="O198" s="3">
        <f t="shared" si="134"/>
        <v>0</v>
      </c>
      <c r="P198" s="3">
        <f t="shared" si="134"/>
        <v>0</v>
      </c>
      <c r="Q198" s="3">
        <f t="shared" si="134"/>
        <v>0</v>
      </c>
      <c r="R198" s="3">
        <f t="shared" si="134"/>
        <v>0</v>
      </c>
      <c r="S198" s="3">
        <f t="shared" si="134"/>
        <v>0</v>
      </c>
      <c r="T198" s="3">
        <f t="shared" si="134"/>
        <v>0</v>
      </c>
      <c r="U198" s="3">
        <f t="shared" si="134"/>
        <v>0</v>
      </c>
      <c r="V198" s="3">
        <f t="shared" si="134"/>
        <v>0</v>
      </c>
      <c r="W198" s="3">
        <f t="shared" si="134"/>
        <v>0</v>
      </c>
      <c r="X198" s="3">
        <f t="shared" si="134"/>
        <v>0</v>
      </c>
      <c r="Y198" s="3">
        <f t="shared" si="134"/>
        <v>0</v>
      </c>
      <c r="Z198" s="3">
        <f t="shared" si="134"/>
        <v>0</v>
      </c>
      <c r="AA198" s="3">
        <f t="shared" si="134"/>
        <v>0</v>
      </c>
      <c r="AB198" s="3">
        <f t="shared" si="134"/>
        <v>0</v>
      </c>
      <c r="AC198" s="3">
        <f t="shared" si="134"/>
        <v>0</v>
      </c>
      <c r="AD198" s="3">
        <f t="shared" si="134"/>
        <v>0</v>
      </c>
      <c r="AE198" s="3">
        <f t="shared" si="134"/>
        <v>0</v>
      </c>
      <c r="AF198" s="3">
        <f t="shared" si="134"/>
        <v>0</v>
      </c>
      <c r="AG198" s="3"/>
      <c r="AH198" s="3"/>
    </row>
    <row r="199" spans="1:34" x14ac:dyDescent="0.25">
      <c r="B199" s="3">
        <f t="shared" ref="B199:AF199" si="135">$C46*EXP(-B$168/$A46/EXP(-$C$126))</f>
        <v>0</v>
      </c>
      <c r="C199" s="3">
        <f t="shared" si="135"/>
        <v>0</v>
      </c>
      <c r="D199" s="3">
        <f t="shared" si="135"/>
        <v>0</v>
      </c>
      <c r="E199" s="3">
        <f t="shared" si="135"/>
        <v>0</v>
      </c>
      <c r="F199" s="3">
        <f t="shared" si="135"/>
        <v>0</v>
      </c>
      <c r="G199" s="3">
        <f t="shared" si="135"/>
        <v>0</v>
      </c>
      <c r="H199" s="3">
        <f t="shared" si="135"/>
        <v>0</v>
      </c>
      <c r="I199" s="3">
        <f t="shared" si="135"/>
        <v>0</v>
      </c>
      <c r="J199" s="3">
        <f t="shared" si="135"/>
        <v>0</v>
      </c>
      <c r="K199" s="3">
        <f t="shared" si="135"/>
        <v>0</v>
      </c>
      <c r="L199" s="3">
        <f t="shared" si="135"/>
        <v>0</v>
      </c>
      <c r="M199" s="3">
        <f t="shared" si="135"/>
        <v>0</v>
      </c>
      <c r="N199" s="3">
        <f t="shared" si="135"/>
        <v>0</v>
      </c>
      <c r="O199" s="3">
        <f t="shared" si="135"/>
        <v>0</v>
      </c>
      <c r="P199" s="3">
        <f t="shared" si="135"/>
        <v>0</v>
      </c>
      <c r="Q199" s="3">
        <f t="shared" si="135"/>
        <v>0</v>
      </c>
      <c r="R199" s="3">
        <f t="shared" si="135"/>
        <v>0</v>
      </c>
      <c r="S199" s="3">
        <f t="shared" si="135"/>
        <v>0</v>
      </c>
      <c r="T199" s="3">
        <f t="shared" si="135"/>
        <v>0</v>
      </c>
      <c r="U199" s="3">
        <f t="shared" si="135"/>
        <v>0</v>
      </c>
      <c r="V199" s="3">
        <f t="shared" si="135"/>
        <v>0</v>
      </c>
      <c r="W199" s="3">
        <f t="shared" si="135"/>
        <v>0</v>
      </c>
      <c r="X199" s="3">
        <f t="shared" si="135"/>
        <v>0</v>
      </c>
      <c r="Y199" s="3">
        <f t="shared" si="135"/>
        <v>0</v>
      </c>
      <c r="Z199" s="3">
        <f t="shared" si="135"/>
        <v>0</v>
      </c>
      <c r="AA199" s="3">
        <f t="shared" si="135"/>
        <v>0</v>
      </c>
      <c r="AB199" s="3">
        <f t="shared" si="135"/>
        <v>0</v>
      </c>
      <c r="AC199" s="3">
        <f t="shared" si="135"/>
        <v>0</v>
      </c>
      <c r="AD199" s="3">
        <f t="shared" si="135"/>
        <v>0</v>
      </c>
      <c r="AE199" s="3">
        <f t="shared" si="135"/>
        <v>0</v>
      </c>
      <c r="AF199" s="3">
        <f t="shared" si="135"/>
        <v>0</v>
      </c>
      <c r="AG199" s="3"/>
      <c r="AH199" s="3"/>
    </row>
    <row r="200" spans="1:34" x14ac:dyDescent="0.25">
      <c r="B200" s="3">
        <f t="shared" ref="B200:AF200" si="136">$C47*EXP(-B$168/$A47/EXP(-$C$126))</f>
        <v>0</v>
      </c>
      <c r="C200" s="3">
        <f t="shared" si="136"/>
        <v>0</v>
      </c>
      <c r="D200" s="3">
        <f t="shared" si="136"/>
        <v>0</v>
      </c>
      <c r="E200" s="3">
        <f t="shared" si="136"/>
        <v>0</v>
      </c>
      <c r="F200" s="3">
        <f t="shared" si="136"/>
        <v>0</v>
      </c>
      <c r="G200" s="3">
        <f t="shared" si="136"/>
        <v>0</v>
      </c>
      <c r="H200" s="3">
        <f t="shared" si="136"/>
        <v>0</v>
      </c>
      <c r="I200" s="3">
        <f t="shared" si="136"/>
        <v>0</v>
      </c>
      <c r="J200" s="3">
        <f t="shared" si="136"/>
        <v>0</v>
      </c>
      <c r="K200" s="3">
        <f t="shared" si="136"/>
        <v>0</v>
      </c>
      <c r="L200" s="3">
        <f t="shared" si="136"/>
        <v>0</v>
      </c>
      <c r="M200" s="3">
        <f t="shared" si="136"/>
        <v>0</v>
      </c>
      <c r="N200" s="3">
        <f t="shared" si="136"/>
        <v>0</v>
      </c>
      <c r="O200" s="3">
        <f t="shared" si="136"/>
        <v>0</v>
      </c>
      <c r="P200" s="3">
        <f t="shared" si="136"/>
        <v>0</v>
      </c>
      <c r="Q200" s="3">
        <f t="shared" si="136"/>
        <v>0</v>
      </c>
      <c r="R200" s="3">
        <f t="shared" si="136"/>
        <v>0</v>
      </c>
      <c r="S200" s="3">
        <f t="shared" si="136"/>
        <v>0</v>
      </c>
      <c r="T200" s="3">
        <f t="shared" si="136"/>
        <v>0</v>
      </c>
      <c r="U200" s="3">
        <f t="shared" si="136"/>
        <v>0</v>
      </c>
      <c r="V200" s="3">
        <f t="shared" si="136"/>
        <v>0</v>
      </c>
      <c r="W200" s="3">
        <f t="shared" si="136"/>
        <v>0</v>
      </c>
      <c r="X200" s="3">
        <f t="shared" si="136"/>
        <v>0</v>
      </c>
      <c r="Y200" s="3">
        <f t="shared" si="136"/>
        <v>0</v>
      </c>
      <c r="Z200" s="3">
        <f t="shared" si="136"/>
        <v>0</v>
      </c>
      <c r="AA200" s="3">
        <f t="shared" si="136"/>
        <v>0</v>
      </c>
      <c r="AB200" s="3">
        <f t="shared" si="136"/>
        <v>0</v>
      </c>
      <c r="AC200" s="3">
        <f t="shared" si="136"/>
        <v>0</v>
      </c>
      <c r="AD200" s="3">
        <f t="shared" si="136"/>
        <v>0</v>
      </c>
      <c r="AE200" s="3">
        <f t="shared" si="136"/>
        <v>0</v>
      </c>
      <c r="AF200" s="3">
        <f t="shared" si="136"/>
        <v>0</v>
      </c>
      <c r="AG200" s="3"/>
      <c r="AH200" s="3"/>
    </row>
    <row r="201" spans="1:34" x14ac:dyDescent="0.25">
      <c r="B201" s="3">
        <f t="shared" ref="B201:AF201" si="137">$C48*EXP(-B$168/$A48/EXP(-$C$126))</f>
        <v>3.8158806353945737E-4</v>
      </c>
      <c r="C201" s="3">
        <f t="shared" si="137"/>
        <v>3.8158806353945737E-4</v>
      </c>
      <c r="D201" s="3">
        <f t="shared" si="137"/>
        <v>3.8158806353945737E-4</v>
      </c>
      <c r="E201" s="3">
        <f t="shared" si="137"/>
        <v>3.8158806353945737E-4</v>
      </c>
      <c r="F201" s="3">
        <f t="shared" si="137"/>
        <v>3.8158806353945737E-4</v>
      </c>
      <c r="G201" s="3">
        <f t="shared" si="137"/>
        <v>3.8158806353945737E-4</v>
      </c>
      <c r="H201" s="3">
        <f t="shared" si="137"/>
        <v>3.8158806353945737E-4</v>
      </c>
      <c r="I201" s="3">
        <f t="shared" si="137"/>
        <v>3.8158806353945737E-4</v>
      </c>
      <c r="J201" s="3">
        <f t="shared" si="137"/>
        <v>3.8158806353945737E-4</v>
      </c>
      <c r="K201" s="3">
        <f t="shared" si="137"/>
        <v>3.8158806353945737E-4</v>
      </c>
      <c r="L201" s="3">
        <f t="shared" si="137"/>
        <v>3.8158806353945737E-4</v>
      </c>
      <c r="M201" s="3">
        <f t="shared" si="137"/>
        <v>3.8158806353945737E-4</v>
      </c>
      <c r="N201" s="3">
        <f t="shared" si="137"/>
        <v>3.8158806353945737E-4</v>
      </c>
      <c r="O201" s="3">
        <f t="shared" si="137"/>
        <v>3.8158806353945737E-4</v>
      </c>
      <c r="P201" s="3">
        <f t="shared" si="137"/>
        <v>3.8158806353945737E-4</v>
      </c>
      <c r="Q201" s="3">
        <f t="shared" si="137"/>
        <v>3.8158806353945737E-4</v>
      </c>
      <c r="R201" s="3">
        <f t="shared" si="137"/>
        <v>3.8158806353945737E-4</v>
      </c>
      <c r="S201" s="3">
        <f t="shared" si="137"/>
        <v>3.8158806353945737E-4</v>
      </c>
      <c r="T201" s="3">
        <f t="shared" si="137"/>
        <v>3.8158806353945737E-4</v>
      </c>
      <c r="U201" s="3">
        <f t="shared" si="137"/>
        <v>3.8158806353945737E-4</v>
      </c>
      <c r="V201" s="3">
        <f t="shared" si="137"/>
        <v>3.8158806353945737E-4</v>
      </c>
      <c r="W201" s="3">
        <f t="shared" si="137"/>
        <v>3.8158806353945737E-4</v>
      </c>
      <c r="X201" s="3">
        <f t="shared" si="137"/>
        <v>3.8158806353945737E-4</v>
      </c>
      <c r="Y201" s="3">
        <f t="shared" si="137"/>
        <v>3.8158806353945737E-4</v>
      </c>
      <c r="Z201" s="3">
        <f t="shared" si="137"/>
        <v>3.8158806353945737E-4</v>
      </c>
      <c r="AA201" s="3">
        <f t="shared" si="137"/>
        <v>3.8158806353945737E-4</v>
      </c>
      <c r="AB201" s="3">
        <f t="shared" si="137"/>
        <v>3.8158806353945737E-4</v>
      </c>
      <c r="AC201" s="3">
        <f t="shared" si="137"/>
        <v>3.8158806353945737E-4</v>
      </c>
      <c r="AD201" s="3">
        <f t="shared" si="137"/>
        <v>3.8158806353945737E-4</v>
      </c>
      <c r="AE201" s="3">
        <f t="shared" si="137"/>
        <v>3.8158806353945737E-4</v>
      </c>
      <c r="AF201" s="3">
        <f t="shared" si="137"/>
        <v>3.8158806353945737E-4</v>
      </c>
      <c r="AG201" s="3"/>
      <c r="AH201" s="3"/>
    </row>
    <row r="202" spans="1:34" x14ac:dyDescent="0.25">
      <c r="A202" s="79">
        <f>AVERAGE(B202:AF202)</f>
        <v>2.0942538461821349E-2</v>
      </c>
      <c r="B202" s="80">
        <f>IF($A$64&lt;=B168,IF($B$64&gt;=B168,ABS((B170-B169)/B169),0),0)</f>
        <v>0</v>
      </c>
      <c r="C202" s="80">
        <f t="shared" ref="C202:AF202" si="138">IF($A$64&lt;=C168,IF($B$64&gt;=C168,ABS((C170-C169)/C169),0),0)</f>
        <v>0</v>
      </c>
      <c r="D202" s="80">
        <f t="shared" si="138"/>
        <v>0</v>
      </c>
      <c r="E202" s="80">
        <f t="shared" si="138"/>
        <v>0</v>
      </c>
      <c r="F202" s="80">
        <f t="shared" si="138"/>
        <v>0</v>
      </c>
      <c r="G202" s="80">
        <f t="shared" si="138"/>
        <v>0</v>
      </c>
      <c r="H202" s="80">
        <f t="shared" si="138"/>
        <v>0</v>
      </c>
      <c r="I202" s="80">
        <f t="shared" si="138"/>
        <v>0</v>
      </c>
      <c r="J202" s="80">
        <f t="shared" si="138"/>
        <v>0</v>
      </c>
      <c r="K202" s="80">
        <f t="shared" si="138"/>
        <v>0</v>
      </c>
      <c r="L202" s="80">
        <f t="shared" si="138"/>
        <v>3.0035529131759112E-3</v>
      </c>
      <c r="M202" s="80">
        <f t="shared" si="138"/>
        <v>3.0242473664602839E-3</v>
      </c>
      <c r="N202" s="80">
        <f t="shared" si="138"/>
        <v>3.2312150700921634E-3</v>
      </c>
      <c r="O202" s="80">
        <f t="shared" si="138"/>
        <v>5.2869136801320382E-3</v>
      </c>
      <c r="P202" s="80">
        <f t="shared" si="138"/>
        <v>2.4505600329611174E-2</v>
      </c>
      <c r="Q202" s="80">
        <f t="shared" si="138"/>
        <v>0.12776217332764536</v>
      </c>
      <c r="R202" s="80">
        <f t="shared" si="138"/>
        <v>0.15610336842689851</v>
      </c>
      <c r="S202" s="80">
        <f t="shared" si="138"/>
        <v>0.1357308617366707</v>
      </c>
      <c r="T202" s="80">
        <f t="shared" si="138"/>
        <v>0.10777550677981135</v>
      </c>
      <c r="U202" s="80">
        <f t="shared" si="138"/>
        <v>5.3844215625852329E-2</v>
      </c>
      <c r="V202" s="80">
        <f t="shared" si="138"/>
        <v>2.895103706011205E-2</v>
      </c>
      <c r="W202" s="80">
        <f t="shared" si="138"/>
        <v>0</v>
      </c>
      <c r="X202" s="80">
        <f t="shared" si="138"/>
        <v>0</v>
      </c>
      <c r="Y202" s="80">
        <f t="shared" si="138"/>
        <v>0</v>
      </c>
      <c r="Z202" s="80">
        <f t="shared" si="138"/>
        <v>0</v>
      </c>
      <c r="AA202" s="80">
        <f t="shared" si="138"/>
        <v>0</v>
      </c>
      <c r="AB202" s="80">
        <f t="shared" si="138"/>
        <v>0</v>
      </c>
      <c r="AC202" s="80">
        <f t="shared" si="138"/>
        <v>0</v>
      </c>
      <c r="AD202" s="80">
        <f t="shared" si="138"/>
        <v>0</v>
      </c>
      <c r="AE202" s="80">
        <f t="shared" si="138"/>
        <v>0</v>
      </c>
      <c r="AF202" s="80">
        <f t="shared" si="138"/>
        <v>0</v>
      </c>
    </row>
    <row r="203" spans="1:34" x14ac:dyDescent="0.25">
      <c r="B203" s="21">
        <f>(B170-B169)^2</f>
        <v>385.45179041976161</v>
      </c>
      <c r="C203" s="21">
        <f t="shared" ref="C203:AF203" si="139">(C170-C169)^2</f>
        <v>387.60312144717898</v>
      </c>
      <c r="D203" s="21">
        <f t="shared" si="139"/>
        <v>386.27947448986021</v>
      </c>
      <c r="E203" s="21">
        <f t="shared" si="139"/>
        <v>385.88811189682468</v>
      </c>
      <c r="F203" s="21">
        <f t="shared" si="139"/>
        <v>385.76507157624332</v>
      </c>
      <c r="G203" s="21">
        <f t="shared" si="139"/>
        <v>385.72374739200922</v>
      </c>
      <c r="H203" s="21">
        <f t="shared" si="139"/>
        <v>385.71034598849093</v>
      </c>
      <c r="I203" s="21">
        <f t="shared" si="139"/>
        <v>385.70896645240902</v>
      </c>
      <c r="J203" s="21">
        <f t="shared" si="139"/>
        <v>385.70478220805268</v>
      </c>
      <c r="K203" s="21">
        <f t="shared" si="139"/>
        <v>385.75809098720634</v>
      </c>
      <c r="L203" s="21">
        <f t="shared" si="139"/>
        <v>386.29714876126889</v>
      </c>
      <c r="M203" s="21">
        <f t="shared" si="139"/>
        <v>391.63832696426107</v>
      </c>
      <c r="N203" s="21">
        <f t="shared" si="139"/>
        <v>447.07336916471735</v>
      </c>
      <c r="O203" s="21">
        <f t="shared" si="139"/>
        <v>1196.7862793783424</v>
      </c>
      <c r="P203" s="21">
        <f t="shared" si="139"/>
        <v>25691.909816218093</v>
      </c>
      <c r="Q203" s="21">
        <f t="shared" si="139"/>
        <v>693221.85358788946</v>
      </c>
      <c r="R203" s="21">
        <f t="shared" si="139"/>
        <v>995260.83771096379</v>
      </c>
      <c r="S203" s="21">
        <f t="shared" si="139"/>
        <v>717376.12702558318</v>
      </c>
      <c r="T203" s="21">
        <f t="shared" si="139"/>
        <v>424375.54586401331</v>
      </c>
      <c r="U203" s="21">
        <f t="shared" si="139"/>
        <v>94128.124433210731</v>
      </c>
      <c r="V203" s="21">
        <f t="shared" si="139"/>
        <v>22857.530092644221</v>
      </c>
      <c r="W203" s="21">
        <f t="shared" si="139"/>
        <v>230928.2921021962</v>
      </c>
      <c r="X203" s="21">
        <f t="shared" si="139"/>
        <v>226766.12009485994</v>
      </c>
      <c r="Y203" s="21">
        <f t="shared" si="139"/>
        <v>358308.23303817457</v>
      </c>
      <c r="Z203" s="21">
        <f t="shared" si="139"/>
        <v>350435.75091536349</v>
      </c>
      <c r="AA203" s="21">
        <f t="shared" si="139"/>
        <v>294107.25115670776</v>
      </c>
      <c r="AB203" s="21">
        <f t="shared" si="139"/>
        <v>150166.49077349654</v>
      </c>
      <c r="AC203" s="21">
        <f t="shared" si="139"/>
        <v>39880.371104524565</v>
      </c>
      <c r="AD203" s="21">
        <f t="shared" si="139"/>
        <v>239.3048032863712</v>
      </c>
      <c r="AE203" s="21">
        <f t="shared" si="139"/>
        <v>55635.271898616214</v>
      </c>
      <c r="AF203" s="21">
        <f t="shared" si="139"/>
        <v>65367.470170147179</v>
      </c>
      <c r="AG203" s="3"/>
      <c r="AH203" s="3"/>
    </row>
    <row r="204" spans="1:34" x14ac:dyDescent="0.25">
      <c r="A204" s="71">
        <f>SUM(B204:AF204)</f>
        <v>2975333.7236547912</v>
      </c>
      <c r="B204" s="60">
        <f>IF($A$64&lt;=B168,IF($B$64&gt;=B168,ABS(B203),0),0)</f>
        <v>0</v>
      </c>
      <c r="C204" s="60">
        <f t="shared" ref="C204" si="140">IF($A$64&lt;=C168,IF($B$64&gt;=C168,ABS(C203),0),0)</f>
        <v>0</v>
      </c>
      <c r="D204" s="60">
        <f t="shared" ref="D204" si="141">IF($A$64&lt;=D168,IF($B$64&gt;=D168,ABS(D203),0),0)</f>
        <v>0</v>
      </c>
      <c r="E204" s="60">
        <f t="shared" ref="E204" si="142">IF($A$64&lt;=E168,IF($B$64&gt;=E168,ABS(E203),0),0)</f>
        <v>0</v>
      </c>
      <c r="F204" s="60">
        <f t="shared" ref="F204" si="143">IF($A$64&lt;=F168,IF($B$64&gt;=F168,ABS(F203),0),0)</f>
        <v>0</v>
      </c>
      <c r="G204" s="60">
        <f t="shared" ref="G204" si="144">IF($A$64&lt;=G168,IF($B$64&gt;=G168,ABS(G203),0),0)</f>
        <v>0</v>
      </c>
      <c r="H204" s="60">
        <f t="shared" ref="H204" si="145">IF($A$64&lt;=H168,IF($B$64&gt;=H168,ABS(H203),0),0)</f>
        <v>0</v>
      </c>
      <c r="I204" s="60">
        <f t="shared" ref="I204" si="146">IF($A$64&lt;=I168,IF($B$64&gt;=I168,ABS(I203),0),0)</f>
        <v>0</v>
      </c>
      <c r="J204" s="60">
        <f t="shared" ref="J204" si="147">IF($A$64&lt;=J168,IF($B$64&gt;=J168,ABS(J203),0),0)</f>
        <v>0</v>
      </c>
      <c r="K204" s="60">
        <f t="shared" ref="K204" si="148">IF($A$64&lt;=K168,IF($B$64&gt;=K168,ABS(K203),0),0)</f>
        <v>0</v>
      </c>
      <c r="L204" s="60">
        <f t="shared" ref="L204" si="149">IF($A$64&lt;=L168,IF($B$64&gt;=L168,ABS(L203),0),0)</f>
        <v>386.29714876126889</v>
      </c>
      <c r="M204" s="60">
        <f t="shared" ref="M204" si="150">IF($A$64&lt;=M168,IF($B$64&gt;=M168,ABS(M203),0),0)</f>
        <v>391.63832696426107</v>
      </c>
      <c r="N204" s="60">
        <f t="shared" ref="N204" si="151">IF($A$64&lt;=N168,IF($B$64&gt;=N168,ABS(N203),0),0)</f>
        <v>447.07336916471735</v>
      </c>
      <c r="O204" s="60">
        <f t="shared" ref="O204" si="152">IF($A$64&lt;=O168,IF($B$64&gt;=O168,ABS(O203),0),0)</f>
        <v>1196.7862793783424</v>
      </c>
      <c r="P204" s="60">
        <f t="shared" ref="P204" si="153">IF($A$64&lt;=P168,IF($B$64&gt;=P168,ABS(P203),0),0)</f>
        <v>25691.909816218093</v>
      </c>
      <c r="Q204" s="60">
        <f t="shared" ref="Q204" si="154">IF($A$64&lt;=Q168,IF($B$64&gt;=Q168,ABS(Q203),0),0)</f>
        <v>693221.85358788946</v>
      </c>
      <c r="R204" s="60">
        <f t="shared" ref="R204" si="155">IF($A$64&lt;=R168,IF($B$64&gt;=R168,ABS(R203),0),0)</f>
        <v>995260.83771096379</v>
      </c>
      <c r="S204" s="60">
        <f t="shared" ref="S204" si="156">IF($A$64&lt;=S168,IF($B$64&gt;=S168,ABS(S203),0),0)</f>
        <v>717376.12702558318</v>
      </c>
      <c r="T204" s="60">
        <f t="shared" ref="T204" si="157">IF($A$64&lt;=T168,IF($B$64&gt;=T168,ABS(T203),0),0)</f>
        <v>424375.54586401331</v>
      </c>
      <c r="U204" s="60">
        <f t="shared" ref="U204" si="158">IF($A$64&lt;=U168,IF($B$64&gt;=U168,ABS(U203),0),0)</f>
        <v>94128.124433210731</v>
      </c>
      <c r="V204" s="60">
        <f t="shared" ref="V204" si="159">IF($A$64&lt;=V168,IF($B$64&gt;=V168,ABS(V203),0),0)</f>
        <v>22857.530092644221</v>
      </c>
      <c r="W204" s="60">
        <f t="shared" ref="W204" si="160">IF($A$64&lt;=W168,IF($B$64&gt;=W168,ABS(W203),0),0)</f>
        <v>0</v>
      </c>
      <c r="X204" s="60">
        <f t="shared" ref="X204" si="161">IF($A$64&lt;=X168,IF($B$64&gt;=X168,ABS(X203),0),0)</f>
        <v>0</v>
      </c>
      <c r="Y204" s="60">
        <f t="shared" ref="Y204" si="162">IF($A$64&lt;=Y168,IF($B$64&gt;=Y168,ABS(Y203),0),0)</f>
        <v>0</v>
      </c>
      <c r="Z204" s="60">
        <f t="shared" ref="Z204" si="163">IF($A$64&lt;=Z168,IF($B$64&gt;=Z168,ABS(Z203),0),0)</f>
        <v>0</v>
      </c>
      <c r="AA204" s="60">
        <f t="shared" ref="AA204" si="164">IF($A$64&lt;=AA168,IF($B$64&gt;=AA168,ABS(AA203),0),0)</f>
        <v>0</v>
      </c>
      <c r="AB204" s="60">
        <f t="shared" ref="AB204" si="165">IF($A$64&lt;=AB168,IF($B$64&gt;=AB168,ABS(AB203),0),0)</f>
        <v>0</v>
      </c>
      <c r="AC204" s="60">
        <f t="shared" ref="AC204" si="166">IF($A$64&lt;=AC168,IF($B$64&gt;=AC168,ABS(AC203),0),0)</f>
        <v>0</v>
      </c>
      <c r="AD204" s="60">
        <f t="shared" ref="AD204" si="167">IF($A$64&lt;=AD168,IF($B$64&gt;=AD168,ABS(AD203),0),0)</f>
        <v>0</v>
      </c>
      <c r="AE204" s="60">
        <f t="shared" ref="AE204" si="168">IF($A$64&lt;=AE168,IF($B$64&gt;=AE168,ABS(AE203),0),0)</f>
        <v>0</v>
      </c>
      <c r="AF204" s="60">
        <f t="shared" ref="AF204" si="169">IF($A$64&lt;=AF168,IF($B$64&gt;=AF168,ABS(AF203),0),0)</f>
        <v>0</v>
      </c>
      <c r="AG204" s="3"/>
      <c r="AH204" s="3"/>
    </row>
    <row r="205" spans="1:34" x14ac:dyDescent="0.25">
      <c r="B205" s="38"/>
      <c r="C205" s="38"/>
      <c r="D205" s="38"/>
      <c r="E205" s="38"/>
      <c r="F205" s="38"/>
      <c r="G205" s="38"/>
      <c r="H205" s="38"/>
      <c r="I205" s="38"/>
      <c r="J205" s="38"/>
      <c r="K205" s="38"/>
      <c r="L205" s="38"/>
      <c r="M205" s="38"/>
      <c r="N205" s="38"/>
      <c r="O205" s="38"/>
      <c r="P205" s="38"/>
      <c r="Q205" s="38"/>
      <c r="R205" s="38"/>
      <c r="S205" s="38"/>
      <c r="T205" s="38"/>
      <c r="U205" s="38"/>
      <c r="V205" s="38"/>
      <c r="W205" s="38"/>
      <c r="X205" s="38"/>
      <c r="Y205" s="38"/>
      <c r="Z205" s="38"/>
      <c r="AA205" s="38"/>
      <c r="AB205" s="38"/>
      <c r="AC205" s="38"/>
      <c r="AD205" s="38"/>
      <c r="AE205" s="38"/>
      <c r="AF205" s="38"/>
      <c r="AG205" s="38"/>
      <c r="AH205" s="38"/>
    </row>
    <row r="206" spans="1:34" x14ac:dyDescent="0.25">
      <c r="A206" s="69" t="s">
        <v>27</v>
      </c>
      <c r="B206" s="11">
        <f>INDEX($D$1:$M$1,1,$D$122)</f>
        <v>25</v>
      </c>
    </row>
    <row r="207" spans="1:34" x14ac:dyDescent="0.25">
      <c r="A207" s="69" t="s">
        <v>17</v>
      </c>
      <c r="B207" s="22">
        <f>INDEX(Comparison!$AL$3:$AL$33,F$14,1)</f>
        <v>1.0000000000000001E-15</v>
      </c>
      <c r="C207" s="22">
        <f>INDEX(Comparison!$AL$3:$AL$33,G$14,1)</f>
        <v>1E-14</v>
      </c>
      <c r="D207" s="22">
        <f>INDEX(Comparison!$AL$3:$AL$33,H$14,1)</f>
        <v>1E-13</v>
      </c>
      <c r="E207" s="22">
        <f>INDEX(Comparison!$AL$3:$AL$33,I$14,1)</f>
        <v>9.9999999999999998E-13</v>
      </c>
      <c r="F207" s="22">
        <f>INDEX(Comparison!$AL$3:$AL$33,J$14,1)</f>
        <v>9.9999999999999994E-12</v>
      </c>
      <c r="G207" s="22">
        <f>INDEX(Comparison!$AL$3:$AL$33,K$14,1)</f>
        <v>1E-10</v>
      </c>
      <c r="H207" s="22">
        <f>INDEX(Comparison!$AL$3:$AL$33,L$14,1)</f>
        <v>1.0000000000000001E-9</v>
      </c>
      <c r="I207" s="22">
        <f>INDEX(Comparison!$AL$3:$AL$33,M$14,1)</f>
        <v>1E-8</v>
      </c>
      <c r="J207" s="22">
        <f>INDEX(Comparison!$AL$3:$AL$33,N$14,1)</f>
        <v>9.9999999999999995E-8</v>
      </c>
      <c r="K207" s="22">
        <f>INDEX(Comparison!$AL$3:$AL$33,O$14,1)</f>
        <v>9.9999999999999995E-7</v>
      </c>
      <c r="L207" s="22">
        <f>INDEX(Comparison!$AL$3:$AL$33,P$14,1)</f>
        <v>1.0000000000000001E-5</v>
      </c>
      <c r="M207" s="22">
        <f>INDEX(Comparison!$AL$3:$AL$33,Q$14,1)</f>
        <v>1E-4</v>
      </c>
      <c r="N207" s="22">
        <f>INDEX(Comparison!$AL$3:$AL$33,R$14,1)</f>
        <v>1E-3</v>
      </c>
      <c r="O207" s="22">
        <f>INDEX(Comparison!$AL$3:$AL$33,S$14,1)</f>
        <v>0.01</v>
      </c>
      <c r="P207" s="22">
        <f>INDEX(Comparison!$AL$3:$AL$33,T$14,1)</f>
        <v>0.1</v>
      </c>
      <c r="Q207" s="22">
        <f>INDEX(Comparison!$AL$3:$AL$33,U$14,1)</f>
        <v>1</v>
      </c>
      <c r="R207" s="22">
        <f>INDEX(Comparison!$AL$3:$AL$33,V$14,1)</f>
        <v>10</v>
      </c>
      <c r="S207" s="22">
        <f>INDEX(Comparison!$AL$3:$AL$33,W$14,1)</f>
        <v>100</v>
      </c>
      <c r="T207" s="22">
        <f>INDEX(Comparison!$AL$3:$AL$33,X$14,1)</f>
        <v>1000</v>
      </c>
      <c r="U207" s="22">
        <f>INDEX(Comparison!$AL$3:$AL$33,Y$14,1)</f>
        <v>10000</v>
      </c>
      <c r="V207" s="22">
        <f>INDEX(Comparison!$AL$3:$AL$33,Z$14,1)</f>
        <v>100000</v>
      </c>
      <c r="W207" s="22">
        <f>INDEX(Comparison!$AL$3:$AL$33,AA$14,1)</f>
        <v>1000000</v>
      </c>
      <c r="X207" s="22">
        <f>INDEX(Comparison!$AL$3:$AL$33,AB$14,1)</f>
        <v>10000000</v>
      </c>
      <c r="Y207" s="22">
        <f>INDEX(Comparison!$AL$3:$AL$33,AC$14,1)</f>
        <v>100000000</v>
      </c>
      <c r="Z207" s="22">
        <f>INDEX(Comparison!$AL$3:$AL$33,AD$14,1)</f>
        <v>1000000000</v>
      </c>
      <c r="AA207" s="22">
        <f>INDEX(Comparison!$AL$3:$AL$33,AE$14,1)</f>
        <v>10000000000</v>
      </c>
      <c r="AB207" s="22">
        <f>INDEX(Comparison!$AL$3:$AL$33,AF$14,1)</f>
        <v>100000000000</v>
      </c>
      <c r="AC207" s="22">
        <f>INDEX(Comparison!$AL$3:$AL$33,AG$14,1)</f>
        <v>1000000000000</v>
      </c>
      <c r="AD207" s="22">
        <f>INDEX(Comparison!$AL$3:$AL$33,AH$14,1)</f>
        <v>10000000000000</v>
      </c>
      <c r="AE207" s="22">
        <f>INDEX(Comparison!$AL$3:$AL$33,AI$14,1)</f>
        <v>100000000000000</v>
      </c>
      <c r="AF207" s="22">
        <f>INDEX(Comparison!$AL$3:$AL$33,AJ$14,1)</f>
        <v>1000000000000000</v>
      </c>
      <c r="AG207" s="22"/>
      <c r="AH207" s="22"/>
    </row>
    <row r="208" spans="1:34" x14ac:dyDescent="0.25">
      <c r="A208" s="25" t="s">
        <v>23</v>
      </c>
      <c r="B208" s="26">
        <f>INDEX(Comparison!$AM$3:$AS$33,F$14,$D$122)</f>
        <v>6524.0904126194901</v>
      </c>
      <c r="C208" s="26">
        <f>INDEX(Comparison!$AM$3:$AS$33,G$14,$D$122)</f>
        <v>6524.1443595856636</v>
      </c>
      <c r="D208" s="26">
        <f>INDEX(Comparison!$AM$3:$AS$33,H$14,$D$122)</f>
        <v>6524.1111351538066</v>
      </c>
      <c r="E208" s="26">
        <f>INDEX(Comparison!$AM$3:$AS$33,I$14,$D$122)</f>
        <v>6524.1012603146964</v>
      </c>
      <c r="F208" s="26">
        <f>INDEX(Comparison!$AM$3:$AS$33,J$14,$D$122)</f>
        <v>6524.0981470711258</v>
      </c>
      <c r="G208" s="26">
        <f>INDEX(Comparison!$AM$3:$AS$33,K$14,$D$122)</f>
        <v>6524.0971012165301</v>
      </c>
      <c r="H208" s="26">
        <f>INDEX(Comparison!$AM$3:$AS$33,L$14,$D$122)</f>
        <v>6524.0967607058046</v>
      </c>
      <c r="I208" s="26">
        <f>INDEX(Comparison!$AM$3:$AS$33,M$14,$D$122)</f>
        <v>6524.0967120614177</v>
      </c>
      <c r="J208" s="26">
        <f>INDEX(Comparison!$AM$3:$AS$33,N$14,$D$122)</f>
        <v>6524.0963715507314</v>
      </c>
      <c r="K208" s="26">
        <f>INDEX(Comparison!$AM$3:$AS$33,O$14,$D$122)</f>
        <v>6524.0939393325853</v>
      </c>
      <c r="L208" s="26">
        <f>INDEX(Comparison!$AM$3:$AS$33,P$14,$D$122)</f>
        <v>6524.06939835293</v>
      </c>
      <c r="M208" s="26">
        <f>INDEX(Comparison!$AM$3:$AS$33,Q$14,$D$122)</f>
        <v>6523.8242419120506</v>
      </c>
      <c r="N208" s="26">
        <f>INDEX(Comparison!$AM$3:$AS$33,R$14,$D$122)</f>
        <v>6521.3925487999713</v>
      </c>
      <c r="O208" s="26">
        <f>INDEX(Comparison!$AM$3:$AS$33,S$14,$D$122)</f>
        <v>6498.8766153292054</v>
      </c>
      <c r="P208" s="26">
        <f>INDEX(Comparison!$AM$3:$AS$33,T$14,$D$122)</f>
        <v>6376.7108933957061</v>
      </c>
      <c r="Q208" s="26">
        <f>INDEX(Comparison!$AM$3:$AS$33,U$14,$D$122)</f>
        <v>6230.3639399807598</v>
      </c>
      <c r="R208" s="26">
        <f>INDEX(Comparison!$AM$3:$AS$33,V$14,$D$122)</f>
        <v>6066.3152248046426</v>
      </c>
      <c r="S208" s="26">
        <f>INDEX(Comparison!$AM$3:$AS$33,W$14,$D$122)</f>
        <v>5850.8000974148181</v>
      </c>
      <c r="T208" s="26">
        <f>INDEX(Comparison!$AM$3:$AS$33,X$14,$D$122)</f>
        <v>5524.1383776461034</v>
      </c>
      <c r="U208" s="26">
        <f>INDEX(Comparison!$AM$3:$AS$33,Y$14,$D$122)</f>
        <v>5037.8540321693981</v>
      </c>
      <c r="V208" s="26">
        <f>INDEX(Comparison!$AM$3:$AS$33,Z$14,$D$122)</f>
        <v>4531.1485912762591</v>
      </c>
      <c r="W208" s="26">
        <f>INDEX(Comparison!$AM$3:$AS$33,AA$14,$D$122)</f>
        <v>4100.3073895013431</v>
      </c>
      <c r="X208" s="26">
        <f>INDEX(Comparison!$AM$3:$AS$33,AB$14,$D$122)</f>
        <v>3736.9018653482362</v>
      </c>
      <c r="Y208" s="26">
        <f>INDEX(Comparison!$AM$3:$AS$33,AC$14,$D$122)</f>
        <v>3408.8002756648089</v>
      </c>
      <c r="Z208" s="26">
        <f>INDEX(Comparison!$AM$3:$AS$33,AD$14,$D$122)</f>
        <v>3078.2308446927527</v>
      </c>
      <c r="AA208" s="26">
        <f>INDEX(Comparison!$AM$3:$AS$33,AE$14,$D$122)</f>
        <v>2685.2498641877337</v>
      </c>
      <c r="AB208" s="26">
        <f>INDEX(Comparison!$AM$3:$AS$33,AF$14,$D$122)</f>
        <v>2228.0957655931211</v>
      </c>
      <c r="AC208" s="26">
        <f>INDEX(Comparison!$AM$3:$AS$33,AG$14,$D$122)</f>
        <v>1704.9584752004923</v>
      </c>
      <c r="AD208" s="26">
        <f>INDEX(Comparison!$AM$3:$AS$33,AH$14,$D$122)</f>
        <v>1135.4901421385146</v>
      </c>
      <c r="AE208" s="26">
        <f>INDEX(Comparison!$AM$3:$AS$33,AI$14,$D$122)</f>
        <v>680.51042901870051</v>
      </c>
      <c r="AF208" s="26">
        <f>INDEX(Comparison!$AM$3:$AS$33,AJ$14,$D$122)</f>
        <v>389.33964903055204</v>
      </c>
      <c r="AG208" s="26"/>
      <c r="AH208" s="26"/>
    </row>
    <row r="209" spans="1:34" x14ac:dyDescent="0.25">
      <c r="A209" s="70" t="s">
        <v>22</v>
      </c>
      <c r="B209" s="27">
        <f>($C$17+SUM(B210:B240))*$B$51</f>
        <v>6524.0922999998829</v>
      </c>
      <c r="C209" s="27">
        <f t="shared" ref="C209:AF209" si="170">($C$17+SUM(C210:C240))*$B$51</f>
        <v>6524.0922999988006</v>
      </c>
      <c r="D209" s="27">
        <f t="shared" si="170"/>
        <v>6524.0922999879822</v>
      </c>
      <c r="E209" s="27">
        <f t="shared" si="170"/>
        <v>6524.0922998797996</v>
      </c>
      <c r="F209" s="27">
        <f t="shared" si="170"/>
        <v>6524.0922987979711</v>
      </c>
      <c r="G209" s="27">
        <f t="shared" si="170"/>
        <v>6524.0922879796935</v>
      </c>
      <c r="H209" s="27">
        <f t="shared" si="170"/>
        <v>6524.0921797969231</v>
      </c>
      <c r="I209" s="27">
        <f t="shared" si="170"/>
        <v>6524.091097969781</v>
      </c>
      <c r="J209" s="27">
        <f t="shared" si="170"/>
        <v>6524.0802797552778</v>
      </c>
      <c r="K209" s="27">
        <f t="shared" si="170"/>
        <v>6523.9721033018677</v>
      </c>
      <c r="L209" s="27">
        <f t="shared" si="170"/>
        <v>6522.8909077278786</v>
      </c>
      <c r="M209" s="27">
        <f t="shared" si="170"/>
        <v>6512.1356471348199</v>
      </c>
      <c r="N209" s="27">
        <f t="shared" si="170"/>
        <v>6410.0569190713459</v>
      </c>
      <c r="O209" s="27">
        <f t="shared" si="170"/>
        <v>5783.8639202575832</v>
      </c>
      <c r="P209" s="27">
        <f t="shared" si="170"/>
        <v>5393.2128468839664</v>
      </c>
      <c r="Q209" s="27">
        <f t="shared" si="170"/>
        <v>5393.17125808539</v>
      </c>
      <c r="R209" s="27">
        <f t="shared" si="170"/>
        <v>5393.0291314495107</v>
      </c>
      <c r="S209" s="27">
        <f t="shared" si="170"/>
        <v>5391.6097151087351</v>
      </c>
      <c r="T209" s="27">
        <f t="shared" si="170"/>
        <v>5377.5988915808384</v>
      </c>
      <c r="U209" s="27">
        <f t="shared" si="170"/>
        <v>5254.2700732578123</v>
      </c>
      <c r="V209" s="27">
        <f t="shared" si="170"/>
        <v>4819.3040581654559</v>
      </c>
      <c r="W209" s="27">
        <f t="shared" si="170"/>
        <v>4577.4618837912594</v>
      </c>
      <c r="X209" s="27">
        <f t="shared" si="170"/>
        <v>4265.0351881986689</v>
      </c>
      <c r="Y209" s="27">
        <f t="shared" si="170"/>
        <v>3927.8698715230157</v>
      </c>
      <c r="Z209" s="27">
        <f t="shared" si="170"/>
        <v>3477.3061001610804</v>
      </c>
      <c r="AA209" s="27">
        <f t="shared" si="170"/>
        <v>2922.0217211684735</v>
      </c>
      <c r="AB209" s="27">
        <f t="shared" si="170"/>
        <v>2269.6545880108988</v>
      </c>
      <c r="AC209" s="27">
        <f t="shared" si="170"/>
        <v>1534.6440067267181</v>
      </c>
      <c r="AD209" s="27">
        <f t="shared" si="170"/>
        <v>924.05863461323918</v>
      </c>
      <c r="AE209" s="27">
        <f t="shared" si="170"/>
        <v>523.03275821579598</v>
      </c>
      <c r="AF209" s="27">
        <f t="shared" si="170"/>
        <v>289.89451750199407</v>
      </c>
      <c r="AG209" s="27"/>
      <c r="AH209" s="27"/>
    </row>
    <row r="210" spans="1:34" x14ac:dyDescent="0.25">
      <c r="B210" s="3">
        <f t="shared" ref="B210:AF210" si="171">$C18*EXP(-B$207/$A18/EXP(-$D$126))</f>
        <v>0.17334292587918218</v>
      </c>
      <c r="C210" s="3">
        <f t="shared" si="171"/>
        <v>0.17334292587901637</v>
      </c>
      <c r="D210" s="3">
        <f t="shared" si="171"/>
        <v>0.17334292587735817</v>
      </c>
      <c r="E210" s="3">
        <f t="shared" si="171"/>
        <v>0.17334292586077613</v>
      </c>
      <c r="F210" s="3">
        <f t="shared" si="171"/>
        <v>0.17334292569495571</v>
      </c>
      <c r="G210" s="3">
        <f t="shared" si="171"/>
        <v>0.17334292403675167</v>
      </c>
      <c r="H210" s="3">
        <f t="shared" si="171"/>
        <v>0.17334290745471206</v>
      </c>
      <c r="I210" s="3">
        <f t="shared" si="171"/>
        <v>0.17334274163440325</v>
      </c>
      <c r="J210" s="3">
        <f t="shared" si="171"/>
        <v>0.17334108344003937</v>
      </c>
      <c r="K210" s="3">
        <f t="shared" si="171"/>
        <v>0.17332450236880037</v>
      </c>
      <c r="L210" s="3">
        <f t="shared" si="171"/>
        <v>0.17315877886549552</v>
      </c>
      <c r="M210" s="3">
        <f t="shared" si="171"/>
        <v>0.17151023395272869</v>
      </c>
      <c r="N210" s="3">
        <f t="shared" si="171"/>
        <v>0.15586381002816904</v>
      </c>
      <c r="O210" s="3">
        <f t="shared" si="171"/>
        <v>5.988220402505174E-2</v>
      </c>
      <c r="P210" s="3">
        <f t="shared" si="171"/>
        <v>4.1958761525362564E-6</v>
      </c>
      <c r="Q210" s="3">
        <f t="shared" si="171"/>
        <v>1.1969375821821277E-47</v>
      </c>
      <c r="R210" s="3">
        <f t="shared" si="171"/>
        <v>0</v>
      </c>
      <c r="S210" s="3">
        <f t="shared" si="171"/>
        <v>0</v>
      </c>
      <c r="T210" s="3">
        <f t="shared" si="171"/>
        <v>0</v>
      </c>
      <c r="U210" s="3">
        <f t="shared" si="171"/>
        <v>0</v>
      </c>
      <c r="V210" s="3">
        <f t="shared" si="171"/>
        <v>0</v>
      </c>
      <c r="W210" s="3">
        <f t="shared" si="171"/>
        <v>0</v>
      </c>
      <c r="X210" s="3">
        <f t="shared" si="171"/>
        <v>0</v>
      </c>
      <c r="Y210" s="3">
        <f t="shared" si="171"/>
        <v>0</v>
      </c>
      <c r="Z210" s="3">
        <f t="shared" si="171"/>
        <v>0</v>
      </c>
      <c r="AA210" s="3">
        <f t="shared" si="171"/>
        <v>0</v>
      </c>
      <c r="AB210" s="3">
        <f t="shared" si="171"/>
        <v>0</v>
      </c>
      <c r="AC210" s="3">
        <f t="shared" si="171"/>
        <v>0</v>
      </c>
      <c r="AD210" s="3">
        <f t="shared" si="171"/>
        <v>0</v>
      </c>
      <c r="AE210" s="3">
        <f t="shared" si="171"/>
        <v>0</v>
      </c>
      <c r="AF210" s="3">
        <f t="shared" si="171"/>
        <v>0</v>
      </c>
      <c r="AG210" s="3"/>
      <c r="AH210" s="3"/>
    </row>
    <row r="211" spans="1:34" x14ac:dyDescent="0.25">
      <c r="B211" s="3">
        <f t="shared" ref="B211:AF211" si="172">$C19*EXP(-B$207/$A19/EXP(-$D$126))</f>
        <v>8.5701557636401818E-2</v>
      </c>
      <c r="C211" s="3">
        <f t="shared" si="172"/>
        <v>8.5701557636401818E-2</v>
      </c>
      <c r="D211" s="3">
        <f t="shared" si="172"/>
        <v>8.5701557636401818E-2</v>
      </c>
      <c r="E211" s="3">
        <f t="shared" si="172"/>
        <v>8.5701557636401818E-2</v>
      </c>
      <c r="F211" s="3">
        <f t="shared" si="172"/>
        <v>8.5701557636401804E-2</v>
      </c>
      <c r="G211" s="3">
        <f t="shared" si="172"/>
        <v>8.5701557636401582E-2</v>
      </c>
      <c r="H211" s="3">
        <f t="shared" si="172"/>
        <v>8.5701557636399486E-2</v>
      </c>
      <c r="I211" s="3">
        <f t="shared" si="172"/>
        <v>8.5701557636378489E-2</v>
      </c>
      <c r="J211" s="3">
        <f t="shared" si="172"/>
        <v>8.5701557636168491E-2</v>
      </c>
      <c r="K211" s="3">
        <f t="shared" si="172"/>
        <v>8.5701557634068476E-2</v>
      </c>
      <c r="L211" s="3">
        <f t="shared" si="172"/>
        <v>8.5701557613068316E-2</v>
      </c>
      <c r="M211" s="3">
        <f t="shared" si="172"/>
        <v>8.5701557403066772E-2</v>
      </c>
      <c r="N211" s="3">
        <f t="shared" si="172"/>
        <v>8.5701555303051416E-2</v>
      </c>
      <c r="O211" s="3">
        <f t="shared" si="172"/>
        <v>8.57015343029007E-2</v>
      </c>
      <c r="P211" s="3">
        <f t="shared" si="172"/>
        <v>8.5701324301676582E-2</v>
      </c>
      <c r="Q211" s="3">
        <f t="shared" si="172"/>
        <v>8.5699224317737147E-2</v>
      </c>
      <c r="R211" s="3">
        <f t="shared" si="172"/>
        <v>8.5678227308269475E-2</v>
      </c>
      <c r="S211" s="3">
        <f t="shared" si="172"/>
        <v>8.5468539949852526E-2</v>
      </c>
      <c r="T211" s="3">
        <f t="shared" si="172"/>
        <v>8.3399685322799122E-2</v>
      </c>
      <c r="U211" s="3">
        <f t="shared" si="172"/>
        <v>6.527481983334768E-2</v>
      </c>
      <c r="V211" s="3">
        <f t="shared" si="172"/>
        <v>5.6306480190866058E-3</v>
      </c>
      <c r="W211" s="3">
        <f t="shared" si="172"/>
        <v>1.2843558235206764E-13</v>
      </c>
      <c r="X211" s="3">
        <f t="shared" si="172"/>
        <v>4.8972824677643586E-120</v>
      </c>
      <c r="Y211" s="3">
        <f t="shared" si="172"/>
        <v>0</v>
      </c>
      <c r="Z211" s="3">
        <f t="shared" si="172"/>
        <v>0</v>
      </c>
      <c r="AA211" s="3">
        <f t="shared" si="172"/>
        <v>0</v>
      </c>
      <c r="AB211" s="3">
        <f t="shared" si="172"/>
        <v>0</v>
      </c>
      <c r="AC211" s="3">
        <f t="shared" si="172"/>
        <v>0</v>
      </c>
      <c r="AD211" s="3">
        <f t="shared" si="172"/>
        <v>0</v>
      </c>
      <c r="AE211" s="3">
        <f t="shared" si="172"/>
        <v>0</v>
      </c>
      <c r="AF211" s="3">
        <f t="shared" si="172"/>
        <v>0</v>
      </c>
      <c r="AG211" s="3"/>
      <c r="AH211" s="3"/>
    </row>
    <row r="212" spans="1:34" x14ac:dyDescent="0.25">
      <c r="B212" s="3">
        <f t="shared" ref="B212:AF212" si="173">$C20*EXP(-B$207/$A20/EXP(-$D$126))</f>
        <v>3.0493834764101356E-2</v>
      </c>
      <c r="C212" s="3">
        <f t="shared" si="173"/>
        <v>3.0493834764101356E-2</v>
      </c>
      <c r="D212" s="3">
        <f t="shared" si="173"/>
        <v>3.0493834764101356E-2</v>
      </c>
      <c r="E212" s="3">
        <f t="shared" si="173"/>
        <v>3.0493834764101356E-2</v>
      </c>
      <c r="F212" s="3">
        <f t="shared" si="173"/>
        <v>3.0493834764101356E-2</v>
      </c>
      <c r="G212" s="3">
        <f t="shared" si="173"/>
        <v>3.0493834764101349E-2</v>
      </c>
      <c r="H212" s="3">
        <f t="shared" si="173"/>
        <v>3.0493834764101283E-2</v>
      </c>
      <c r="I212" s="3">
        <f t="shared" si="173"/>
        <v>3.0493834764100607E-2</v>
      </c>
      <c r="J212" s="3">
        <f t="shared" si="173"/>
        <v>3.0493834764093869E-2</v>
      </c>
      <c r="K212" s="3">
        <f t="shared" si="173"/>
        <v>3.0493834764026461E-2</v>
      </c>
      <c r="L212" s="3">
        <f t="shared" si="173"/>
        <v>3.049383476335241E-2</v>
      </c>
      <c r="M212" s="3">
        <f t="shared" si="173"/>
        <v>3.0493834756611909E-2</v>
      </c>
      <c r="N212" s="3">
        <f t="shared" si="173"/>
        <v>3.0493834689206863E-2</v>
      </c>
      <c r="O212" s="3">
        <f t="shared" si="173"/>
        <v>3.0493834015156436E-2</v>
      </c>
      <c r="P212" s="3">
        <f t="shared" si="173"/>
        <v>3.0493827274652968E-2</v>
      </c>
      <c r="Q212" s="3">
        <f t="shared" si="173"/>
        <v>3.0493759869700279E-2</v>
      </c>
      <c r="R212" s="3">
        <f t="shared" si="173"/>
        <v>3.0493085828368013E-2</v>
      </c>
      <c r="S212" s="3">
        <f t="shared" si="173"/>
        <v>3.0486346234445398E-2</v>
      </c>
      <c r="T212" s="3">
        <f t="shared" si="173"/>
        <v>3.0419032168245097E-2</v>
      </c>
      <c r="U212" s="3">
        <f t="shared" si="173"/>
        <v>2.975401224175234E-2</v>
      </c>
      <c r="V212" s="3">
        <f t="shared" si="173"/>
        <v>2.3853218670902284E-2</v>
      </c>
      <c r="W212" s="3">
        <f t="shared" si="173"/>
        <v>2.6155408735741262E-3</v>
      </c>
      <c r="X212" s="3">
        <f t="shared" si="173"/>
        <v>6.5721388189330307E-13</v>
      </c>
      <c r="Y212" s="3">
        <f t="shared" si="173"/>
        <v>6.5941511492767074E-109</v>
      </c>
      <c r="Z212" s="3">
        <f t="shared" si="173"/>
        <v>0</v>
      </c>
      <c r="AA212" s="3">
        <f t="shared" si="173"/>
        <v>0</v>
      </c>
      <c r="AB212" s="3">
        <f t="shared" si="173"/>
        <v>0</v>
      </c>
      <c r="AC212" s="3">
        <f t="shared" si="173"/>
        <v>0</v>
      </c>
      <c r="AD212" s="3">
        <f t="shared" si="173"/>
        <v>0</v>
      </c>
      <c r="AE212" s="3">
        <f t="shared" si="173"/>
        <v>0</v>
      </c>
      <c r="AF212" s="3">
        <f t="shared" si="173"/>
        <v>0</v>
      </c>
      <c r="AG212" s="3"/>
      <c r="AH212" s="3"/>
    </row>
    <row r="213" spans="1:34" x14ac:dyDescent="0.25">
      <c r="B213" s="3">
        <f t="shared" ref="B213:AF213" si="174">$C21*EXP(-B$207/$A21/EXP(-$D$126))</f>
        <v>5.1956618575789072E-2</v>
      </c>
      <c r="C213" s="3">
        <f t="shared" si="174"/>
        <v>5.1956618575789072E-2</v>
      </c>
      <c r="D213" s="3">
        <f t="shared" si="174"/>
        <v>5.1956618575789072E-2</v>
      </c>
      <c r="E213" s="3">
        <f t="shared" si="174"/>
        <v>5.1956618575789072E-2</v>
      </c>
      <c r="F213" s="3">
        <f t="shared" si="174"/>
        <v>5.1956618575789072E-2</v>
      </c>
      <c r="G213" s="3">
        <f t="shared" si="174"/>
        <v>5.1956618575789072E-2</v>
      </c>
      <c r="H213" s="3">
        <f t="shared" si="174"/>
        <v>5.1956618575789058E-2</v>
      </c>
      <c r="I213" s="3">
        <f t="shared" si="174"/>
        <v>5.1956618575788954E-2</v>
      </c>
      <c r="J213" s="3">
        <f t="shared" si="174"/>
        <v>5.195661857578792E-2</v>
      </c>
      <c r="K213" s="3">
        <f t="shared" si="174"/>
        <v>5.1956618575777561E-2</v>
      </c>
      <c r="L213" s="3">
        <f t="shared" si="174"/>
        <v>5.1956618575673956E-2</v>
      </c>
      <c r="M213" s="3">
        <f t="shared" si="174"/>
        <v>5.1956618574637944E-2</v>
      </c>
      <c r="N213" s="3">
        <f t="shared" si="174"/>
        <v>5.1956618564277746E-2</v>
      </c>
      <c r="O213" s="3">
        <f t="shared" si="174"/>
        <v>5.195661846067582E-2</v>
      </c>
      <c r="P213" s="3">
        <f t="shared" si="174"/>
        <v>5.1956617424656598E-2</v>
      </c>
      <c r="Q213" s="3">
        <f t="shared" si="174"/>
        <v>5.1956607064465435E-2</v>
      </c>
      <c r="R213" s="3">
        <f t="shared" si="174"/>
        <v>5.1956503462667426E-2</v>
      </c>
      <c r="S213" s="3">
        <f t="shared" si="174"/>
        <v>5.1955467456049356E-2</v>
      </c>
      <c r="T213" s="3">
        <f t="shared" si="174"/>
        <v>5.1945108525982484E-2</v>
      </c>
      <c r="U213" s="3">
        <f t="shared" si="174"/>
        <v>5.1841632752922653E-2</v>
      </c>
      <c r="V213" s="3">
        <f t="shared" si="174"/>
        <v>5.0818144469342214E-2</v>
      </c>
      <c r="W213" s="3">
        <f t="shared" si="174"/>
        <v>4.1631314809632461E-2</v>
      </c>
      <c r="X213" s="3">
        <f t="shared" si="174"/>
        <v>5.6680459527507897E-3</v>
      </c>
      <c r="Y213" s="3">
        <f t="shared" si="174"/>
        <v>1.2404113094588248E-11</v>
      </c>
      <c r="Z213" s="3">
        <f t="shared" si="174"/>
        <v>3.1252823862613073E-98</v>
      </c>
      <c r="AA213" s="3">
        <f t="shared" si="174"/>
        <v>0</v>
      </c>
      <c r="AB213" s="3">
        <f t="shared" si="174"/>
        <v>0</v>
      </c>
      <c r="AC213" s="3">
        <f t="shared" si="174"/>
        <v>0</v>
      </c>
      <c r="AD213" s="3">
        <f t="shared" si="174"/>
        <v>0</v>
      </c>
      <c r="AE213" s="3">
        <f t="shared" si="174"/>
        <v>0</v>
      </c>
      <c r="AF213" s="3">
        <f t="shared" si="174"/>
        <v>0</v>
      </c>
      <c r="AG213" s="3"/>
      <c r="AH213" s="3"/>
    </row>
    <row r="214" spans="1:34" x14ac:dyDescent="0.25">
      <c r="B214" s="3">
        <f t="shared" ref="B214:AF214" si="175">$C22*EXP(-B$207/$A22/EXP(-$D$126))</f>
        <v>4.953314033701034E-2</v>
      </c>
      <c r="C214" s="3">
        <f t="shared" si="175"/>
        <v>4.953314033701034E-2</v>
      </c>
      <c r="D214" s="3">
        <f t="shared" si="175"/>
        <v>4.953314033701034E-2</v>
      </c>
      <c r="E214" s="3">
        <f t="shared" si="175"/>
        <v>4.953314033701034E-2</v>
      </c>
      <c r="F214" s="3">
        <f t="shared" si="175"/>
        <v>4.953314033701034E-2</v>
      </c>
      <c r="G214" s="3">
        <f t="shared" si="175"/>
        <v>4.953314033701034E-2</v>
      </c>
      <c r="H214" s="3">
        <f t="shared" si="175"/>
        <v>4.953314033701034E-2</v>
      </c>
      <c r="I214" s="3">
        <f t="shared" si="175"/>
        <v>4.9533140337010326E-2</v>
      </c>
      <c r="J214" s="3">
        <f t="shared" si="175"/>
        <v>4.9533140337010242E-2</v>
      </c>
      <c r="K214" s="3">
        <f t="shared" si="175"/>
        <v>4.9533140337009347E-2</v>
      </c>
      <c r="L214" s="3">
        <f t="shared" si="175"/>
        <v>4.9533140337000438E-2</v>
      </c>
      <c r="M214" s="3">
        <f t="shared" si="175"/>
        <v>4.9533140336911342E-2</v>
      </c>
      <c r="N214" s="3">
        <f t="shared" si="175"/>
        <v>4.9533140336020361E-2</v>
      </c>
      <c r="O214" s="3">
        <f t="shared" si="175"/>
        <v>4.9533140327110529E-2</v>
      </c>
      <c r="P214" s="3">
        <f t="shared" si="175"/>
        <v>4.9533140238012231E-2</v>
      </c>
      <c r="Q214" s="3">
        <f t="shared" si="175"/>
        <v>4.9533139347029284E-2</v>
      </c>
      <c r="R214" s="3">
        <f t="shared" si="175"/>
        <v>4.9533130437200701E-2</v>
      </c>
      <c r="S214" s="3">
        <f t="shared" si="175"/>
        <v>4.9533041339002971E-2</v>
      </c>
      <c r="T214" s="3">
        <f t="shared" si="175"/>
        <v>4.95321503658403E-2</v>
      </c>
      <c r="U214" s="3">
        <f t="shared" si="175"/>
        <v>4.9523241515614484E-2</v>
      </c>
      <c r="V214" s="3">
        <f t="shared" si="175"/>
        <v>4.9434241094816735E-2</v>
      </c>
      <c r="W214" s="3">
        <f t="shared" si="175"/>
        <v>4.8552986691988424E-2</v>
      </c>
      <c r="X214" s="3">
        <f t="shared" si="175"/>
        <v>4.0559887320436014E-2</v>
      </c>
      <c r="Y214" s="3">
        <f t="shared" si="175"/>
        <v>6.7128143279122964E-3</v>
      </c>
      <c r="Z214" s="3">
        <f t="shared" si="175"/>
        <v>1.0351030479465314E-10</v>
      </c>
      <c r="AA214" s="3">
        <f t="shared" si="175"/>
        <v>7.8663471971402678E-89</v>
      </c>
      <c r="AB214" s="3">
        <f t="shared" si="175"/>
        <v>0</v>
      </c>
      <c r="AC214" s="3">
        <f t="shared" si="175"/>
        <v>0</v>
      </c>
      <c r="AD214" s="3">
        <f t="shared" si="175"/>
        <v>0</v>
      </c>
      <c r="AE214" s="3">
        <f t="shared" si="175"/>
        <v>0</v>
      </c>
      <c r="AF214" s="3">
        <f t="shared" si="175"/>
        <v>0</v>
      </c>
      <c r="AG214" s="3"/>
      <c r="AH214" s="3"/>
    </row>
    <row r="215" spans="1:34" x14ac:dyDescent="0.25">
      <c r="B215" s="3">
        <f t="shared" ref="B215:AF215" si="176">$C23*EXP(-B$207/$A23/EXP(-$D$126))</f>
        <v>7.2790684842208797E-2</v>
      </c>
      <c r="C215" s="3">
        <f t="shared" si="176"/>
        <v>7.2790684842208797E-2</v>
      </c>
      <c r="D215" s="3">
        <f t="shared" si="176"/>
        <v>7.2790684842208797E-2</v>
      </c>
      <c r="E215" s="3">
        <f t="shared" si="176"/>
        <v>7.2790684842208797E-2</v>
      </c>
      <c r="F215" s="3">
        <f t="shared" si="176"/>
        <v>7.2790684842208797E-2</v>
      </c>
      <c r="G215" s="3">
        <f t="shared" si="176"/>
        <v>7.2790684842208797E-2</v>
      </c>
      <c r="H215" s="3">
        <f t="shared" si="176"/>
        <v>7.2790684842208797E-2</v>
      </c>
      <c r="I215" s="3">
        <f t="shared" si="176"/>
        <v>7.2790684842208797E-2</v>
      </c>
      <c r="J215" s="3">
        <f t="shared" si="176"/>
        <v>7.2790684842208783E-2</v>
      </c>
      <c r="K215" s="3">
        <f t="shared" si="176"/>
        <v>7.2790684842208672E-2</v>
      </c>
      <c r="L215" s="3">
        <f t="shared" si="176"/>
        <v>7.2790684842207493E-2</v>
      </c>
      <c r="M215" s="3">
        <f t="shared" si="176"/>
        <v>7.2790684842195669E-2</v>
      </c>
      <c r="N215" s="3">
        <f t="shared" si="176"/>
        <v>7.2790684842077569E-2</v>
      </c>
      <c r="O215" s="3">
        <f t="shared" si="176"/>
        <v>7.279068484089643E-2</v>
      </c>
      <c r="P215" s="3">
        <f t="shared" si="176"/>
        <v>7.2790684829085184E-2</v>
      </c>
      <c r="Q215" s="3">
        <f t="shared" si="176"/>
        <v>7.2790684710972664E-2</v>
      </c>
      <c r="R215" s="3">
        <f t="shared" si="176"/>
        <v>7.2790683529847494E-2</v>
      </c>
      <c r="S215" s="3">
        <f t="shared" si="176"/>
        <v>7.2790671718596794E-2</v>
      </c>
      <c r="T215" s="3">
        <f t="shared" si="176"/>
        <v>7.279055360619531E-2</v>
      </c>
      <c r="U215" s="3">
        <f t="shared" si="176"/>
        <v>7.2789372492721327E-2</v>
      </c>
      <c r="V215" s="3">
        <f t="shared" si="176"/>
        <v>7.2777562412003727E-2</v>
      </c>
      <c r="W215" s="3">
        <f t="shared" si="176"/>
        <v>7.2659566943798201E-2</v>
      </c>
      <c r="X215" s="3">
        <f t="shared" si="176"/>
        <v>7.1490083189588494E-2</v>
      </c>
      <c r="Y215" s="3">
        <f t="shared" si="176"/>
        <v>6.0782110492306751E-2</v>
      </c>
      <c r="Z215" s="3">
        <f t="shared" si="176"/>
        <v>1.1997078712923763E-2</v>
      </c>
      <c r="AA215" s="3">
        <f t="shared" si="176"/>
        <v>1.0766457591366943E-9</v>
      </c>
      <c r="AB215" s="3">
        <f t="shared" si="176"/>
        <v>3.6479266063257949E-80</v>
      </c>
      <c r="AC215" s="3">
        <f t="shared" si="176"/>
        <v>0</v>
      </c>
      <c r="AD215" s="3">
        <f t="shared" si="176"/>
        <v>0</v>
      </c>
      <c r="AE215" s="3">
        <f t="shared" si="176"/>
        <v>0</v>
      </c>
      <c r="AF215" s="3">
        <f t="shared" si="176"/>
        <v>0</v>
      </c>
      <c r="AG215" s="3"/>
      <c r="AH215" s="3"/>
    </row>
    <row r="216" spans="1:34" x14ac:dyDescent="0.25">
      <c r="B216" s="3">
        <f t="shared" ref="B216:AF216" si="177">$C24*EXP(-B$207/$A24/EXP(-$D$126))</f>
        <v>8.9662910534614892E-2</v>
      </c>
      <c r="C216" s="3">
        <f t="shared" si="177"/>
        <v>8.9662910534614892E-2</v>
      </c>
      <c r="D216" s="3">
        <f t="shared" si="177"/>
        <v>8.9662910534614892E-2</v>
      </c>
      <c r="E216" s="3">
        <f t="shared" si="177"/>
        <v>8.9662910534614892E-2</v>
      </c>
      <c r="F216" s="3">
        <f t="shared" si="177"/>
        <v>8.9662910534614892E-2</v>
      </c>
      <c r="G216" s="3">
        <f t="shared" si="177"/>
        <v>8.9662910534614892E-2</v>
      </c>
      <c r="H216" s="3">
        <f t="shared" si="177"/>
        <v>8.9662910534614892E-2</v>
      </c>
      <c r="I216" s="3">
        <f t="shared" si="177"/>
        <v>8.9662910534614892E-2</v>
      </c>
      <c r="J216" s="3">
        <f t="shared" si="177"/>
        <v>8.9662910534614892E-2</v>
      </c>
      <c r="K216" s="3">
        <f t="shared" si="177"/>
        <v>8.9662910534614879E-2</v>
      </c>
      <c r="L216" s="3">
        <f t="shared" si="177"/>
        <v>8.966291053461474E-2</v>
      </c>
      <c r="M216" s="3">
        <f t="shared" si="177"/>
        <v>8.9662910534613435E-2</v>
      </c>
      <c r="N216" s="3">
        <f t="shared" si="177"/>
        <v>8.9662910534600307E-2</v>
      </c>
      <c r="O216" s="3">
        <f t="shared" si="177"/>
        <v>8.9662910534469065E-2</v>
      </c>
      <c r="P216" s="3">
        <f t="shared" si="177"/>
        <v>8.9662910533156628E-2</v>
      </c>
      <c r="Q216" s="3">
        <f t="shared" si="177"/>
        <v>8.9662910520032224E-2</v>
      </c>
      <c r="R216" s="3">
        <f t="shared" si="177"/>
        <v>8.9662910388788195E-2</v>
      </c>
      <c r="S216" s="3">
        <f t="shared" si="177"/>
        <v>8.9662909076347927E-2</v>
      </c>
      <c r="T216" s="3">
        <f t="shared" si="177"/>
        <v>8.9662895951946375E-2</v>
      </c>
      <c r="U216" s="3">
        <f t="shared" si="177"/>
        <v>8.9662764708036552E-2</v>
      </c>
      <c r="V216" s="3">
        <f t="shared" si="177"/>
        <v>8.9661452279504172E-2</v>
      </c>
      <c r="W216" s="3">
        <f t="shared" si="177"/>
        <v>8.9648329050712738E-2</v>
      </c>
      <c r="X216" s="3">
        <f t="shared" si="177"/>
        <v>8.9517202358840267E-2</v>
      </c>
      <c r="Y216" s="3">
        <f t="shared" si="177"/>
        <v>8.8216438078065645E-2</v>
      </c>
      <c r="Z216" s="3">
        <f t="shared" si="177"/>
        <v>7.62043374643354E-2</v>
      </c>
      <c r="AA216" s="3">
        <f t="shared" si="177"/>
        <v>1.763118185586382E-2</v>
      </c>
      <c r="AB216" s="3">
        <f t="shared" si="177"/>
        <v>7.7499474675919716E-9</v>
      </c>
      <c r="AC216" s="3">
        <f t="shared" si="177"/>
        <v>2.0867580421374496E-72</v>
      </c>
      <c r="AD216" s="3">
        <f t="shared" si="177"/>
        <v>0</v>
      </c>
      <c r="AE216" s="3">
        <f t="shared" si="177"/>
        <v>0</v>
      </c>
      <c r="AF216" s="3">
        <f t="shared" si="177"/>
        <v>0</v>
      </c>
      <c r="AG216" s="3"/>
      <c r="AH216" s="3"/>
    </row>
    <row r="217" spans="1:34" x14ac:dyDescent="0.25">
      <c r="B217" s="3">
        <f t="shared" ref="B217:AF217" si="178">$C25*EXP(-B$207/$A25/EXP(-$D$126))</f>
        <v>0.1059802083256471</v>
      </c>
      <c r="C217" s="3">
        <f t="shared" si="178"/>
        <v>0.1059802083256471</v>
      </c>
      <c r="D217" s="3">
        <f t="shared" si="178"/>
        <v>0.1059802083256471</v>
      </c>
      <c r="E217" s="3">
        <f t="shared" si="178"/>
        <v>0.1059802083256471</v>
      </c>
      <c r="F217" s="3">
        <f t="shared" si="178"/>
        <v>0.1059802083256471</v>
      </c>
      <c r="G217" s="3">
        <f t="shared" si="178"/>
        <v>0.1059802083256471</v>
      </c>
      <c r="H217" s="3">
        <f t="shared" si="178"/>
        <v>0.1059802083256471</v>
      </c>
      <c r="I217" s="3">
        <f t="shared" si="178"/>
        <v>0.1059802083256471</v>
      </c>
      <c r="J217" s="3">
        <f t="shared" si="178"/>
        <v>0.1059802083256471</v>
      </c>
      <c r="K217" s="3">
        <f t="shared" si="178"/>
        <v>0.1059802083256471</v>
      </c>
      <c r="L217" s="3">
        <f t="shared" si="178"/>
        <v>0.10598020832564709</v>
      </c>
      <c r="M217" s="3">
        <f t="shared" si="178"/>
        <v>0.10598020832564695</v>
      </c>
      <c r="N217" s="3">
        <f t="shared" si="178"/>
        <v>0.10598020832564554</v>
      </c>
      <c r="O217" s="3">
        <f t="shared" si="178"/>
        <v>0.10598020832563156</v>
      </c>
      <c r="P217" s="3">
        <f t="shared" si="178"/>
        <v>0.10598020832549161</v>
      </c>
      <c r="Q217" s="3">
        <f t="shared" si="178"/>
        <v>0.10598020832409222</v>
      </c>
      <c r="R217" s="3">
        <f t="shared" si="178"/>
        <v>0.10598020831009834</v>
      </c>
      <c r="S217" s="3">
        <f t="shared" si="178"/>
        <v>0.10598020817015957</v>
      </c>
      <c r="T217" s="3">
        <f t="shared" si="178"/>
        <v>0.1059802067707718</v>
      </c>
      <c r="U217" s="3">
        <f t="shared" si="178"/>
        <v>0.10598019277689517</v>
      </c>
      <c r="V217" s="3">
        <f t="shared" si="178"/>
        <v>0.10598005283823056</v>
      </c>
      <c r="W217" s="3">
        <f t="shared" si="178"/>
        <v>0.10597865346174713</v>
      </c>
      <c r="X217" s="3">
        <f t="shared" si="178"/>
        <v>0.10596466071313931</v>
      </c>
      <c r="Y217" s="3">
        <f t="shared" si="178"/>
        <v>0.1058248348000759</v>
      </c>
      <c r="Z217" s="3">
        <f t="shared" si="178"/>
        <v>0.10443668352151653</v>
      </c>
      <c r="AA217" s="3">
        <f t="shared" si="178"/>
        <v>9.1518269558064594E-2</v>
      </c>
      <c r="AB217" s="3">
        <f t="shared" si="178"/>
        <v>2.4437404543506028E-2</v>
      </c>
      <c r="AC217" s="3">
        <f t="shared" si="178"/>
        <v>4.5032687228346636E-8</v>
      </c>
      <c r="AD217" s="3">
        <f t="shared" si="178"/>
        <v>2.0335540186835526E-65</v>
      </c>
      <c r="AE217" s="3">
        <f t="shared" si="178"/>
        <v>0</v>
      </c>
      <c r="AF217" s="3">
        <f t="shared" si="178"/>
        <v>0</v>
      </c>
      <c r="AG217" s="3"/>
      <c r="AH217" s="3"/>
    </row>
    <row r="218" spans="1:34" x14ac:dyDescent="0.25">
      <c r="B218" s="3">
        <f t="shared" ref="B218:AF218" si="179">$C26*EXP(-B$207/$A26/EXP(-$D$126))</f>
        <v>0.12848084538695642</v>
      </c>
      <c r="C218" s="3">
        <f t="shared" si="179"/>
        <v>0.12848084538695642</v>
      </c>
      <c r="D218" s="3">
        <f t="shared" si="179"/>
        <v>0.12848084538695642</v>
      </c>
      <c r="E218" s="3">
        <f t="shared" si="179"/>
        <v>0.12848084538695642</v>
      </c>
      <c r="F218" s="3">
        <f t="shared" si="179"/>
        <v>0.12848084538695642</v>
      </c>
      <c r="G218" s="3">
        <f t="shared" si="179"/>
        <v>0.12848084538695642</v>
      </c>
      <c r="H218" s="3">
        <f t="shared" si="179"/>
        <v>0.12848084538695642</v>
      </c>
      <c r="I218" s="3">
        <f t="shared" si="179"/>
        <v>0.12848084538695642</v>
      </c>
      <c r="J218" s="3">
        <f t="shared" si="179"/>
        <v>0.12848084538695642</v>
      </c>
      <c r="K218" s="3">
        <f t="shared" si="179"/>
        <v>0.12848084538695642</v>
      </c>
      <c r="L218" s="3">
        <f t="shared" si="179"/>
        <v>0.12848084538695642</v>
      </c>
      <c r="M218" s="3">
        <f t="shared" si="179"/>
        <v>0.12848084538695639</v>
      </c>
      <c r="N218" s="3">
        <f t="shared" si="179"/>
        <v>0.12848084538695626</v>
      </c>
      <c r="O218" s="3">
        <f t="shared" si="179"/>
        <v>0.12848084538695473</v>
      </c>
      <c r="P218" s="3">
        <f t="shared" si="179"/>
        <v>0.12848084538693941</v>
      </c>
      <c r="Q218" s="3">
        <f t="shared" si="179"/>
        <v>0.12848084538678639</v>
      </c>
      <c r="R218" s="3">
        <f t="shared" si="179"/>
        <v>0.128480845385256</v>
      </c>
      <c r="S218" s="3">
        <f t="shared" si="179"/>
        <v>0.12848084536995225</v>
      </c>
      <c r="T218" s="3">
        <f t="shared" si="179"/>
        <v>0.12848084521691458</v>
      </c>
      <c r="U218" s="3">
        <f t="shared" si="179"/>
        <v>0.12848084368653812</v>
      </c>
      <c r="V218" s="3">
        <f t="shared" si="179"/>
        <v>0.12848082838277441</v>
      </c>
      <c r="W218" s="3">
        <f t="shared" si="179"/>
        <v>0.12848067534523752</v>
      </c>
      <c r="X218" s="3">
        <f t="shared" si="179"/>
        <v>0.12847914497989435</v>
      </c>
      <c r="Y218" s="3">
        <f t="shared" si="179"/>
        <v>0.12846384232899791</v>
      </c>
      <c r="Z218" s="3">
        <f t="shared" si="179"/>
        <v>0.12831091602937791</v>
      </c>
      <c r="AA218" s="3">
        <f t="shared" si="179"/>
        <v>0.12679162994383655</v>
      </c>
      <c r="AB218" s="3">
        <f t="shared" si="179"/>
        <v>0.11255385614553351</v>
      </c>
      <c r="AC218" s="3">
        <f t="shared" si="179"/>
        <v>3.4202536674488165E-2</v>
      </c>
      <c r="AD218" s="3">
        <f t="shared" si="179"/>
        <v>2.296347993424534E-7</v>
      </c>
      <c r="AE218" s="3">
        <f t="shared" si="179"/>
        <v>4.2739708546112324E-59</v>
      </c>
      <c r="AF218" s="3">
        <f t="shared" si="179"/>
        <v>0</v>
      </c>
      <c r="AG218" s="3"/>
      <c r="AH218" s="3"/>
    </row>
    <row r="219" spans="1:34" x14ac:dyDescent="0.25">
      <c r="B219" s="3">
        <f t="shared" ref="B219:AF219" si="180">$C27*EXP(-B$207/$A27/EXP(-$D$126))</f>
        <v>9.2499277670536229E-2</v>
      </c>
      <c r="C219" s="3">
        <f t="shared" si="180"/>
        <v>9.2499277670536229E-2</v>
      </c>
      <c r="D219" s="3">
        <f t="shared" si="180"/>
        <v>9.2499277670536229E-2</v>
      </c>
      <c r="E219" s="3">
        <f t="shared" si="180"/>
        <v>9.2499277670536229E-2</v>
      </c>
      <c r="F219" s="3">
        <f t="shared" si="180"/>
        <v>9.2499277670536229E-2</v>
      </c>
      <c r="G219" s="3">
        <f t="shared" si="180"/>
        <v>9.2499277670536229E-2</v>
      </c>
      <c r="H219" s="3">
        <f t="shared" si="180"/>
        <v>9.2499277670536229E-2</v>
      </c>
      <c r="I219" s="3">
        <f t="shared" si="180"/>
        <v>9.2499277670536229E-2</v>
      </c>
      <c r="J219" s="3">
        <f t="shared" si="180"/>
        <v>9.2499277670536229E-2</v>
      </c>
      <c r="K219" s="3">
        <f t="shared" si="180"/>
        <v>9.2499277670536229E-2</v>
      </c>
      <c r="L219" s="3">
        <f t="shared" si="180"/>
        <v>9.2499277670536229E-2</v>
      </c>
      <c r="M219" s="3">
        <f t="shared" si="180"/>
        <v>9.2499277670536229E-2</v>
      </c>
      <c r="N219" s="3">
        <f t="shared" si="180"/>
        <v>9.2499277670536215E-2</v>
      </c>
      <c r="O219" s="3">
        <f t="shared" si="180"/>
        <v>9.2499277670536117E-2</v>
      </c>
      <c r="P219" s="3">
        <f t="shared" si="180"/>
        <v>9.2499277670535118E-2</v>
      </c>
      <c r="Q219" s="3">
        <f t="shared" si="180"/>
        <v>9.2499277670525196E-2</v>
      </c>
      <c r="R219" s="3">
        <f t="shared" si="180"/>
        <v>9.2499277670425789E-2</v>
      </c>
      <c r="S219" s="3">
        <f t="shared" si="180"/>
        <v>9.249927766943189E-2</v>
      </c>
      <c r="T219" s="3">
        <f t="shared" si="180"/>
        <v>9.249927765949284E-2</v>
      </c>
      <c r="U219" s="3">
        <f t="shared" si="180"/>
        <v>9.2499277560102344E-2</v>
      </c>
      <c r="V219" s="3">
        <f t="shared" si="180"/>
        <v>9.2499276566197455E-2</v>
      </c>
      <c r="W219" s="3">
        <f t="shared" si="180"/>
        <v>9.2499266627149163E-2</v>
      </c>
      <c r="X219" s="3">
        <f t="shared" si="180"/>
        <v>9.2499167236724786E-2</v>
      </c>
      <c r="Y219" s="3">
        <f t="shared" si="180"/>
        <v>9.2498173338354917E-2</v>
      </c>
      <c r="Z219" s="3">
        <f t="shared" si="180"/>
        <v>9.2488234942003159E-2</v>
      </c>
      <c r="AA219" s="3">
        <f t="shared" si="180"/>
        <v>9.2388909689850848E-2</v>
      </c>
      <c r="AB219" s="3">
        <f t="shared" si="180"/>
        <v>9.1401505030195521E-2</v>
      </c>
      <c r="AC219" s="3">
        <f t="shared" si="180"/>
        <v>8.2089648765053341E-2</v>
      </c>
      <c r="AD219" s="3">
        <f t="shared" si="180"/>
        <v>2.8031020088504551E-2</v>
      </c>
      <c r="AE219" s="3">
        <f t="shared" si="180"/>
        <v>6.0414885172360355E-7</v>
      </c>
      <c r="AF219" s="3">
        <f t="shared" si="180"/>
        <v>1.3067559065218708E-53</v>
      </c>
      <c r="AG219" s="3"/>
      <c r="AH219" s="3"/>
    </row>
    <row r="220" spans="1:34" x14ac:dyDescent="0.25">
      <c r="B220" s="3">
        <f t="shared" ref="B220:AF220" si="181">$C28*EXP(-B$207/$A28/EXP(-$D$126))</f>
        <v>5.52958361106754E-2</v>
      </c>
      <c r="C220" s="3">
        <f t="shared" si="181"/>
        <v>5.52958361106754E-2</v>
      </c>
      <c r="D220" s="3">
        <f t="shared" si="181"/>
        <v>5.52958361106754E-2</v>
      </c>
      <c r="E220" s="3">
        <f t="shared" si="181"/>
        <v>5.52958361106754E-2</v>
      </c>
      <c r="F220" s="3">
        <f t="shared" si="181"/>
        <v>5.52958361106754E-2</v>
      </c>
      <c r="G220" s="3">
        <f t="shared" si="181"/>
        <v>5.52958361106754E-2</v>
      </c>
      <c r="H220" s="3">
        <f t="shared" si="181"/>
        <v>5.52958361106754E-2</v>
      </c>
      <c r="I220" s="3">
        <f t="shared" si="181"/>
        <v>5.52958361106754E-2</v>
      </c>
      <c r="J220" s="3">
        <f t="shared" si="181"/>
        <v>5.52958361106754E-2</v>
      </c>
      <c r="K220" s="3">
        <f t="shared" si="181"/>
        <v>5.52958361106754E-2</v>
      </c>
      <c r="L220" s="3">
        <f t="shared" si="181"/>
        <v>5.52958361106754E-2</v>
      </c>
      <c r="M220" s="3">
        <f t="shared" si="181"/>
        <v>5.52958361106754E-2</v>
      </c>
      <c r="N220" s="3">
        <f t="shared" si="181"/>
        <v>5.52958361106754E-2</v>
      </c>
      <c r="O220" s="3">
        <f t="shared" si="181"/>
        <v>5.5295836110675393E-2</v>
      </c>
      <c r="P220" s="3">
        <f t="shared" si="181"/>
        <v>5.5295836110675338E-2</v>
      </c>
      <c r="Q220" s="3">
        <f t="shared" si="181"/>
        <v>5.5295836110674804E-2</v>
      </c>
      <c r="R220" s="3">
        <f t="shared" si="181"/>
        <v>5.5295836110669447E-2</v>
      </c>
      <c r="S220" s="3">
        <f t="shared" si="181"/>
        <v>5.5295836110615844E-2</v>
      </c>
      <c r="T220" s="3">
        <f t="shared" si="181"/>
        <v>5.5295836110079877E-2</v>
      </c>
      <c r="U220" s="3">
        <f t="shared" si="181"/>
        <v>5.5295836104720109E-2</v>
      </c>
      <c r="V220" s="3">
        <f t="shared" si="181"/>
        <v>5.5295836051122489E-2</v>
      </c>
      <c r="W220" s="3">
        <f t="shared" si="181"/>
        <v>5.5295835515146288E-2</v>
      </c>
      <c r="X220" s="3">
        <f t="shared" si="181"/>
        <v>5.5295830155384557E-2</v>
      </c>
      <c r="Y220" s="3">
        <f t="shared" si="181"/>
        <v>5.5295776557795863E-2</v>
      </c>
      <c r="Z220" s="3">
        <f t="shared" si="181"/>
        <v>5.5295240584766189E-2</v>
      </c>
      <c r="AA220" s="3">
        <f t="shared" si="181"/>
        <v>5.5289881140191691E-2</v>
      </c>
      <c r="AB220" s="3">
        <f t="shared" si="181"/>
        <v>5.523631525642142E-2</v>
      </c>
      <c r="AC220" s="3">
        <f t="shared" si="181"/>
        <v>5.4703502399322833E-2</v>
      </c>
      <c r="AD220" s="3">
        <f t="shared" si="181"/>
        <v>4.9650024416440196E-2</v>
      </c>
      <c r="AE220" s="3">
        <f t="shared" si="181"/>
        <v>1.8834877527291117E-2</v>
      </c>
      <c r="AF220" s="3">
        <f t="shared" si="181"/>
        <v>1.1625085139821353E-6</v>
      </c>
      <c r="AG220" s="3"/>
      <c r="AH220" s="3"/>
    </row>
    <row r="221" spans="1:34" x14ac:dyDescent="0.25">
      <c r="B221" s="3">
        <f t="shared" ref="B221:AF221" si="182">$C29*EXP(-B$207/$A29/EXP(-$D$126))</f>
        <v>3.0991280928739252E-2</v>
      </c>
      <c r="C221" s="3">
        <f t="shared" si="182"/>
        <v>3.0991280928739252E-2</v>
      </c>
      <c r="D221" s="3">
        <f t="shared" si="182"/>
        <v>3.0991280928739252E-2</v>
      </c>
      <c r="E221" s="3">
        <f t="shared" si="182"/>
        <v>3.0991280928739252E-2</v>
      </c>
      <c r="F221" s="3">
        <f t="shared" si="182"/>
        <v>3.0991280928739252E-2</v>
      </c>
      <c r="G221" s="3">
        <f t="shared" si="182"/>
        <v>3.0991280928739252E-2</v>
      </c>
      <c r="H221" s="3">
        <f t="shared" si="182"/>
        <v>3.0991280928739252E-2</v>
      </c>
      <c r="I221" s="3">
        <f t="shared" si="182"/>
        <v>3.0991280928739252E-2</v>
      </c>
      <c r="J221" s="3">
        <f t="shared" si="182"/>
        <v>3.0991280928739252E-2</v>
      </c>
      <c r="K221" s="3">
        <f t="shared" si="182"/>
        <v>3.0991280928739252E-2</v>
      </c>
      <c r="L221" s="3">
        <f t="shared" si="182"/>
        <v>3.0991280928739252E-2</v>
      </c>
      <c r="M221" s="3">
        <f t="shared" si="182"/>
        <v>3.0991280928739252E-2</v>
      </c>
      <c r="N221" s="3">
        <f t="shared" si="182"/>
        <v>3.0991280928739252E-2</v>
      </c>
      <c r="O221" s="3">
        <f t="shared" si="182"/>
        <v>3.0991280928739252E-2</v>
      </c>
      <c r="P221" s="3">
        <f t="shared" si="182"/>
        <v>3.0991280928739248E-2</v>
      </c>
      <c r="Q221" s="3">
        <f t="shared" si="182"/>
        <v>3.099128092873922E-2</v>
      </c>
      <c r="R221" s="3">
        <f t="shared" si="182"/>
        <v>3.099128092873895E-2</v>
      </c>
      <c r="S221" s="3">
        <f t="shared" si="182"/>
        <v>3.099128092873624E-2</v>
      </c>
      <c r="T221" s="3">
        <f t="shared" si="182"/>
        <v>3.099128092870914E-2</v>
      </c>
      <c r="U221" s="3">
        <f t="shared" si="182"/>
        <v>3.0991280928438159E-2</v>
      </c>
      <c r="V221" s="3">
        <f t="shared" si="182"/>
        <v>3.0991280925728351E-2</v>
      </c>
      <c r="W221" s="3">
        <f t="shared" si="182"/>
        <v>3.0991280898630229E-2</v>
      </c>
      <c r="X221" s="3">
        <f t="shared" si="182"/>
        <v>3.0991280627649005E-2</v>
      </c>
      <c r="Y221" s="3">
        <f t="shared" si="182"/>
        <v>3.0991277917836926E-2</v>
      </c>
      <c r="Z221" s="3">
        <f t="shared" si="182"/>
        <v>3.0991250819729178E-2</v>
      </c>
      <c r="AA221" s="3">
        <f t="shared" si="182"/>
        <v>3.0990979839954833E-2</v>
      </c>
      <c r="AB221" s="3">
        <f t="shared" si="182"/>
        <v>3.0988270172523862E-2</v>
      </c>
      <c r="AC221" s="3">
        <f t="shared" si="182"/>
        <v>3.0961186525245321E-2</v>
      </c>
      <c r="AD221" s="3">
        <f t="shared" si="182"/>
        <v>3.0691648550911284E-2</v>
      </c>
      <c r="AE221" s="3">
        <f t="shared" si="182"/>
        <v>2.8122014199168939E-2</v>
      </c>
      <c r="AF221" s="3">
        <f t="shared" si="182"/>
        <v>1.1730283014350128E-2</v>
      </c>
      <c r="AG221" s="3"/>
      <c r="AH221" s="3"/>
    </row>
    <row r="222" spans="1:34" x14ac:dyDescent="0.25">
      <c r="B222" s="3">
        <f t="shared" ref="B222:AF222" si="183">$C30*EXP(-B$207/$A30/EXP(-$D$126))</f>
        <v>6.4185010590350885E-3</v>
      </c>
      <c r="C222" s="3">
        <f t="shared" si="183"/>
        <v>6.4185010590350885E-3</v>
      </c>
      <c r="D222" s="3">
        <f t="shared" si="183"/>
        <v>6.4185010590350885E-3</v>
      </c>
      <c r="E222" s="3">
        <f t="shared" si="183"/>
        <v>6.4185010590350885E-3</v>
      </c>
      <c r="F222" s="3">
        <f t="shared" si="183"/>
        <v>6.4185010590350885E-3</v>
      </c>
      <c r="G222" s="3">
        <f t="shared" si="183"/>
        <v>6.4185010590350885E-3</v>
      </c>
      <c r="H222" s="3">
        <f t="shared" si="183"/>
        <v>6.4185010590350885E-3</v>
      </c>
      <c r="I222" s="3">
        <f t="shared" si="183"/>
        <v>6.4185010590350885E-3</v>
      </c>
      <c r="J222" s="3">
        <f t="shared" si="183"/>
        <v>6.4185010590350885E-3</v>
      </c>
      <c r="K222" s="3">
        <f t="shared" si="183"/>
        <v>6.4185010590350885E-3</v>
      </c>
      <c r="L222" s="3">
        <f t="shared" si="183"/>
        <v>6.4185010590350885E-3</v>
      </c>
      <c r="M222" s="3">
        <f t="shared" si="183"/>
        <v>6.4185010590350885E-3</v>
      </c>
      <c r="N222" s="3">
        <f t="shared" si="183"/>
        <v>6.4185010590350885E-3</v>
      </c>
      <c r="O222" s="3">
        <f t="shared" si="183"/>
        <v>6.4185010590350885E-3</v>
      </c>
      <c r="P222" s="3">
        <f t="shared" si="183"/>
        <v>6.4185010590350885E-3</v>
      </c>
      <c r="Q222" s="3">
        <f t="shared" si="183"/>
        <v>6.4185010590350876E-3</v>
      </c>
      <c r="R222" s="3">
        <f t="shared" si="183"/>
        <v>6.4185010590350824E-3</v>
      </c>
      <c r="S222" s="3">
        <f t="shared" si="183"/>
        <v>6.4185010590350321E-3</v>
      </c>
      <c r="T222" s="3">
        <f t="shared" si="183"/>
        <v>6.4185010590345265E-3</v>
      </c>
      <c r="U222" s="3">
        <f t="shared" si="183"/>
        <v>6.4185010590294637E-3</v>
      </c>
      <c r="V222" s="3">
        <f t="shared" si="183"/>
        <v>6.4185010589788366E-3</v>
      </c>
      <c r="W222" s="3">
        <f t="shared" si="183"/>
        <v>6.4185010584725697E-3</v>
      </c>
      <c r="X222" s="3">
        <f t="shared" si="183"/>
        <v>6.4185010534098964E-3</v>
      </c>
      <c r="Y222" s="3">
        <f t="shared" si="183"/>
        <v>6.418501002783167E-3</v>
      </c>
      <c r="Z222" s="3">
        <f t="shared" si="183"/>
        <v>6.4185004965158889E-3</v>
      </c>
      <c r="AA222" s="3">
        <f t="shared" si="183"/>
        <v>6.4184954338453101E-3</v>
      </c>
      <c r="AB222" s="3">
        <f t="shared" si="183"/>
        <v>6.418444807359148E-3</v>
      </c>
      <c r="AC222" s="3">
        <f t="shared" si="183"/>
        <v>6.4179385644596758E-3</v>
      </c>
      <c r="AD222" s="3">
        <f t="shared" si="183"/>
        <v>6.4128783310386014E-3</v>
      </c>
      <c r="AE222" s="3">
        <f t="shared" si="183"/>
        <v>6.3624949147815506E-3</v>
      </c>
      <c r="AF222" s="3">
        <f t="shared" si="183"/>
        <v>5.8799269091544303E-3</v>
      </c>
      <c r="AG222" s="3"/>
      <c r="AH222" s="3"/>
    </row>
    <row r="223" spans="1:34" x14ac:dyDescent="0.25">
      <c r="B223" s="3">
        <f t="shared" ref="B223:AF223" si="184">$C31*EXP(-B$207/$A31/EXP(-$D$126))</f>
        <v>3.5931837599499803E-3</v>
      </c>
      <c r="C223" s="3">
        <f t="shared" si="184"/>
        <v>3.5931837599499803E-3</v>
      </c>
      <c r="D223" s="3">
        <f t="shared" si="184"/>
        <v>3.5931837599499803E-3</v>
      </c>
      <c r="E223" s="3">
        <f t="shared" si="184"/>
        <v>3.5931837599499803E-3</v>
      </c>
      <c r="F223" s="3">
        <f t="shared" si="184"/>
        <v>3.5931837599499803E-3</v>
      </c>
      <c r="G223" s="3">
        <f t="shared" si="184"/>
        <v>3.5931837599499803E-3</v>
      </c>
      <c r="H223" s="3">
        <f t="shared" si="184"/>
        <v>3.5931837599499803E-3</v>
      </c>
      <c r="I223" s="3">
        <f t="shared" si="184"/>
        <v>3.5931837599499803E-3</v>
      </c>
      <c r="J223" s="3">
        <f t="shared" si="184"/>
        <v>3.5931837599499803E-3</v>
      </c>
      <c r="K223" s="3">
        <f t="shared" si="184"/>
        <v>3.5931837599499803E-3</v>
      </c>
      <c r="L223" s="3">
        <f t="shared" si="184"/>
        <v>3.5931837599499803E-3</v>
      </c>
      <c r="M223" s="3">
        <f t="shared" si="184"/>
        <v>3.5931837599499803E-3</v>
      </c>
      <c r="N223" s="3">
        <f t="shared" si="184"/>
        <v>3.5931837599499803E-3</v>
      </c>
      <c r="O223" s="3">
        <f t="shared" si="184"/>
        <v>3.5931837599499803E-3</v>
      </c>
      <c r="P223" s="3">
        <f t="shared" si="184"/>
        <v>3.5931837599499803E-3</v>
      </c>
      <c r="Q223" s="3">
        <f t="shared" si="184"/>
        <v>3.5931837599499803E-3</v>
      </c>
      <c r="R223" s="3">
        <f t="shared" si="184"/>
        <v>3.5931837599499799E-3</v>
      </c>
      <c r="S223" s="3">
        <f t="shared" si="184"/>
        <v>3.5931837599499777E-3</v>
      </c>
      <c r="T223" s="3">
        <f t="shared" si="184"/>
        <v>3.5931837599499522E-3</v>
      </c>
      <c r="U223" s="3">
        <f t="shared" si="184"/>
        <v>3.5931837599496963E-3</v>
      </c>
      <c r="V223" s="3">
        <f t="shared" si="184"/>
        <v>3.5931837599471397E-3</v>
      </c>
      <c r="W223" s="3">
        <f t="shared" si="184"/>
        <v>3.5931837599215729E-3</v>
      </c>
      <c r="X223" s="3">
        <f t="shared" si="184"/>
        <v>3.5931837596659072E-3</v>
      </c>
      <c r="Y223" s="3">
        <f t="shared" si="184"/>
        <v>3.5931837571092514E-3</v>
      </c>
      <c r="Z223" s="3">
        <f t="shared" si="184"/>
        <v>3.5931837315426925E-3</v>
      </c>
      <c r="AA223" s="3">
        <f t="shared" si="184"/>
        <v>3.5931834758771136E-3</v>
      </c>
      <c r="AB223" s="3">
        <f t="shared" si="184"/>
        <v>3.5931809192223238E-3</v>
      </c>
      <c r="AC223" s="3">
        <f t="shared" si="184"/>
        <v>3.5931553527744783E-3</v>
      </c>
      <c r="AD223" s="3">
        <f t="shared" si="184"/>
        <v>3.5928996983009766E-3</v>
      </c>
      <c r="AE223" s="3">
        <f t="shared" si="184"/>
        <v>3.5903441537980651E-3</v>
      </c>
      <c r="AF223" s="3">
        <f t="shared" si="184"/>
        <v>3.564888469152966E-3</v>
      </c>
      <c r="AG223" s="3"/>
      <c r="AH223" s="3"/>
    </row>
    <row r="224" spans="1:34" x14ac:dyDescent="0.25">
      <c r="B224" s="3">
        <f t="shared" ref="B224:AF224" si="185">$C32*EXP(-B$207/$A32/EXP(-$D$126))</f>
        <v>1.3759911447272116E-3</v>
      </c>
      <c r="C224" s="3">
        <f t="shared" si="185"/>
        <v>1.3759911447272116E-3</v>
      </c>
      <c r="D224" s="3">
        <f t="shared" si="185"/>
        <v>1.3759911447272116E-3</v>
      </c>
      <c r="E224" s="3">
        <f t="shared" si="185"/>
        <v>1.3759911447272116E-3</v>
      </c>
      <c r="F224" s="3">
        <f t="shared" si="185"/>
        <v>1.3759911447272116E-3</v>
      </c>
      <c r="G224" s="3">
        <f t="shared" si="185"/>
        <v>1.3759911447272116E-3</v>
      </c>
      <c r="H224" s="3">
        <f t="shared" si="185"/>
        <v>1.3759911447272116E-3</v>
      </c>
      <c r="I224" s="3">
        <f t="shared" si="185"/>
        <v>1.3759911447272116E-3</v>
      </c>
      <c r="J224" s="3">
        <f t="shared" si="185"/>
        <v>1.3759911447272116E-3</v>
      </c>
      <c r="K224" s="3">
        <f t="shared" si="185"/>
        <v>1.3759911447272116E-3</v>
      </c>
      <c r="L224" s="3">
        <f t="shared" si="185"/>
        <v>1.3759911447272116E-3</v>
      </c>
      <c r="M224" s="3">
        <f t="shared" si="185"/>
        <v>1.3759911447272116E-3</v>
      </c>
      <c r="N224" s="3">
        <f t="shared" si="185"/>
        <v>1.3759911447272116E-3</v>
      </c>
      <c r="O224" s="3">
        <f t="shared" si="185"/>
        <v>1.3759911447272116E-3</v>
      </c>
      <c r="P224" s="3">
        <f t="shared" si="185"/>
        <v>1.3759911447272116E-3</v>
      </c>
      <c r="Q224" s="3">
        <f t="shared" si="185"/>
        <v>1.3759911447272116E-3</v>
      </c>
      <c r="R224" s="3">
        <f t="shared" si="185"/>
        <v>1.3759911447272116E-3</v>
      </c>
      <c r="S224" s="3">
        <f t="shared" si="185"/>
        <v>1.3759911447272114E-3</v>
      </c>
      <c r="T224" s="3">
        <f t="shared" si="185"/>
        <v>1.3759911447272107E-3</v>
      </c>
      <c r="U224" s="3">
        <f t="shared" si="185"/>
        <v>1.3759911447272018E-3</v>
      </c>
      <c r="V224" s="3">
        <f t="shared" si="185"/>
        <v>1.3759911447271136E-3</v>
      </c>
      <c r="W224" s="3">
        <f t="shared" si="185"/>
        <v>1.3759911447262302E-3</v>
      </c>
      <c r="X224" s="3">
        <f t="shared" si="185"/>
        <v>1.3759911447173985E-3</v>
      </c>
      <c r="Y224" s="3">
        <f t="shared" si="185"/>
        <v>1.3759911446290791E-3</v>
      </c>
      <c r="Z224" s="3">
        <f t="shared" si="185"/>
        <v>1.3759911437458872E-3</v>
      </c>
      <c r="AA224" s="3">
        <f t="shared" si="185"/>
        <v>1.375991134913968E-3</v>
      </c>
      <c r="AB224" s="3">
        <f t="shared" si="185"/>
        <v>1.3759910465947808E-3</v>
      </c>
      <c r="AC224" s="3">
        <f t="shared" si="185"/>
        <v>1.3759901634032169E-3</v>
      </c>
      <c r="AD224" s="3">
        <f t="shared" si="185"/>
        <v>1.3759813315187587E-3</v>
      </c>
      <c r="AE224" s="3">
        <f t="shared" si="185"/>
        <v>1.3758930157919584E-3</v>
      </c>
      <c r="AF224" s="3">
        <f t="shared" si="185"/>
        <v>1.3750101702281322E-3</v>
      </c>
      <c r="AG224" s="3"/>
      <c r="AH224" s="3"/>
    </row>
    <row r="225" spans="2:34" x14ac:dyDescent="0.25">
      <c r="B225" s="3">
        <f t="shared" ref="B225:AF225" si="186">$C33*EXP(-B$207/$A33/EXP(-$D$126))</f>
        <v>1.7729334570218164E-4</v>
      </c>
      <c r="C225" s="3">
        <f t="shared" si="186"/>
        <v>1.7729334570218164E-4</v>
      </c>
      <c r="D225" s="3">
        <f t="shared" si="186"/>
        <v>1.7729334570218164E-4</v>
      </c>
      <c r="E225" s="3">
        <f t="shared" si="186"/>
        <v>1.7729334570218164E-4</v>
      </c>
      <c r="F225" s="3">
        <f t="shared" si="186"/>
        <v>1.7729334570218164E-4</v>
      </c>
      <c r="G225" s="3">
        <f t="shared" si="186"/>
        <v>1.7729334570218164E-4</v>
      </c>
      <c r="H225" s="3">
        <f t="shared" si="186"/>
        <v>1.7729334570218164E-4</v>
      </c>
      <c r="I225" s="3">
        <f t="shared" si="186"/>
        <v>1.7729334570218164E-4</v>
      </c>
      <c r="J225" s="3">
        <f t="shared" si="186"/>
        <v>1.7729334570218164E-4</v>
      </c>
      <c r="K225" s="3">
        <f t="shared" si="186"/>
        <v>1.7729334570218164E-4</v>
      </c>
      <c r="L225" s="3">
        <f t="shared" si="186"/>
        <v>1.7729334570218164E-4</v>
      </c>
      <c r="M225" s="3">
        <f t="shared" si="186"/>
        <v>1.7729334570218164E-4</v>
      </c>
      <c r="N225" s="3">
        <f t="shared" si="186"/>
        <v>1.7729334570218164E-4</v>
      </c>
      <c r="O225" s="3">
        <f t="shared" si="186"/>
        <v>1.7729334570218164E-4</v>
      </c>
      <c r="P225" s="3">
        <f t="shared" si="186"/>
        <v>1.7729334570218164E-4</v>
      </c>
      <c r="Q225" s="3">
        <f t="shared" si="186"/>
        <v>1.7729334570218164E-4</v>
      </c>
      <c r="R225" s="3">
        <f t="shared" si="186"/>
        <v>1.7729334570218164E-4</v>
      </c>
      <c r="S225" s="3">
        <f t="shared" si="186"/>
        <v>1.7729334570218164E-4</v>
      </c>
      <c r="T225" s="3">
        <f t="shared" si="186"/>
        <v>1.7729334570218161E-4</v>
      </c>
      <c r="U225" s="3">
        <f t="shared" si="186"/>
        <v>1.7729334570218153E-4</v>
      </c>
      <c r="V225" s="3">
        <f t="shared" si="186"/>
        <v>1.772933457021805E-4</v>
      </c>
      <c r="W225" s="3">
        <f t="shared" si="186"/>
        <v>1.7729334570217026E-4</v>
      </c>
      <c r="X225" s="3">
        <f t="shared" si="186"/>
        <v>1.7729334570206758E-4</v>
      </c>
      <c r="Y225" s="3">
        <f t="shared" si="186"/>
        <v>1.7729334570104103E-4</v>
      </c>
      <c r="Z225" s="3">
        <f t="shared" si="186"/>
        <v>1.7729334569077556E-4</v>
      </c>
      <c r="AA225" s="3">
        <f t="shared" si="186"/>
        <v>1.7729334558812097E-4</v>
      </c>
      <c r="AB225" s="3">
        <f t="shared" si="186"/>
        <v>1.7729334456157483E-4</v>
      </c>
      <c r="AC225" s="3">
        <f t="shared" si="186"/>
        <v>1.772933342961139E-4</v>
      </c>
      <c r="AD225" s="3">
        <f t="shared" si="186"/>
        <v>1.7729323164153725E-4</v>
      </c>
      <c r="AE225" s="3">
        <f t="shared" si="186"/>
        <v>1.7729220509903987E-4</v>
      </c>
      <c r="AF225" s="3">
        <f t="shared" si="186"/>
        <v>1.7728194000096755E-4</v>
      </c>
      <c r="AG225" s="3"/>
      <c r="AH225" s="3"/>
    </row>
    <row r="226" spans="2:34" x14ac:dyDescent="0.25">
      <c r="B226" s="3">
        <f t="shared" ref="B226:AF226" si="187">$C34*EXP(-B$207/$A34/EXP(-$D$126))</f>
        <v>4.3065005159432222E-4</v>
      </c>
      <c r="C226" s="3">
        <f t="shared" si="187"/>
        <v>4.3065005159432222E-4</v>
      </c>
      <c r="D226" s="3">
        <f t="shared" si="187"/>
        <v>4.3065005159432222E-4</v>
      </c>
      <c r="E226" s="3">
        <f t="shared" si="187"/>
        <v>4.3065005159432222E-4</v>
      </c>
      <c r="F226" s="3">
        <f t="shared" si="187"/>
        <v>4.3065005159432222E-4</v>
      </c>
      <c r="G226" s="3">
        <f t="shared" si="187"/>
        <v>4.3065005159432222E-4</v>
      </c>
      <c r="H226" s="3">
        <f t="shared" si="187"/>
        <v>4.3065005159432222E-4</v>
      </c>
      <c r="I226" s="3">
        <f t="shared" si="187"/>
        <v>4.3065005159432222E-4</v>
      </c>
      <c r="J226" s="3">
        <f t="shared" si="187"/>
        <v>4.3065005159432222E-4</v>
      </c>
      <c r="K226" s="3">
        <f t="shared" si="187"/>
        <v>4.3065005159432222E-4</v>
      </c>
      <c r="L226" s="3">
        <f t="shared" si="187"/>
        <v>4.3065005159432222E-4</v>
      </c>
      <c r="M226" s="3">
        <f t="shared" si="187"/>
        <v>4.3065005159432222E-4</v>
      </c>
      <c r="N226" s="3">
        <f t="shared" si="187"/>
        <v>4.3065005159432222E-4</v>
      </c>
      <c r="O226" s="3">
        <f t="shared" si="187"/>
        <v>4.3065005159432222E-4</v>
      </c>
      <c r="P226" s="3">
        <f t="shared" si="187"/>
        <v>4.3065005159432222E-4</v>
      </c>
      <c r="Q226" s="3">
        <f t="shared" si="187"/>
        <v>4.3065005159432222E-4</v>
      </c>
      <c r="R226" s="3">
        <f t="shared" si="187"/>
        <v>4.3065005159432222E-4</v>
      </c>
      <c r="S226" s="3">
        <f t="shared" si="187"/>
        <v>4.3065005159432222E-4</v>
      </c>
      <c r="T226" s="3">
        <f t="shared" si="187"/>
        <v>4.3065005159432222E-4</v>
      </c>
      <c r="U226" s="3">
        <f t="shared" si="187"/>
        <v>4.3065005159432216E-4</v>
      </c>
      <c r="V226" s="3">
        <f t="shared" si="187"/>
        <v>4.30650051594322E-4</v>
      </c>
      <c r="W226" s="3">
        <f t="shared" si="187"/>
        <v>4.3065005159431972E-4</v>
      </c>
      <c r="X226" s="3">
        <f t="shared" si="187"/>
        <v>4.3065005159429723E-4</v>
      </c>
      <c r="Y226" s="3">
        <f t="shared" si="187"/>
        <v>4.3065005159407231E-4</v>
      </c>
      <c r="Z226" s="3">
        <f t="shared" si="187"/>
        <v>4.3065005159182297E-4</v>
      </c>
      <c r="AA226" s="3">
        <f t="shared" si="187"/>
        <v>4.3065005156932941E-4</v>
      </c>
      <c r="AB226" s="3">
        <f t="shared" si="187"/>
        <v>4.3065005134439437E-4</v>
      </c>
      <c r="AC226" s="3">
        <f t="shared" si="187"/>
        <v>4.3065004909504393E-4</v>
      </c>
      <c r="AD226" s="3">
        <f t="shared" si="187"/>
        <v>4.3065002660153991E-4</v>
      </c>
      <c r="AE226" s="3">
        <f t="shared" si="187"/>
        <v>4.306498016665642E-4</v>
      </c>
      <c r="AF226" s="3">
        <f t="shared" si="187"/>
        <v>4.3064755232326919E-4</v>
      </c>
      <c r="AG226" s="3"/>
      <c r="AH226" s="3"/>
    </row>
    <row r="227" spans="2:34" x14ac:dyDescent="0.25">
      <c r="B227" s="3">
        <f t="shared" ref="B227:AF227" si="188">$C35*EXP(-B$207/$A35/EXP(-$D$126))</f>
        <v>5.9717869572018282E-4</v>
      </c>
      <c r="C227" s="3">
        <f t="shared" si="188"/>
        <v>5.9717869572018282E-4</v>
      </c>
      <c r="D227" s="3">
        <f t="shared" si="188"/>
        <v>5.9717869572018282E-4</v>
      </c>
      <c r="E227" s="3">
        <f t="shared" si="188"/>
        <v>5.9717869572018282E-4</v>
      </c>
      <c r="F227" s="3">
        <f t="shared" si="188"/>
        <v>5.9717869572018282E-4</v>
      </c>
      <c r="G227" s="3">
        <f t="shared" si="188"/>
        <v>5.9717869572018282E-4</v>
      </c>
      <c r="H227" s="3">
        <f t="shared" si="188"/>
        <v>5.9717869572018282E-4</v>
      </c>
      <c r="I227" s="3">
        <f t="shared" si="188"/>
        <v>5.9717869572018282E-4</v>
      </c>
      <c r="J227" s="3">
        <f t="shared" si="188"/>
        <v>5.9717869572018282E-4</v>
      </c>
      <c r="K227" s="3">
        <f t="shared" si="188"/>
        <v>5.9717869572018282E-4</v>
      </c>
      <c r="L227" s="3">
        <f t="shared" si="188"/>
        <v>5.9717869572018282E-4</v>
      </c>
      <c r="M227" s="3">
        <f t="shared" si="188"/>
        <v>5.9717869572018282E-4</v>
      </c>
      <c r="N227" s="3">
        <f t="shared" si="188"/>
        <v>5.9717869572018282E-4</v>
      </c>
      <c r="O227" s="3">
        <f t="shared" si="188"/>
        <v>5.9717869572018282E-4</v>
      </c>
      <c r="P227" s="3">
        <f t="shared" si="188"/>
        <v>5.9717869572018282E-4</v>
      </c>
      <c r="Q227" s="3">
        <f t="shared" si="188"/>
        <v>5.9717869572018282E-4</v>
      </c>
      <c r="R227" s="3">
        <f t="shared" si="188"/>
        <v>5.9717869572018282E-4</v>
      </c>
      <c r="S227" s="3">
        <f t="shared" si="188"/>
        <v>5.9717869572018282E-4</v>
      </c>
      <c r="T227" s="3">
        <f t="shared" si="188"/>
        <v>5.9717869572018282E-4</v>
      </c>
      <c r="U227" s="3">
        <f t="shared" si="188"/>
        <v>5.9717869572018282E-4</v>
      </c>
      <c r="V227" s="3">
        <f t="shared" si="188"/>
        <v>5.9717869572018282E-4</v>
      </c>
      <c r="W227" s="3">
        <f t="shared" si="188"/>
        <v>5.9717869572018249E-4</v>
      </c>
      <c r="X227" s="3">
        <f t="shared" si="188"/>
        <v>5.9717869572017968E-4</v>
      </c>
      <c r="Y227" s="3">
        <f t="shared" si="188"/>
        <v>5.9717869572015149E-4</v>
      </c>
      <c r="Z227" s="3">
        <f t="shared" si="188"/>
        <v>5.9717869571987024E-4</v>
      </c>
      <c r="AA227" s="3">
        <f t="shared" si="188"/>
        <v>5.9717869571705641E-4</v>
      </c>
      <c r="AB227" s="3">
        <f t="shared" si="188"/>
        <v>5.9717869568891909E-4</v>
      </c>
      <c r="AC227" s="3">
        <f t="shared" si="188"/>
        <v>5.9717869540754543E-4</v>
      </c>
      <c r="AD227" s="3">
        <f t="shared" si="188"/>
        <v>5.9717869259380823E-4</v>
      </c>
      <c r="AE227" s="3">
        <f t="shared" si="188"/>
        <v>5.9717866445643775E-4</v>
      </c>
      <c r="AF227" s="3">
        <f t="shared" si="188"/>
        <v>5.9717838308280546E-4</v>
      </c>
      <c r="AG227" s="3"/>
      <c r="AH227" s="3"/>
    </row>
    <row r="228" spans="2:34" x14ac:dyDescent="0.25">
      <c r="B228" s="3">
        <f t="shared" ref="B228:AF228" si="189">$C36*EXP(-B$207/$A36/EXP(-$D$126))</f>
        <v>5.2966364389967348E-4</v>
      </c>
      <c r="C228" s="3">
        <f t="shared" si="189"/>
        <v>5.2966364389967348E-4</v>
      </c>
      <c r="D228" s="3">
        <f t="shared" si="189"/>
        <v>5.2966364389967348E-4</v>
      </c>
      <c r="E228" s="3">
        <f t="shared" si="189"/>
        <v>5.2966364389967348E-4</v>
      </c>
      <c r="F228" s="3">
        <f t="shared" si="189"/>
        <v>5.2966364389967348E-4</v>
      </c>
      <c r="G228" s="3">
        <f t="shared" si="189"/>
        <v>5.2966364389967348E-4</v>
      </c>
      <c r="H228" s="3">
        <f t="shared" si="189"/>
        <v>5.2966364389967348E-4</v>
      </c>
      <c r="I228" s="3">
        <f t="shared" si="189"/>
        <v>5.2966364389967348E-4</v>
      </c>
      <c r="J228" s="3">
        <f t="shared" si="189"/>
        <v>5.2966364389967348E-4</v>
      </c>
      <c r="K228" s="3">
        <f t="shared" si="189"/>
        <v>5.2966364389967348E-4</v>
      </c>
      <c r="L228" s="3">
        <f t="shared" si="189"/>
        <v>5.2966364389967348E-4</v>
      </c>
      <c r="M228" s="3">
        <f t="shared" si="189"/>
        <v>5.2966364389967348E-4</v>
      </c>
      <c r="N228" s="3">
        <f t="shared" si="189"/>
        <v>5.2966364389967348E-4</v>
      </c>
      <c r="O228" s="3">
        <f t="shared" si="189"/>
        <v>5.2966364389967348E-4</v>
      </c>
      <c r="P228" s="3">
        <f t="shared" si="189"/>
        <v>5.2966364389967348E-4</v>
      </c>
      <c r="Q228" s="3">
        <f t="shared" si="189"/>
        <v>5.2966364389967348E-4</v>
      </c>
      <c r="R228" s="3">
        <f t="shared" si="189"/>
        <v>5.2966364389967348E-4</v>
      </c>
      <c r="S228" s="3">
        <f t="shared" si="189"/>
        <v>5.2966364389967348E-4</v>
      </c>
      <c r="T228" s="3">
        <f t="shared" si="189"/>
        <v>5.2966364389967348E-4</v>
      </c>
      <c r="U228" s="3">
        <f t="shared" si="189"/>
        <v>5.2966364389967348E-4</v>
      </c>
      <c r="V228" s="3">
        <f t="shared" si="189"/>
        <v>5.2966364389967348E-4</v>
      </c>
      <c r="W228" s="3">
        <f t="shared" si="189"/>
        <v>5.2966364389967348E-4</v>
      </c>
      <c r="X228" s="3">
        <f t="shared" si="189"/>
        <v>5.2966364389967326E-4</v>
      </c>
      <c r="Y228" s="3">
        <f t="shared" si="189"/>
        <v>5.2966364389967098E-4</v>
      </c>
      <c r="Z228" s="3">
        <f t="shared" si="189"/>
        <v>5.2966364389964843E-4</v>
      </c>
      <c r="AA228" s="3">
        <f t="shared" si="189"/>
        <v>5.2966364389942335E-4</v>
      </c>
      <c r="AB228" s="3">
        <f t="shared" si="189"/>
        <v>5.2966364389717201E-4</v>
      </c>
      <c r="AC228" s="3">
        <f t="shared" si="189"/>
        <v>5.2966364387465941E-4</v>
      </c>
      <c r="AD228" s="3">
        <f t="shared" si="189"/>
        <v>5.2966364364953329E-4</v>
      </c>
      <c r="AE228" s="3">
        <f t="shared" si="189"/>
        <v>5.2966364139827172E-4</v>
      </c>
      <c r="AF228" s="3">
        <f t="shared" si="189"/>
        <v>5.2966361888565582E-4</v>
      </c>
      <c r="AG228" s="3"/>
      <c r="AH228" s="3"/>
    </row>
    <row r="229" spans="2:34" x14ac:dyDescent="0.25">
      <c r="B229" s="3">
        <f t="shared" ref="B229:AF229" si="190">$C37*EXP(-B$207/$A37/EXP(-$D$126))</f>
        <v>3.7946363748828321E-4</v>
      </c>
      <c r="C229" s="3">
        <f t="shared" si="190"/>
        <v>3.7946363748828321E-4</v>
      </c>
      <c r="D229" s="3">
        <f t="shared" si="190"/>
        <v>3.7946363748828321E-4</v>
      </c>
      <c r="E229" s="3">
        <f t="shared" si="190"/>
        <v>3.7946363748828321E-4</v>
      </c>
      <c r="F229" s="3">
        <f t="shared" si="190"/>
        <v>3.7946363748828321E-4</v>
      </c>
      <c r="G229" s="3">
        <f t="shared" si="190"/>
        <v>3.7946363748828321E-4</v>
      </c>
      <c r="H229" s="3">
        <f t="shared" si="190"/>
        <v>3.7946363748828321E-4</v>
      </c>
      <c r="I229" s="3">
        <f t="shared" si="190"/>
        <v>3.7946363748828321E-4</v>
      </c>
      <c r="J229" s="3">
        <f t="shared" si="190"/>
        <v>3.7946363748828321E-4</v>
      </c>
      <c r="K229" s="3">
        <f t="shared" si="190"/>
        <v>3.7946363748828321E-4</v>
      </c>
      <c r="L229" s="3">
        <f t="shared" si="190"/>
        <v>3.7946363748828321E-4</v>
      </c>
      <c r="M229" s="3">
        <f t="shared" si="190"/>
        <v>3.7946363748828321E-4</v>
      </c>
      <c r="N229" s="3">
        <f t="shared" si="190"/>
        <v>3.7946363748828321E-4</v>
      </c>
      <c r="O229" s="3">
        <f t="shared" si="190"/>
        <v>3.7946363748828321E-4</v>
      </c>
      <c r="P229" s="3">
        <f t="shared" si="190"/>
        <v>3.7946363748828321E-4</v>
      </c>
      <c r="Q229" s="3">
        <f t="shared" si="190"/>
        <v>3.7946363748828321E-4</v>
      </c>
      <c r="R229" s="3">
        <f t="shared" si="190"/>
        <v>3.7946363748828321E-4</v>
      </c>
      <c r="S229" s="3">
        <f t="shared" si="190"/>
        <v>3.7946363748828321E-4</v>
      </c>
      <c r="T229" s="3">
        <f t="shared" si="190"/>
        <v>3.7946363748828321E-4</v>
      </c>
      <c r="U229" s="3">
        <f t="shared" si="190"/>
        <v>3.7946363748828321E-4</v>
      </c>
      <c r="V229" s="3">
        <f t="shared" si="190"/>
        <v>3.7946363748828321E-4</v>
      </c>
      <c r="W229" s="3">
        <f t="shared" si="190"/>
        <v>3.7946363748828321E-4</v>
      </c>
      <c r="X229" s="3">
        <f t="shared" si="190"/>
        <v>3.7946363748828321E-4</v>
      </c>
      <c r="Y229" s="3">
        <f t="shared" si="190"/>
        <v>3.7946363748828305E-4</v>
      </c>
      <c r="Z229" s="3">
        <f t="shared" si="190"/>
        <v>3.7946363748828159E-4</v>
      </c>
      <c r="AA229" s="3">
        <f t="shared" si="190"/>
        <v>3.7946363748826706E-4</v>
      </c>
      <c r="AB229" s="3">
        <f t="shared" si="190"/>
        <v>3.7946363748812156E-4</v>
      </c>
      <c r="AC229" s="3">
        <f t="shared" si="190"/>
        <v>3.7946363748666667E-4</v>
      </c>
      <c r="AD229" s="3">
        <f t="shared" si="190"/>
        <v>3.7946363747211727E-4</v>
      </c>
      <c r="AE229" s="3">
        <f t="shared" si="190"/>
        <v>3.7946363732662417E-4</v>
      </c>
      <c r="AF229" s="3">
        <f t="shared" si="190"/>
        <v>3.7946363587169262E-4</v>
      </c>
      <c r="AG229" s="3"/>
      <c r="AH229" s="3"/>
    </row>
    <row r="230" spans="2:34" x14ac:dyDescent="0.25">
      <c r="B230" s="3">
        <f t="shared" ref="B230:AF230" si="191">$C38*EXP(-B$207/$A38/EXP(-$D$126))</f>
        <v>2.9006625777866605E-4</v>
      </c>
      <c r="C230" s="3">
        <f t="shared" si="191"/>
        <v>2.9006625777866605E-4</v>
      </c>
      <c r="D230" s="3">
        <f t="shared" si="191"/>
        <v>2.9006625777866605E-4</v>
      </c>
      <c r="E230" s="3">
        <f t="shared" si="191"/>
        <v>2.9006625777866605E-4</v>
      </c>
      <c r="F230" s="3">
        <f t="shared" si="191"/>
        <v>2.9006625777866605E-4</v>
      </c>
      <c r="G230" s="3">
        <f t="shared" si="191"/>
        <v>2.9006625777866605E-4</v>
      </c>
      <c r="H230" s="3">
        <f t="shared" si="191"/>
        <v>2.9006625777866605E-4</v>
      </c>
      <c r="I230" s="3">
        <f t="shared" si="191"/>
        <v>2.9006625777866605E-4</v>
      </c>
      <c r="J230" s="3">
        <f t="shared" si="191"/>
        <v>2.9006625777866605E-4</v>
      </c>
      <c r="K230" s="3">
        <f t="shared" si="191"/>
        <v>2.9006625777866605E-4</v>
      </c>
      <c r="L230" s="3">
        <f t="shared" si="191"/>
        <v>2.9006625777866605E-4</v>
      </c>
      <c r="M230" s="3">
        <f t="shared" si="191"/>
        <v>2.9006625777866605E-4</v>
      </c>
      <c r="N230" s="3">
        <f t="shared" si="191"/>
        <v>2.9006625777866605E-4</v>
      </c>
      <c r="O230" s="3">
        <f t="shared" si="191"/>
        <v>2.9006625777866605E-4</v>
      </c>
      <c r="P230" s="3">
        <f t="shared" si="191"/>
        <v>2.9006625777866605E-4</v>
      </c>
      <c r="Q230" s="3">
        <f t="shared" si="191"/>
        <v>2.9006625777866605E-4</v>
      </c>
      <c r="R230" s="3">
        <f t="shared" si="191"/>
        <v>2.9006625777866605E-4</v>
      </c>
      <c r="S230" s="3">
        <f t="shared" si="191"/>
        <v>2.9006625777866605E-4</v>
      </c>
      <c r="T230" s="3">
        <f t="shared" si="191"/>
        <v>2.9006625777866605E-4</v>
      </c>
      <c r="U230" s="3">
        <f t="shared" si="191"/>
        <v>2.9006625777866605E-4</v>
      </c>
      <c r="V230" s="3">
        <f t="shared" si="191"/>
        <v>2.9006625777866605E-4</v>
      </c>
      <c r="W230" s="3">
        <f t="shared" si="191"/>
        <v>2.9006625777866605E-4</v>
      </c>
      <c r="X230" s="3">
        <f t="shared" si="191"/>
        <v>2.9006625777866605E-4</v>
      </c>
      <c r="Y230" s="3">
        <f t="shared" si="191"/>
        <v>2.9006625777866605E-4</v>
      </c>
      <c r="Z230" s="3">
        <f t="shared" si="191"/>
        <v>2.9006625777866594E-4</v>
      </c>
      <c r="AA230" s="3">
        <f t="shared" si="191"/>
        <v>2.9006625777866491E-4</v>
      </c>
      <c r="AB230" s="3">
        <f t="shared" si="191"/>
        <v>2.9006625777865488E-4</v>
      </c>
      <c r="AC230" s="3">
        <f t="shared" si="191"/>
        <v>2.9006625777855454E-4</v>
      </c>
      <c r="AD230" s="3">
        <f t="shared" si="191"/>
        <v>2.9006625777755132E-4</v>
      </c>
      <c r="AE230" s="3">
        <f t="shared" si="191"/>
        <v>2.900662577675186E-4</v>
      </c>
      <c r="AF230" s="3">
        <f t="shared" si="191"/>
        <v>2.9006625766719201E-4</v>
      </c>
      <c r="AG230" s="3"/>
      <c r="AH230" s="3"/>
    </row>
    <row r="231" spans="2:34" x14ac:dyDescent="0.25">
      <c r="B231" s="3">
        <f t="shared" ref="B231:AF231" si="192">$C39*EXP(-B$207/$A39/EXP(-$D$126))</f>
        <v>0</v>
      </c>
      <c r="C231" s="3">
        <f t="shared" si="192"/>
        <v>0</v>
      </c>
      <c r="D231" s="3">
        <f t="shared" si="192"/>
        <v>0</v>
      </c>
      <c r="E231" s="3">
        <f t="shared" si="192"/>
        <v>0</v>
      </c>
      <c r="F231" s="3">
        <f t="shared" si="192"/>
        <v>0</v>
      </c>
      <c r="G231" s="3">
        <f t="shared" si="192"/>
        <v>0</v>
      </c>
      <c r="H231" s="3">
        <f t="shared" si="192"/>
        <v>0</v>
      </c>
      <c r="I231" s="3">
        <f t="shared" si="192"/>
        <v>0</v>
      </c>
      <c r="J231" s="3">
        <f t="shared" si="192"/>
        <v>0</v>
      </c>
      <c r="K231" s="3">
        <f t="shared" si="192"/>
        <v>0</v>
      </c>
      <c r="L231" s="3">
        <f t="shared" si="192"/>
        <v>0</v>
      </c>
      <c r="M231" s="3">
        <f t="shared" si="192"/>
        <v>0</v>
      </c>
      <c r="N231" s="3">
        <f t="shared" si="192"/>
        <v>0</v>
      </c>
      <c r="O231" s="3">
        <f t="shared" si="192"/>
        <v>0</v>
      </c>
      <c r="P231" s="3">
        <f t="shared" si="192"/>
        <v>0</v>
      </c>
      <c r="Q231" s="3">
        <f t="shared" si="192"/>
        <v>0</v>
      </c>
      <c r="R231" s="3">
        <f t="shared" si="192"/>
        <v>0</v>
      </c>
      <c r="S231" s="3">
        <f t="shared" si="192"/>
        <v>0</v>
      </c>
      <c r="T231" s="3">
        <f t="shared" si="192"/>
        <v>0</v>
      </c>
      <c r="U231" s="3">
        <f t="shared" si="192"/>
        <v>0</v>
      </c>
      <c r="V231" s="3">
        <f t="shared" si="192"/>
        <v>0</v>
      </c>
      <c r="W231" s="3">
        <f t="shared" si="192"/>
        <v>0</v>
      </c>
      <c r="X231" s="3">
        <f t="shared" si="192"/>
        <v>0</v>
      </c>
      <c r="Y231" s="3">
        <f t="shared" si="192"/>
        <v>0</v>
      </c>
      <c r="Z231" s="3">
        <f t="shared" si="192"/>
        <v>0</v>
      </c>
      <c r="AA231" s="3">
        <f t="shared" si="192"/>
        <v>0</v>
      </c>
      <c r="AB231" s="3">
        <f t="shared" si="192"/>
        <v>0</v>
      </c>
      <c r="AC231" s="3">
        <f t="shared" si="192"/>
        <v>0</v>
      </c>
      <c r="AD231" s="3">
        <f t="shared" si="192"/>
        <v>0</v>
      </c>
      <c r="AE231" s="3">
        <f t="shared" si="192"/>
        <v>0</v>
      </c>
      <c r="AF231" s="3">
        <f t="shared" si="192"/>
        <v>0</v>
      </c>
      <c r="AG231" s="3"/>
      <c r="AH231" s="3"/>
    </row>
    <row r="232" spans="2:34" x14ac:dyDescent="0.25">
      <c r="B232" s="3">
        <f t="shared" ref="B232:AF232" si="193">$C40*EXP(-B$207/$A40/EXP(-$D$126))</f>
        <v>3.0334619433978663E-4</v>
      </c>
      <c r="C232" s="3">
        <f t="shared" si="193"/>
        <v>3.0334619433978663E-4</v>
      </c>
      <c r="D232" s="3">
        <f t="shared" si="193"/>
        <v>3.0334619433978663E-4</v>
      </c>
      <c r="E232" s="3">
        <f t="shared" si="193"/>
        <v>3.0334619433978663E-4</v>
      </c>
      <c r="F232" s="3">
        <f t="shared" si="193"/>
        <v>3.0334619433978663E-4</v>
      </c>
      <c r="G232" s="3">
        <f t="shared" si="193"/>
        <v>3.0334619433978663E-4</v>
      </c>
      <c r="H232" s="3">
        <f t="shared" si="193"/>
        <v>3.0334619433978663E-4</v>
      </c>
      <c r="I232" s="3">
        <f t="shared" si="193"/>
        <v>3.0334619433978663E-4</v>
      </c>
      <c r="J232" s="3">
        <f t="shared" si="193"/>
        <v>3.0334619433978663E-4</v>
      </c>
      <c r="K232" s="3">
        <f t="shared" si="193"/>
        <v>3.0334619433978663E-4</v>
      </c>
      <c r="L232" s="3">
        <f t="shared" si="193"/>
        <v>3.0334619433978663E-4</v>
      </c>
      <c r="M232" s="3">
        <f t="shared" si="193"/>
        <v>3.0334619433978663E-4</v>
      </c>
      <c r="N232" s="3">
        <f t="shared" si="193"/>
        <v>3.0334619433978663E-4</v>
      </c>
      <c r="O232" s="3">
        <f t="shared" si="193"/>
        <v>3.0334619433978663E-4</v>
      </c>
      <c r="P232" s="3">
        <f t="shared" si="193"/>
        <v>3.0334619433978663E-4</v>
      </c>
      <c r="Q232" s="3">
        <f t="shared" si="193"/>
        <v>3.0334619433978663E-4</v>
      </c>
      <c r="R232" s="3">
        <f t="shared" si="193"/>
        <v>3.0334619433978663E-4</v>
      </c>
      <c r="S232" s="3">
        <f t="shared" si="193"/>
        <v>3.0334619433978663E-4</v>
      </c>
      <c r="T232" s="3">
        <f t="shared" si="193"/>
        <v>3.0334619433978663E-4</v>
      </c>
      <c r="U232" s="3">
        <f t="shared" si="193"/>
        <v>3.0334619433978663E-4</v>
      </c>
      <c r="V232" s="3">
        <f t="shared" si="193"/>
        <v>3.0334619433978663E-4</v>
      </c>
      <c r="W232" s="3">
        <f t="shared" si="193"/>
        <v>3.0334619433978663E-4</v>
      </c>
      <c r="X232" s="3">
        <f t="shared" si="193"/>
        <v>3.0334619433978663E-4</v>
      </c>
      <c r="Y232" s="3">
        <f t="shared" si="193"/>
        <v>3.0334619433978663E-4</v>
      </c>
      <c r="Z232" s="3">
        <f t="shared" si="193"/>
        <v>3.0334619433978663E-4</v>
      </c>
      <c r="AA232" s="3">
        <f t="shared" si="193"/>
        <v>3.0334619433978658E-4</v>
      </c>
      <c r="AB232" s="3">
        <f t="shared" si="193"/>
        <v>3.0334619433978631E-4</v>
      </c>
      <c r="AC232" s="3">
        <f t="shared" si="193"/>
        <v>3.0334619433978338E-4</v>
      </c>
      <c r="AD232" s="3">
        <f t="shared" si="193"/>
        <v>3.0334619433975438E-4</v>
      </c>
      <c r="AE232" s="3">
        <f t="shared" si="193"/>
        <v>3.0334619433946419E-4</v>
      </c>
      <c r="AF232" s="3">
        <f t="shared" si="193"/>
        <v>3.0334619433656238E-4</v>
      </c>
      <c r="AG232" s="3"/>
      <c r="AH232" s="3"/>
    </row>
    <row r="233" spans="2:34" x14ac:dyDescent="0.25">
      <c r="B233" s="3">
        <f t="shared" ref="B233:AF233" si="194">$C41*EXP(-B$207/$A41/EXP(-$D$126))</f>
        <v>0</v>
      </c>
      <c r="C233" s="3">
        <f t="shared" si="194"/>
        <v>0</v>
      </c>
      <c r="D233" s="3">
        <f t="shared" si="194"/>
        <v>0</v>
      </c>
      <c r="E233" s="3">
        <f t="shared" si="194"/>
        <v>0</v>
      </c>
      <c r="F233" s="3">
        <f t="shared" si="194"/>
        <v>0</v>
      </c>
      <c r="G233" s="3">
        <f t="shared" si="194"/>
        <v>0</v>
      </c>
      <c r="H233" s="3">
        <f t="shared" si="194"/>
        <v>0</v>
      </c>
      <c r="I233" s="3">
        <f t="shared" si="194"/>
        <v>0</v>
      </c>
      <c r="J233" s="3">
        <f t="shared" si="194"/>
        <v>0</v>
      </c>
      <c r="K233" s="3">
        <f t="shared" si="194"/>
        <v>0</v>
      </c>
      <c r="L233" s="3">
        <f t="shared" si="194"/>
        <v>0</v>
      </c>
      <c r="M233" s="3">
        <f t="shared" si="194"/>
        <v>0</v>
      </c>
      <c r="N233" s="3">
        <f t="shared" si="194"/>
        <v>0</v>
      </c>
      <c r="O233" s="3">
        <f t="shared" si="194"/>
        <v>0</v>
      </c>
      <c r="P233" s="3">
        <f t="shared" si="194"/>
        <v>0</v>
      </c>
      <c r="Q233" s="3">
        <f t="shared" si="194"/>
        <v>0</v>
      </c>
      <c r="R233" s="3">
        <f t="shared" si="194"/>
        <v>0</v>
      </c>
      <c r="S233" s="3">
        <f t="shared" si="194"/>
        <v>0</v>
      </c>
      <c r="T233" s="3">
        <f t="shared" si="194"/>
        <v>0</v>
      </c>
      <c r="U233" s="3">
        <f t="shared" si="194"/>
        <v>0</v>
      </c>
      <c r="V233" s="3">
        <f t="shared" si="194"/>
        <v>0</v>
      </c>
      <c r="W233" s="3">
        <f t="shared" si="194"/>
        <v>0</v>
      </c>
      <c r="X233" s="3">
        <f t="shared" si="194"/>
        <v>0</v>
      </c>
      <c r="Y233" s="3">
        <f t="shared" si="194"/>
        <v>0</v>
      </c>
      <c r="Z233" s="3">
        <f t="shared" si="194"/>
        <v>0</v>
      </c>
      <c r="AA233" s="3">
        <f t="shared" si="194"/>
        <v>0</v>
      </c>
      <c r="AB233" s="3">
        <f t="shared" si="194"/>
        <v>0</v>
      </c>
      <c r="AC233" s="3">
        <f t="shared" si="194"/>
        <v>0</v>
      </c>
      <c r="AD233" s="3">
        <f t="shared" si="194"/>
        <v>0</v>
      </c>
      <c r="AE233" s="3">
        <f t="shared" si="194"/>
        <v>0</v>
      </c>
      <c r="AF233" s="3">
        <f t="shared" si="194"/>
        <v>0</v>
      </c>
      <c r="AG233" s="3"/>
      <c r="AH233" s="3"/>
    </row>
    <row r="234" spans="2:34" x14ac:dyDescent="0.25">
      <c r="B234" s="3">
        <f t="shared" ref="B234:AF234" si="195">$C42*EXP(-B$207/$A42/EXP(-$D$126))</f>
        <v>0</v>
      </c>
      <c r="C234" s="3">
        <f t="shared" si="195"/>
        <v>0</v>
      </c>
      <c r="D234" s="3">
        <f t="shared" si="195"/>
        <v>0</v>
      </c>
      <c r="E234" s="3">
        <f t="shared" si="195"/>
        <v>0</v>
      </c>
      <c r="F234" s="3">
        <f t="shared" si="195"/>
        <v>0</v>
      </c>
      <c r="G234" s="3">
        <f t="shared" si="195"/>
        <v>0</v>
      </c>
      <c r="H234" s="3">
        <f t="shared" si="195"/>
        <v>0</v>
      </c>
      <c r="I234" s="3">
        <f t="shared" si="195"/>
        <v>0</v>
      </c>
      <c r="J234" s="3">
        <f t="shared" si="195"/>
        <v>0</v>
      </c>
      <c r="K234" s="3">
        <f t="shared" si="195"/>
        <v>0</v>
      </c>
      <c r="L234" s="3">
        <f t="shared" si="195"/>
        <v>0</v>
      </c>
      <c r="M234" s="3">
        <f t="shared" si="195"/>
        <v>0</v>
      </c>
      <c r="N234" s="3">
        <f t="shared" si="195"/>
        <v>0</v>
      </c>
      <c r="O234" s="3">
        <f t="shared" si="195"/>
        <v>0</v>
      </c>
      <c r="P234" s="3">
        <f t="shared" si="195"/>
        <v>0</v>
      </c>
      <c r="Q234" s="3">
        <f t="shared" si="195"/>
        <v>0</v>
      </c>
      <c r="R234" s="3">
        <f t="shared" si="195"/>
        <v>0</v>
      </c>
      <c r="S234" s="3">
        <f t="shared" si="195"/>
        <v>0</v>
      </c>
      <c r="T234" s="3">
        <f t="shared" si="195"/>
        <v>0</v>
      </c>
      <c r="U234" s="3">
        <f t="shared" si="195"/>
        <v>0</v>
      </c>
      <c r="V234" s="3">
        <f t="shared" si="195"/>
        <v>0</v>
      </c>
      <c r="W234" s="3">
        <f t="shared" si="195"/>
        <v>0</v>
      </c>
      <c r="X234" s="3">
        <f t="shared" si="195"/>
        <v>0</v>
      </c>
      <c r="Y234" s="3">
        <f t="shared" si="195"/>
        <v>0</v>
      </c>
      <c r="Z234" s="3">
        <f t="shared" si="195"/>
        <v>0</v>
      </c>
      <c r="AA234" s="3">
        <f t="shared" si="195"/>
        <v>0</v>
      </c>
      <c r="AB234" s="3">
        <f t="shared" si="195"/>
        <v>0</v>
      </c>
      <c r="AC234" s="3">
        <f t="shared" si="195"/>
        <v>0</v>
      </c>
      <c r="AD234" s="3">
        <f t="shared" si="195"/>
        <v>0</v>
      </c>
      <c r="AE234" s="3">
        <f t="shared" si="195"/>
        <v>0</v>
      </c>
      <c r="AF234" s="3">
        <f t="shared" si="195"/>
        <v>0</v>
      </c>
      <c r="AG234" s="3"/>
      <c r="AH234" s="3"/>
    </row>
    <row r="235" spans="2:34" x14ac:dyDescent="0.25">
      <c r="B235" s="3">
        <f t="shared" ref="B235:AF235" si="196">$C43*EXP(-B$207/$A43/EXP(-$D$126))</f>
        <v>7.7330920795246901E-5</v>
      </c>
      <c r="C235" s="3">
        <f t="shared" si="196"/>
        <v>7.7330920795246901E-5</v>
      </c>
      <c r="D235" s="3">
        <f t="shared" si="196"/>
        <v>7.7330920795246901E-5</v>
      </c>
      <c r="E235" s="3">
        <f t="shared" si="196"/>
        <v>7.7330920795246901E-5</v>
      </c>
      <c r="F235" s="3">
        <f t="shared" si="196"/>
        <v>7.7330920795246901E-5</v>
      </c>
      <c r="G235" s="3">
        <f t="shared" si="196"/>
        <v>7.7330920795246901E-5</v>
      </c>
      <c r="H235" s="3">
        <f t="shared" si="196"/>
        <v>7.7330920795246901E-5</v>
      </c>
      <c r="I235" s="3">
        <f t="shared" si="196"/>
        <v>7.7330920795246901E-5</v>
      </c>
      <c r="J235" s="3">
        <f t="shared" si="196"/>
        <v>7.7330920795246901E-5</v>
      </c>
      <c r="K235" s="3">
        <f t="shared" si="196"/>
        <v>7.7330920795246901E-5</v>
      </c>
      <c r="L235" s="3">
        <f t="shared" si="196"/>
        <v>7.7330920795246901E-5</v>
      </c>
      <c r="M235" s="3">
        <f t="shared" si="196"/>
        <v>7.7330920795246901E-5</v>
      </c>
      <c r="N235" s="3">
        <f t="shared" si="196"/>
        <v>7.7330920795246901E-5</v>
      </c>
      <c r="O235" s="3">
        <f t="shared" si="196"/>
        <v>7.7330920795246901E-5</v>
      </c>
      <c r="P235" s="3">
        <f t="shared" si="196"/>
        <v>7.7330920795246901E-5</v>
      </c>
      <c r="Q235" s="3">
        <f t="shared" si="196"/>
        <v>7.7330920795246901E-5</v>
      </c>
      <c r="R235" s="3">
        <f t="shared" si="196"/>
        <v>7.7330920795246901E-5</v>
      </c>
      <c r="S235" s="3">
        <f t="shared" si="196"/>
        <v>7.7330920795246901E-5</v>
      </c>
      <c r="T235" s="3">
        <f t="shared" si="196"/>
        <v>7.7330920795246901E-5</v>
      </c>
      <c r="U235" s="3">
        <f t="shared" si="196"/>
        <v>7.7330920795246901E-5</v>
      </c>
      <c r="V235" s="3">
        <f t="shared" si="196"/>
        <v>7.7330920795246901E-5</v>
      </c>
      <c r="W235" s="3">
        <f t="shared" si="196"/>
        <v>7.7330920795246901E-5</v>
      </c>
      <c r="X235" s="3">
        <f t="shared" si="196"/>
        <v>7.7330920795246901E-5</v>
      </c>
      <c r="Y235" s="3">
        <f t="shared" si="196"/>
        <v>7.7330920795246901E-5</v>
      </c>
      <c r="Z235" s="3">
        <f t="shared" si="196"/>
        <v>7.7330920795246901E-5</v>
      </c>
      <c r="AA235" s="3">
        <f t="shared" si="196"/>
        <v>7.7330920795246901E-5</v>
      </c>
      <c r="AB235" s="3">
        <f t="shared" si="196"/>
        <v>7.7330920795246901E-5</v>
      </c>
      <c r="AC235" s="3">
        <f t="shared" si="196"/>
        <v>7.7330920795246901E-5</v>
      </c>
      <c r="AD235" s="3">
        <f t="shared" si="196"/>
        <v>7.7330920795246888E-5</v>
      </c>
      <c r="AE235" s="3">
        <f t="shared" si="196"/>
        <v>7.733092079524682E-5</v>
      </c>
      <c r="AF235" s="3">
        <f t="shared" si="196"/>
        <v>7.7330920795246074E-5</v>
      </c>
      <c r="AG235" s="3"/>
      <c r="AH235" s="3"/>
    </row>
    <row r="236" spans="2:34" x14ac:dyDescent="0.25">
      <c r="B236" s="3">
        <f t="shared" ref="B236:AF236" si="197">$C44*EXP(-B$207/$A44/EXP(-$D$126))</f>
        <v>1.3850961695873314E-4</v>
      </c>
      <c r="C236" s="3">
        <f t="shared" si="197"/>
        <v>1.3850961695873314E-4</v>
      </c>
      <c r="D236" s="3">
        <f t="shared" si="197"/>
        <v>1.3850961695873314E-4</v>
      </c>
      <c r="E236" s="3">
        <f t="shared" si="197"/>
        <v>1.3850961695873314E-4</v>
      </c>
      <c r="F236" s="3">
        <f t="shared" si="197"/>
        <v>1.3850961695873314E-4</v>
      </c>
      <c r="G236" s="3">
        <f t="shared" si="197"/>
        <v>1.3850961695873314E-4</v>
      </c>
      <c r="H236" s="3">
        <f t="shared" si="197"/>
        <v>1.3850961695873314E-4</v>
      </c>
      <c r="I236" s="3">
        <f t="shared" si="197"/>
        <v>1.3850961695873314E-4</v>
      </c>
      <c r="J236" s="3">
        <f t="shared" si="197"/>
        <v>1.3850961695873314E-4</v>
      </c>
      <c r="K236" s="3">
        <f t="shared" si="197"/>
        <v>1.3850961695873314E-4</v>
      </c>
      <c r="L236" s="3">
        <f t="shared" si="197"/>
        <v>1.3850961695873314E-4</v>
      </c>
      <c r="M236" s="3">
        <f t="shared" si="197"/>
        <v>1.3850961695873314E-4</v>
      </c>
      <c r="N236" s="3">
        <f t="shared" si="197"/>
        <v>1.3850961695873314E-4</v>
      </c>
      <c r="O236" s="3">
        <f t="shared" si="197"/>
        <v>1.3850961695873314E-4</v>
      </c>
      <c r="P236" s="3">
        <f t="shared" si="197"/>
        <v>1.3850961695873314E-4</v>
      </c>
      <c r="Q236" s="3">
        <f t="shared" si="197"/>
        <v>1.3850961695873314E-4</v>
      </c>
      <c r="R236" s="3">
        <f t="shared" si="197"/>
        <v>1.3850961695873314E-4</v>
      </c>
      <c r="S236" s="3">
        <f t="shared" si="197"/>
        <v>1.3850961695873314E-4</v>
      </c>
      <c r="T236" s="3">
        <f t="shared" si="197"/>
        <v>1.3850961695873314E-4</v>
      </c>
      <c r="U236" s="3">
        <f t="shared" si="197"/>
        <v>1.3850961695873314E-4</v>
      </c>
      <c r="V236" s="3">
        <f t="shared" si="197"/>
        <v>1.3850961695873314E-4</v>
      </c>
      <c r="W236" s="3">
        <f t="shared" si="197"/>
        <v>1.3850961695873314E-4</v>
      </c>
      <c r="X236" s="3">
        <f t="shared" si="197"/>
        <v>1.3850961695873314E-4</v>
      </c>
      <c r="Y236" s="3">
        <f t="shared" si="197"/>
        <v>1.3850961695873314E-4</v>
      </c>
      <c r="Z236" s="3">
        <f t="shared" si="197"/>
        <v>1.3850961695873314E-4</v>
      </c>
      <c r="AA236" s="3">
        <f t="shared" si="197"/>
        <v>1.3850961695873314E-4</v>
      </c>
      <c r="AB236" s="3">
        <f t="shared" si="197"/>
        <v>1.3850961695873314E-4</v>
      </c>
      <c r="AC236" s="3">
        <f t="shared" si="197"/>
        <v>1.3850961695873314E-4</v>
      </c>
      <c r="AD236" s="3">
        <f t="shared" si="197"/>
        <v>1.3850961695873314E-4</v>
      </c>
      <c r="AE236" s="3">
        <f t="shared" si="197"/>
        <v>1.3850961695873311E-4</v>
      </c>
      <c r="AF236" s="3">
        <f t="shared" si="197"/>
        <v>1.3850961695873297E-4</v>
      </c>
      <c r="AG236" s="3"/>
      <c r="AH236" s="3"/>
    </row>
    <row r="237" spans="2:34" x14ac:dyDescent="0.25">
      <c r="B237" s="3">
        <f t="shared" ref="B237:AF237" si="198">$C45*EXP(-B$207/$A45/EXP(-$D$126))</f>
        <v>0</v>
      </c>
      <c r="C237" s="3">
        <f t="shared" si="198"/>
        <v>0</v>
      </c>
      <c r="D237" s="3">
        <f t="shared" si="198"/>
        <v>0</v>
      </c>
      <c r="E237" s="3">
        <f t="shared" si="198"/>
        <v>0</v>
      </c>
      <c r="F237" s="3">
        <f t="shared" si="198"/>
        <v>0</v>
      </c>
      <c r="G237" s="3">
        <f t="shared" si="198"/>
        <v>0</v>
      </c>
      <c r="H237" s="3">
        <f t="shared" si="198"/>
        <v>0</v>
      </c>
      <c r="I237" s="3">
        <f t="shared" si="198"/>
        <v>0</v>
      </c>
      <c r="J237" s="3">
        <f t="shared" si="198"/>
        <v>0</v>
      </c>
      <c r="K237" s="3">
        <f t="shared" si="198"/>
        <v>0</v>
      </c>
      <c r="L237" s="3">
        <f t="shared" si="198"/>
        <v>0</v>
      </c>
      <c r="M237" s="3">
        <f t="shared" si="198"/>
        <v>0</v>
      </c>
      <c r="N237" s="3">
        <f t="shared" si="198"/>
        <v>0</v>
      </c>
      <c r="O237" s="3">
        <f t="shared" si="198"/>
        <v>0</v>
      </c>
      <c r="P237" s="3">
        <f t="shared" si="198"/>
        <v>0</v>
      </c>
      <c r="Q237" s="3">
        <f t="shared" si="198"/>
        <v>0</v>
      </c>
      <c r="R237" s="3">
        <f t="shared" si="198"/>
        <v>0</v>
      </c>
      <c r="S237" s="3">
        <f t="shared" si="198"/>
        <v>0</v>
      </c>
      <c r="T237" s="3">
        <f t="shared" si="198"/>
        <v>0</v>
      </c>
      <c r="U237" s="3">
        <f t="shared" si="198"/>
        <v>0</v>
      </c>
      <c r="V237" s="3">
        <f t="shared" si="198"/>
        <v>0</v>
      </c>
      <c r="W237" s="3">
        <f t="shared" si="198"/>
        <v>0</v>
      </c>
      <c r="X237" s="3">
        <f t="shared" si="198"/>
        <v>0</v>
      </c>
      <c r="Y237" s="3">
        <f t="shared" si="198"/>
        <v>0</v>
      </c>
      <c r="Z237" s="3">
        <f t="shared" si="198"/>
        <v>0</v>
      </c>
      <c r="AA237" s="3">
        <f t="shared" si="198"/>
        <v>0</v>
      </c>
      <c r="AB237" s="3">
        <f t="shared" si="198"/>
        <v>0</v>
      </c>
      <c r="AC237" s="3">
        <f t="shared" si="198"/>
        <v>0</v>
      </c>
      <c r="AD237" s="3">
        <f t="shared" si="198"/>
        <v>0</v>
      </c>
      <c r="AE237" s="3">
        <f t="shared" si="198"/>
        <v>0</v>
      </c>
      <c r="AF237" s="3">
        <f t="shared" si="198"/>
        <v>0</v>
      </c>
      <c r="AG237" s="3"/>
      <c r="AH237" s="3"/>
    </row>
    <row r="238" spans="2:34" x14ac:dyDescent="0.25">
      <c r="B238" s="3">
        <f t="shared" ref="B238:AF238" si="199">$C46*EXP(-B$207/$A46/EXP(-$D$126))</f>
        <v>0</v>
      </c>
      <c r="C238" s="3">
        <f t="shared" si="199"/>
        <v>0</v>
      </c>
      <c r="D238" s="3">
        <f t="shared" si="199"/>
        <v>0</v>
      </c>
      <c r="E238" s="3">
        <f t="shared" si="199"/>
        <v>0</v>
      </c>
      <c r="F238" s="3">
        <f t="shared" si="199"/>
        <v>0</v>
      </c>
      <c r="G238" s="3">
        <f t="shared" si="199"/>
        <v>0</v>
      </c>
      <c r="H238" s="3">
        <f t="shared" si="199"/>
        <v>0</v>
      </c>
      <c r="I238" s="3">
        <f t="shared" si="199"/>
        <v>0</v>
      </c>
      <c r="J238" s="3">
        <f t="shared" si="199"/>
        <v>0</v>
      </c>
      <c r="K238" s="3">
        <f t="shared" si="199"/>
        <v>0</v>
      </c>
      <c r="L238" s="3">
        <f t="shared" si="199"/>
        <v>0</v>
      </c>
      <c r="M238" s="3">
        <f t="shared" si="199"/>
        <v>0</v>
      </c>
      <c r="N238" s="3">
        <f t="shared" si="199"/>
        <v>0</v>
      </c>
      <c r="O238" s="3">
        <f t="shared" si="199"/>
        <v>0</v>
      </c>
      <c r="P238" s="3">
        <f t="shared" si="199"/>
        <v>0</v>
      </c>
      <c r="Q238" s="3">
        <f t="shared" si="199"/>
        <v>0</v>
      </c>
      <c r="R238" s="3">
        <f t="shared" si="199"/>
        <v>0</v>
      </c>
      <c r="S238" s="3">
        <f t="shared" si="199"/>
        <v>0</v>
      </c>
      <c r="T238" s="3">
        <f t="shared" si="199"/>
        <v>0</v>
      </c>
      <c r="U238" s="3">
        <f t="shared" si="199"/>
        <v>0</v>
      </c>
      <c r="V238" s="3">
        <f t="shared" si="199"/>
        <v>0</v>
      </c>
      <c r="W238" s="3">
        <f t="shared" si="199"/>
        <v>0</v>
      </c>
      <c r="X238" s="3">
        <f t="shared" si="199"/>
        <v>0</v>
      </c>
      <c r="Y238" s="3">
        <f t="shared" si="199"/>
        <v>0</v>
      </c>
      <c r="Z238" s="3">
        <f t="shared" si="199"/>
        <v>0</v>
      </c>
      <c r="AA238" s="3">
        <f t="shared" si="199"/>
        <v>0</v>
      </c>
      <c r="AB238" s="3">
        <f t="shared" si="199"/>
        <v>0</v>
      </c>
      <c r="AC238" s="3">
        <f t="shared" si="199"/>
        <v>0</v>
      </c>
      <c r="AD238" s="3">
        <f t="shared" si="199"/>
        <v>0</v>
      </c>
      <c r="AE238" s="3">
        <f t="shared" si="199"/>
        <v>0</v>
      </c>
      <c r="AF238" s="3">
        <f t="shared" si="199"/>
        <v>0</v>
      </c>
      <c r="AG238" s="3"/>
      <c r="AH238" s="3"/>
    </row>
    <row r="239" spans="2:34" x14ac:dyDescent="0.25">
      <c r="B239" s="3">
        <f t="shared" ref="B239:AF239" si="200">$C47*EXP(-B$207/$A47/EXP(-$D$126))</f>
        <v>0</v>
      </c>
      <c r="C239" s="3">
        <f t="shared" si="200"/>
        <v>0</v>
      </c>
      <c r="D239" s="3">
        <f t="shared" si="200"/>
        <v>0</v>
      </c>
      <c r="E239" s="3">
        <f t="shared" si="200"/>
        <v>0</v>
      </c>
      <c r="F239" s="3">
        <f t="shared" si="200"/>
        <v>0</v>
      </c>
      <c r="G239" s="3">
        <f t="shared" si="200"/>
        <v>0</v>
      </c>
      <c r="H239" s="3">
        <f t="shared" si="200"/>
        <v>0</v>
      </c>
      <c r="I239" s="3">
        <f t="shared" si="200"/>
        <v>0</v>
      </c>
      <c r="J239" s="3">
        <f t="shared" si="200"/>
        <v>0</v>
      </c>
      <c r="K239" s="3">
        <f t="shared" si="200"/>
        <v>0</v>
      </c>
      <c r="L239" s="3">
        <f t="shared" si="200"/>
        <v>0</v>
      </c>
      <c r="M239" s="3">
        <f t="shared" si="200"/>
        <v>0</v>
      </c>
      <c r="N239" s="3">
        <f t="shared" si="200"/>
        <v>0</v>
      </c>
      <c r="O239" s="3">
        <f t="shared" si="200"/>
        <v>0</v>
      </c>
      <c r="P239" s="3">
        <f t="shared" si="200"/>
        <v>0</v>
      </c>
      <c r="Q239" s="3">
        <f t="shared" si="200"/>
        <v>0</v>
      </c>
      <c r="R239" s="3">
        <f t="shared" si="200"/>
        <v>0</v>
      </c>
      <c r="S239" s="3">
        <f t="shared" si="200"/>
        <v>0</v>
      </c>
      <c r="T239" s="3">
        <f t="shared" si="200"/>
        <v>0</v>
      </c>
      <c r="U239" s="3">
        <f t="shared" si="200"/>
        <v>0</v>
      </c>
      <c r="V239" s="3">
        <f t="shared" si="200"/>
        <v>0</v>
      </c>
      <c r="W239" s="3">
        <f t="shared" si="200"/>
        <v>0</v>
      </c>
      <c r="X239" s="3">
        <f t="shared" si="200"/>
        <v>0</v>
      </c>
      <c r="Y239" s="3">
        <f t="shared" si="200"/>
        <v>0</v>
      </c>
      <c r="Z239" s="3">
        <f t="shared" si="200"/>
        <v>0</v>
      </c>
      <c r="AA239" s="3">
        <f t="shared" si="200"/>
        <v>0</v>
      </c>
      <c r="AB239" s="3">
        <f t="shared" si="200"/>
        <v>0</v>
      </c>
      <c r="AC239" s="3">
        <f t="shared" si="200"/>
        <v>0</v>
      </c>
      <c r="AD239" s="3">
        <f t="shared" si="200"/>
        <v>0</v>
      </c>
      <c r="AE239" s="3">
        <f t="shared" si="200"/>
        <v>0</v>
      </c>
      <c r="AF239" s="3">
        <f t="shared" si="200"/>
        <v>0</v>
      </c>
      <c r="AG239" s="3"/>
      <c r="AH239" s="3"/>
    </row>
    <row r="240" spans="2:34" x14ac:dyDescent="0.25">
      <c r="B240" s="3">
        <f t="shared" ref="B240:AF240" si="201">$C48*EXP(-B$207/$A48/EXP(-$D$126))</f>
        <v>3.8158806353945737E-4</v>
      </c>
      <c r="C240" s="3">
        <f t="shared" si="201"/>
        <v>3.8158806353945737E-4</v>
      </c>
      <c r="D240" s="3">
        <f t="shared" si="201"/>
        <v>3.8158806353945737E-4</v>
      </c>
      <c r="E240" s="3">
        <f t="shared" si="201"/>
        <v>3.8158806353945737E-4</v>
      </c>
      <c r="F240" s="3">
        <f t="shared" si="201"/>
        <v>3.8158806353945737E-4</v>
      </c>
      <c r="G240" s="3">
        <f t="shared" si="201"/>
        <v>3.8158806353945737E-4</v>
      </c>
      <c r="H240" s="3">
        <f t="shared" si="201"/>
        <v>3.8158806353945737E-4</v>
      </c>
      <c r="I240" s="3">
        <f t="shared" si="201"/>
        <v>3.8158806353945737E-4</v>
      </c>
      <c r="J240" s="3">
        <f t="shared" si="201"/>
        <v>3.8158806353945737E-4</v>
      </c>
      <c r="K240" s="3">
        <f t="shared" si="201"/>
        <v>3.8158806353945737E-4</v>
      </c>
      <c r="L240" s="3">
        <f t="shared" si="201"/>
        <v>3.8158806353945737E-4</v>
      </c>
      <c r="M240" s="3">
        <f t="shared" si="201"/>
        <v>3.8158806353945737E-4</v>
      </c>
      <c r="N240" s="3">
        <f t="shared" si="201"/>
        <v>3.8158806353945737E-4</v>
      </c>
      <c r="O240" s="3">
        <f t="shared" si="201"/>
        <v>3.8158806353945737E-4</v>
      </c>
      <c r="P240" s="3">
        <f t="shared" si="201"/>
        <v>3.8158806353945737E-4</v>
      </c>
      <c r="Q240" s="3">
        <f t="shared" si="201"/>
        <v>3.8158806353945737E-4</v>
      </c>
      <c r="R240" s="3">
        <f t="shared" si="201"/>
        <v>3.8158806353945737E-4</v>
      </c>
      <c r="S240" s="3">
        <f t="shared" si="201"/>
        <v>3.8158806353945737E-4</v>
      </c>
      <c r="T240" s="3">
        <f t="shared" si="201"/>
        <v>3.8158806353945737E-4</v>
      </c>
      <c r="U240" s="3">
        <f t="shared" si="201"/>
        <v>3.8158806353945737E-4</v>
      </c>
      <c r="V240" s="3">
        <f t="shared" si="201"/>
        <v>3.8158806353945737E-4</v>
      </c>
      <c r="W240" s="3">
        <f t="shared" si="201"/>
        <v>3.8158806353945737E-4</v>
      </c>
      <c r="X240" s="3">
        <f t="shared" si="201"/>
        <v>3.8158806353945737E-4</v>
      </c>
      <c r="Y240" s="3">
        <f t="shared" si="201"/>
        <v>3.8158806353945737E-4</v>
      </c>
      <c r="Z240" s="3">
        <f t="shared" si="201"/>
        <v>3.8158806353945737E-4</v>
      </c>
      <c r="AA240" s="3">
        <f t="shared" si="201"/>
        <v>3.8158806353945737E-4</v>
      </c>
      <c r="AB240" s="3">
        <f t="shared" si="201"/>
        <v>3.8158806353945737E-4</v>
      </c>
      <c r="AC240" s="3">
        <f t="shared" si="201"/>
        <v>3.8158806353945737E-4</v>
      </c>
      <c r="AD240" s="3">
        <f t="shared" si="201"/>
        <v>3.8158806353945737E-4</v>
      </c>
      <c r="AE240" s="3">
        <f t="shared" si="201"/>
        <v>3.8158806353945737E-4</v>
      </c>
      <c r="AF240" s="3">
        <f t="shared" si="201"/>
        <v>3.8158806353945737E-4</v>
      </c>
      <c r="AG240" s="3"/>
      <c r="AH240" s="3"/>
    </row>
    <row r="241" spans="1:34" x14ac:dyDescent="0.25">
      <c r="A241" s="79">
        <f>AVERAGE(B241:AF241)</f>
        <v>2.3878126503519365E-2</v>
      </c>
      <c r="B241" s="80">
        <f>IF($A$64&lt;=B207,IF($B$64&gt;=B207,ABS((B209-B208)/B208),0),0)</f>
        <v>0</v>
      </c>
      <c r="C241" s="80">
        <f t="shared" ref="C241:AF241" si="202">IF($A$64&lt;=C207,IF($B$64&gt;=C207,ABS((C209-C208)/C208),0),0)</f>
        <v>0</v>
      </c>
      <c r="D241" s="80">
        <f t="shared" si="202"/>
        <v>0</v>
      </c>
      <c r="E241" s="80">
        <f t="shared" si="202"/>
        <v>0</v>
      </c>
      <c r="F241" s="80">
        <f t="shared" si="202"/>
        <v>0</v>
      </c>
      <c r="G241" s="80">
        <f t="shared" si="202"/>
        <v>0</v>
      </c>
      <c r="H241" s="80">
        <f t="shared" si="202"/>
        <v>0</v>
      </c>
      <c r="I241" s="80">
        <f t="shared" si="202"/>
        <v>0</v>
      </c>
      <c r="J241" s="80">
        <f t="shared" si="202"/>
        <v>0</v>
      </c>
      <c r="K241" s="80">
        <f t="shared" si="202"/>
        <v>0</v>
      </c>
      <c r="L241" s="80">
        <f t="shared" si="202"/>
        <v>1.8063735271560779E-4</v>
      </c>
      <c r="M241" s="80">
        <f t="shared" si="202"/>
        <v>1.7916783689753326E-3</v>
      </c>
      <c r="N241" s="80">
        <f t="shared" si="202"/>
        <v>1.7072370493800868E-2</v>
      </c>
      <c r="O241" s="80">
        <f t="shared" si="202"/>
        <v>0.11002096783697787</v>
      </c>
      <c r="P241" s="80">
        <f t="shared" si="202"/>
        <v>0.15423281107668507</v>
      </c>
      <c r="Q241" s="80">
        <f t="shared" si="202"/>
        <v>0.13437299810417738</v>
      </c>
      <c r="R241" s="80">
        <f t="shared" si="202"/>
        <v>0.11098765369167149</v>
      </c>
      <c r="S241" s="80">
        <f t="shared" si="202"/>
        <v>7.8483348372981793E-2</v>
      </c>
      <c r="T241" s="80">
        <f t="shared" si="202"/>
        <v>2.6527120801001208E-2</v>
      </c>
      <c r="U241" s="80">
        <f t="shared" si="202"/>
        <v>4.2957981653791832E-2</v>
      </c>
      <c r="V241" s="80">
        <f t="shared" si="202"/>
        <v>6.3594353856321867E-2</v>
      </c>
      <c r="W241" s="80">
        <f t="shared" si="202"/>
        <v>0</v>
      </c>
      <c r="X241" s="80">
        <f t="shared" si="202"/>
        <v>0</v>
      </c>
      <c r="Y241" s="80">
        <f t="shared" si="202"/>
        <v>0</v>
      </c>
      <c r="Z241" s="80">
        <f t="shared" si="202"/>
        <v>0</v>
      </c>
      <c r="AA241" s="80">
        <f t="shared" si="202"/>
        <v>0</v>
      </c>
      <c r="AB241" s="80">
        <f t="shared" si="202"/>
        <v>0</v>
      </c>
      <c r="AC241" s="80">
        <f t="shared" si="202"/>
        <v>0</v>
      </c>
      <c r="AD241" s="80">
        <f t="shared" si="202"/>
        <v>0</v>
      </c>
      <c r="AE241" s="80">
        <f t="shared" si="202"/>
        <v>0</v>
      </c>
      <c r="AF241" s="80">
        <f t="shared" si="202"/>
        <v>0</v>
      </c>
    </row>
    <row r="242" spans="1:34" x14ac:dyDescent="0.25">
      <c r="B242" s="21">
        <f>(B209-B208)^2</f>
        <v>3.5622047474004144E-6</v>
      </c>
      <c r="C242" s="21">
        <f t="shared" ref="C242:AF242" si="203">(C209-C208)^2</f>
        <v>2.710200584338364E-3</v>
      </c>
      <c r="D242" s="21">
        <f t="shared" si="203"/>
        <v>3.5476347163206572E-4</v>
      </c>
      <c r="E242" s="21">
        <f t="shared" si="203"/>
        <v>8.028939354041967E-5</v>
      </c>
      <c r="F242" s="21">
        <f t="shared" si="203"/>
        <v>3.4202298891954056E-5</v>
      </c>
      <c r="G242" s="21">
        <f t="shared" si="203"/>
        <v>2.3167248844489879E-5</v>
      </c>
      <c r="H242" s="21">
        <f t="shared" si="203"/>
        <v>2.098472618067557E-5</v>
      </c>
      <c r="I242" s="21">
        <f t="shared" si="203"/>
        <v>3.1518024905758688E-5</v>
      </c>
      <c r="J242" s="21">
        <f t="shared" si="203"/>
        <v>2.5894588091973555E-4</v>
      </c>
      <c r="K242" s="21">
        <f t="shared" si="203"/>
        <v>1.4844018381003325E-2</v>
      </c>
      <c r="L242" s="21">
        <f t="shared" si="203"/>
        <v>1.3888401533339956</v>
      </c>
      <c r="M242" s="21">
        <f t="shared" si="203"/>
        <v>136.62324786630523</v>
      </c>
      <c r="N242" s="21">
        <f t="shared" si="203"/>
        <v>12395.622447069591</v>
      </c>
      <c r="O242" s="21">
        <f t="shared" si="203"/>
        <v>511243.15411358449</v>
      </c>
      <c r="P242" s="21">
        <f t="shared" si="203"/>
        <v>967268.40749240795</v>
      </c>
      <c r="Q242" s="21">
        <f t="shared" si="203"/>
        <v>700891.58661916188</v>
      </c>
      <c r="R242" s="21">
        <f t="shared" si="203"/>
        <v>453314.16350541543</v>
      </c>
      <c r="S242" s="21">
        <f t="shared" si="203"/>
        <v>210855.80720240661</v>
      </c>
      <c r="T242" s="21">
        <f t="shared" si="203"/>
        <v>21473.820976271996</v>
      </c>
      <c r="U242" s="21">
        <f t="shared" si="203"/>
        <v>46835.902840382187</v>
      </c>
      <c r="V242" s="21">
        <f t="shared" si="203"/>
        <v>83033.573098130975</v>
      </c>
      <c r="W242" s="21">
        <f t="shared" si="203"/>
        <v>227676.4114210658</v>
      </c>
      <c r="X242" s="21">
        <f t="shared" si="203"/>
        <v>278924.8067050394</v>
      </c>
      <c r="Y242" s="21">
        <f t="shared" si="203"/>
        <v>269433.24534440221</v>
      </c>
      <c r="Z242" s="21">
        <f t="shared" si="203"/>
        <v>159261.05952711101</v>
      </c>
      <c r="AA242" s="21">
        <f t="shared" si="203"/>
        <v>56060.912258107906</v>
      </c>
      <c r="AB242" s="21">
        <f t="shared" si="203"/>
        <v>1727.1357207523838</v>
      </c>
      <c r="AC242" s="21">
        <f t="shared" si="203"/>
        <v>29007.018171504238</v>
      </c>
      <c r="AD242" s="21">
        <f t="shared" si="203"/>
        <v>44703.282374410577</v>
      </c>
      <c r="AE242" s="21">
        <f t="shared" si="203"/>
        <v>24799.21680150797</v>
      </c>
      <c r="AF242" s="21">
        <f t="shared" si="203"/>
        <v>9889.3341847321935</v>
      </c>
      <c r="AG242" s="3"/>
      <c r="AH242" s="3"/>
    </row>
    <row r="243" spans="1:34" x14ac:dyDescent="0.25">
      <c r="A243" s="71">
        <f>SUM(B243:AF243)</f>
        <v>3007450.0503828512</v>
      </c>
      <c r="B243" s="60">
        <f>IF($A$64&lt;=B207,IF($B$64&gt;=B207,ABS(B242),0),0)</f>
        <v>0</v>
      </c>
      <c r="C243" s="60">
        <f t="shared" ref="C243" si="204">IF($A$64&lt;=C207,IF($B$64&gt;=C207,ABS(C242),0),0)</f>
        <v>0</v>
      </c>
      <c r="D243" s="60">
        <f t="shared" ref="D243" si="205">IF($A$64&lt;=D207,IF($B$64&gt;=D207,ABS(D242),0),0)</f>
        <v>0</v>
      </c>
      <c r="E243" s="60">
        <f t="shared" ref="E243" si="206">IF($A$64&lt;=E207,IF($B$64&gt;=E207,ABS(E242),0),0)</f>
        <v>0</v>
      </c>
      <c r="F243" s="60">
        <f t="shared" ref="F243" si="207">IF($A$64&lt;=F207,IF($B$64&gt;=F207,ABS(F242),0),0)</f>
        <v>0</v>
      </c>
      <c r="G243" s="60">
        <f t="shared" ref="G243" si="208">IF($A$64&lt;=G207,IF($B$64&gt;=G207,ABS(G242),0),0)</f>
        <v>0</v>
      </c>
      <c r="H243" s="60">
        <f t="shared" ref="H243" si="209">IF($A$64&lt;=H207,IF($B$64&gt;=H207,ABS(H242),0),0)</f>
        <v>0</v>
      </c>
      <c r="I243" s="60">
        <f t="shared" ref="I243" si="210">IF($A$64&lt;=I207,IF($B$64&gt;=I207,ABS(I242),0),0)</f>
        <v>0</v>
      </c>
      <c r="J243" s="60">
        <f t="shared" ref="J243" si="211">IF($A$64&lt;=J207,IF($B$64&gt;=J207,ABS(J242),0),0)</f>
        <v>0</v>
      </c>
      <c r="K243" s="60">
        <f t="shared" ref="K243" si="212">IF($A$64&lt;=K207,IF($B$64&gt;=K207,ABS(K242),0),0)</f>
        <v>0</v>
      </c>
      <c r="L243" s="60">
        <f t="shared" ref="L243" si="213">IF($A$64&lt;=L207,IF($B$64&gt;=L207,ABS(L242),0),0)</f>
        <v>1.3888401533339956</v>
      </c>
      <c r="M243" s="60">
        <f t="shared" ref="M243" si="214">IF($A$64&lt;=M207,IF($B$64&gt;=M207,ABS(M242),0),0)</f>
        <v>136.62324786630523</v>
      </c>
      <c r="N243" s="60">
        <f t="shared" ref="N243" si="215">IF($A$64&lt;=N207,IF($B$64&gt;=N207,ABS(N242),0),0)</f>
        <v>12395.622447069591</v>
      </c>
      <c r="O243" s="60">
        <f t="shared" ref="O243" si="216">IF($A$64&lt;=O207,IF($B$64&gt;=O207,ABS(O242),0),0)</f>
        <v>511243.15411358449</v>
      </c>
      <c r="P243" s="60">
        <f t="shared" ref="P243" si="217">IF($A$64&lt;=P207,IF($B$64&gt;=P207,ABS(P242),0),0)</f>
        <v>967268.40749240795</v>
      </c>
      <c r="Q243" s="60">
        <f t="shared" ref="Q243" si="218">IF($A$64&lt;=Q207,IF($B$64&gt;=Q207,ABS(Q242),0),0)</f>
        <v>700891.58661916188</v>
      </c>
      <c r="R243" s="60">
        <f t="shared" ref="R243" si="219">IF($A$64&lt;=R207,IF($B$64&gt;=R207,ABS(R242),0),0)</f>
        <v>453314.16350541543</v>
      </c>
      <c r="S243" s="60">
        <f t="shared" ref="S243" si="220">IF($A$64&lt;=S207,IF($B$64&gt;=S207,ABS(S242),0),0)</f>
        <v>210855.80720240661</v>
      </c>
      <c r="T243" s="60">
        <f t="shared" ref="T243" si="221">IF($A$64&lt;=T207,IF($B$64&gt;=T207,ABS(T242),0),0)</f>
        <v>21473.820976271996</v>
      </c>
      <c r="U243" s="60">
        <f t="shared" ref="U243" si="222">IF($A$64&lt;=U207,IF($B$64&gt;=U207,ABS(U242),0),0)</f>
        <v>46835.902840382187</v>
      </c>
      <c r="V243" s="60">
        <f t="shared" ref="V243" si="223">IF($A$64&lt;=V207,IF($B$64&gt;=V207,ABS(V242),0),0)</f>
        <v>83033.573098130975</v>
      </c>
      <c r="W243" s="60">
        <f t="shared" ref="W243" si="224">IF($A$64&lt;=W207,IF($B$64&gt;=W207,ABS(W242),0),0)</f>
        <v>0</v>
      </c>
      <c r="X243" s="60">
        <f t="shared" ref="X243" si="225">IF($A$64&lt;=X207,IF($B$64&gt;=X207,ABS(X242),0),0)</f>
        <v>0</v>
      </c>
      <c r="Y243" s="60">
        <f t="shared" ref="Y243" si="226">IF($A$64&lt;=Y207,IF($B$64&gt;=Y207,ABS(Y242),0),0)</f>
        <v>0</v>
      </c>
      <c r="Z243" s="60">
        <f t="shared" ref="Z243" si="227">IF($A$64&lt;=Z207,IF($B$64&gt;=Z207,ABS(Z242),0),0)</f>
        <v>0</v>
      </c>
      <c r="AA243" s="60">
        <f t="shared" ref="AA243" si="228">IF($A$64&lt;=AA207,IF($B$64&gt;=AA207,ABS(AA242),0),0)</f>
        <v>0</v>
      </c>
      <c r="AB243" s="60">
        <f t="shared" ref="AB243" si="229">IF($A$64&lt;=AB207,IF($B$64&gt;=AB207,ABS(AB242),0),0)</f>
        <v>0</v>
      </c>
      <c r="AC243" s="60">
        <f t="shared" ref="AC243" si="230">IF($A$64&lt;=AC207,IF($B$64&gt;=AC207,ABS(AC242),0),0)</f>
        <v>0</v>
      </c>
      <c r="AD243" s="60">
        <f t="shared" ref="AD243" si="231">IF($A$64&lt;=AD207,IF($B$64&gt;=AD207,ABS(AD242),0),0)</f>
        <v>0</v>
      </c>
      <c r="AE243" s="60">
        <f t="shared" ref="AE243" si="232">IF($A$64&lt;=AE207,IF($B$64&gt;=AE207,ABS(AE242),0),0)</f>
        <v>0</v>
      </c>
      <c r="AF243" s="60">
        <f t="shared" ref="AF243" si="233">IF($A$64&lt;=AF207,IF($B$64&gt;=AF207,ABS(AF242),0),0)</f>
        <v>0</v>
      </c>
      <c r="AG243" s="3"/>
      <c r="AH243" s="3"/>
    </row>
    <row r="244" spans="1:34" x14ac:dyDescent="0.25">
      <c r="B244" s="38"/>
      <c r="C244" s="38"/>
      <c r="D244" s="38"/>
      <c r="E244" s="38"/>
      <c r="F244" s="38"/>
      <c r="G244" s="38"/>
      <c r="H244" s="38"/>
      <c r="I244" s="38"/>
      <c r="J244" s="38"/>
      <c r="K244" s="38"/>
      <c r="L244" s="38"/>
      <c r="M244" s="38"/>
      <c r="N244" s="38"/>
      <c r="O244" s="38"/>
      <c r="P244" s="38"/>
      <c r="Q244" s="38"/>
      <c r="R244" s="38"/>
      <c r="S244" s="38"/>
      <c r="T244" s="38"/>
      <c r="U244" s="38"/>
      <c r="V244" s="38"/>
      <c r="W244" s="38"/>
      <c r="X244" s="38"/>
      <c r="Y244" s="38"/>
      <c r="Z244" s="38"/>
      <c r="AA244" s="38"/>
      <c r="AB244" s="38"/>
      <c r="AC244" s="38"/>
      <c r="AD244" s="38"/>
      <c r="AE244" s="38"/>
      <c r="AF244" s="38"/>
      <c r="AG244" s="38"/>
      <c r="AH244" s="38"/>
    </row>
    <row r="245" spans="1:34" x14ac:dyDescent="0.25">
      <c r="A245" s="69" t="s">
        <v>27</v>
      </c>
      <c r="B245" s="11">
        <f>INDEX($D$1:$M$1,1,$E$122)</f>
        <v>50</v>
      </c>
    </row>
    <row r="246" spans="1:34" x14ac:dyDescent="0.25">
      <c r="A246" s="69" t="s">
        <v>17</v>
      </c>
      <c r="B246" s="22">
        <f>INDEX(Comparison!$AL$3:$AL$33,F$14,1)</f>
        <v>1.0000000000000001E-15</v>
      </c>
      <c r="C246" s="22">
        <f>INDEX(Comparison!$AL$3:$AL$33,G$14,1)</f>
        <v>1E-14</v>
      </c>
      <c r="D246" s="22">
        <f>INDEX(Comparison!$AL$3:$AL$33,H$14,1)</f>
        <v>1E-13</v>
      </c>
      <c r="E246" s="22">
        <f>INDEX(Comparison!$AL$3:$AL$33,I$14,1)</f>
        <v>9.9999999999999998E-13</v>
      </c>
      <c r="F246" s="22">
        <f>INDEX(Comparison!$AL$3:$AL$33,J$14,1)</f>
        <v>9.9999999999999994E-12</v>
      </c>
      <c r="G246" s="22">
        <f>INDEX(Comparison!$AL$3:$AL$33,K$14,1)</f>
        <v>1E-10</v>
      </c>
      <c r="H246" s="22">
        <f>INDEX(Comparison!$AL$3:$AL$33,L$14,1)</f>
        <v>1.0000000000000001E-9</v>
      </c>
      <c r="I246" s="22">
        <f>INDEX(Comparison!$AL$3:$AL$33,M$14,1)</f>
        <v>1E-8</v>
      </c>
      <c r="J246" s="22">
        <f>INDEX(Comparison!$AL$3:$AL$33,N$14,1)</f>
        <v>9.9999999999999995E-8</v>
      </c>
      <c r="K246" s="22">
        <f>INDEX(Comparison!$AL$3:$AL$33,O$14,1)</f>
        <v>9.9999999999999995E-7</v>
      </c>
      <c r="L246" s="22">
        <f>INDEX(Comparison!$AL$3:$AL$33,P$14,1)</f>
        <v>1.0000000000000001E-5</v>
      </c>
      <c r="M246" s="22">
        <f>INDEX(Comparison!$AL$3:$AL$33,Q$14,1)</f>
        <v>1E-4</v>
      </c>
      <c r="N246" s="22">
        <f>INDEX(Comparison!$AL$3:$AL$33,R$14,1)</f>
        <v>1E-3</v>
      </c>
      <c r="O246" s="22">
        <f>INDEX(Comparison!$AL$3:$AL$33,S$14,1)</f>
        <v>0.01</v>
      </c>
      <c r="P246" s="22">
        <f>INDEX(Comparison!$AL$3:$AL$33,T$14,1)</f>
        <v>0.1</v>
      </c>
      <c r="Q246" s="22">
        <f>INDEX(Comparison!$AL$3:$AL$33,U$14,1)</f>
        <v>1</v>
      </c>
      <c r="R246" s="22">
        <f>INDEX(Comparison!$AL$3:$AL$33,V$14,1)</f>
        <v>10</v>
      </c>
      <c r="S246" s="22">
        <f>INDEX(Comparison!$AL$3:$AL$33,W$14,1)</f>
        <v>100</v>
      </c>
      <c r="T246" s="22">
        <f>INDEX(Comparison!$AL$3:$AL$33,X$14,1)</f>
        <v>1000</v>
      </c>
      <c r="U246" s="22">
        <f>INDEX(Comparison!$AL$3:$AL$33,Y$14,1)</f>
        <v>10000</v>
      </c>
      <c r="V246" s="22">
        <f>INDEX(Comparison!$AL$3:$AL$33,Z$14,1)</f>
        <v>100000</v>
      </c>
      <c r="W246" s="22">
        <f>INDEX(Comparison!$AL$3:$AL$33,AA$14,1)</f>
        <v>1000000</v>
      </c>
      <c r="X246" s="22">
        <f>INDEX(Comparison!$AL$3:$AL$33,AB$14,1)</f>
        <v>10000000</v>
      </c>
      <c r="Y246" s="22">
        <f>INDEX(Comparison!$AL$3:$AL$33,AC$14,1)</f>
        <v>100000000</v>
      </c>
      <c r="Z246" s="22">
        <f>INDEX(Comparison!$AL$3:$AL$33,AD$14,1)</f>
        <v>1000000000</v>
      </c>
      <c r="AA246" s="22">
        <f>INDEX(Comparison!$AL$3:$AL$33,AE$14,1)</f>
        <v>10000000000</v>
      </c>
      <c r="AB246" s="22">
        <f>INDEX(Comparison!$AL$3:$AL$33,AF$14,1)</f>
        <v>100000000000</v>
      </c>
      <c r="AC246" s="22">
        <f>INDEX(Comparison!$AL$3:$AL$33,AG$14,1)</f>
        <v>1000000000000</v>
      </c>
      <c r="AD246" s="22">
        <f>INDEX(Comparison!$AL$3:$AL$33,AH$14,1)</f>
        <v>10000000000000</v>
      </c>
      <c r="AE246" s="22">
        <f>INDEX(Comparison!$AL$3:$AL$33,AI$14,1)</f>
        <v>100000000000000</v>
      </c>
      <c r="AF246" s="22">
        <f>INDEX(Comparison!$AL$3:$AL$33,AJ$14,1)</f>
        <v>1000000000000000</v>
      </c>
      <c r="AG246" s="22"/>
      <c r="AH246" s="22"/>
    </row>
    <row r="247" spans="1:34" x14ac:dyDescent="0.25">
      <c r="A247" s="25" t="s">
        <v>23</v>
      </c>
      <c r="B247" s="26">
        <f>INDEX(Comparison!$AM$3:$AS$33,F$14,$E$122)</f>
        <v>6503.9509699618966</v>
      </c>
      <c r="C247" s="26">
        <f>INDEX(Comparison!$AM$3:$AS$33,G$14,$E$122)</f>
        <v>6504.0043184804708</v>
      </c>
      <c r="D247" s="26">
        <f>INDEX(Comparison!$AM$3:$AS$33,H$14,$E$122)</f>
        <v>6503.9713230315656</v>
      </c>
      <c r="E247" s="26">
        <f>INDEX(Comparison!$AM$3:$AS$33,I$14,$E$122)</f>
        <v>6503.9615090652051</v>
      </c>
      <c r="F247" s="26">
        <f>INDEX(Comparison!$AM$3:$AS$33,J$14,$E$122)</f>
        <v>6503.9584150129849</v>
      </c>
      <c r="G247" s="26">
        <f>INDEX(Comparison!$AM$3:$AS$33,K$14,$E$122)</f>
        <v>6503.9573030886877</v>
      </c>
      <c r="H247" s="26">
        <f>INDEX(Comparison!$AM$3:$AS$33,L$14,$E$122)</f>
        <v>6503.9546441408229</v>
      </c>
      <c r="I247" s="26">
        <f>INDEX(Comparison!$AM$3:$AS$33,M$14,$E$122)</f>
        <v>6503.932647473689</v>
      </c>
      <c r="J247" s="26">
        <f>INDEX(Comparison!$AM$3:$AS$33,N$14,$E$122)</f>
        <v>6503.7133657579243</v>
      </c>
      <c r="K247" s="26">
        <f>INDEX(Comparison!$AM$3:$AS$33,O$14,$E$122)</f>
        <v>6501.5374241274303</v>
      </c>
      <c r="L247" s="26">
        <f>INDEX(Comparison!$AM$3:$AS$33,P$14,$E$122)</f>
        <v>6481.233154233405</v>
      </c>
      <c r="M247" s="26">
        <f>INDEX(Comparison!$AM$3:$AS$33,Q$14,$E$122)</f>
        <v>6364.7007036045688</v>
      </c>
      <c r="N247" s="26">
        <f>INDEX(Comparison!$AM$3:$AS$33,R$14,$E$122)</f>
        <v>6219.55344224686</v>
      </c>
      <c r="O247" s="26">
        <f>INDEX(Comparison!$AM$3:$AS$33,S$14,$E$122)</f>
        <v>6059.9785511387736</v>
      </c>
      <c r="P247" s="26">
        <f>INDEX(Comparison!$AM$3:$AS$33,T$14,$E$122)</f>
        <v>5870.6317266704709</v>
      </c>
      <c r="Q247" s="26">
        <f>INDEX(Comparison!$AM$3:$AS$33,U$14,$E$122)</f>
        <v>5669.1325406322439</v>
      </c>
      <c r="R247" s="26">
        <f>INDEX(Comparison!$AM$3:$AS$33,V$14,$E$122)</f>
        <v>5423.4324257349326</v>
      </c>
      <c r="S247" s="26">
        <f>INDEX(Comparison!$AM$3:$AS$33,W$14,$E$122)</f>
        <v>5064.9009314494624</v>
      </c>
      <c r="T247" s="26">
        <f>INDEX(Comparison!$AM$3:$AS$33,X$14,$E$122)</f>
        <v>4580.1850776889687</v>
      </c>
      <c r="U247" s="26">
        <f>INDEX(Comparison!$AM$3:$AS$33,Y$14,$E$122)</f>
        <v>4085.8663253030418</v>
      </c>
      <c r="V247" s="26">
        <f>INDEX(Comparison!$AM$3:$AS$33,Z$14,$E$122)</f>
        <v>3641.7022773125063</v>
      </c>
      <c r="W247" s="26">
        <f>INDEX(Comparison!$AM$3:$AS$33,AA$14,$E$122)</f>
        <v>3231.6591203117327</v>
      </c>
      <c r="X247" s="26">
        <f>INDEX(Comparison!$AM$3:$AS$33,AB$14,$E$122)</f>
        <v>2785.7203085552951</v>
      </c>
      <c r="Y247" s="26">
        <f>INDEX(Comparison!$AM$3:$AS$33,AC$14,$E$122)</f>
        <v>2295.1533050928924</v>
      </c>
      <c r="Z247" s="26">
        <f>INDEX(Comparison!$AM$3:$AS$33,AD$14,$E$122)</f>
        <v>1754.5150163075152</v>
      </c>
      <c r="AA247" s="26">
        <f>INDEX(Comparison!$AM$3:$AS$33,AE$14,$E$122)</f>
        <v>1171.8757952014325</v>
      </c>
      <c r="AB247" s="26">
        <f>INDEX(Comparison!$AM$3:$AS$33,AF$14,$E$122)</f>
        <v>704.46209389908893</v>
      </c>
      <c r="AC247" s="26">
        <f>INDEX(Comparison!$AM$3:$AS$33,AG$14,$E$122)</f>
        <v>403.25761176970258</v>
      </c>
      <c r="AD247" s="26">
        <f>INDEX(Comparison!$AM$3:$AS$33,AH$14,$E$122)</f>
        <v>227.19076746573165</v>
      </c>
      <c r="AE247" s="26">
        <f>INDEX(Comparison!$AM$3:$AS$33,AI$14,$E$122)</f>
        <v>157.01371189082064</v>
      </c>
      <c r="AF247" s="26">
        <f>INDEX(Comparison!$AM$3:$AS$33,AJ$14,$E$122)</f>
        <v>136.97082983111966</v>
      </c>
      <c r="AG247" s="26"/>
      <c r="AH247" s="26"/>
    </row>
    <row r="248" spans="1:34" x14ac:dyDescent="0.25">
      <c r="A248" s="70" t="s">
        <v>22</v>
      </c>
      <c r="B248" s="27">
        <f>($C$17+SUM(B249:B279))*$B$51</f>
        <v>6524.0922999162794</v>
      </c>
      <c r="C248" s="27">
        <f t="shared" ref="C248:AF248" si="234">($C$17+SUM(C249:C279))*$B$51</f>
        <v>6524.0922991627695</v>
      </c>
      <c r="D248" s="27">
        <f t="shared" si="234"/>
        <v>6524.092291627675</v>
      </c>
      <c r="E248" s="27">
        <f t="shared" si="234"/>
        <v>6524.0922162767265</v>
      </c>
      <c r="F248" s="27">
        <f t="shared" si="234"/>
        <v>6524.0914627675247</v>
      </c>
      <c r="G248" s="27">
        <f t="shared" si="234"/>
        <v>6524.0839277031164</v>
      </c>
      <c r="H248" s="27">
        <f t="shared" si="234"/>
        <v>6524.008579820259</v>
      </c>
      <c r="I248" s="27">
        <f t="shared" si="234"/>
        <v>6523.2553770462091</v>
      </c>
      <c r="J248" s="27">
        <f t="shared" si="234"/>
        <v>6515.7508868247942</v>
      </c>
      <c r="K248" s="27">
        <f t="shared" si="234"/>
        <v>6443.3930421048399</v>
      </c>
      <c r="L248" s="27">
        <f t="shared" si="234"/>
        <v>5932.5845065578833</v>
      </c>
      <c r="M248" s="27">
        <f t="shared" si="234"/>
        <v>5393.8750068466425</v>
      </c>
      <c r="N248" s="27">
        <f t="shared" si="234"/>
        <v>5393.1760512578321</v>
      </c>
      <c r="O248" s="27">
        <f t="shared" si="234"/>
        <v>5393.0770535441552</v>
      </c>
      <c r="P248" s="27">
        <f t="shared" si="234"/>
        <v>5392.0879741866365</v>
      </c>
      <c r="Q248" s="27">
        <f t="shared" si="234"/>
        <v>5382.2863956806023</v>
      </c>
      <c r="R248" s="27">
        <f t="shared" si="234"/>
        <v>5292.6549847776078</v>
      </c>
      <c r="S248" s="27">
        <f t="shared" si="234"/>
        <v>4881.005765805261</v>
      </c>
      <c r="T248" s="27">
        <f t="shared" si="234"/>
        <v>4617.4651759279295</v>
      </c>
      <c r="U248" s="27">
        <f t="shared" si="234"/>
        <v>4319.9235598623309</v>
      </c>
      <c r="V248" s="27">
        <f t="shared" si="234"/>
        <v>3989.8925233096893</v>
      </c>
      <c r="W248" s="27">
        <f t="shared" si="234"/>
        <v>3562.8682889867155</v>
      </c>
      <c r="X248" s="27">
        <f t="shared" si="234"/>
        <v>3026.1769501500553</v>
      </c>
      <c r="Y248" s="27">
        <f t="shared" si="234"/>
        <v>2391.4675654459088</v>
      </c>
      <c r="Z248" s="27">
        <f t="shared" si="234"/>
        <v>1665.9564564893381</v>
      </c>
      <c r="AA248" s="27">
        <f t="shared" si="234"/>
        <v>1015.3622148960803</v>
      </c>
      <c r="AB248" s="27">
        <f t="shared" si="234"/>
        <v>576.28758013070649</v>
      </c>
      <c r="AC248" s="27">
        <f t="shared" si="234"/>
        <v>317.42138864100235</v>
      </c>
      <c r="AD248" s="27">
        <f t="shared" si="234"/>
        <v>196.86210297269048</v>
      </c>
      <c r="AE248" s="27">
        <f t="shared" si="234"/>
        <v>164.91328471078143</v>
      </c>
      <c r="AF248" s="27">
        <f t="shared" si="234"/>
        <v>148.26232143015997</v>
      </c>
      <c r="AG248" s="27"/>
      <c r="AH248" s="27"/>
    </row>
    <row r="249" spans="1:34" x14ac:dyDescent="0.25">
      <c r="B249" s="3">
        <f t="shared" ref="B249:AF249" si="235">$C18*EXP(-B$246/$A18/EXP(-$E$126))</f>
        <v>0.17334292586636765</v>
      </c>
      <c r="C249" s="3">
        <f t="shared" si="235"/>
        <v>0.17334292575087124</v>
      </c>
      <c r="D249" s="3">
        <f t="shared" si="235"/>
        <v>0.17334292459590689</v>
      </c>
      <c r="E249" s="3">
        <f t="shared" si="235"/>
        <v>0.17334291304626373</v>
      </c>
      <c r="F249" s="3">
        <f t="shared" si="235"/>
        <v>0.17334279754987458</v>
      </c>
      <c r="G249" s="3">
        <f t="shared" si="235"/>
        <v>0.17334164259021556</v>
      </c>
      <c r="H249" s="3">
        <f t="shared" si="235"/>
        <v>0.17333009341686054</v>
      </c>
      <c r="I249" s="3">
        <f t="shared" si="235"/>
        <v>0.17321464399640377</v>
      </c>
      <c r="J249" s="3">
        <f t="shared" si="235"/>
        <v>0.17206437068844671</v>
      </c>
      <c r="K249" s="3">
        <f t="shared" si="235"/>
        <v>0.16097350448178915</v>
      </c>
      <c r="L249" s="3">
        <f t="shared" si="235"/>
        <v>8.267779481819798E-2</v>
      </c>
      <c r="M249" s="3">
        <f t="shared" si="235"/>
        <v>1.0561697894741082E-4</v>
      </c>
      <c r="N249" s="3">
        <f t="shared" si="235"/>
        <v>1.2223126406780456E-33</v>
      </c>
      <c r="O249" s="3">
        <f t="shared" si="235"/>
        <v>0</v>
      </c>
      <c r="P249" s="3">
        <f t="shared" si="235"/>
        <v>0</v>
      </c>
      <c r="Q249" s="3">
        <f t="shared" si="235"/>
        <v>0</v>
      </c>
      <c r="R249" s="3">
        <f t="shared" si="235"/>
        <v>0</v>
      </c>
      <c r="S249" s="3">
        <f t="shared" si="235"/>
        <v>0</v>
      </c>
      <c r="T249" s="3">
        <f t="shared" si="235"/>
        <v>0</v>
      </c>
      <c r="U249" s="3">
        <f t="shared" si="235"/>
        <v>0</v>
      </c>
      <c r="V249" s="3">
        <f t="shared" si="235"/>
        <v>0</v>
      </c>
      <c r="W249" s="3">
        <f t="shared" si="235"/>
        <v>0</v>
      </c>
      <c r="X249" s="3">
        <f t="shared" si="235"/>
        <v>0</v>
      </c>
      <c r="Y249" s="3">
        <f t="shared" si="235"/>
        <v>0</v>
      </c>
      <c r="Z249" s="3">
        <f t="shared" si="235"/>
        <v>0</v>
      </c>
      <c r="AA249" s="3">
        <f t="shared" si="235"/>
        <v>0</v>
      </c>
      <c r="AB249" s="3">
        <f t="shared" si="235"/>
        <v>0</v>
      </c>
      <c r="AC249" s="3">
        <f t="shared" si="235"/>
        <v>0</v>
      </c>
      <c r="AD249" s="3">
        <f t="shared" si="235"/>
        <v>0</v>
      </c>
      <c r="AE249" s="3">
        <f t="shared" si="235"/>
        <v>0</v>
      </c>
      <c r="AF249" s="3">
        <f t="shared" si="235"/>
        <v>0</v>
      </c>
      <c r="AG249" s="3"/>
      <c r="AH249" s="3"/>
    </row>
    <row r="250" spans="1:34" x14ac:dyDescent="0.25">
      <c r="B250" s="3">
        <f t="shared" ref="B250:AF250" si="236">$C19*EXP(-B$246/$A19/EXP(-$E$126))</f>
        <v>8.5701557636401818E-2</v>
      </c>
      <c r="C250" s="3">
        <f t="shared" si="236"/>
        <v>8.5701557636401804E-2</v>
      </c>
      <c r="D250" s="3">
        <f t="shared" si="236"/>
        <v>8.5701557636401651E-2</v>
      </c>
      <c r="E250" s="3">
        <f t="shared" si="236"/>
        <v>8.5701557636400194E-2</v>
      </c>
      <c r="F250" s="3">
        <f t="shared" si="236"/>
        <v>8.5701557636385567E-2</v>
      </c>
      <c r="G250" s="3">
        <f t="shared" si="236"/>
        <v>8.5701557636239295E-2</v>
      </c>
      <c r="H250" s="3">
        <f t="shared" si="236"/>
        <v>8.5701557634776604E-2</v>
      </c>
      <c r="I250" s="3">
        <f t="shared" si="236"/>
        <v>8.5701557620149679E-2</v>
      </c>
      <c r="J250" s="3">
        <f t="shared" si="236"/>
        <v>8.5701557473880405E-2</v>
      </c>
      <c r="K250" s="3">
        <f t="shared" si="236"/>
        <v>8.5701556011187757E-2</v>
      </c>
      <c r="L250" s="3">
        <f t="shared" si="236"/>
        <v>8.5701541384262517E-2</v>
      </c>
      <c r="M250" s="3">
        <f t="shared" si="236"/>
        <v>8.5701395115147502E-2</v>
      </c>
      <c r="N250" s="3">
        <f t="shared" si="236"/>
        <v>8.56999324377275E-2</v>
      </c>
      <c r="O250" s="3">
        <f t="shared" si="236"/>
        <v>8.5685307036461655E-2</v>
      </c>
      <c r="P250" s="3">
        <f t="shared" si="236"/>
        <v>8.5539190230548137E-2</v>
      </c>
      <c r="Q250" s="3">
        <f t="shared" si="236"/>
        <v>8.4091656595446609E-2</v>
      </c>
      <c r="R250" s="3">
        <f t="shared" si="236"/>
        <v>7.0897454565989629E-2</v>
      </c>
      <c r="S250" s="3">
        <f t="shared" si="236"/>
        <v>1.2864946709150189E-2</v>
      </c>
      <c r="T250" s="3">
        <f t="shared" si="236"/>
        <v>4.979451164604865E-10</v>
      </c>
      <c r="U250" s="3">
        <f t="shared" si="236"/>
        <v>3.7576500880031672E-84</v>
      </c>
      <c r="V250" s="3">
        <f t="shared" si="236"/>
        <v>0</v>
      </c>
      <c r="W250" s="3">
        <f t="shared" si="236"/>
        <v>0</v>
      </c>
      <c r="X250" s="3">
        <f t="shared" si="236"/>
        <v>0</v>
      </c>
      <c r="Y250" s="3">
        <f t="shared" si="236"/>
        <v>0</v>
      </c>
      <c r="Z250" s="3">
        <f t="shared" si="236"/>
        <v>0</v>
      </c>
      <c r="AA250" s="3">
        <f t="shared" si="236"/>
        <v>0</v>
      </c>
      <c r="AB250" s="3">
        <f t="shared" si="236"/>
        <v>0</v>
      </c>
      <c r="AC250" s="3">
        <f t="shared" si="236"/>
        <v>0</v>
      </c>
      <c r="AD250" s="3">
        <f t="shared" si="236"/>
        <v>0</v>
      </c>
      <c r="AE250" s="3">
        <f t="shared" si="236"/>
        <v>0</v>
      </c>
      <c r="AF250" s="3">
        <f t="shared" si="236"/>
        <v>0</v>
      </c>
      <c r="AG250" s="3"/>
      <c r="AH250" s="3"/>
    </row>
    <row r="251" spans="1:34" x14ac:dyDescent="0.25">
      <c r="B251" s="3">
        <f t="shared" ref="B251:AF251" si="237">$C20*EXP(-B$246/$A20/EXP(-$E$126))</f>
        <v>3.0493834764101356E-2</v>
      </c>
      <c r="C251" s="3">
        <f t="shared" si="237"/>
        <v>3.0493834764101356E-2</v>
      </c>
      <c r="D251" s="3">
        <f t="shared" si="237"/>
        <v>3.0493834764101349E-2</v>
      </c>
      <c r="E251" s="3">
        <f t="shared" si="237"/>
        <v>3.0493834764101304E-2</v>
      </c>
      <c r="F251" s="3">
        <f t="shared" si="237"/>
        <v>3.0493834764100836E-2</v>
      </c>
      <c r="G251" s="3">
        <f t="shared" si="237"/>
        <v>3.0493834764096138E-2</v>
      </c>
      <c r="H251" s="3">
        <f t="shared" si="237"/>
        <v>3.0493834764049193E-2</v>
      </c>
      <c r="I251" s="3">
        <f t="shared" si="237"/>
        <v>3.0493834763579704E-2</v>
      </c>
      <c r="J251" s="3">
        <f t="shared" si="237"/>
        <v>3.0493834758884841E-2</v>
      </c>
      <c r="K251" s="3">
        <f t="shared" si="237"/>
        <v>3.0493834711936202E-2</v>
      </c>
      <c r="L251" s="3">
        <f t="shared" si="237"/>
        <v>3.0493834242449818E-2</v>
      </c>
      <c r="M251" s="3">
        <f t="shared" si="237"/>
        <v>3.0493829547586383E-2</v>
      </c>
      <c r="N251" s="3">
        <f t="shared" si="237"/>
        <v>3.0493782598991766E-2</v>
      </c>
      <c r="O251" s="3">
        <f t="shared" si="237"/>
        <v>3.0493313117021161E-2</v>
      </c>
      <c r="P251" s="3">
        <f t="shared" si="237"/>
        <v>3.0488618694844406E-2</v>
      </c>
      <c r="Q251" s="3">
        <f t="shared" si="237"/>
        <v>3.0441714203372907E-2</v>
      </c>
      <c r="R251" s="3">
        <f t="shared" si="237"/>
        <v>2.9976619778567925E-2</v>
      </c>
      <c r="S251" s="3">
        <f t="shared" si="237"/>
        <v>2.5699117488723309E-2</v>
      </c>
      <c r="T251" s="3">
        <f t="shared" si="237"/>
        <v>5.5115495287942212E-3</v>
      </c>
      <c r="U251" s="3">
        <f t="shared" si="237"/>
        <v>1.134563377551989E-9</v>
      </c>
      <c r="V251" s="3">
        <f t="shared" si="237"/>
        <v>1.5501696330713113E-76</v>
      </c>
      <c r="W251" s="3">
        <f t="shared" si="237"/>
        <v>0</v>
      </c>
      <c r="X251" s="3">
        <f t="shared" si="237"/>
        <v>0</v>
      </c>
      <c r="Y251" s="3">
        <f t="shared" si="237"/>
        <v>0</v>
      </c>
      <c r="Z251" s="3">
        <f t="shared" si="237"/>
        <v>0</v>
      </c>
      <c r="AA251" s="3">
        <f t="shared" si="237"/>
        <v>0</v>
      </c>
      <c r="AB251" s="3">
        <f t="shared" si="237"/>
        <v>0</v>
      </c>
      <c r="AC251" s="3">
        <f t="shared" si="237"/>
        <v>0</v>
      </c>
      <c r="AD251" s="3">
        <f t="shared" si="237"/>
        <v>0</v>
      </c>
      <c r="AE251" s="3">
        <f t="shared" si="237"/>
        <v>0</v>
      </c>
      <c r="AF251" s="3">
        <f t="shared" si="237"/>
        <v>0</v>
      </c>
      <c r="AG251" s="3"/>
      <c r="AH251" s="3"/>
    </row>
    <row r="252" spans="1:34" x14ac:dyDescent="0.25">
      <c r="B252" s="3">
        <f t="shared" ref="B252:AF252" si="238">$C21*EXP(-B$246/$A21/EXP(-$E$126))</f>
        <v>5.1956618575789072E-2</v>
      </c>
      <c r="C252" s="3">
        <f t="shared" si="238"/>
        <v>5.1956618575789072E-2</v>
      </c>
      <c r="D252" s="3">
        <f t="shared" si="238"/>
        <v>5.1956618575789072E-2</v>
      </c>
      <c r="E252" s="3">
        <f t="shared" si="238"/>
        <v>5.1956618575789065E-2</v>
      </c>
      <c r="F252" s="3">
        <f t="shared" si="238"/>
        <v>5.1956618575788989E-2</v>
      </c>
      <c r="G252" s="3">
        <f t="shared" si="238"/>
        <v>5.1956618575788267E-2</v>
      </c>
      <c r="H252" s="3">
        <f t="shared" si="238"/>
        <v>5.1956618575781051E-2</v>
      </c>
      <c r="I252" s="3">
        <f t="shared" si="238"/>
        <v>5.1956618575708893E-2</v>
      </c>
      <c r="J252" s="3">
        <f t="shared" si="238"/>
        <v>5.195661857498729E-2</v>
      </c>
      <c r="K252" s="3">
        <f t="shared" si="238"/>
        <v>5.1956618567771257E-2</v>
      </c>
      <c r="L252" s="3">
        <f t="shared" si="238"/>
        <v>5.1956618495610944E-2</v>
      </c>
      <c r="M252" s="3">
        <f t="shared" si="238"/>
        <v>5.1956617774007778E-2</v>
      </c>
      <c r="N252" s="3">
        <f t="shared" si="238"/>
        <v>5.19566105579767E-2</v>
      </c>
      <c r="O252" s="3">
        <f t="shared" si="238"/>
        <v>5.1956538397721019E-2</v>
      </c>
      <c r="P252" s="3">
        <f t="shared" si="238"/>
        <v>5.1955816800676312E-2</v>
      </c>
      <c r="Q252" s="3">
        <f t="shared" si="238"/>
        <v>5.1948601381409769E-2</v>
      </c>
      <c r="R252" s="3">
        <f t="shared" si="238"/>
        <v>5.1876502278485184E-2</v>
      </c>
      <c r="S252" s="3">
        <f t="shared" si="238"/>
        <v>5.1160992018830891E-2</v>
      </c>
      <c r="T252" s="3">
        <f t="shared" si="238"/>
        <v>4.4526818041325952E-2</v>
      </c>
      <c r="U252" s="3">
        <f t="shared" si="238"/>
        <v>1.1103213739694522E-2</v>
      </c>
      <c r="V252" s="3">
        <f t="shared" si="238"/>
        <v>1.0320936199643376E-8</v>
      </c>
      <c r="W252" s="3">
        <f t="shared" si="238"/>
        <v>4.9707626419523149E-69</v>
      </c>
      <c r="X252" s="3">
        <f t="shared" si="238"/>
        <v>0</v>
      </c>
      <c r="Y252" s="3">
        <f t="shared" si="238"/>
        <v>0</v>
      </c>
      <c r="Z252" s="3">
        <f t="shared" si="238"/>
        <v>0</v>
      </c>
      <c r="AA252" s="3">
        <f t="shared" si="238"/>
        <v>0</v>
      </c>
      <c r="AB252" s="3">
        <f t="shared" si="238"/>
        <v>0</v>
      </c>
      <c r="AC252" s="3">
        <f t="shared" si="238"/>
        <v>0</v>
      </c>
      <c r="AD252" s="3">
        <f t="shared" si="238"/>
        <v>0</v>
      </c>
      <c r="AE252" s="3">
        <f t="shared" si="238"/>
        <v>0</v>
      </c>
      <c r="AF252" s="3">
        <f t="shared" si="238"/>
        <v>0</v>
      </c>
      <c r="AG252" s="3"/>
      <c r="AH252" s="3"/>
    </row>
    <row r="253" spans="1:34" x14ac:dyDescent="0.25">
      <c r="B253" s="3">
        <f t="shared" ref="B253:AF253" si="239">$C22*EXP(-B$246/$A22/EXP(-$E$126))</f>
        <v>4.953314033701034E-2</v>
      </c>
      <c r="C253" s="3">
        <f t="shared" si="239"/>
        <v>4.953314033701034E-2</v>
      </c>
      <c r="D253" s="3">
        <f t="shared" si="239"/>
        <v>4.953314033701034E-2</v>
      </c>
      <c r="E253" s="3">
        <f t="shared" si="239"/>
        <v>4.953314033701034E-2</v>
      </c>
      <c r="F253" s="3">
        <f t="shared" si="239"/>
        <v>4.9533140337010333E-2</v>
      </c>
      <c r="G253" s="3">
        <f t="shared" si="239"/>
        <v>4.953314033701027E-2</v>
      </c>
      <c r="H253" s="3">
        <f t="shared" si="239"/>
        <v>4.9533140337009653E-2</v>
      </c>
      <c r="I253" s="3">
        <f t="shared" si="239"/>
        <v>4.9533140337003442E-2</v>
      </c>
      <c r="J253" s="3">
        <f t="shared" si="239"/>
        <v>4.9533140336941381E-2</v>
      </c>
      <c r="K253" s="3">
        <f t="shared" si="239"/>
        <v>4.9533140336320801E-2</v>
      </c>
      <c r="L253" s="3">
        <f t="shared" si="239"/>
        <v>4.9533140330114966E-2</v>
      </c>
      <c r="M253" s="3">
        <f t="shared" si="239"/>
        <v>4.953314026805665E-2</v>
      </c>
      <c r="N253" s="3">
        <f t="shared" si="239"/>
        <v>4.9533139647473468E-2</v>
      </c>
      <c r="O253" s="3">
        <f t="shared" si="239"/>
        <v>4.9533133441642049E-2</v>
      </c>
      <c r="P253" s="3">
        <f t="shared" si="239"/>
        <v>4.9533071383370673E-2</v>
      </c>
      <c r="Q253" s="3">
        <f t="shared" si="239"/>
        <v>4.9532450804933167E-2</v>
      </c>
      <c r="R253" s="3">
        <f t="shared" si="239"/>
        <v>4.9526245448164745E-2</v>
      </c>
      <c r="S253" s="3">
        <f t="shared" si="239"/>
        <v>4.9464234621332114E-2</v>
      </c>
      <c r="T253" s="3">
        <f t="shared" si="239"/>
        <v>4.8848380691441956E-2</v>
      </c>
      <c r="U253" s="3">
        <f t="shared" si="239"/>
        <v>4.3096197478539398E-2</v>
      </c>
      <c r="V253" s="3">
        <f t="shared" si="239"/>
        <v>1.2311947726253925E-2</v>
      </c>
      <c r="W253" s="3">
        <f t="shared" si="239"/>
        <v>4.4586652361845344E-8</v>
      </c>
      <c r="X253" s="3">
        <f t="shared" si="239"/>
        <v>1.7297601884794692E-62</v>
      </c>
      <c r="Y253" s="3">
        <f t="shared" si="239"/>
        <v>0</v>
      </c>
      <c r="Z253" s="3">
        <f t="shared" si="239"/>
        <v>0</v>
      </c>
      <c r="AA253" s="3">
        <f t="shared" si="239"/>
        <v>0</v>
      </c>
      <c r="AB253" s="3">
        <f t="shared" si="239"/>
        <v>0</v>
      </c>
      <c r="AC253" s="3">
        <f t="shared" si="239"/>
        <v>0</v>
      </c>
      <c r="AD253" s="3">
        <f t="shared" si="239"/>
        <v>0</v>
      </c>
      <c r="AE253" s="3">
        <f t="shared" si="239"/>
        <v>0</v>
      </c>
      <c r="AF253" s="3">
        <f t="shared" si="239"/>
        <v>0</v>
      </c>
      <c r="AG253" s="3"/>
      <c r="AH253" s="3"/>
    </row>
    <row r="254" spans="1:34" x14ac:dyDescent="0.25">
      <c r="B254" s="3">
        <f t="shared" ref="B254:AF254" si="240">$C23*EXP(-B$246/$A23/EXP(-$E$126))</f>
        <v>7.2790684842208797E-2</v>
      </c>
      <c r="C254" s="3">
        <f t="shared" si="240"/>
        <v>7.2790684842208797E-2</v>
      </c>
      <c r="D254" s="3">
        <f t="shared" si="240"/>
        <v>7.2790684842208797E-2</v>
      </c>
      <c r="E254" s="3">
        <f t="shared" si="240"/>
        <v>7.2790684842208797E-2</v>
      </c>
      <c r="F254" s="3">
        <f t="shared" si="240"/>
        <v>7.2790684842208797E-2</v>
      </c>
      <c r="G254" s="3">
        <f t="shared" si="240"/>
        <v>7.2790684842208783E-2</v>
      </c>
      <c r="H254" s="3">
        <f t="shared" si="240"/>
        <v>7.2790684842208714E-2</v>
      </c>
      <c r="I254" s="3">
        <f t="shared" si="240"/>
        <v>7.2790684842207881E-2</v>
      </c>
      <c r="J254" s="3">
        <f t="shared" si="240"/>
        <v>7.2790684842199652E-2</v>
      </c>
      <c r="K254" s="3">
        <f t="shared" si="240"/>
        <v>7.2790684842117384E-2</v>
      </c>
      <c r="L254" s="3">
        <f t="shared" si="240"/>
        <v>7.2790684841294723E-2</v>
      </c>
      <c r="M254" s="3">
        <f t="shared" si="240"/>
        <v>7.2790684833067998E-2</v>
      </c>
      <c r="N254" s="3">
        <f t="shared" si="240"/>
        <v>7.2790684750800833E-2</v>
      </c>
      <c r="O254" s="3">
        <f t="shared" si="240"/>
        <v>7.279068392812918E-2</v>
      </c>
      <c r="P254" s="3">
        <f t="shared" si="240"/>
        <v>7.2790675701413066E-2</v>
      </c>
      <c r="Q254" s="3">
        <f t="shared" si="240"/>
        <v>7.2790593434303164E-2</v>
      </c>
      <c r="R254" s="3">
        <f t="shared" si="240"/>
        <v>7.278977076831783E-2</v>
      </c>
      <c r="S254" s="3">
        <f t="shared" si="240"/>
        <v>7.2781544619816271E-2</v>
      </c>
      <c r="T254" s="3">
        <f t="shared" si="240"/>
        <v>7.2699334248603725E-2</v>
      </c>
      <c r="U254" s="3">
        <f t="shared" si="240"/>
        <v>7.1882320607002392E-2</v>
      </c>
      <c r="V254" s="3">
        <f t="shared" si="240"/>
        <v>6.4200534395673595E-2</v>
      </c>
      <c r="W254" s="3">
        <f t="shared" si="240"/>
        <v>2.0735006804244834E-2</v>
      </c>
      <c r="X254" s="3">
        <f t="shared" si="240"/>
        <v>2.5607051416548568E-7</v>
      </c>
      <c r="Y254" s="3">
        <f t="shared" si="240"/>
        <v>2.1130680640942814E-56</v>
      </c>
      <c r="Z254" s="3">
        <f t="shared" si="240"/>
        <v>0</v>
      </c>
      <c r="AA254" s="3">
        <f t="shared" si="240"/>
        <v>0</v>
      </c>
      <c r="AB254" s="3">
        <f t="shared" si="240"/>
        <v>0</v>
      </c>
      <c r="AC254" s="3">
        <f t="shared" si="240"/>
        <v>0</v>
      </c>
      <c r="AD254" s="3">
        <f t="shared" si="240"/>
        <v>0</v>
      </c>
      <c r="AE254" s="3">
        <f t="shared" si="240"/>
        <v>0</v>
      </c>
      <c r="AF254" s="3">
        <f t="shared" si="240"/>
        <v>0</v>
      </c>
      <c r="AG254" s="3"/>
      <c r="AH254" s="3"/>
    </row>
    <row r="255" spans="1:34" x14ac:dyDescent="0.25">
      <c r="B255" s="3">
        <f t="shared" ref="B255:AF255" si="241">$C24*EXP(-B$246/$A24/EXP(-$E$126))</f>
        <v>8.9662910534614892E-2</v>
      </c>
      <c r="C255" s="3">
        <f t="shared" si="241"/>
        <v>8.9662910534614892E-2</v>
      </c>
      <c r="D255" s="3">
        <f t="shared" si="241"/>
        <v>8.9662910534614892E-2</v>
      </c>
      <c r="E255" s="3">
        <f t="shared" si="241"/>
        <v>8.9662910534614892E-2</v>
      </c>
      <c r="F255" s="3">
        <f t="shared" si="241"/>
        <v>8.9662910534614892E-2</v>
      </c>
      <c r="G255" s="3">
        <f t="shared" si="241"/>
        <v>8.9662910534614892E-2</v>
      </c>
      <c r="H255" s="3">
        <f t="shared" si="241"/>
        <v>8.9662910534614879E-2</v>
      </c>
      <c r="I255" s="3">
        <f t="shared" si="241"/>
        <v>8.9662910534614795E-2</v>
      </c>
      <c r="J255" s="3">
        <f t="shared" si="241"/>
        <v>8.9662910534613879E-2</v>
      </c>
      <c r="K255" s="3">
        <f t="shared" si="241"/>
        <v>8.9662910534604734E-2</v>
      </c>
      <c r="L255" s="3">
        <f t="shared" si="241"/>
        <v>8.9662910534513321E-2</v>
      </c>
      <c r="M255" s="3">
        <f t="shared" si="241"/>
        <v>8.9662910533599191E-2</v>
      </c>
      <c r="N255" s="3">
        <f t="shared" si="241"/>
        <v>8.9662910524457837E-2</v>
      </c>
      <c r="O255" s="3">
        <f t="shared" si="241"/>
        <v>8.9662910433044377E-2</v>
      </c>
      <c r="P255" s="3">
        <f t="shared" si="241"/>
        <v>8.9662909518909761E-2</v>
      </c>
      <c r="Q255" s="3">
        <f t="shared" si="241"/>
        <v>8.9662900377564095E-2</v>
      </c>
      <c r="R255" s="3">
        <f t="shared" si="241"/>
        <v>8.9662808964158722E-2</v>
      </c>
      <c r="S255" s="3">
        <f t="shared" si="241"/>
        <v>8.966189483523089E-2</v>
      </c>
      <c r="T255" s="3">
        <f t="shared" si="241"/>
        <v>8.9652754058521106E-2</v>
      </c>
      <c r="U255" s="3">
        <f t="shared" si="241"/>
        <v>8.9561397528950135E-2</v>
      </c>
      <c r="V255" s="3">
        <f t="shared" si="241"/>
        <v>8.8652936710506863E-2</v>
      </c>
      <c r="W255" s="3">
        <f t="shared" si="241"/>
        <v>8.0060034858252582E-2</v>
      </c>
      <c r="X255" s="3">
        <f t="shared" si="241"/>
        <v>2.8882997167827985E-2</v>
      </c>
      <c r="Y255" s="3">
        <f t="shared" si="241"/>
        <v>1.0787159136453201E-6</v>
      </c>
      <c r="Z255" s="3">
        <f t="shared" si="241"/>
        <v>5.6958083206521881E-51</v>
      </c>
      <c r="AA255" s="3">
        <f t="shared" si="241"/>
        <v>0</v>
      </c>
      <c r="AB255" s="3">
        <f t="shared" si="241"/>
        <v>0</v>
      </c>
      <c r="AC255" s="3">
        <f t="shared" si="241"/>
        <v>0</v>
      </c>
      <c r="AD255" s="3">
        <f t="shared" si="241"/>
        <v>0</v>
      </c>
      <c r="AE255" s="3">
        <f t="shared" si="241"/>
        <v>0</v>
      </c>
      <c r="AF255" s="3">
        <f t="shared" si="241"/>
        <v>0</v>
      </c>
      <c r="AG255" s="3"/>
      <c r="AH255" s="3"/>
    </row>
    <row r="256" spans="1:34" x14ac:dyDescent="0.25">
      <c r="B256" s="3">
        <f t="shared" ref="B256:AF256" si="242">$C25*EXP(-B$246/$A25/EXP(-$E$126))</f>
        <v>0.1059802083256471</v>
      </c>
      <c r="C256" s="3">
        <f t="shared" si="242"/>
        <v>0.1059802083256471</v>
      </c>
      <c r="D256" s="3">
        <f t="shared" si="242"/>
        <v>0.1059802083256471</v>
      </c>
      <c r="E256" s="3">
        <f t="shared" si="242"/>
        <v>0.1059802083256471</v>
      </c>
      <c r="F256" s="3">
        <f t="shared" si="242"/>
        <v>0.1059802083256471</v>
      </c>
      <c r="G256" s="3">
        <f t="shared" si="242"/>
        <v>0.1059802083256471</v>
      </c>
      <c r="H256" s="3">
        <f t="shared" si="242"/>
        <v>0.1059802083256471</v>
      </c>
      <c r="I256" s="3">
        <f t="shared" si="242"/>
        <v>0.10598020832564709</v>
      </c>
      <c r="J256" s="3">
        <f t="shared" si="242"/>
        <v>0.10598020832564699</v>
      </c>
      <c r="K256" s="3">
        <f t="shared" si="242"/>
        <v>0.10598020832564602</v>
      </c>
      <c r="L256" s="3">
        <f t="shared" si="242"/>
        <v>0.10598020832563627</v>
      </c>
      <c r="M256" s="3">
        <f t="shared" si="242"/>
        <v>0.1059802083255388</v>
      </c>
      <c r="N256" s="3">
        <f t="shared" si="242"/>
        <v>0.1059802083245641</v>
      </c>
      <c r="O256" s="3">
        <f t="shared" si="242"/>
        <v>0.10598020831481715</v>
      </c>
      <c r="P256" s="3">
        <f t="shared" si="242"/>
        <v>0.10598020821734766</v>
      </c>
      <c r="Q256" s="3">
        <f t="shared" si="242"/>
        <v>0.10598020724265279</v>
      </c>
      <c r="R256" s="3">
        <f t="shared" si="242"/>
        <v>0.10598019749570452</v>
      </c>
      <c r="S256" s="3">
        <f t="shared" si="242"/>
        <v>0.10598010002627105</v>
      </c>
      <c r="T256" s="3">
        <f t="shared" si="242"/>
        <v>0.10597912533686676</v>
      </c>
      <c r="U256" s="3">
        <f t="shared" si="242"/>
        <v>0.10596937893583747</v>
      </c>
      <c r="V256" s="3">
        <f t="shared" si="242"/>
        <v>0.10587196421012876</v>
      </c>
      <c r="W256" s="3">
        <f t="shared" si="242"/>
        <v>0.10490272868174084</v>
      </c>
      <c r="X256" s="3">
        <f t="shared" si="242"/>
        <v>9.5685235532314505E-2</v>
      </c>
      <c r="Y256" s="3">
        <f t="shared" si="242"/>
        <v>3.8144013068275466E-2</v>
      </c>
      <c r="Z256" s="3">
        <f t="shared" si="242"/>
        <v>3.8658135617452999E-6</v>
      </c>
      <c r="AA256" s="3">
        <f t="shared" si="242"/>
        <v>4.4196322407584765E-46</v>
      </c>
      <c r="AB256" s="3">
        <f t="shared" si="242"/>
        <v>0</v>
      </c>
      <c r="AC256" s="3">
        <f t="shared" si="242"/>
        <v>0</v>
      </c>
      <c r="AD256" s="3">
        <f t="shared" si="242"/>
        <v>0</v>
      </c>
      <c r="AE256" s="3">
        <f t="shared" si="242"/>
        <v>0</v>
      </c>
      <c r="AF256" s="3">
        <f t="shared" si="242"/>
        <v>0</v>
      </c>
      <c r="AG256" s="3"/>
      <c r="AH256" s="3"/>
    </row>
    <row r="257" spans="2:34" x14ac:dyDescent="0.25">
      <c r="B257" s="3">
        <f t="shared" ref="B257:AF257" si="243">$C26*EXP(-B$246/$A26/EXP(-$E$126))</f>
        <v>0.12848084538695642</v>
      </c>
      <c r="C257" s="3">
        <f t="shared" si="243"/>
        <v>0.12848084538695642</v>
      </c>
      <c r="D257" s="3">
        <f t="shared" si="243"/>
        <v>0.12848084538695642</v>
      </c>
      <c r="E257" s="3">
        <f t="shared" si="243"/>
        <v>0.12848084538695642</v>
      </c>
      <c r="F257" s="3">
        <f t="shared" si="243"/>
        <v>0.12848084538695642</v>
      </c>
      <c r="G257" s="3">
        <f t="shared" si="243"/>
        <v>0.12848084538695642</v>
      </c>
      <c r="H257" s="3">
        <f t="shared" si="243"/>
        <v>0.12848084538695642</v>
      </c>
      <c r="I257" s="3">
        <f t="shared" si="243"/>
        <v>0.12848084538695642</v>
      </c>
      <c r="J257" s="3">
        <f t="shared" si="243"/>
        <v>0.12848084538695639</v>
      </c>
      <c r="K257" s="3">
        <f t="shared" si="243"/>
        <v>0.12848084538695631</v>
      </c>
      <c r="L257" s="3">
        <f t="shared" si="243"/>
        <v>0.12848084538695523</v>
      </c>
      <c r="M257" s="3">
        <f t="shared" si="243"/>
        <v>0.12848084538694457</v>
      </c>
      <c r="N257" s="3">
        <f t="shared" si="243"/>
        <v>0.12848084538683799</v>
      </c>
      <c r="O257" s="3">
        <f t="shared" si="243"/>
        <v>0.12848084538577204</v>
      </c>
      <c r="P257" s="3">
        <f t="shared" si="243"/>
        <v>0.12848084537511276</v>
      </c>
      <c r="Q257" s="3">
        <f t="shared" si="243"/>
        <v>0.12848084526851969</v>
      </c>
      <c r="R257" s="3">
        <f t="shared" si="243"/>
        <v>0.12848084420258918</v>
      </c>
      <c r="S257" s="3">
        <f t="shared" si="243"/>
        <v>0.12848083354328463</v>
      </c>
      <c r="T257" s="3">
        <f t="shared" si="243"/>
        <v>0.12848072695028759</v>
      </c>
      <c r="U257" s="3">
        <f t="shared" si="243"/>
        <v>0.12847966102518121</v>
      </c>
      <c r="V257" s="3">
        <f t="shared" si="243"/>
        <v>0.12846900226048774</v>
      </c>
      <c r="W257" s="3">
        <f t="shared" si="243"/>
        <v>0.12836246323568254</v>
      </c>
      <c r="X257" s="3">
        <f t="shared" si="243"/>
        <v>0.12730192030820869</v>
      </c>
      <c r="Y257" s="3">
        <f t="shared" si="243"/>
        <v>0.11716666785685555</v>
      </c>
      <c r="Z257" s="3">
        <f t="shared" si="243"/>
        <v>5.1108757216026028E-2</v>
      </c>
      <c r="AA257" s="3">
        <f t="shared" si="243"/>
        <v>1.2746992664932115E-5</v>
      </c>
      <c r="AB257" s="3">
        <f t="shared" si="243"/>
        <v>1.1872218724495836E-41</v>
      </c>
      <c r="AC257" s="3">
        <f t="shared" si="243"/>
        <v>0</v>
      </c>
      <c r="AD257" s="3">
        <f t="shared" si="243"/>
        <v>0</v>
      </c>
      <c r="AE257" s="3">
        <f t="shared" si="243"/>
        <v>0</v>
      </c>
      <c r="AF257" s="3">
        <f t="shared" si="243"/>
        <v>0</v>
      </c>
      <c r="AG257" s="3"/>
      <c r="AH257" s="3"/>
    </row>
    <row r="258" spans="2:34" x14ac:dyDescent="0.25">
      <c r="B258" s="3">
        <f t="shared" ref="B258:AF258" si="244">$C27*EXP(-B$246/$A27/EXP(-$E$126))</f>
        <v>9.2499277670536229E-2</v>
      </c>
      <c r="C258" s="3">
        <f t="shared" si="244"/>
        <v>9.2499277670536229E-2</v>
      </c>
      <c r="D258" s="3">
        <f t="shared" si="244"/>
        <v>9.2499277670536229E-2</v>
      </c>
      <c r="E258" s="3">
        <f t="shared" si="244"/>
        <v>9.2499277670536229E-2</v>
      </c>
      <c r="F258" s="3">
        <f t="shared" si="244"/>
        <v>9.2499277670536229E-2</v>
      </c>
      <c r="G258" s="3">
        <f t="shared" si="244"/>
        <v>9.2499277670536229E-2</v>
      </c>
      <c r="H258" s="3">
        <f t="shared" si="244"/>
        <v>9.2499277670536229E-2</v>
      </c>
      <c r="I258" s="3">
        <f t="shared" si="244"/>
        <v>9.2499277670536229E-2</v>
      </c>
      <c r="J258" s="3">
        <f t="shared" si="244"/>
        <v>9.2499277670536229E-2</v>
      </c>
      <c r="K258" s="3">
        <f t="shared" si="244"/>
        <v>9.2499277670536215E-2</v>
      </c>
      <c r="L258" s="3">
        <f t="shared" si="244"/>
        <v>9.2499277670536159E-2</v>
      </c>
      <c r="M258" s="3">
        <f t="shared" si="244"/>
        <v>9.2499277670535465E-2</v>
      </c>
      <c r="N258" s="3">
        <f t="shared" si="244"/>
        <v>9.249927767052854E-2</v>
      </c>
      <c r="O258" s="3">
        <f t="shared" si="244"/>
        <v>9.2499277670459304E-2</v>
      </c>
      <c r="P258" s="3">
        <f t="shared" si="244"/>
        <v>9.2499277669767038E-2</v>
      </c>
      <c r="Q258" s="3">
        <f t="shared" si="244"/>
        <v>9.249927766284434E-2</v>
      </c>
      <c r="R258" s="3">
        <f t="shared" si="244"/>
        <v>9.2499277593617354E-2</v>
      </c>
      <c r="S258" s="3">
        <f t="shared" si="244"/>
        <v>9.2499276901347474E-2</v>
      </c>
      <c r="T258" s="3">
        <f t="shared" si="244"/>
        <v>9.2499269978648921E-2</v>
      </c>
      <c r="U258" s="3">
        <f t="shared" si="244"/>
        <v>9.2499200751691962E-2</v>
      </c>
      <c r="V258" s="3">
        <f t="shared" si="244"/>
        <v>9.2498508484971972E-2</v>
      </c>
      <c r="W258" s="3">
        <f t="shared" si="244"/>
        <v>9.249158610271753E-2</v>
      </c>
      <c r="X258" s="3">
        <f t="shared" si="244"/>
        <v>9.242239076683835E-2</v>
      </c>
      <c r="Y258" s="3">
        <f t="shared" si="244"/>
        <v>9.1733278202099075E-2</v>
      </c>
      <c r="Z258" s="3">
        <f t="shared" si="244"/>
        <v>8.5118520515208532E-2</v>
      </c>
      <c r="AA258" s="3">
        <f t="shared" si="244"/>
        <v>4.0271294629624622E-2</v>
      </c>
      <c r="AB258" s="3">
        <f t="shared" si="244"/>
        <v>2.2631369846282581E-5</v>
      </c>
      <c r="AC258" s="3">
        <f t="shared" si="244"/>
        <v>7.1098976362926407E-38</v>
      </c>
      <c r="AD258" s="3">
        <f t="shared" si="244"/>
        <v>0</v>
      </c>
      <c r="AE258" s="3">
        <f t="shared" si="244"/>
        <v>0</v>
      </c>
      <c r="AF258" s="3">
        <f t="shared" si="244"/>
        <v>0</v>
      </c>
      <c r="AG258" s="3"/>
      <c r="AH258" s="3"/>
    </row>
    <row r="259" spans="2:34" x14ac:dyDescent="0.25">
      <c r="B259" s="3">
        <f t="shared" ref="B259:AF259" si="245">$C28*EXP(-B$246/$A28/EXP(-$E$126))</f>
        <v>5.52958361106754E-2</v>
      </c>
      <c r="C259" s="3">
        <f t="shared" si="245"/>
        <v>5.52958361106754E-2</v>
      </c>
      <c r="D259" s="3">
        <f t="shared" si="245"/>
        <v>5.52958361106754E-2</v>
      </c>
      <c r="E259" s="3">
        <f t="shared" si="245"/>
        <v>5.52958361106754E-2</v>
      </c>
      <c r="F259" s="3">
        <f t="shared" si="245"/>
        <v>5.52958361106754E-2</v>
      </c>
      <c r="G259" s="3">
        <f t="shared" si="245"/>
        <v>5.52958361106754E-2</v>
      </c>
      <c r="H259" s="3">
        <f t="shared" si="245"/>
        <v>5.52958361106754E-2</v>
      </c>
      <c r="I259" s="3">
        <f t="shared" si="245"/>
        <v>5.52958361106754E-2</v>
      </c>
      <c r="J259" s="3">
        <f t="shared" si="245"/>
        <v>5.52958361106754E-2</v>
      </c>
      <c r="K259" s="3">
        <f t="shared" si="245"/>
        <v>5.52958361106754E-2</v>
      </c>
      <c r="L259" s="3">
        <f t="shared" si="245"/>
        <v>5.5295836110675393E-2</v>
      </c>
      <c r="M259" s="3">
        <f t="shared" si="245"/>
        <v>5.5295836110675359E-2</v>
      </c>
      <c r="N259" s="3">
        <f t="shared" si="245"/>
        <v>5.5295836110674984E-2</v>
      </c>
      <c r="O259" s="3">
        <f t="shared" si="245"/>
        <v>5.5295836110671251E-2</v>
      </c>
      <c r="P259" s="3">
        <f t="shared" si="245"/>
        <v>5.529583611063392E-2</v>
      </c>
      <c r="Q259" s="3">
        <f t="shared" si="245"/>
        <v>5.5295836110260607E-2</v>
      </c>
      <c r="R259" s="3">
        <f t="shared" si="245"/>
        <v>5.5295836106527455E-2</v>
      </c>
      <c r="S259" s="3">
        <f t="shared" si="245"/>
        <v>5.5295836069195886E-2</v>
      </c>
      <c r="T259" s="3">
        <f t="shared" si="245"/>
        <v>5.5295835695880313E-2</v>
      </c>
      <c r="U259" s="3">
        <f t="shared" si="245"/>
        <v>5.5295831962724633E-2</v>
      </c>
      <c r="V259" s="3">
        <f t="shared" si="245"/>
        <v>5.5295794631181706E-2</v>
      </c>
      <c r="W259" s="3">
        <f t="shared" si="245"/>
        <v>5.5295421317138639E-2</v>
      </c>
      <c r="X259" s="3">
        <f t="shared" si="245"/>
        <v>5.5291688315323058E-2</v>
      </c>
      <c r="Y259" s="3">
        <f t="shared" si="245"/>
        <v>5.5254372155212166E-2</v>
      </c>
      <c r="Z259" s="3">
        <f t="shared" si="245"/>
        <v>5.4882592903156481E-2</v>
      </c>
      <c r="AA259" s="3">
        <f t="shared" si="245"/>
        <v>5.1299643708113594E-2</v>
      </c>
      <c r="AB259" s="3">
        <f t="shared" si="245"/>
        <v>2.6116298551780128E-2</v>
      </c>
      <c r="AC259" s="3">
        <f t="shared" si="245"/>
        <v>3.0541079469350857E-5</v>
      </c>
      <c r="AD259" s="3">
        <f t="shared" si="245"/>
        <v>1.4608713336513879E-34</v>
      </c>
      <c r="AE259" s="3">
        <f t="shared" si="245"/>
        <v>0</v>
      </c>
      <c r="AF259" s="3">
        <f t="shared" si="245"/>
        <v>0</v>
      </c>
      <c r="AG259" s="3"/>
      <c r="AH259" s="3"/>
    </row>
    <row r="260" spans="2:34" x14ac:dyDescent="0.25">
      <c r="B260" s="3">
        <f t="shared" ref="B260:AF260" si="246">$C29*EXP(-B$246/$A29/EXP(-$E$126))</f>
        <v>3.0991280928739252E-2</v>
      </c>
      <c r="C260" s="3">
        <f t="shared" si="246"/>
        <v>3.0991280928739252E-2</v>
      </c>
      <c r="D260" s="3">
        <f t="shared" si="246"/>
        <v>3.0991280928739252E-2</v>
      </c>
      <c r="E260" s="3">
        <f t="shared" si="246"/>
        <v>3.0991280928739252E-2</v>
      </c>
      <c r="F260" s="3">
        <f t="shared" si="246"/>
        <v>3.0991280928739252E-2</v>
      </c>
      <c r="G260" s="3">
        <f t="shared" si="246"/>
        <v>3.0991280928739252E-2</v>
      </c>
      <c r="H260" s="3">
        <f t="shared" si="246"/>
        <v>3.0991280928739252E-2</v>
      </c>
      <c r="I260" s="3">
        <f t="shared" si="246"/>
        <v>3.0991280928739252E-2</v>
      </c>
      <c r="J260" s="3">
        <f t="shared" si="246"/>
        <v>3.0991280928739252E-2</v>
      </c>
      <c r="K260" s="3">
        <f t="shared" si="246"/>
        <v>3.0991280928739252E-2</v>
      </c>
      <c r="L260" s="3">
        <f t="shared" si="246"/>
        <v>3.0991280928739252E-2</v>
      </c>
      <c r="M260" s="3">
        <f t="shared" si="246"/>
        <v>3.0991280928739248E-2</v>
      </c>
      <c r="N260" s="3">
        <f t="shared" si="246"/>
        <v>3.0991280928739231E-2</v>
      </c>
      <c r="O260" s="3">
        <f t="shared" si="246"/>
        <v>3.0991280928739044E-2</v>
      </c>
      <c r="P260" s="3">
        <f t="shared" si="246"/>
        <v>3.0991280928737153E-2</v>
      </c>
      <c r="Q260" s="3">
        <f t="shared" si="246"/>
        <v>3.0991280928718279E-2</v>
      </c>
      <c r="R260" s="3">
        <f t="shared" si="246"/>
        <v>3.0991280928529538E-2</v>
      </c>
      <c r="S260" s="3">
        <f t="shared" si="246"/>
        <v>3.0991280926642113E-2</v>
      </c>
      <c r="T260" s="3">
        <f t="shared" si="246"/>
        <v>3.0991280907767857E-2</v>
      </c>
      <c r="U260" s="3">
        <f t="shared" si="246"/>
        <v>3.0991280719025311E-2</v>
      </c>
      <c r="V260" s="3">
        <f t="shared" si="246"/>
        <v>3.0991278831599928E-2</v>
      </c>
      <c r="W260" s="3">
        <f t="shared" si="246"/>
        <v>3.0991259957352423E-2</v>
      </c>
      <c r="X260" s="3">
        <f t="shared" si="246"/>
        <v>3.0991071215509564E-2</v>
      </c>
      <c r="Y260" s="3">
        <f t="shared" si="246"/>
        <v>3.0989183860300595E-2</v>
      </c>
      <c r="Z260" s="3">
        <f t="shared" si="246"/>
        <v>3.0970316628748905E-2</v>
      </c>
      <c r="AA260" s="3">
        <f t="shared" si="246"/>
        <v>3.0782274945099577E-2</v>
      </c>
      <c r="AB260" s="3">
        <f t="shared" si="246"/>
        <v>2.8963523102821472E-2</v>
      </c>
      <c r="AC260" s="3">
        <f t="shared" si="246"/>
        <v>1.5752813766633185E-2</v>
      </c>
      <c r="AD260" s="3">
        <f t="shared" si="246"/>
        <v>3.5680065718108991E-5</v>
      </c>
      <c r="AE260" s="3">
        <f t="shared" si="246"/>
        <v>1.2679458737900681E-31</v>
      </c>
      <c r="AF260" s="3">
        <f t="shared" si="246"/>
        <v>4.0724091621355589E-296</v>
      </c>
      <c r="AG260" s="3"/>
      <c r="AH260" s="3"/>
    </row>
    <row r="261" spans="2:34" x14ac:dyDescent="0.25">
      <c r="B261" s="3">
        <f t="shared" ref="B261:AF261" si="247">$C30*EXP(-B$246/$A30/EXP(-$E$126))</f>
        <v>6.4185010590350885E-3</v>
      </c>
      <c r="C261" s="3">
        <f t="shared" si="247"/>
        <v>6.4185010590350885E-3</v>
      </c>
      <c r="D261" s="3">
        <f t="shared" si="247"/>
        <v>6.4185010590350885E-3</v>
      </c>
      <c r="E261" s="3">
        <f t="shared" si="247"/>
        <v>6.4185010590350885E-3</v>
      </c>
      <c r="F261" s="3">
        <f t="shared" si="247"/>
        <v>6.4185010590350885E-3</v>
      </c>
      <c r="G261" s="3">
        <f t="shared" si="247"/>
        <v>6.4185010590350885E-3</v>
      </c>
      <c r="H261" s="3">
        <f t="shared" si="247"/>
        <v>6.4185010590350885E-3</v>
      </c>
      <c r="I261" s="3">
        <f t="shared" si="247"/>
        <v>6.4185010590350885E-3</v>
      </c>
      <c r="J261" s="3">
        <f t="shared" si="247"/>
        <v>6.4185010590350885E-3</v>
      </c>
      <c r="K261" s="3">
        <f t="shared" si="247"/>
        <v>6.4185010590350885E-3</v>
      </c>
      <c r="L261" s="3">
        <f t="shared" si="247"/>
        <v>6.4185010590350885E-3</v>
      </c>
      <c r="M261" s="3">
        <f t="shared" si="247"/>
        <v>6.4185010590350885E-3</v>
      </c>
      <c r="N261" s="3">
        <f t="shared" si="247"/>
        <v>6.4185010590350876E-3</v>
      </c>
      <c r="O261" s="3">
        <f t="shared" si="247"/>
        <v>6.418501059035085E-3</v>
      </c>
      <c r="P261" s="3">
        <f t="shared" si="247"/>
        <v>6.4185010590350495E-3</v>
      </c>
      <c r="Q261" s="3">
        <f t="shared" si="247"/>
        <v>6.4185010590346965E-3</v>
      </c>
      <c r="R261" s="3">
        <f t="shared" si="247"/>
        <v>6.4185010590311706E-3</v>
      </c>
      <c r="S261" s="3">
        <f t="shared" si="247"/>
        <v>6.4185010589959089E-3</v>
      </c>
      <c r="T261" s="3">
        <f t="shared" si="247"/>
        <v>6.4185010586432847E-3</v>
      </c>
      <c r="U261" s="3">
        <f t="shared" si="247"/>
        <v>6.418501055117056E-3</v>
      </c>
      <c r="V261" s="3">
        <f t="shared" si="247"/>
        <v>6.4185010198547689E-3</v>
      </c>
      <c r="W261" s="3">
        <f t="shared" si="247"/>
        <v>6.4185006672319005E-3</v>
      </c>
      <c r="X261" s="3">
        <f t="shared" si="247"/>
        <v>6.4184971410042781E-3</v>
      </c>
      <c r="Y261" s="3">
        <f t="shared" si="247"/>
        <v>6.4184618788346148E-3</v>
      </c>
      <c r="Z261" s="3">
        <f t="shared" si="247"/>
        <v>6.4181092677926517E-3</v>
      </c>
      <c r="AA261" s="3">
        <f t="shared" si="247"/>
        <v>6.4145842226240538E-3</v>
      </c>
      <c r="AB261" s="3">
        <f t="shared" si="247"/>
        <v>6.3794400798232211E-3</v>
      </c>
      <c r="AC261" s="3">
        <f t="shared" si="247"/>
        <v>6.0384165824895527E-3</v>
      </c>
      <c r="AD261" s="3">
        <f t="shared" si="247"/>
        <v>3.4860062108439671E-3</v>
      </c>
      <c r="AE261" s="3">
        <f t="shared" si="247"/>
        <v>1.4334383210943248E-5</v>
      </c>
      <c r="AF261" s="3">
        <f t="shared" si="247"/>
        <v>1.9810140287536742E-29</v>
      </c>
      <c r="AG261" s="3"/>
      <c r="AH261" s="3"/>
    </row>
    <row r="262" spans="2:34" x14ac:dyDescent="0.25">
      <c r="B262" s="3">
        <f t="shared" ref="B262:AF262" si="248">$C31*EXP(-B$246/$A31/EXP(-$E$126))</f>
        <v>3.5931837599499803E-3</v>
      </c>
      <c r="C262" s="3">
        <f t="shared" si="248"/>
        <v>3.5931837599499803E-3</v>
      </c>
      <c r="D262" s="3">
        <f t="shared" si="248"/>
        <v>3.5931837599499803E-3</v>
      </c>
      <c r="E262" s="3">
        <f t="shared" si="248"/>
        <v>3.5931837599499803E-3</v>
      </c>
      <c r="F262" s="3">
        <f t="shared" si="248"/>
        <v>3.5931837599499803E-3</v>
      </c>
      <c r="G262" s="3">
        <f t="shared" si="248"/>
        <v>3.5931837599499803E-3</v>
      </c>
      <c r="H262" s="3">
        <f t="shared" si="248"/>
        <v>3.5931837599499803E-3</v>
      </c>
      <c r="I262" s="3">
        <f t="shared" si="248"/>
        <v>3.5931837599499803E-3</v>
      </c>
      <c r="J262" s="3">
        <f t="shared" si="248"/>
        <v>3.5931837599499803E-3</v>
      </c>
      <c r="K262" s="3">
        <f t="shared" si="248"/>
        <v>3.5931837599499803E-3</v>
      </c>
      <c r="L262" s="3">
        <f t="shared" si="248"/>
        <v>3.5931837599499803E-3</v>
      </c>
      <c r="M262" s="3">
        <f t="shared" si="248"/>
        <v>3.5931837599499803E-3</v>
      </c>
      <c r="N262" s="3">
        <f t="shared" si="248"/>
        <v>3.5931837599499803E-3</v>
      </c>
      <c r="O262" s="3">
        <f t="shared" si="248"/>
        <v>3.5931837599499803E-3</v>
      </c>
      <c r="P262" s="3">
        <f t="shared" si="248"/>
        <v>3.5931837599499782E-3</v>
      </c>
      <c r="Q262" s="3">
        <f t="shared" si="248"/>
        <v>3.5931837599499604E-3</v>
      </c>
      <c r="R262" s="3">
        <f t="shared" si="248"/>
        <v>3.5931837599497826E-3</v>
      </c>
      <c r="S262" s="3">
        <f t="shared" si="248"/>
        <v>3.5931837599480019E-3</v>
      </c>
      <c r="T262" s="3">
        <f t="shared" si="248"/>
        <v>3.5931837599301941E-3</v>
      </c>
      <c r="U262" s="3">
        <f t="shared" si="248"/>
        <v>3.5931837597521195E-3</v>
      </c>
      <c r="V262" s="3">
        <f t="shared" si="248"/>
        <v>3.5931837579713695E-3</v>
      </c>
      <c r="W262" s="3">
        <f t="shared" si="248"/>
        <v>3.5931837401638723E-3</v>
      </c>
      <c r="X262" s="3">
        <f t="shared" si="248"/>
        <v>3.593183562088903E-3</v>
      </c>
      <c r="Y262" s="3">
        <f t="shared" si="248"/>
        <v>3.5931817813396982E-3</v>
      </c>
      <c r="Z262" s="3">
        <f t="shared" si="248"/>
        <v>3.5931639738961867E-3</v>
      </c>
      <c r="AA262" s="3">
        <f t="shared" si="248"/>
        <v>3.5929859043148543E-3</v>
      </c>
      <c r="AB262" s="3">
        <f t="shared" si="248"/>
        <v>3.5912056937906596E-3</v>
      </c>
      <c r="AC262" s="3">
        <f t="shared" si="248"/>
        <v>3.573452028592486E-3</v>
      </c>
      <c r="AD262" s="3">
        <f t="shared" si="248"/>
        <v>3.4006717223043458E-3</v>
      </c>
      <c r="AE262" s="3">
        <f t="shared" si="248"/>
        <v>2.0717256733865457E-3</v>
      </c>
      <c r="AF262" s="3">
        <f t="shared" si="248"/>
        <v>1.4588398781681223E-5</v>
      </c>
      <c r="AG262" s="3"/>
      <c r="AH262" s="3"/>
    </row>
    <row r="263" spans="2:34" x14ac:dyDescent="0.25">
      <c r="B263" s="3">
        <f t="shared" ref="B263:AF263" si="249">$C32*EXP(-B$246/$A32/EXP(-$E$126))</f>
        <v>1.3759911447272116E-3</v>
      </c>
      <c r="C263" s="3">
        <f t="shared" si="249"/>
        <v>1.3759911447272116E-3</v>
      </c>
      <c r="D263" s="3">
        <f t="shared" si="249"/>
        <v>1.3759911447272116E-3</v>
      </c>
      <c r="E263" s="3">
        <f t="shared" si="249"/>
        <v>1.3759911447272116E-3</v>
      </c>
      <c r="F263" s="3">
        <f t="shared" si="249"/>
        <v>1.3759911447272116E-3</v>
      </c>
      <c r="G263" s="3">
        <f t="shared" si="249"/>
        <v>1.3759911447272116E-3</v>
      </c>
      <c r="H263" s="3">
        <f t="shared" si="249"/>
        <v>1.3759911447272116E-3</v>
      </c>
      <c r="I263" s="3">
        <f t="shared" si="249"/>
        <v>1.3759911447272116E-3</v>
      </c>
      <c r="J263" s="3">
        <f t="shared" si="249"/>
        <v>1.3759911447272116E-3</v>
      </c>
      <c r="K263" s="3">
        <f t="shared" si="249"/>
        <v>1.3759911447272116E-3</v>
      </c>
      <c r="L263" s="3">
        <f t="shared" si="249"/>
        <v>1.3759911447272116E-3</v>
      </c>
      <c r="M263" s="3">
        <f t="shared" si="249"/>
        <v>1.3759911447272116E-3</v>
      </c>
      <c r="N263" s="3">
        <f t="shared" si="249"/>
        <v>1.3759911447272116E-3</v>
      </c>
      <c r="O263" s="3">
        <f t="shared" si="249"/>
        <v>1.3759911447272116E-3</v>
      </c>
      <c r="P263" s="3">
        <f t="shared" si="249"/>
        <v>1.3759911447272116E-3</v>
      </c>
      <c r="Q263" s="3">
        <f t="shared" si="249"/>
        <v>1.3759911447272109E-3</v>
      </c>
      <c r="R263" s="3">
        <f t="shared" si="249"/>
        <v>1.3759911447272046E-3</v>
      </c>
      <c r="S263" s="3">
        <f t="shared" si="249"/>
        <v>1.3759911447271433E-3</v>
      </c>
      <c r="T263" s="3">
        <f t="shared" si="249"/>
        <v>1.3759911447265281E-3</v>
      </c>
      <c r="U263" s="3">
        <f t="shared" si="249"/>
        <v>1.3759911447203765E-3</v>
      </c>
      <c r="V263" s="3">
        <f t="shared" si="249"/>
        <v>1.3759911446588609E-3</v>
      </c>
      <c r="W263" s="3">
        <f t="shared" si="249"/>
        <v>1.3759911440437043E-3</v>
      </c>
      <c r="X263" s="3">
        <f t="shared" si="249"/>
        <v>1.375991137892138E-3</v>
      </c>
      <c r="Y263" s="3">
        <f t="shared" si="249"/>
        <v>1.3759910763764792E-3</v>
      </c>
      <c r="Z263" s="3">
        <f t="shared" si="249"/>
        <v>1.3759904612200408E-3</v>
      </c>
      <c r="AA263" s="3">
        <f t="shared" si="249"/>
        <v>1.3759843096707832E-3</v>
      </c>
      <c r="AB263" s="3">
        <f t="shared" si="249"/>
        <v>1.3759227956907586E-3</v>
      </c>
      <c r="AC263" s="3">
        <f t="shared" si="249"/>
        <v>1.3753078071207445E-3</v>
      </c>
      <c r="AD263" s="3">
        <f t="shared" si="249"/>
        <v>1.3691730194580972E-3</v>
      </c>
      <c r="AE263" s="3">
        <f t="shared" si="249"/>
        <v>1.3093102681787355E-3</v>
      </c>
      <c r="AF263" s="3">
        <f t="shared" si="249"/>
        <v>8.3730751160129813E-4</v>
      </c>
      <c r="AG263" s="3"/>
      <c r="AH263" s="3"/>
    </row>
    <row r="264" spans="2:34" x14ac:dyDescent="0.25">
      <c r="B264" s="3">
        <f t="shared" ref="B264:AF264" si="250">$C33*EXP(-B$246/$A33/EXP(-$E$126))</f>
        <v>1.7729334570218164E-4</v>
      </c>
      <c r="C264" s="3">
        <f t="shared" si="250"/>
        <v>1.7729334570218164E-4</v>
      </c>
      <c r="D264" s="3">
        <f t="shared" si="250"/>
        <v>1.7729334570218164E-4</v>
      </c>
      <c r="E264" s="3">
        <f t="shared" si="250"/>
        <v>1.7729334570218164E-4</v>
      </c>
      <c r="F264" s="3">
        <f t="shared" si="250"/>
        <v>1.7729334570218164E-4</v>
      </c>
      <c r="G264" s="3">
        <f t="shared" si="250"/>
        <v>1.7729334570218164E-4</v>
      </c>
      <c r="H264" s="3">
        <f t="shared" si="250"/>
        <v>1.7729334570218164E-4</v>
      </c>
      <c r="I264" s="3">
        <f t="shared" si="250"/>
        <v>1.7729334570218164E-4</v>
      </c>
      <c r="J264" s="3">
        <f t="shared" si="250"/>
        <v>1.7729334570218164E-4</v>
      </c>
      <c r="K264" s="3">
        <f t="shared" si="250"/>
        <v>1.7729334570218164E-4</v>
      </c>
      <c r="L264" s="3">
        <f t="shared" si="250"/>
        <v>1.7729334570218164E-4</v>
      </c>
      <c r="M264" s="3">
        <f t="shared" si="250"/>
        <v>1.7729334570218164E-4</v>
      </c>
      <c r="N264" s="3">
        <f t="shared" si="250"/>
        <v>1.7729334570218164E-4</v>
      </c>
      <c r="O264" s="3">
        <f t="shared" si="250"/>
        <v>1.7729334570218164E-4</v>
      </c>
      <c r="P264" s="3">
        <f t="shared" si="250"/>
        <v>1.7729334570218164E-4</v>
      </c>
      <c r="Q264" s="3">
        <f t="shared" si="250"/>
        <v>1.7729334570218164E-4</v>
      </c>
      <c r="R264" s="3">
        <f t="shared" si="250"/>
        <v>1.7729334570218156E-4</v>
      </c>
      <c r="S264" s="3">
        <f t="shared" si="250"/>
        <v>1.7729334570218086E-4</v>
      </c>
      <c r="T264" s="3">
        <f t="shared" si="250"/>
        <v>1.772933457021737E-4</v>
      </c>
      <c r="U264" s="3">
        <f t="shared" si="250"/>
        <v>1.772933457021022E-4</v>
      </c>
      <c r="V264" s="3">
        <f t="shared" si="250"/>
        <v>1.7729334570138719E-4</v>
      </c>
      <c r="W264" s="3">
        <f t="shared" si="250"/>
        <v>1.7729334569423715E-4</v>
      </c>
      <c r="X264" s="3">
        <f t="shared" si="250"/>
        <v>1.7729334562273665E-4</v>
      </c>
      <c r="Y264" s="3">
        <f t="shared" si="250"/>
        <v>1.7729334490773163E-4</v>
      </c>
      <c r="Z264" s="3">
        <f t="shared" si="250"/>
        <v>1.7729333775768179E-4</v>
      </c>
      <c r="AA264" s="3">
        <f t="shared" si="250"/>
        <v>1.772932662571992E-4</v>
      </c>
      <c r="AB264" s="3">
        <f t="shared" si="250"/>
        <v>1.7729255125395937E-4</v>
      </c>
      <c r="AC264" s="3">
        <f t="shared" si="250"/>
        <v>1.7728540138015276E-4</v>
      </c>
      <c r="AD264" s="3">
        <f t="shared" si="250"/>
        <v>1.7721391849891818E-4</v>
      </c>
      <c r="AE264" s="3">
        <f t="shared" si="250"/>
        <v>1.7650067300616461E-4</v>
      </c>
      <c r="AF264" s="3">
        <f t="shared" si="250"/>
        <v>1.6952421272507169E-4</v>
      </c>
      <c r="AG264" s="3"/>
      <c r="AH264" s="3"/>
    </row>
    <row r="265" spans="2:34" x14ac:dyDescent="0.25">
      <c r="B265" s="3">
        <f t="shared" ref="B265:AF265" si="251">$C34*EXP(-B$246/$A34/EXP(-$E$126))</f>
        <v>4.3065005159432222E-4</v>
      </c>
      <c r="C265" s="3">
        <f t="shared" si="251"/>
        <v>4.3065005159432222E-4</v>
      </c>
      <c r="D265" s="3">
        <f t="shared" si="251"/>
        <v>4.3065005159432222E-4</v>
      </c>
      <c r="E265" s="3">
        <f t="shared" si="251"/>
        <v>4.3065005159432222E-4</v>
      </c>
      <c r="F265" s="3">
        <f t="shared" si="251"/>
        <v>4.3065005159432222E-4</v>
      </c>
      <c r="G265" s="3">
        <f t="shared" si="251"/>
        <v>4.3065005159432222E-4</v>
      </c>
      <c r="H265" s="3">
        <f t="shared" si="251"/>
        <v>4.3065005159432222E-4</v>
      </c>
      <c r="I265" s="3">
        <f t="shared" si="251"/>
        <v>4.3065005159432222E-4</v>
      </c>
      <c r="J265" s="3">
        <f t="shared" si="251"/>
        <v>4.3065005159432222E-4</v>
      </c>
      <c r="K265" s="3">
        <f t="shared" si="251"/>
        <v>4.3065005159432222E-4</v>
      </c>
      <c r="L265" s="3">
        <f t="shared" si="251"/>
        <v>4.3065005159432222E-4</v>
      </c>
      <c r="M265" s="3">
        <f t="shared" si="251"/>
        <v>4.3065005159432222E-4</v>
      </c>
      <c r="N265" s="3">
        <f t="shared" si="251"/>
        <v>4.3065005159432222E-4</v>
      </c>
      <c r="O265" s="3">
        <f t="shared" si="251"/>
        <v>4.3065005159432222E-4</v>
      </c>
      <c r="P265" s="3">
        <f t="shared" si="251"/>
        <v>4.3065005159432222E-4</v>
      </c>
      <c r="Q265" s="3">
        <f t="shared" si="251"/>
        <v>4.3065005159432222E-4</v>
      </c>
      <c r="R265" s="3">
        <f t="shared" si="251"/>
        <v>4.3065005159432222E-4</v>
      </c>
      <c r="S265" s="3">
        <f t="shared" si="251"/>
        <v>4.30650051594322E-4</v>
      </c>
      <c r="T265" s="3">
        <f t="shared" si="251"/>
        <v>4.3065005159432048E-4</v>
      </c>
      <c r="U265" s="3">
        <f t="shared" si="251"/>
        <v>4.3065005159430482E-4</v>
      </c>
      <c r="V265" s="3">
        <f t="shared" si="251"/>
        <v>4.3065005159414815E-4</v>
      </c>
      <c r="W265" s="3">
        <f t="shared" si="251"/>
        <v>4.3065005159258142E-4</v>
      </c>
      <c r="X265" s="3">
        <f t="shared" si="251"/>
        <v>4.3065005157691438E-4</v>
      </c>
      <c r="Y265" s="3">
        <f t="shared" si="251"/>
        <v>4.3065005142024364E-4</v>
      </c>
      <c r="Z265" s="3">
        <f t="shared" si="251"/>
        <v>4.3065004985353686E-4</v>
      </c>
      <c r="AA265" s="3">
        <f t="shared" si="251"/>
        <v>4.3065003418646879E-4</v>
      </c>
      <c r="AB265" s="3">
        <f t="shared" si="251"/>
        <v>4.3064987751581984E-4</v>
      </c>
      <c r="AC265" s="3">
        <f t="shared" si="251"/>
        <v>4.3064831081246518E-4</v>
      </c>
      <c r="AD265" s="3">
        <f t="shared" si="251"/>
        <v>4.3063264409239635E-4</v>
      </c>
      <c r="AE265" s="3">
        <f t="shared" si="251"/>
        <v>4.3047600823529651E-4</v>
      </c>
      <c r="AF265" s="3">
        <f t="shared" si="251"/>
        <v>4.2891277980816985E-4</v>
      </c>
      <c r="AG265" s="3"/>
      <c r="AH265" s="3"/>
    </row>
    <row r="266" spans="2:34" x14ac:dyDescent="0.25">
      <c r="B266" s="3">
        <f t="shared" ref="B266:AF266" si="252">$C35*EXP(-B$246/$A35/EXP(-$E$126))</f>
        <v>5.9717869572018282E-4</v>
      </c>
      <c r="C266" s="3">
        <f t="shared" si="252"/>
        <v>5.9717869572018282E-4</v>
      </c>
      <c r="D266" s="3">
        <f t="shared" si="252"/>
        <v>5.9717869572018282E-4</v>
      </c>
      <c r="E266" s="3">
        <f t="shared" si="252"/>
        <v>5.9717869572018282E-4</v>
      </c>
      <c r="F266" s="3">
        <f t="shared" si="252"/>
        <v>5.9717869572018282E-4</v>
      </c>
      <c r="G266" s="3">
        <f t="shared" si="252"/>
        <v>5.9717869572018282E-4</v>
      </c>
      <c r="H266" s="3">
        <f t="shared" si="252"/>
        <v>5.9717869572018282E-4</v>
      </c>
      <c r="I266" s="3">
        <f t="shared" si="252"/>
        <v>5.9717869572018282E-4</v>
      </c>
      <c r="J266" s="3">
        <f t="shared" si="252"/>
        <v>5.9717869572018282E-4</v>
      </c>
      <c r="K266" s="3">
        <f t="shared" si="252"/>
        <v>5.9717869572018282E-4</v>
      </c>
      <c r="L266" s="3">
        <f t="shared" si="252"/>
        <v>5.9717869572018282E-4</v>
      </c>
      <c r="M266" s="3">
        <f t="shared" si="252"/>
        <v>5.9717869572018282E-4</v>
      </c>
      <c r="N266" s="3">
        <f t="shared" si="252"/>
        <v>5.9717869572018282E-4</v>
      </c>
      <c r="O266" s="3">
        <f t="shared" si="252"/>
        <v>5.9717869572018282E-4</v>
      </c>
      <c r="P266" s="3">
        <f t="shared" si="252"/>
        <v>5.9717869572018282E-4</v>
      </c>
      <c r="Q266" s="3">
        <f t="shared" si="252"/>
        <v>5.9717869572018282E-4</v>
      </c>
      <c r="R266" s="3">
        <f t="shared" si="252"/>
        <v>5.9717869572018282E-4</v>
      </c>
      <c r="S266" s="3">
        <f t="shared" si="252"/>
        <v>5.9717869572018282E-4</v>
      </c>
      <c r="T266" s="3">
        <f t="shared" si="252"/>
        <v>5.971786957201826E-4</v>
      </c>
      <c r="U266" s="3">
        <f t="shared" si="252"/>
        <v>5.9717869572018065E-4</v>
      </c>
      <c r="V266" s="3">
        <f t="shared" si="252"/>
        <v>5.9717869572016103E-4</v>
      </c>
      <c r="W266" s="3">
        <f t="shared" si="252"/>
        <v>5.9717869571996511E-4</v>
      </c>
      <c r="X266" s="3">
        <f t="shared" si="252"/>
        <v>5.9717869571800531E-4</v>
      </c>
      <c r="Y266" s="3">
        <f t="shared" si="252"/>
        <v>5.9717869569840716E-4</v>
      </c>
      <c r="Z266" s="3">
        <f t="shared" si="252"/>
        <v>5.9717869550242602E-4</v>
      </c>
      <c r="AA266" s="3">
        <f t="shared" si="252"/>
        <v>5.9717869354261534E-4</v>
      </c>
      <c r="AB266" s="3">
        <f t="shared" si="252"/>
        <v>5.9717867394450835E-4</v>
      </c>
      <c r="AC266" s="3">
        <f t="shared" si="252"/>
        <v>5.9717847796347421E-4</v>
      </c>
      <c r="AD266" s="3">
        <f t="shared" si="252"/>
        <v>5.9717651815666996E-4</v>
      </c>
      <c r="AE266" s="3">
        <f t="shared" si="252"/>
        <v>5.9715692044236442E-4</v>
      </c>
      <c r="AF266" s="3">
        <f t="shared" si="252"/>
        <v>5.969609786687385E-4</v>
      </c>
      <c r="AG266" s="3"/>
      <c r="AH266" s="3"/>
    </row>
    <row r="267" spans="2:34" x14ac:dyDescent="0.25">
      <c r="B267" s="3">
        <f t="shared" ref="B267:AF267" si="253">$C36*EXP(-B$246/$A36/EXP(-$E$126))</f>
        <v>5.2966364389967348E-4</v>
      </c>
      <c r="C267" s="3">
        <f t="shared" si="253"/>
        <v>5.2966364389967348E-4</v>
      </c>
      <c r="D267" s="3">
        <f t="shared" si="253"/>
        <v>5.2966364389967348E-4</v>
      </c>
      <c r="E267" s="3">
        <f t="shared" si="253"/>
        <v>5.2966364389967348E-4</v>
      </c>
      <c r="F267" s="3">
        <f t="shared" si="253"/>
        <v>5.2966364389967348E-4</v>
      </c>
      <c r="G267" s="3">
        <f t="shared" si="253"/>
        <v>5.2966364389967348E-4</v>
      </c>
      <c r="H267" s="3">
        <f t="shared" si="253"/>
        <v>5.2966364389967348E-4</v>
      </c>
      <c r="I267" s="3">
        <f t="shared" si="253"/>
        <v>5.2966364389967348E-4</v>
      </c>
      <c r="J267" s="3">
        <f t="shared" si="253"/>
        <v>5.2966364389967348E-4</v>
      </c>
      <c r="K267" s="3">
        <f t="shared" si="253"/>
        <v>5.2966364389967348E-4</v>
      </c>
      <c r="L267" s="3">
        <f t="shared" si="253"/>
        <v>5.2966364389967348E-4</v>
      </c>
      <c r="M267" s="3">
        <f t="shared" si="253"/>
        <v>5.2966364389967348E-4</v>
      </c>
      <c r="N267" s="3">
        <f t="shared" si="253"/>
        <v>5.2966364389967348E-4</v>
      </c>
      <c r="O267" s="3">
        <f t="shared" si="253"/>
        <v>5.2966364389967348E-4</v>
      </c>
      <c r="P267" s="3">
        <f t="shared" si="253"/>
        <v>5.2966364389967348E-4</v>
      </c>
      <c r="Q267" s="3">
        <f t="shared" si="253"/>
        <v>5.2966364389967348E-4</v>
      </c>
      <c r="R267" s="3">
        <f t="shared" si="253"/>
        <v>5.2966364389967348E-4</v>
      </c>
      <c r="S267" s="3">
        <f t="shared" si="253"/>
        <v>5.2966364389967348E-4</v>
      </c>
      <c r="T267" s="3">
        <f t="shared" si="253"/>
        <v>5.2966364389967348E-4</v>
      </c>
      <c r="U267" s="3">
        <f t="shared" si="253"/>
        <v>5.2966364389967326E-4</v>
      </c>
      <c r="V267" s="3">
        <f t="shared" si="253"/>
        <v>5.2966364389967174E-4</v>
      </c>
      <c r="W267" s="3">
        <f t="shared" si="253"/>
        <v>5.2966364389965602E-4</v>
      </c>
      <c r="X267" s="3">
        <f t="shared" si="253"/>
        <v>5.2966364389949925E-4</v>
      </c>
      <c r="Y267" s="3">
        <f t="shared" si="253"/>
        <v>5.2966364389793116E-4</v>
      </c>
      <c r="Z267" s="3">
        <f t="shared" si="253"/>
        <v>5.2966364388225078E-4</v>
      </c>
      <c r="AA267" s="3">
        <f t="shared" si="253"/>
        <v>5.2966364372544707E-4</v>
      </c>
      <c r="AB267" s="3">
        <f t="shared" si="253"/>
        <v>5.2966364215740905E-4</v>
      </c>
      <c r="AC267" s="3">
        <f t="shared" si="253"/>
        <v>5.2966362647702942E-4</v>
      </c>
      <c r="AD267" s="3">
        <f t="shared" si="253"/>
        <v>5.296634696732585E-4</v>
      </c>
      <c r="AE267" s="3">
        <f t="shared" si="253"/>
        <v>5.2966190163810279E-4</v>
      </c>
      <c r="AF267" s="3">
        <f t="shared" si="253"/>
        <v>5.2964622154185684E-4</v>
      </c>
      <c r="AG267" s="3"/>
      <c r="AH267" s="3"/>
    </row>
    <row r="268" spans="2:34" x14ac:dyDescent="0.25">
      <c r="B268" s="3">
        <f t="shared" ref="B268:AF268" si="254">$C37*EXP(-B$246/$A37/EXP(-$E$126))</f>
        <v>3.7946363748828321E-4</v>
      </c>
      <c r="C268" s="3">
        <f t="shared" si="254"/>
        <v>3.7946363748828321E-4</v>
      </c>
      <c r="D268" s="3">
        <f t="shared" si="254"/>
        <v>3.7946363748828321E-4</v>
      </c>
      <c r="E268" s="3">
        <f t="shared" si="254"/>
        <v>3.7946363748828321E-4</v>
      </c>
      <c r="F268" s="3">
        <f t="shared" si="254"/>
        <v>3.7946363748828321E-4</v>
      </c>
      <c r="G268" s="3">
        <f t="shared" si="254"/>
        <v>3.7946363748828321E-4</v>
      </c>
      <c r="H268" s="3">
        <f t="shared" si="254"/>
        <v>3.7946363748828321E-4</v>
      </c>
      <c r="I268" s="3">
        <f t="shared" si="254"/>
        <v>3.7946363748828321E-4</v>
      </c>
      <c r="J268" s="3">
        <f t="shared" si="254"/>
        <v>3.7946363748828321E-4</v>
      </c>
      <c r="K268" s="3">
        <f t="shared" si="254"/>
        <v>3.7946363748828321E-4</v>
      </c>
      <c r="L268" s="3">
        <f t="shared" si="254"/>
        <v>3.7946363748828321E-4</v>
      </c>
      <c r="M268" s="3">
        <f t="shared" si="254"/>
        <v>3.7946363748828321E-4</v>
      </c>
      <c r="N268" s="3">
        <f t="shared" si="254"/>
        <v>3.7946363748828321E-4</v>
      </c>
      <c r="O268" s="3">
        <f t="shared" si="254"/>
        <v>3.7946363748828321E-4</v>
      </c>
      <c r="P268" s="3">
        <f t="shared" si="254"/>
        <v>3.7946363748828321E-4</v>
      </c>
      <c r="Q268" s="3">
        <f t="shared" si="254"/>
        <v>3.7946363748828321E-4</v>
      </c>
      <c r="R268" s="3">
        <f t="shared" si="254"/>
        <v>3.7946363748828321E-4</v>
      </c>
      <c r="S268" s="3">
        <f t="shared" si="254"/>
        <v>3.7946363748828321E-4</v>
      </c>
      <c r="T268" s="3">
        <f t="shared" si="254"/>
        <v>3.7946363748828321E-4</v>
      </c>
      <c r="U268" s="3">
        <f t="shared" si="254"/>
        <v>3.7946363748828321E-4</v>
      </c>
      <c r="V268" s="3">
        <f t="shared" si="254"/>
        <v>3.794636374882831E-4</v>
      </c>
      <c r="W268" s="3">
        <f t="shared" si="254"/>
        <v>3.7946363748828207E-4</v>
      </c>
      <c r="X268" s="3">
        <f t="shared" si="254"/>
        <v>3.7946363748827199E-4</v>
      </c>
      <c r="Y268" s="3">
        <f t="shared" si="254"/>
        <v>3.7946363748817062E-4</v>
      </c>
      <c r="Z268" s="3">
        <f t="shared" si="254"/>
        <v>3.7946363748715721E-4</v>
      </c>
      <c r="AA268" s="3">
        <f t="shared" si="254"/>
        <v>3.7946363747702339E-4</v>
      </c>
      <c r="AB268" s="3">
        <f t="shared" si="254"/>
        <v>3.7946363737568524E-4</v>
      </c>
      <c r="AC268" s="3">
        <f t="shared" si="254"/>
        <v>3.7946363636230326E-4</v>
      </c>
      <c r="AD268" s="3">
        <f t="shared" si="254"/>
        <v>3.794636262284837E-4</v>
      </c>
      <c r="AE268" s="3">
        <f t="shared" si="254"/>
        <v>3.7946352489030312E-4</v>
      </c>
      <c r="AF268" s="3">
        <f t="shared" si="254"/>
        <v>3.7946251150998585E-4</v>
      </c>
      <c r="AG268" s="3"/>
      <c r="AH268" s="3"/>
    </row>
    <row r="269" spans="2:34" x14ac:dyDescent="0.25">
      <c r="B269" s="3">
        <f t="shared" ref="B269:AF269" si="255">$C38*EXP(-B$246/$A38/EXP(-$E$126))</f>
        <v>2.9006625777866605E-4</v>
      </c>
      <c r="C269" s="3">
        <f t="shared" si="255"/>
        <v>2.9006625777866605E-4</v>
      </c>
      <c r="D269" s="3">
        <f t="shared" si="255"/>
        <v>2.9006625777866605E-4</v>
      </c>
      <c r="E269" s="3">
        <f t="shared" si="255"/>
        <v>2.9006625777866605E-4</v>
      </c>
      <c r="F269" s="3">
        <f t="shared" si="255"/>
        <v>2.9006625777866605E-4</v>
      </c>
      <c r="G269" s="3">
        <f t="shared" si="255"/>
        <v>2.9006625777866605E-4</v>
      </c>
      <c r="H269" s="3">
        <f t="shared" si="255"/>
        <v>2.9006625777866605E-4</v>
      </c>
      <c r="I269" s="3">
        <f t="shared" si="255"/>
        <v>2.9006625777866605E-4</v>
      </c>
      <c r="J269" s="3">
        <f t="shared" si="255"/>
        <v>2.9006625777866605E-4</v>
      </c>
      <c r="K269" s="3">
        <f t="shared" si="255"/>
        <v>2.9006625777866605E-4</v>
      </c>
      <c r="L269" s="3">
        <f t="shared" si="255"/>
        <v>2.9006625777866605E-4</v>
      </c>
      <c r="M269" s="3">
        <f t="shared" si="255"/>
        <v>2.9006625777866605E-4</v>
      </c>
      <c r="N269" s="3">
        <f t="shared" si="255"/>
        <v>2.9006625777866605E-4</v>
      </c>
      <c r="O269" s="3">
        <f t="shared" si="255"/>
        <v>2.9006625777866605E-4</v>
      </c>
      <c r="P269" s="3">
        <f t="shared" si="255"/>
        <v>2.9006625777866605E-4</v>
      </c>
      <c r="Q269" s="3">
        <f t="shared" si="255"/>
        <v>2.9006625777866605E-4</v>
      </c>
      <c r="R269" s="3">
        <f t="shared" si="255"/>
        <v>2.9006625777866605E-4</v>
      </c>
      <c r="S269" s="3">
        <f t="shared" si="255"/>
        <v>2.9006625777866605E-4</v>
      </c>
      <c r="T269" s="3">
        <f t="shared" si="255"/>
        <v>2.9006625777866605E-4</v>
      </c>
      <c r="U269" s="3">
        <f t="shared" si="255"/>
        <v>2.9006625777866605E-4</v>
      </c>
      <c r="V269" s="3">
        <f t="shared" si="255"/>
        <v>2.9006625777866605E-4</v>
      </c>
      <c r="W269" s="3">
        <f t="shared" si="255"/>
        <v>2.9006625777866599E-4</v>
      </c>
      <c r="X269" s="3">
        <f t="shared" si="255"/>
        <v>2.9006625777866529E-4</v>
      </c>
      <c r="Y269" s="3">
        <f t="shared" si="255"/>
        <v>2.9006625777865829E-4</v>
      </c>
      <c r="Z269" s="3">
        <f t="shared" si="255"/>
        <v>2.9006625777858842E-4</v>
      </c>
      <c r="AA269" s="3">
        <f t="shared" si="255"/>
        <v>2.9006625777788959E-4</v>
      </c>
      <c r="AB269" s="3">
        <f t="shared" si="255"/>
        <v>2.9006625777090169E-4</v>
      </c>
      <c r="AC269" s="3">
        <f t="shared" si="255"/>
        <v>2.900662577010227E-4</v>
      </c>
      <c r="AD269" s="3">
        <f t="shared" si="255"/>
        <v>2.9006625700223244E-4</v>
      </c>
      <c r="AE269" s="3">
        <f t="shared" si="255"/>
        <v>2.9006625001433048E-4</v>
      </c>
      <c r="AF269" s="3">
        <f t="shared" si="255"/>
        <v>2.9006618013531992E-4</v>
      </c>
      <c r="AG269" s="3"/>
      <c r="AH269" s="3"/>
    </row>
    <row r="270" spans="2:34" x14ac:dyDescent="0.25">
      <c r="B270" s="3">
        <f t="shared" ref="B270:AF270" si="256">$C39*EXP(-B$246/$A39/EXP(-$E$126))</f>
        <v>0</v>
      </c>
      <c r="C270" s="3">
        <f t="shared" si="256"/>
        <v>0</v>
      </c>
      <c r="D270" s="3">
        <f t="shared" si="256"/>
        <v>0</v>
      </c>
      <c r="E270" s="3">
        <f t="shared" si="256"/>
        <v>0</v>
      </c>
      <c r="F270" s="3">
        <f t="shared" si="256"/>
        <v>0</v>
      </c>
      <c r="G270" s="3">
        <f t="shared" si="256"/>
        <v>0</v>
      </c>
      <c r="H270" s="3">
        <f t="shared" si="256"/>
        <v>0</v>
      </c>
      <c r="I270" s="3">
        <f t="shared" si="256"/>
        <v>0</v>
      </c>
      <c r="J270" s="3">
        <f t="shared" si="256"/>
        <v>0</v>
      </c>
      <c r="K270" s="3">
        <f t="shared" si="256"/>
        <v>0</v>
      </c>
      <c r="L270" s="3">
        <f t="shared" si="256"/>
        <v>0</v>
      </c>
      <c r="M270" s="3">
        <f t="shared" si="256"/>
        <v>0</v>
      </c>
      <c r="N270" s="3">
        <f t="shared" si="256"/>
        <v>0</v>
      </c>
      <c r="O270" s="3">
        <f t="shared" si="256"/>
        <v>0</v>
      </c>
      <c r="P270" s="3">
        <f t="shared" si="256"/>
        <v>0</v>
      </c>
      <c r="Q270" s="3">
        <f t="shared" si="256"/>
        <v>0</v>
      </c>
      <c r="R270" s="3">
        <f t="shared" si="256"/>
        <v>0</v>
      </c>
      <c r="S270" s="3">
        <f t="shared" si="256"/>
        <v>0</v>
      </c>
      <c r="T270" s="3">
        <f t="shared" si="256"/>
        <v>0</v>
      </c>
      <c r="U270" s="3">
        <f t="shared" si="256"/>
        <v>0</v>
      </c>
      <c r="V270" s="3">
        <f t="shared" si="256"/>
        <v>0</v>
      </c>
      <c r="W270" s="3">
        <f t="shared" si="256"/>
        <v>0</v>
      </c>
      <c r="X270" s="3">
        <f t="shared" si="256"/>
        <v>0</v>
      </c>
      <c r="Y270" s="3">
        <f t="shared" si="256"/>
        <v>0</v>
      </c>
      <c r="Z270" s="3">
        <f t="shared" si="256"/>
        <v>0</v>
      </c>
      <c r="AA270" s="3">
        <f t="shared" si="256"/>
        <v>0</v>
      </c>
      <c r="AB270" s="3">
        <f t="shared" si="256"/>
        <v>0</v>
      </c>
      <c r="AC270" s="3">
        <f t="shared" si="256"/>
        <v>0</v>
      </c>
      <c r="AD270" s="3">
        <f t="shared" si="256"/>
        <v>0</v>
      </c>
      <c r="AE270" s="3">
        <f t="shared" si="256"/>
        <v>0</v>
      </c>
      <c r="AF270" s="3">
        <f t="shared" si="256"/>
        <v>0</v>
      </c>
      <c r="AG270" s="3"/>
      <c r="AH270" s="3"/>
    </row>
    <row r="271" spans="2:34" x14ac:dyDescent="0.25">
      <c r="B271" s="3">
        <f t="shared" ref="B271:AF271" si="257">$C40*EXP(-B$246/$A40/EXP(-$E$126))</f>
        <v>3.0334619433978663E-4</v>
      </c>
      <c r="C271" s="3">
        <f t="shared" si="257"/>
        <v>3.0334619433978663E-4</v>
      </c>
      <c r="D271" s="3">
        <f t="shared" si="257"/>
        <v>3.0334619433978663E-4</v>
      </c>
      <c r="E271" s="3">
        <f t="shared" si="257"/>
        <v>3.0334619433978663E-4</v>
      </c>
      <c r="F271" s="3">
        <f t="shared" si="257"/>
        <v>3.0334619433978663E-4</v>
      </c>
      <c r="G271" s="3">
        <f t="shared" si="257"/>
        <v>3.0334619433978663E-4</v>
      </c>
      <c r="H271" s="3">
        <f t="shared" si="257"/>
        <v>3.0334619433978663E-4</v>
      </c>
      <c r="I271" s="3">
        <f t="shared" si="257"/>
        <v>3.0334619433978663E-4</v>
      </c>
      <c r="J271" s="3">
        <f t="shared" si="257"/>
        <v>3.0334619433978663E-4</v>
      </c>
      <c r="K271" s="3">
        <f t="shared" si="257"/>
        <v>3.0334619433978663E-4</v>
      </c>
      <c r="L271" s="3">
        <f t="shared" si="257"/>
        <v>3.0334619433978663E-4</v>
      </c>
      <c r="M271" s="3">
        <f t="shared" si="257"/>
        <v>3.0334619433978663E-4</v>
      </c>
      <c r="N271" s="3">
        <f t="shared" si="257"/>
        <v>3.0334619433978663E-4</v>
      </c>
      <c r="O271" s="3">
        <f t="shared" si="257"/>
        <v>3.0334619433978663E-4</v>
      </c>
      <c r="P271" s="3">
        <f t="shared" si="257"/>
        <v>3.0334619433978663E-4</v>
      </c>
      <c r="Q271" s="3">
        <f t="shared" si="257"/>
        <v>3.0334619433978663E-4</v>
      </c>
      <c r="R271" s="3">
        <f t="shared" si="257"/>
        <v>3.0334619433978663E-4</v>
      </c>
      <c r="S271" s="3">
        <f t="shared" si="257"/>
        <v>3.0334619433978663E-4</v>
      </c>
      <c r="T271" s="3">
        <f t="shared" si="257"/>
        <v>3.0334619433978663E-4</v>
      </c>
      <c r="U271" s="3">
        <f t="shared" si="257"/>
        <v>3.0334619433978663E-4</v>
      </c>
      <c r="V271" s="3">
        <f t="shared" si="257"/>
        <v>3.0334619433978663E-4</v>
      </c>
      <c r="W271" s="3">
        <f t="shared" si="257"/>
        <v>3.0334619433978663E-4</v>
      </c>
      <c r="X271" s="3">
        <f t="shared" si="257"/>
        <v>3.0334619433978658E-4</v>
      </c>
      <c r="Y271" s="3">
        <f t="shared" si="257"/>
        <v>3.0334619433978642E-4</v>
      </c>
      <c r="Z271" s="3">
        <f t="shared" si="257"/>
        <v>3.0334619433978436E-4</v>
      </c>
      <c r="AA271" s="3">
        <f t="shared" si="257"/>
        <v>3.0334619433976419E-4</v>
      </c>
      <c r="AB271" s="3">
        <f t="shared" si="257"/>
        <v>3.0334619433956204E-4</v>
      </c>
      <c r="AC271" s="3">
        <f t="shared" si="257"/>
        <v>3.0334619433754092E-4</v>
      </c>
      <c r="AD271" s="3">
        <f t="shared" si="257"/>
        <v>3.0334619431732928E-4</v>
      </c>
      <c r="AE271" s="3">
        <f t="shared" si="257"/>
        <v>3.0334619411521313E-4</v>
      </c>
      <c r="AF271" s="3">
        <f t="shared" si="257"/>
        <v>3.0334619209405168E-4</v>
      </c>
      <c r="AG271" s="3"/>
      <c r="AH271" s="3"/>
    </row>
    <row r="272" spans="2:34" x14ac:dyDescent="0.25">
      <c r="B272" s="3">
        <f t="shared" ref="B272:AF272" si="258">$C41*EXP(-B$246/$A41/EXP(-$E$126))</f>
        <v>0</v>
      </c>
      <c r="C272" s="3">
        <f t="shared" si="258"/>
        <v>0</v>
      </c>
      <c r="D272" s="3">
        <f t="shared" si="258"/>
        <v>0</v>
      </c>
      <c r="E272" s="3">
        <f t="shared" si="258"/>
        <v>0</v>
      </c>
      <c r="F272" s="3">
        <f t="shared" si="258"/>
        <v>0</v>
      </c>
      <c r="G272" s="3">
        <f t="shared" si="258"/>
        <v>0</v>
      </c>
      <c r="H272" s="3">
        <f t="shared" si="258"/>
        <v>0</v>
      </c>
      <c r="I272" s="3">
        <f t="shared" si="258"/>
        <v>0</v>
      </c>
      <c r="J272" s="3">
        <f t="shared" si="258"/>
        <v>0</v>
      </c>
      <c r="K272" s="3">
        <f t="shared" si="258"/>
        <v>0</v>
      </c>
      <c r="L272" s="3">
        <f t="shared" si="258"/>
        <v>0</v>
      </c>
      <c r="M272" s="3">
        <f t="shared" si="258"/>
        <v>0</v>
      </c>
      <c r="N272" s="3">
        <f t="shared" si="258"/>
        <v>0</v>
      </c>
      <c r="O272" s="3">
        <f t="shared" si="258"/>
        <v>0</v>
      </c>
      <c r="P272" s="3">
        <f t="shared" si="258"/>
        <v>0</v>
      </c>
      <c r="Q272" s="3">
        <f t="shared" si="258"/>
        <v>0</v>
      </c>
      <c r="R272" s="3">
        <f t="shared" si="258"/>
        <v>0</v>
      </c>
      <c r="S272" s="3">
        <f t="shared" si="258"/>
        <v>0</v>
      </c>
      <c r="T272" s="3">
        <f t="shared" si="258"/>
        <v>0</v>
      </c>
      <c r="U272" s="3">
        <f t="shared" si="258"/>
        <v>0</v>
      </c>
      <c r="V272" s="3">
        <f t="shared" si="258"/>
        <v>0</v>
      </c>
      <c r="W272" s="3">
        <f t="shared" si="258"/>
        <v>0</v>
      </c>
      <c r="X272" s="3">
        <f t="shared" si="258"/>
        <v>0</v>
      </c>
      <c r="Y272" s="3">
        <f t="shared" si="258"/>
        <v>0</v>
      </c>
      <c r="Z272" s="3">
        <f t="shared" si="258"/>
        <v>0</v>
      </c>
      <c r="AA272" s="3">
        <f t="shared" si="258"/>
        <v>0</v>
      </c>
      <c r="AB272" s="3">
        <f t="shared" si="258"/>
        <v>0</v>
      </c>
      <c r="AC272" s="3">
        <f t="shared" si="258"/>
        <v>0</v>
      </c>
      <c r="AD272" s="3">
        <f t="shared" si="258"/>
        <v>0</v>
      </c>
      <c r="AE272" s="3">
        <f t="shared" si="258"/>
        <v>0</v>
      </c>
      <c r="AF272" s="3">
        <f t="shared" si="258"/>
        <v>0</v>
      </c>
      <c r="AG272" s="3"/>
      <c r="AH272" s="3"/>
    </row>
    <row r="273" spans="1:34" x14ac:dyDescent="0.25">
      <c r="B273" s="3">
        <f t="shared" ref="B273:AF273" si="259">$C42*EXP(-B$246/$A42/EXP(-$E$126))</f>
        <v>0</v>
      </c>
      <c r="C273" s="3">
        <f t="shared" si="259"/>
        <v>0</v>
      </c>
      <c r="D273" s="3">
        <f t="shared" si="259"/>
        <v>0</v>
      </c>
      <c r="E273" s="3">
        <f t="shared" si="259"/>
        <v>0</v>
      </c>
      <c r="F273" s="3">
        <f t="shared" si="259"/>
        <v>0</v>
      </c>
      <c r="G273" s="3">
        <f t="shared" si="259"/>
        <v>0</v>
      </c>
      <c r="H273" s="3">
        <f t="shared" si="259"/>
        <v>0</v>
      </c>
      <c r="I273" s="3">
        <f t="shared" si="259"/>
        <v>0</v>
      </c>
      <c r="J273" s="3">
        <f t="shared" si="259"/>
        <v>0</v>
      </c>
      <c r="K273" s="3">
        <f t="shared" si="259"/>
        <v>0</v>
      </c>
      <c r="L273" s="3">
        <f t="shared" si="259"/>
        <v>0</v>
      </c>
      <c r="M273" s="3">
        <f t="shared" si="259"/>
        <v>0</v>
      </c>
      <c r="N273" s="3">
        <f t="shared" si="259"/>
        <v>0</v>
      </c>
      <c r="O273" s="3">
        <f t="shared" si="259"/>
        <v>0</v>
      </c>
      <c r="P273" s="3">
        <f t="shared" si="259"/>
        <v>0</v>
      </c>
      <c r="Q273" s="3">
        <f t="shared" si="259"/>
        <v>0</v>
      </c>
      <c r="R273" s="3">
        <f t="shared" si="259"/>
        <v>0</v>
      </c>
      <c r="S273" s="3">
        <f t="shared" si="259"/>
        <v>0</v>
      </c>
      <c r="T273" s="3">
        <f t="shared" si="259"/>
        <v>0</v>
      </c>
      <c r="U273" s="3">
        <f t="shared" si="259"/>
        <v>0</v>
      </c>
      <c r="V273" s="3">
        <f t="shared" si="259"/>
        <v>0</v>
      </c>
      <c r="W273" s="3">
        <f t="shared" si="259"/>
        <v>0</v>
      </c>
      <c r="X273" s="3">
        <f t="shared" si="259"/>
        <v>0</v>
      </c>
      <c r="Y273" s="3">
        <f t="shared" si="259"/>
        <v>0</v>
      </c>
      <c r="Z273" s="3">
        <f t="shared" si="259"/>
        <v>0</v>
      </c>
      <c r="AA273" s="3">
        <f t="shared" si="259"/>
        <v>0</v>
      </c>
      <c r="AB273" s="3">
        <f t="shared" si="259"/>
        <v>0</v>
      </c>
      <c r="AC273" s="3">
        <f t="shared" si="259"/>
        <v>0</v>
      </c>
      <c r="AD273" s="3">
        <f t="shared" si="259"/>
        <v>0</v>
      </c>
      <c r="AE273" s="3">
        <f t="shared" si="259"/>
        <v>0</v>
      </c>
      <c r="AF273" s="3">
        <f t="shared" si="259"/>
        <v>0</v>
      </c>
      <c r="AG273" s="3"/>
      <c r="AH273" s="3"/>
    </row>
    <row r="274" spans="1:34" x14ac:dyDescent="0.25">
      <c r="B274" s="3">
        <f t="shared" ref="B274:AF274" si="260">$C43*EXP(-B$246/$A43/EXP(-$E$126))</f>
        <v>7.7330920795246901E-5</v>
      </c>
      <c r="C274" s="3">
        <f t="shared" si="260"/>
        <v>7.7330920795246901E-5</v>
      </c>
      <c r="D274" s="3">
        <f t="shared" si="260"/>
        <v>7.7330920795246901E-5</v>
      </c>
      <c r="E274" s="3">
        <f t="shared" si="260"/>
        <v>7.7330920795246901E-5</v>
      </c>
      <c r="F274" s="3">
        <f t="shared" si="260"/>
        <v>7.7330920795246901E-5</v>
      </c>
      <c r="G274" s="3">
        <f t="shared" si="260"/>
        <v>7.7330920795246901E-5</v>
      </c>
      <c r="H274" s="3">
        <f t="shared" si="260"/>
        <v>7.7330920795246901E-5</v>
      </c>
      <c r="I274" s="3">
        <f t="shared" si="260"/>
        <v>7.7330920795246901E-5</v>
      </c>
      <c r="J274" s="3">
        <f t="shared" si="260"/>
        <v>7.7330920795246901E-5</v>
      </c>
      <c r="K274" s="3">
        <f t="shared" si="260"/>
        <v>7.7330920795246901E-5</v>
      </c>
      <c r="L274" s="3">
        <f t="shared" si="260"/>
        <v>7.7330920795246901E-5</v>
      </c>
      <c r="M274" s="3">
        <f t="shared" si="260"/>
        <v>7.7330920795246901E-5</v>
      </c>
      <c r="N274" s="3">
        <f t="shared" si="260"/>
        <v>7.7330920795246901E-5</v>
      </c>
      <c r="O274" s="3">
        <f t="shared" si="260"/>
        <v>7.7330920795246901E-5</v>
      </c>
      <c r="P274" s="3">
        <f t="shared" si="260"/>
        <v>7.7330920795246901E-5</v>
      </c>
      <c r="Q274" s="3">
        <f t="shared" si="260"/>
        <v>7.7330920795246901E-5</v>
      </c>
      <c r="R274" s="3">
        <f t="shared" si="260"/>
        <v>7.7330920795246901E-5</v>
      </c>
      <c r="S274" s="3">
        <f t="shared" si="260"/>
        <v>7.7330920795246901E-5</v>
      </c>
      <c r="T274" s="3">
        <f t="shared" si="260"/>
        <v>7.7330920795246901E-5</v>
      </c>
      <c r="U274" s="3">
        <f t="shared" si="260"/>
        <v>7.7330920795246901E-5</v>
      </c>
      <c r="V274" s="3">
        <f t="shared" si="260"/>
        <v>7.7330920795246901E-5</v>
      </c>
      <c r="W274" s="3">
        <f t="shared" si="260"/>
        <v>7.7330920795246901E-5</v>
      </c>
      <c r="X274" s="3">
        <f t="shared" si="260"/>
        <v>7.7330920795246901E-5</v>
      </c>
      <c r="Y274" s="3">
        <f t="shared" si="260"/>
        <v>7.7330920795246901E-5</v>
      </c>
      <c r="Z274" s="3">
        <f t="shared" si="260"/>
        <v>7.7330920795246901E-5</v>
      </c>
      <c r="AA274" s="3">
        <f t="shared" si="260"/>
        <v>7.7330920795246888E-5</v>
      </c>
      <c r="AB274" s="3">
        <f t="shared" si="260"/>
        <v>7.7330920795246847E-5</v>
      </c>
      <c r="AC274" s="3">
        <f t="shared" si="260"/>
        <v>7.7330920795246332E-5</v>
      </c>
      <c r="AD274" s="3">
        <f t="shared" si="260"/>
        <v>7.7330920795241168E-5</v>
      </c>
      <c r="AE274" s="3">
        <f t="shared" si="260"/>
        <v>7.7330920795189655E-5</v>
      </c>
      <c r="AF274" s="3">
        <f t="shared" si="260"/>
        <v>7.7330920794674402E-5</v>
      </c>
      <c r="AG274" s="3"/>
      <c r="AH274" s="3"/>
    </row>
    <row r="275" spans="1:34" x14ac:dyDescent="0.25">
      <c r="B275" s="3">
        <f t="shared" ref="B275:AF275" si="261">$C44*EXP(-B$246/$A44/EXP(-$E$126))</f>
        <v>1.3850961695873314E-4</v>
      </c>
      <c r="C275" s="3">
        <f t="shared" si="261"/>
        <v>1.3850961695873314E-4</v>
      </c>
      <c r="D275" s="3">
        <f t="shared" si="261"/>
        <v>1.3850961695873314E-4</v>
      </c>
      <c r="E275" s="3">
        <f t="shared" si="261"/>
        <v>1.3850961695873314E-4</v>
      </c>
      <c r="F275" s="3">
        <f t="shared" si="261"/>
        <v>1.3850961695873314E-4</v>
      </c>
      <c r="G275" s="3">
        <f t="shared" si="261"/>
        <v>1.3850961695873314E-4</v>
      </c>
      <c r="H275" s="3">
        <f t="shared" si="261"/>
        <v>1.3850961695873314E-4</v>
      </c>
      <c r="I275" s="3">
        <f t="shared" si="261"/>
        <v>1.3850961695873314E-4</v>
      </c>
      <c r="J275" s="3">
        <f t="shared" si="261"/>
        <v>1.3850961695873314E-4</v>
      </c>
      <c r="K275" s="3">
        <f t="shared" si="261"/>
        <v>1.3850961695873314E-4</v>
      </c>
      <c r="L275" s="3">
        <f t="shared" si="261"/>
        <v>1.3850961695873314E-4</v>
      </c>
      <c r="M275" s="3">
        <f t="shared" si="261"/>
        <v>1.3850961695873314E-4</v>
      </c>
      <c r="N275" s="3">
        <f t="shared" si="261"/>
        <v>1.3850961695873314E-4</v>
      </c>
      <c r="O275" s="3">
        <f t="shared" si="261"/>
        <v>1.3850961695873314E-4</v>
      </c>
      <c r="P275" s="3">
        <f t="shared" si="261"/>
        <v>1.3850961695873314E-4</v>
      </c>
      <c r="Q275" s="3">
        <f t="shared" si="261"/>
        <v>1.3850961695873314E-4</v>
      </c>
      <c r="R275" s="3">
        <f t="shared" si="261"/>
        <v>1.3850961695873314E-4</v>
      </c>
      <c r="S275" s="3">
        <f t="shared" si="261"/>
        <v>1.3850961695873314E-4</v>
      </c>
      <c r="T275" s="3">
        <f t="shared" si="261"/>
        <v>1.3850961695873314E-4</v>
      </c>
      <c r="U275" s="3">
        <f t="shared" si="261"/>
        <v>1.3850961695873314E-4</v>
      </c>
      <c r="V275" s="3">
        <f t="shared" si="261"/>
        <v>1.3850961695873314E-4</v>
      </c>
      <c r="W275" s="3">
        <f t="shared" si="261"/>
        <v>1.3850961695873314E-4</v>
      </c>
      <c r="X275" s="3">
        <f t="shared" si="261"/>
        <v>1.3850961695873314E-4</v>
      </c>
      <c r="Y275" s="3">
        <f t="shared" si="261"/>
        <v>1.3850961695873314E-4</v>
      </c>
      <c r="Z275" s="3">
        <f t="shared" si="261"/>
        <v>1.3850961695873314E-4</v>
      </c>
      <c r="AA275" s="3">
        <f t="shared" si="261"/>
        <v>1.3850961695873314E-4</v>
      </c>
      <c r="AB275" s="3">
        <f t="shared" si="261"/>
        <v>1.3850961695873311E-4</v>
      </c>
      <c r="AC275" s="3">
        <f t="shared" si="261"/>
        <v>1.3850961695873303E-4</v>
      </c>
      <c r="AD275" s="3">
        <f t="shared" si="261"/>
        <v>1.3850961695873211E-4</v>
      </c>
      <c r="AE275" s="3">
        <f t="shared" si="261"/>
        <v>1.3850961695872289E-4</v>
      </c>
      <c r="AF275" s="3">
        <f t="shared" si="261"/>
        <v>1.385096169586306E-4</v>
      </c>
      <c r="AG275" s="3"/>
      <c r="AH275" s="3"/>
    </row>
    <row r="276" spans="1:34" x14ac:dyDescent="0.25">
      <c r="B276" s="3">
        <f t="shared" ref="B276:AF276" si="262">$C45*EXP(-B$246/$A45/EXP(-$E$126))</f>
        <v>0</v>
      </c>
      <c r="C276" s="3">
        <f t="shared" si="262"/>
        <v>0</v>
      </c>
      <c r="D276" s="3">
        <f t="shared" si="262"/>
        <v>0</v>
      </c>
      <c r="E276" s="3">
        <f t="shared" si="262"/>
        <v>0</v>
      </c>
      <c r="F276" s="3">
        <f t="shared" si="262"/>
        <v>0</v>
      </c>
      <c r="G276" s="3">
        <f t="shared" si="262"/>
        <v>0</v>
      </c>
      <c r="H276" s="3">
        <f t="shared" si="262"/>
        <v>0</v>
      </c>
      <c r="I276" s="3">
        <f t="shared" si="262"/>
        <v>0</v>
      </c>
      <c r="J276" s="3">
        <f t="shared" si="262"/>
        <v>0</v>
      </c>
      <c r="K276" s="3">
        <f t="shared" si="262"/>
        <v>0</v>
      </c>
      <c r="L276" s="3">
        <f t="shared" si="262"/>
        <v>0</v>
      </c>
      <c r="M276" s="3">
        <f t="shared" si="262"/>
        <v>0</v>
      </c>
      <c r="N276" s="3">
        <f t="shared" si="262"/>
        <v>0</v>
      </c>
      <c r="O276" s="3">
        <f t="shared" si="262"/>
        <v>0</v>
      </c>
      <c r="P276" s="3">
        <f t="shared" si="262"/>
        <v>0</v>
      </c>
      <c r="Q276" s="3">
        <f t="shared" si="262"/>
        <v>0</v>
      </c>
      <c r="R276" s="3">
        <f t="shared" si="262"/>
        <v>0</v>
      </c>
      <c r="S276" s="3">
        <f t="shared" si="262"/>
        <v>0</v>
      </c>
      <c r="T276" s="3">
        <f t="shared" si="262"/>
        <v>0</v>
      </c>
      <c r="U276" s="3">
        <f t="shared" si="262"/>
        <v>0</v>
      </c>
      <c r="V276" s="3">
        <f t="shared" si="262"/>
        <v>0</v>
      </c>
      <c r="W276" s="3">
        <f t="shared" si="262"/>
        <v>0</v>
      </c>
      <c r="X276" s="3">
        <f t="shared" si="262"/>
        <v>0</v>
      </c>
      <c r="Y276" s="3">
        <f t="shared" si="262"/>
        <v>0</v>
      </c>
      <c r="Z276" s="3">
        <f t="shared" si="262"/>
        <v>0</v>
      </c>
      <c r="AA276" s="3">
        <f t="shared" si="262"/>
        <v>0</v>
      </c>
      <c r="AB276" s="3">
        <f t="shared" si="262"/>
        <v>0</v>
      </c>
      <c r="AC276" s="3">
        <f t="shared" si="262"/>
        <v>0</v>
      </c>
      <c r="AD276" s="3">
        <f t="shared" si="262"/>
        <v>0</v>
      </c>
      <c r="AE276" s="3">
        <f t="shared" si="262"/>
        <v>0</v>
      </c>
      <c r="AF276" s="3">
        <f t="shared" si="262"/>
        <v>0</v>
      </c>
      <c r="AG276" s="3"/>
      <c r="AH276" s="3"/>
    </row>
    <row r="277" spans="1:34" x14ac:dyDescent="0.25">
      <c r="B277" s="3">
        <f t="shared" ref="B277:AF277" si="263">$C46*EXP(-B$246/$A46/EXP(-$E$126))</f>
        <v>0</v>
      </c>
      <c r="C277" s="3">
        <f t="shared" si="263"/>
        <v>0</v>
      </c>
      <c r="D277" s="3">
        <f t="shared" si="263"/>
        <v>0</v>
      </c>
      <c r="E277" s="3">
        <f t="shared" si="263"/>
        <v>0</v>
      </c>
      <c r="F277" s="3">
        <f t="shared" si="263"/>
        <v>0</v>
      </c>
      <c r="G277" s="3">
        <f t="shared" si="263"/>
        <v>0</v>
      </c>
      <c r="H277" s="3">
        <f t="shared" si="263"/>
        <v>0</v>
      </c>
      <c r="I277" s="3">
        <f t="shared" si="263"/>
        <v>0</v>
      </c>
      <c r="J277" s="3">
        <f t="shared" si="263"/>
        <v>0</v>
      </c>
      <c r="K277" s="3">
        <f t="shared" si="263"/>
        <v>0</v>
      </c>
      <c r="L277" s="3">
        <f t="shared" si="263"/>
        <v>0</v>
      </c>
      <c r="M277" s="3">
        <f t="shared" si="263"/>
        <v>0</v>
      </c>
      <c r="N277" s="3">
        <f t="shared" si="263"/>
        <v>0</v>
      </c>
      <c r="O277" s="3">
        <f t="shared" si="263"/>
        <v>0</v>
      </c>
      <c r="P277" s="3">
        <f t="shared" si="263"/>
        <v>0</v>
      </c>
      <c r="Q277" s="3">
        <f t="shared" si="263"/>
        <v>0</v>
      </c>
      <c r="R277" s="3">
        <f t="shared" si="263"/>
        <v>0</v>
      </c>
      <c r="S277" s="3">
        <f t="shared" si="263"/>
        <v>0</v>
      </c>
      <c r="T277" s="3">
        <f t="shared" si="263"/>
        <v>0</v>
      </c>
      <c r="U277" s="3">
        <f t="shared" si="263"/>
        <v>0</v>
      </c>
      <c r="V277" s="3">
        <f t="shared" si="263"/>
        <v>0</v>
      </c>
      <c r="W277" s="3">
        <f t="shared" si="263"/>
        <v>0</v>
      </c>
      <c r="X277" s="3">
        <f t="shared" si="263"/>
        <v>0</v>
      </c>
      <c r="Y277" s="3">
        <f t="shared" si="263"/>
        <v>0</v>
      </c>
      <c r="Z277" s="3">
        <f t="shared" si="263"/>
        <v>0</v>
      </c>
      <c r="AA277" s="3">
        <f t="shared" si="263"/>
        <v>0</v>
      </c>
      <c r="AB277" s="3">
        <f t="shared" si="263"/>
        <v>0</v>
      </c>
      <c r="AC277" s="3">
        <f t="shared" si="263"/>
        <v>0</v>
      </c>
      <c r="AD277" s="3">
        <f t="shared" si="263"/>
        <v>0</v>
      </c>
      <c r="AE277" s="3">
        <f t="shared" si="263"/>
        <v>0</v>
      </c>
      <c r="AF277" s="3">
        <f t="shared" si="263"/>
        <v>0</v>
      </c>
      <c r="AG277" s="3"/>
      <c r="AH277" s="3"/>
    </row>
    <row r="278" spans="1:34" x14ac:dyDescent="0.25">
      <c r="B278" s="3">
        <f t="shared" ref="B278:AF278" si="264">$C47*EXP(-B$246/$A47/EXP(-$E$126))</f>
        <v>0</v>
      </c>
      <c r="C278" s="3">
        <f t="shared" si="264"/>
        <v>0</v>
      </c>
      <c r="D278" s="3">
        <f t="shared" si="264"/>
        <v>0</v>
      </c>
      <c r="E278" s="3">
        <f t="shared" si="264"/>
        <v>0</v>
      </c>
      <c r="F278" s="3">
        <f t="shared" si="264"/>
        <v>0</v>
      </c>
      <c r="G278" s="3">
        <f t="shared" si="264"/>
        <v>0</v>
      </c>
      <c r="H278" s="3">
        <f t="shared" si="264"/>
        <v>0</v>
      </c>
      <c r="I278" s="3">
        <f t="shared" si="264"/>
        <v>0</v>
      </c>
      <c r="J278" s="3">
        <f t="shared" si="264"/>
        <v>0</v>
      </c>
      <c r="K278" s="3">
        <f t="shared" si="264"/>
        <v>0</v>
      </c>
      <c r="L278" s="3">
        <f t="shared" si="264"/>
        <v>0</v>
      </c>
      <c r="M278" s="3">
        <f t="shared" si="264"/>
        <v>0</v>
      </c>
      <c r="N278" s="3">
        <f t="shared" si="264"/>
        <v>0</v>
      </c>
      <c r="O278" s="3">
        <f t="shared" si="264"/>
        <v>0</v>
      </c>
      <c r="P278" s="3">
        <f t="shared" si="264"/>
        <v>0</v>
      </c>
      <c r="Q278" s="3">
        <f t="shared" si="264"/>
        <v>0</v>
      </c>
      <c r="R278" s="3">
        <f t="shared" si="264"/>
        <v>0</v>
      </c>
      <c r="S278" s="3">
        <f t="shared" si="264"/>
        <v>0</v>
      </c>
      <c r="T278" s="3">
        <f t="shared" si="264"/>
        <v>0</v>
      </c>
      <c r="U278" s="3">
        <f t="shared" si="264"/>
        <v>0</v>
      </c>
      <c r="V278" s="3">
        <f t="shared" si="264"/>
        <v>0</v>
      </c>
      <c r="W278" s="3">
        <f t="shared" si="264"/>
        <v>0</v>
      </c>
      <c r="X278" s="3">
        <f t="shared" si="264"/>
        <v>0</v>
      </c>
      <c r="Y278" s="3">
        <f t="shared" si="264"/>
        <v>0</v>
      </c>
      <c r="Z278" s="3">
        <f t="shared" si="264"/>
        <v>0</v>
      </c>
      <c r="AA278" s="3">
        <f t="shared" si="264"/>
        <v>0</v>
      </c>
      <c r="AB278" s="3">
        <f t="shared" si="264"/>
        <v>0</v>
      </c>
      <c r="AC278" s="3">
        <f t="shared" si="264"/>
        <v>0</v>
      </c>
      <c r="AD278" s="3">
        <f t="shared" si="264"/>
        <v>0</v>
      </c>
      <c r="AE278" s="3">
        <f t="shared" si="264"/>
        <v>0</v>
      </c>
      <c r="AF278" s="3">
        <f t="shared" si="264"/>
        <v>0</v>
      </c>
      <c r="AG278" s="3"/>
      <c r="AH278" s="3"/>
    </row>
    <row r="279" spans="1:34" x14ac:dyDescent="0.25">
      <c r="B279" s="3">
        <f t="shared" ref="B279:AF279" si="265">$C48*EXP(-B$246/$A48/EXP(-$E$126))</f>
        <v>3.8158806353945737E-4</v>
      </c>
      <c r="C279" s="3">
        <f t="shared" si="265"/>
        <v>3.8158806353945737E-4</v>
      </c>
      <c r="D279" s="3">
        <f t="shared" si="265"/>
        <v>3.8158806353945737E-4</v>
      </c>
      <c r="E279" s="3">
        <f t="shared" si="265"/>
        <v>3.8158806353945737E-4</v>
      </c>
      <c r="F279" s="3">
        <f t="shared" si="265"/>
        <v>3.8158806353945737E-4</v>
      </c>
      <c r="G279" s="3">
        <f t="shared" si="265"/>
        <v>3.8158806353945737E-4</v>
      </c>
      <c r="H279" s="3">
        <f t="shared" si="265"/>
        <v>3.8158806353945737E-4</v>
      </c>
      <c r="I279" s="3">
        <f t="shared" si="265"/>
        <v>3.8158806353945737E-4</v>
      </c>
      <c r="J279" s="3">
        <f t="shared" si="265"/>
        <v>3.8158806353945737E-4</v>
      </c>
      <c r="K279" s="3">
        <f t="shared" si="265"/>
        <v>3.8158806353945737E-4</v>
      </c>
      <c r="L279" s="3">
        <f t="shared" si="265"/>
        <v>3.8158806353945737E-4</v>
      </c>
      <c r="M279" s="3">
        <f t="shared" si="265"/>
        <v>3.8158806353945737E-4</v>
      </c>
      <c r="N279" s="3">
        <f t="shared" si="265"/>
        <v>3.8158806353945737E-4</v>
      </c>
      <c r="O279" s="3">
        <f t="shared" si="265"/>
        <v>3.8158806353945737E-4</v>
      </c>
      <c r="P279" s="3">
        <f t="shared" si="265"/>
        <v>3.8158806353945737E-4</v>
      </c>
      <c r="Q279" s="3">
        <f t="shared" si="265"/>
        <v>3.8158806353945737E-4</v>
      </c>
      <c r="R279" s="3">
        <f t="shared" si="265"/>
        <v>3.8158806353945737E-4</v>
      </c>
      <c r="S279" s="3">
        <f t="shared" si="265"/>
        <v>3.8158806353945737E-4</v>
      </c>
      <c r="T279" s="3">
        <f t="shared" si="265"/>
        <v>3.8158806353945737E-4</v>
      </c>
      <c r="U279" s="3">
        <f t="shared" si="265"/>
        <v>3.8158806353945737E-4</v>
      </c>
      <c r="V279" s="3">
        <f t="shared" si="265"/>
        <v>3.8158806353945737E-4</v>
      </c>
      <c r="W279" s="3">
        <f t="shared" si="265"/>
        <v>3.8158806353945737E-4</v>
      </c>
      <c r="X279" s="3">
        <f t="shared" si="265"/>
        <v>3.8158806353945737E-4</v>
      </c>
      <c r="Y279" s="3">
        <f t="shared" si="265"/>
        <v>3.8158806353945737E-4</v>
      </c>
      <c r="Z279" s="3">
        <f t="shared" si="265"/>
        <v>3.8158806353945737E-4</v>
      </c>
      <c r="AA279" s="3">
        <f t="shared" si="265"/>
        <v>3.8158806353945737E-4</v>
      </c>
      <c r="AB279" s="3">
        <f t="shared" si="265"/>
        <v>3.8158806353945737E-4</v>
      </c>
      <c r="AC279" s="3">
        <f t="shared" si="265"/>
        <v>3.8158806353945737E-4</v>
      </c>
      <c r="AD279" s="3">
        <f t="shared" si="265"/>
        <v>3.8158806353945737E-4</v>
      </c>
      <c r="AE279" s="3">
        <f t="shared" si="265"/>
        <v>3.8158806353945737E-4</v>
      </c>
      <c r="AF279" s="3">
        <f t="shared" si="265"/>
        <v>3.8158806353945731E-4</v>
      </c>
      <c r="AG279" s="3"/>
      <c r="AH279" s="3"/>
    </row>
    <row r="280" spans="1:34" x14ac:dyDescent="0.25">
      <c r="A280" s="79">
        <f>AVERAGE(B280:AF280)</f>
        <v>3.547921056118012E-2</v>
      </c>
      <c r="B280" s="80">
        <f>IF($D$61&lt;=B246,IF($E$61&gt;=B246,ABS((B248-B247)/B247),0),0)</f>
        <v>3.0967837930212521E-3</v>
      </c>
      <c r="C280" s="80">
        <f t="shared" ref="C280:AF280" si="266">IF($D$61&lt;=C246,IF($E$61&gt;=C246,ABS((C248-C247)/C247),0),0)</f>
        <v>3.0885558647648272E-3</v>
      </c>
      <c r="D280" s="80">
        <f t="shared" si="266"/>
        <v>3.0936434982205296E-3</v>
      </c>
      <c r="E280" s="80">
        <f t="shared" si="266"/>
        <v>3.0951455022394138E-3</v>
      </c>
      <c r="F280" s="80">
        <f t="shared" si="266"/>
        <v>3.0955068390454352E-3</v>
      </c>
      <c r="G280" s="80">
        <f t="shared" si="266"/>
        <v>3.0945197941060726E-3</v>
      </c>
      <c r="H280" s="80">
        <f t="shared" si="266"/>
        <v>3.083344945755729E-3</v>
      </c>
      <c r="I280" s="80">
        <f t="shared" si="266"/>
        <v>2.9709301463977443E-3</v>
      </c>
      <c r="J280" s="80">
        <f t="shared" si="266"/>
        <v>1.8508689405421033E-3</v>
      </c>
      <c r="K280" s="80">
        <f t="shared" si="266"/>
        <v>8.943174241651617E-3</v>
      </c>
      <c r="L280" s="80">
        <f t="shared" si="266"/>
        <v>8.4651891795800613E-2</v>
      </c>
      <c r="M280" s="80">
        <f t="shared" si="266"/>
        <v>0.15253281214120742</v>
      </c>
      <c r="N280" s="80">
        <f t="shared" si="266"/>
        <v>0.13286764052476618</v>
      </c>
      <c r="O280" s="80">
        <f t="shared" si="266"/>
        <v>0.11005014159155665</v>
      </c>
      <c r="P280" s="80">
        <f t="shared" si="266"/>
        <v>8.1514864969266354E-2</v>
      </c>
      <c r="Q280" s="80">
        <f t="shared" si="266"/>
        <v>5.0597890046799203E-2</v>
      </c>
      <c r="R280" s="80">
        <f t="shared" si="266"/>
        <v>2.411340839000186E-2</v>
      </c>
      <c r="S280" s="80">
        <f t="shared" si="266"/>
        <v>3.630775174739196E-2</v>
      </c>
      <c r="T280" s="80">
        <f t="shared" si="266"/>
        <v>8.1394305266308791E-3</v>
      </c>
      <c r="U280" s="80">
        <f t="shared" si="266"/>
        <v>5.728460402872565E-2</v>
      </c>
      <c r="V280" s="80">
        <f t="shared" si="266"/>
        <v>9.5611947238624748E-2</v>
      </c>
      <c r="W280" s="80">
        <f t="shared" si="266"/>
        <v>0.10248889389145523</v>
      </c>
      <c r="X280" s="80">
        <f t="shared" si="266"/>
        <v>8.6317582155066963E-2</v>
      </c>
      <c r="Y280" s="80">
        <f t="shared" si="266"/>
        <v>4.1964194783545503E-2</v>
      </c>
      <c r="Z280" s="80">
        <f t="shared" si="266"/>
        <v>0</v>
      </c>
      <c r="AA280" s="80">
        <f t="shared" si="266"/>
        <v>0</v>
      </c>
      <c r="AB280" s="80">
        <f t="shared" si="266"/>
        <v>0</v>
      </c>
      <c r="AC280" s="80">
        <f t="shared" si="266"/>
        <v>0</v>
      </c>
      <c r="AD280" s="80">
        <f t="shared" si="266"/>
        <v>0</v>
      </c>
      <c r="AE280" s="80">
        <f t="shared" si="266"/>
        <v>0</v>
      </c>
      <c r="AF280" s="80">
        <f t="shared" si="266"/>
        <v>0</v>
      </c>
    </row>
    <row r="281" spans="1:34" x14ac:dyDescent="0.25">
      <c r="B281" s="21">
        <f>(B248-B247)^2</f>
        <v>405.67317233132002</v>
      </c>
      <c r="C281" s="21">
        <f t="shared" ref="C281:AF281" si="267">(C248-C247)^2</f>
        <v>403.52696789240258</v>
      </c>
      <c r="D281" s="21">
        <f t="shared" si="267"/>
        <v>404.85337724561981</v>
      </c>
      <c r="E281" s="21">
        <f t="shared" si="267"/>
        <v>405.24537283600131</v>
      </c>
      <c r="F281" s="21">
        <f t="shared" si="267"/>
        <v>405.3396118865802</v>
      </c>
      <c r="G281" s="21">
        <f t="shared" si="267"/>
        <v>405.08101837012691</v>
      </c>
      <c r="H281" s="21">
        <f t="shared" si="267"/>
        <v>402.1603362349606</v>
      </c>
      <c r="I281" s="21">
        <f t="shared" si="267"/>
        <v>373.36787813274185</v>
      </c>
      <c r="J281" s="21">
        <f t="shared" si="267"/>
        <v>144.9019134353363</v>
      </c>
      <c r="K281" s="21">
        <f t="shared" si="267"/>
        <v>3380.7691607889378</v>
      </c>
      <c r="L281" s="21">
        <f t="shared" si="267"/>
        <v>301015.33859617874</v>
      </c>
      <c r="M281" s="21">
        <f t="shared" si="267"/>
        <v>942502.53348551318</v>
      </c>
      <c r="N281" s="21">
        <f t="shared" si="267"/>
        <v>682899.59233783255</v>
      </c>
      <c r="O281" s="21">
        <f t="shared" si="267"/>
        <v>444757.60749394476</v>
      </c>
      <c r="P281" s="21">
        <f t="shared" si="267"/>
        <v>229004.12304130936</v>
      </c>
      <c r="Q281" s="21">
        <f t="shared" si="267"/>
        <v>82280.710873618242</v>
      </c>
      <c r="R281" s="21">
        <f t="shared" si="267"/>
        <v>17102.739063346591</v>
      </c>
      <c r="S281" s="21">
        <f t="shared" si="267"/>
        <v>33817.431947308258</v>
      </c>
      <c r="T281" s="21">
        <f t="shared" si="267"/>
        <v>1389.8057247065694</v>
      </c>
      <c r="U281" s="21">
        <f t="shared" si="267"/>
        <v>54782.789049542072</v>
      </c>
      <c r="V281" s="21">
        <f t="shared" si="267"/>
        <v>121236.44740757879</v>
      </c>
      <c r="W281" s="21">
        <f t="shared" si="267"/>
        <v>109699.51341437316</v>
      </c>
      <c r="X281" s="21">
        <f t="shared" si="267"/>
        <v>57819.396487030957</v>
      </c>
      <c r="Y281" s="21">
        <f t="shared" si="267"/>
        <v>9276.4367473486236</v>
      </c>
      <c r="Z281" s="21">
        <f t="shared" si="267"/>
        <v>7842.6185170696644</v>
      </c>
      <c r="AA281" s="21">
        <f t="shared" si="267"/>
        <v>24496.500819999936</v>
      </c>
      <c r="AB281" s="21">
        <f t="shared" si="267"/>
        <v>16428.70597976126</v>
      </c>
      <c r="AC281" s="21">
        <f t="shared" si="267"/>
        <v>7367.8572010000116</v>
      </c>
      <c r="AD281" s="21">
        <f t="shared" si="267"/>
        <v>919.82788993145641</v>
      </c>
      <c r="AE281" s="21">
        <f t="shared" si="267"/>
        <v>62.403250737863125</v>
      </c>
      <c r="AF281" s="21">
        <f t="shared" si="267"/>
        <v>127.49778253119797</v>
      </c>
      <c r="AG281" s="3"/>
      <c r="AH281" s="3"/>
    </row>
    <row r="282" spans="1:34" s="3" customFormat="1" x14ac:dyDescent="0.25">
      <c r="A282" s="71">
        <f>SUM(B282:AF282)</f>
        <v>3094315.3844787856</v>
      </c>
      <c r="B282" s="21">
        <f>IF($D$61&lt;=B246,IF($E$61&gt;=B246,ABS(B281),0),0)</f>
        <v>405.67317233132002</v>
      </c>
      <c r="C282" s="21">
        <f t="shared" ref="C282:AF282" si="268">IF($D$61&lt;=C246,IF($E$61&gt;=C246,ABS(C281),0),0)</f>
        <v>403.52696789240258</v>
      </c>
      <c r="D282" s="21">
        <f t="shared" si="268"/>
        <v>404.85337724561981</v>
      </c>
      <c r="E282" s="21">
        <f t="shared" si="268"/>
        <v>405.24537283600131</v>
      </c>
      <c r="F282" s="21">
        <f t="shared" si="268"/>
        <v>405.3396118865802</v>
      </c>
      <c r="G282" s="21">
        <f t="shared" si="268"/>
        <v>405.08101837012691</v>
      </c>
      <c r="H282" s="21">
        <f t="shared" si="268"/>
        <v>402.1603362349606</v>
      </c>
      <c r="I282" s="21">
        <f t="shared" si="268"/>
        <v>373.36787813274185</v>
      </c>
      <c r="J282" s="21">
        <f t="shared" si="268"/>
        <v>144.9019134353363</v>
      </c>
      <c r="K282" s="21">
        <f t="shared" si="268"/>
        <v>3380.7691607889378</v>
      </c>
      <c r="L282" s="21">
        <f t="shared" si="268"/>
        <v>301015.33859617874</v>
      </c>
      <c r="M282" s="21">
        <f t="shared" si="268"/>
        <v>942502.53348551318</v>
      </c>
      <c r="N282" s="21">
        <f t="shared" si="268"/>
        <v>682899.59233783255</v>
      </c>
      <c r="O282" s="21">
        <f t="shared" si="268"/>
        <v>444757.60749394476</v>
      </c>
      <c r="P282" s="21">
        <f t="shared" si="268"/>
        <v>229004.12304130936</v>
      </c>
      <c r="Q282" s="21">
        <f t="shared" si="268"/>
        <v>82280.710873618242</v>
      </c>
      <c r="R282" s="21">
        <f t="shared" si="268"/>
        <v>17102.739063346591</v>
      </c>
      <c r="S282" s="21">
        <f t="shared" si="268"/>
        <v>33817.431947308258</v>
      </c>
      <c r="T282" s="21">
        <f t="shared" si="268"/>
        <v>1389.8057247065694</v>
      </c>
      <c r="U282" s="21">
        <f t="shared" si="268"/>
        <v>54782.789049542072</v>
      </c>
      <c r="V282" s="21">
        <f t="shared" si="268"/>
        <v>121236.44740757879</v>
      </c>
      <c r="W282" s="21">
        <f t="shared" si="268"/>
        <v>109699.51341437316</v>
      </c>
      <c r="X282" s="21">
        <f t="shared" si="268"/>
        <v>57819.396487030957</v>
      </c>
      <c r="Y282" s="21">
        <f t="shared" si="268"/>
        <v>9276.4367473486236</v>
      </c>
      <c r="Z282" s="21">
        <f t="shared" si="268"/>
        <v>0</v>
      </c>
      <c r="AA282" s="21">
        <f t="shared" si="268"/>
        <v>0</v>
      </c>
      <c r="AB282" s="21">
        <f t="shared" si="268"/>
        <v>0</v>
      </c>
      <c r="AC282" s="21">
        <f t="shared" si="268"/>
        <v>0</v>
      </c>
      <c r="AD282" s="21">
        <f t="shared" si="268"/>
        <v>0</v>
      </c>
      <c r="AE282" s="21">
        <f t="shared" si="268"/>
        <v>0</v>
      </c>
      <c r="AF282" s="21">
        <f t="shared" si="268"/>
        <v>0</v>
      </c>
    </row>
    <row r="283" spans="1:34" x14ac:dyDescent="0.25">
      <c r="B283" s="38"/>
      <c r="C283" s="38"/>
      <c r="D283" s="38"/>
      <c r="E283" s="38"/>
      <c r="F283" s="38"/>
      <c r="G283" s="38"/>
      <c r="H283" s="38"/>
      <c r="I283" s="38"/>
      <c r="J283" s="38"/>
      <c r="K283" s="38"/>
      <c r="L283" s="38"/>
      <c r="M283" s="38"/>
      <c r="N283" s="38"/>
      <c r="O283" s="38"/>
      <c r="P283" s="38"/>
      <c r="Q283" s="38"/>
      <c r="R283" s="38"/>
      <c r="S283" s="38"/>
      <c r="T283" s="38"/>
      <c r="U283" s="38"/>
      <c r="V283" s="38"/>
      <c r="W283" s="38"/>
      <c r="X283" s="38"/>
      <c r="Y283" s="38"/>
      <c r="Z283" s="38"/>
      <c r="AA283" s="38"/>
      <c r="AB283" s="38"/>
      <c r="AC283" s="38"/>
      <c r="AD283" s="38"/>
      <c r="AE283" s="38"/>
      <c r="AF283" s="38"/>
      <c r="AG283" s="38"/>
      <c r="AH283" s="38"/>
    </row>
    <row r="284" spans="1:34" x14ac:dyDescent="0.25">
      <c r="A284" s="69" t="s">
        <v>27</v>
      </c>
      <c r="B284" s="11">
        <f>INDEX($D$1:$M$1,1,$F$122)</f>
        <v>80</v>
      </c>
    </row>
    <row r="285" spans="1:34" x14ac:dyDescent="0.25">
      <c r="A285" s="69" t="s">
        <v>17</v>
      </c>
      <c r="B285" s="22">
        <f>INDEX(Comparison!$AL$3:$AL$33,F$14,1)</f>
        <v>1.0000000000000001E-15</v>
      </c>
      <c r="C285" s="22">
        <f>INDEX(Comparison!$AL$3:$AL$33,G$14,1)</f>
        <v>1E-14</v>
      </c>
      <c r="D285" s="22">
        <f>INDEX(Comparison!$AL$3:$AL$33,H$14,1)</f>
        <v>1E-13</v>
      </c>
      <c r="E285" s="22">
        <f>INDEX(Comparison!$AL$3:$AL$33,I$14,1)</f>
        <v>9.9999999999999998E-13</v>
      </c>
      <c r="F285" s="22">
        <f>INDEX(Comparison!$AL$3:$AL$33,J$14,1)</f>
        <v>9.9999999999999994E-12</v>
      </c>
      <c r="G285" s="22">
        <f>INDEX(Comparison!$AL$3:$AL$33,K$14,1)</f>
        <v>1E-10</v>
      </c>
      <c r="H285" s="22">
        <f>INDEX(Comparison!$AL$3:$AL$33,L$14,1)</f>
        <v>1.0000000000000001E-9</v>
      </c>
      <c r="I285" s="22">
        <f>INDEX(Comparison!$AL$3:$AL$33,M$14,1)</f>
        <v>1E-8</v>
      </c>
      <c r="J285" s="22">
        <f>INDEX(Comparison!$AL$3:$AL$33,N$14,1)</f>
        <v>9.9999999999999995E-8</v>
      </c>
      <c r="K285" s="22">
        <f>INDEX(Comparison!$AL$3:$AL$33,O$14,1)</f>
        <v>9.9999999999999995E-7</v>
      </c>
      <c r="L285" s="22">
        <f>INDEX(Comparison!$AL$3:$AL$33,P$14,1)</f>
        <v>1.0000000000000001E-5</v>
      </c>
      <c r="M285" s="22">
        <f>INDEX(Comparison!$AL$3:$AL$33,Q$14,1)</f>
        <v>1E-4</v>
      </c>
      <c r="N285" s="22">
        <f>INDEX(Comparison!$AL$3:$AL$33,R$14,1)</f>
        <v>1E-3</v>
      </c>
      <c r="O285" s="22">
        <f>INDEX(Comparison!$AL$3:$AL$33,S$14,1)</f>
        <v>0.01</v>
      </c>
      <c r="P285" s="22">
        <f>INDEX(Comparison!$AL$3:$AL$33,T$14,1)</f>
        <v>0.1</v>
      </c>
      <c r="Q285" s="22">
        <f>INDEX(Comparison!$AL$3:$AL$33,U$14,1)</f>
        <v>1</v>
      </c>
      <c r="R285" s="22">
        <f>INDEX(Comparison!$AL$3:$AL$33,V$14,1)</f>
        <v>10</v>
      </c>
      <c r="S285" s="22">
        <f>INDEX(Comparison!$AL$3:$AL$33,W$14,1)</f>
        <v>100</v>
      </c>
      <c r="T285" s="22">
        <f>INDEX(Comparison!$AL$3:$AL$33,X$14,1)</f>
        <v>1000</v>
      </c>
      <c r="U285" s="22">
        <f>INDEX(Comparison!$AL$3:$AL$33,Y$14,1)</f>
        <v>10000</v>
      </c>
      <c r="V285" s="22">
        <f>INDEX(Comparison!$AL$3:$AL$33,Z$14,1)</f>
        <v>100000</v>
      </c>
      <c r="W285" s="22">
        <f>INDEX(Comparison!$AL$3:$AL$33,AA$14,1)</f>
        <v>1000000</v>
      </c>
      <c r="X285" s="22">
        <f>INDEX(Comparison!$AL$3:$AL$33,AB$14,1)</f>
        <v>10000000</v>
      </c>
      <c r="Y285" s="22">
        <f>INDEX(Comparison!$AL$3:$AL$33,AC$14,1)</f>
        <v>100000000</v>
      </c>
      <c r="Z285" s="22">
        <f>INDEX(Comparison!$AL$3:$AL$33,AD$14,1)</f>
        <v>1000000000</v>
      </c>
      <c r="AA285" s="22">
        <f>INDEX(Comparison!$AL$3:$AL$33,AE$14,1)</f>
        <v>10000000000</v>
      </c>
      <c r="AB285" s="22">
        <f>INDEX(Comparison!$AL$3:$AL$33,AF$14,1)</f>
        <v>100000000000</v>
      </c>
      <c r="AC285" s="22">
        <f>INDEX(Comparison!$AL$3:$AL$33,AG$14,1)</f>
        <v>1000000000000</v>
      </c>
      <c r="AD285" s="22">
        <f>INDEX(Comparison!$AL$3:$AL$33,AH$14,1)</f>
        <v>10000000000000</v>
      </c>
      <c r="AE285" s="22">
        <f>INDEX(Comparison!$AL$3:$AL$33,AI$14,1)</f>
        <v>100000000000000</v>
      </c>
      <c r="AF285" s="22">
        <f>INDEX(Comparison!$AL$3:$AL$33,AJ$14,1)</f>
        <v>1000000000000000</v>
      </c>
      <c r="AG285" s="22"/>
      <c r="AH285" s="22"/>
    </row>
    <row r="286" spans="1:34" x14ac:dyDescent="0.25">
      <c r="A286" s="25" t="s">
        <v>23</v>
      </c>
      <c r="B286" s="26">
        <f>INDEX(Comparison!$AM$3:$AS$33,F$14,$F$122)</f>
        <v>6479.0859474371819</v>
      </c>
      <c r="C286" s="26">
        <f>INDEX(Comparison!$AM$3:$AS$33,G$14,$F$122)</f>
        <v>6479.1324839978006</v>
      </c>
      <c r="D286" s="26">
        <f>INDEX(Comparison!$AM$3:$AS$33,H$14,$F$122)</f>
        <v>6479.041978197979</v>
      </c>
      <c r="E286" s="26">
        <f>INDEX(Comparison!$AM$3:$AS$33,I$14,$F$122)</f>
        <v>6478.4539559822069</v>
      </c>
      <c r="F286" s="26">
        <f>INDEX(Comparison!$AM$3:$AS$33,J$14,$F$122)</f>
        <v>6472.7726535549082</v>
      </c>
      <c r="G286" s="26">
        <f>INDEX(Comparison!$AM$3:$AS$33,K$14,$F$122)</f>
        <v>6425.3224026678754</v>
      </c>
      <c r="H286" s="26">
        <f>INDEX(Comparison!$AM$3:$AS$33,L$14,$F$122)</f>
        <v>6280.1372572444334</v>
      </c>
      <c r="I286" s="26">
        <f>INDEX(Comparison!$AM$3:$AS$33,M$14,$F$122)</f>
        <v>6130.7451181848783</v>
      </c>
      <c r="J286" s="26">
        <f>INDEX(Comparison!$AM$3:$AS$33,N$14,$F$122)</f>
        <v>5959.459898848826</v>
      </c>
      <c r="K286" s="26">
        <f>INDEX(Comparison!$AM$3:$AS$33,O$14,$F$122)</f>
        <v>5758.6320512376351</v>
      </c>
      <c r="L286" s="26">
        <f>INDEX(Comparison!$AM$3:$AS$33,P$14,$F$122)</f>
        <v>5553.7107715147085</v>
      </c>
      <c r="M286" s="26">
        <f>INDEX(Comparison!$AM$3:$AS$33,Q$14,$F$122)</f>
        <v>5296.2160470219478</v>
      </c>
      <c r="N286" s="26">
        <f>INDEX(Comparison!$AM$3:$AS$33,R$14,$F$122)</f>
        <v>5014.3504980568096</v>
      </c>
      <c r="O286" s="26">
        <f>INDEX(Comparison!$AM$3:$AS$33,S$14,$F$122)</f>
        <v>4737.7084148388376</v>
      </c>
      <c r="P286" s="26">
        <f>INDEX(Comparison!$AM$3:$AS$33,T$14,$F$122)</f>
        <v>4438.626264954587</v>
      </c>
      <c r="Q286" s="26">
        <f>INDEX(Comparison!$AM$3:$AS$33,U$14,$F$122)</f>
        <v>4115.3629839514006</v>
      </c>
      <c r="R286" s="26">
        <f>INDEX(Comparison!$AM$3:$AS$33,V$14,$F$122)</f>
        <v>3662.5886079597385</v>
      </c>
      <c r="S286" s="26">
        <f>INDEX(Comparison!$AM$3:$AS$33,W$14,$F$122)</f>
        <v>3039.7716426269371</v>
      </c>
      <c r="T286" s="26">
        <f>INDEX(Comparison!$AM$3:$AS$33,X$14,$F$122)</f>
        <v>2356.5178874385392</v>
      </c>
      <c r="U286" s="26">
        <f>INDEX(Comparison!$AM$3:$AS$33,Y$14,$F$122)</f>
        <v>1664.6092730189016</v>
      </c>
      <c r="V286" s="26">
        <f>INDEX(Comparison!$AM$3:$AS$33,Z$14,$F$122)</f>
        <v>1039.9214556238178</v>
      </c>
      <c r="W286" s="26">
        <f>INDEX(Comparison!$AM$3:$AS$33,AA$14,$F$122)</f>
        <v>595.89522173414423</v>
      </c>
      <c r="X286" s="26">
        <f>INDEX(Comparison!$AM$3:$AS$33,AB$14,$F$122)</f>
        <v>331.71701217899948</v>
      </c>
      <c r="Y286" s="26">
        <f>INDEX(Comparison!$AM$3:$AS$33,AC$14,$F$122)</f>
        <v>192.72704730170403</v>
      </c>
      <c r="Z286" s="26">
        <f>INDEX(Comparison!$AM$3:$AS$33,AD$14,$F$122)</f>
        <v>148.89299884614732</v>
      </c>
      <c r="AA286" s="26">
        <f>INDEX(Comparison!$AM$3:$AS$33,AE$14,$F$122)</f>
        <v>134.12130031566326</v>
      </c>
      <c r="AB286" s="26">
        <f>INDEX(Comparison!$AM$3:$AS$33,AF$14,$F$122)</f>
        <v>124.90206072555479</v>
      </c>
      <c r="AC286" s="26">
        <f>INDEX(Comparison!$AM$3:$AS$33,AG$14,$F$122)</f>
        <v>124.64007063602084</v>
      </c>
      <c r="AD286" s="26">
        <f>INDEX(Comparison!$AM$3:$AS$33,AH$14,$F$122)</f>
        <v>123.89500698166064</v>
      </c>
      <c r="AE286" s="26">
        <f>INDEX(Comparison!$AM$3:$AS$33,AI$14,$F$122)</f>
        <v>123.88320178471095</v>
      </c>
      <c r="AF286" s="26">
        <f>INDEX(Comparison!$AM$3:$AS$33,AJ$14,$F$122)</f>
        <v>123.47472292148701</v>
      </c>
      <c r="AG286" s="26"/>
      <c r="AH286" s="26"/>
    </row>
    <row r="287" spans="1:34" x14ac:dyDescent="0.25">
      <c r="A287" s="70" t="s">
        <v>22</v>
      </c>
      <c r="B287" s="27">
        <f>($C$17+SUM(B288:B318))*$B$51</f>
        <v>6524.0854439851046</v>
      </c>
      <c r="C287" s="27">
        <f t="shared" ref="C287:AF287" si="269">($C$17+SUM(C288:C318))*$B$51</f>
        <v>6524.0237417213757</v>
      </c>
      <c r="D287" s="27">
        <f t="shared" si="269"/>
        <v>6523.4069042112305</v>
      </c>
      <c r="E287" s="27">
        <f t="shared" si="269"/>
        <v>6517.2570045053626</v>
      </c>
      <c r="F287" s="27">
        <f t="shared" si="269"/>
        <v>6457.5687871634309</v>
      </c>
      <c r="G287" s="27">
        <f t="shared" si="269"/>
        <v>6009.9782007649355</v>
      </c>
      <c r="H287" s="27">
        <f t="shared" si="269"/>
        <v>5395.8197279568449</v>
      </c>
      <c r="I287" s="27">
        <f t="shared" si="269"/>
        <v>5393.1780435630553</v>
      </c>
      <c r="J287" s="27">
        <f t="shared" si="269"/>
        <v>5393.0969736073021</v>
      </c>
      <c r="K287" s="27">
        <f t="shared" si="269"/>
        <v>5392.2868761631253</v>
      </c>
      <c r="L287" s="27">
        <f t="shared" si="269"/>
        <v>5384.2458036794314</v>
      </c>
      <c r="M287" s="27">
        <f t="shared" si="269"/>
        <v>5309.527549870254</v>
      </c>
      <c r="N287" s="27">
        <f t="shared" si="269"/>
        <v>4921.7043936198597</v>
      </c>
      <c r="O287" s="27">
        <f t="shared" si="269"/>
        <v>4639.6834263262281</v>
      </c>
      <c r="P287" s="27">
        <f t="shared" si="269"/>
        <v>4351.6615723796176</v>
      </c>
      <c r="Q287" s="27">
        <f t="shared" si="269"/>
        <v>4023.891653612292</v>
      </c>
      <c r="R287" s="27">
        <f t="shared" si="269"/>
        <v>3609.6607788202518</v>
      </c>
      <c r="S287" s="27">
        <f t="shared" si="269"/>
        <v>3082.2466467056506</v>
      </c>
      <c r="T287" s="27">
        <f t="shared" si="269"/>
        <v>2455.9307768006406</v>
      </c>
      <c r="U287" s="27">
        <f t="shared" si="269"/>
        <v>1735.6141821703209</v>
      </c>
      <c r="V287" s="27">
        <f t="shared" si="269"/>
        <v>1063.2528075668615</v>
      </c>
      <c r="W287" s="27">
        <f t="shared" si="269"/>
        <v>603.9779858170516</v>
      </c>
      <c r="X287" s="27">
        <f t="shared" si="269"/>
        <v>331.85880256922337</v>
      </c>
      <c r="Y287" s="27">
        <f t="shared" si="269"/>
        <v>200.31125129671474</v>
      </c>
      <c r="Z287" s="27">
        <f t="shared" si="269"/>
        <v>166.59807543940479</v>
      </c>
      <c r="AA287" s="27">
        <f t="shared" si="269"/>
        <v>148.95072128075802</v>
      </c>
      <c r="AB287" s="27">
        <f t="shared" si="269"/>
        <v>142.46231958818771</v>
      </c>
      <c r="AC287" s="27">
        <f t="shared" si="269"/>
        <v>140.72452440812739</v>
      </c>
      <c r="AD287" s="27">
        <f t="shared" si="269"/>
        <v>137.80031467456067</v>
      </c>
      <c r="AE287" s="27">
        <f t="shared" si="269"/>
        <v>134.22273247653146</v>
      </c>
      <c r="AF287" s="27">
        <f t="shared" si="269"/>
        <v>131.10756928204844</v>
      </c>
      <c r="AG287" s="27"/>
      <c r="AH287" s="27"/>
    </row>
    <row r="288" spans="1:34" x14ac:dyDescent="0.25">
      <c r="B288" s="3">
        <f t="shared" ref="B288:AF288" si="270">$C18*EXP(-B$285/$A18/EXP(-$F$126))</f>
        <v>0.17334187500289761</v>
      </c>
      <c r="C288" s="3">
        <f t="shared" si="270"/>
        <v>0.17333241740285396</v>
      </c>
      <c r="D288" s="3">
        <f t="shared" si="270"/>
        <v>0.17323786977834113</v>
      </c>
      <c r="E288" s="3">
        <f t="shared" si="270"/>
        <v>0.17229522540540643</v>
      </c>
      <c r="F288" s="3">
        <f t="shared" si="270"/>
        <v>0.1631463344195648</v>
      </c>
      <c r="G288" s="3">
        <f t="shared" si="270"/>
        <v>9.4540544565571968E-2</v>
      </c>
      <c r="H288" s="3">
        <f t="shared" si="270"/>
        <v>4.0366945694357781E-4</v>
      </c>
      <c r="I288" s="3">
        <f t="shared" si="270"/>
        <v>8.1302481028653248E-28</v>
      </c>
      <c r="J288" s="3">
        <f t="shared" si="270"/>
        <v>8.9306461506277782E-265</v>
      </c>
      <c r="K288" s="3">
        <f t="shared" si="270"/>
        <v>0</v>
      </c>
      <c r="L288" s="3">
        <f t="shared" si="270"/>
        <v>0</v>
      </c>
      <c r="M288" s="3">
        <f t="shared" si="270"/>
        <v>0</v>
      </c>
      <c r="N288" s="3">
        <f t="shared" si="270"/>
        <v>0</v>
      </c>
      <c r="O288" s="3">
        <f t="shared" si="270"/>
        <v>0</v>
      </c>
      <c r="P288" s="3">
        <f t="shared" si="270"/>
        <v>0</v>
      </c>
      <c r="Q288" s="3">
        <f t="shared" si="270"/>
        <v>0</v>
      </c>
      <c r="R288" s="3">
        <f t="shared" si="270"/>
        <v>0</v>
      </c>
      <c r="S288" s="3">
        <f t="shared" si="270"/>
        <v>0</v>
      </c>
      <c r="T288" s="3">
        <f t="shared" si="270"/>
        <v>0</v>
      </c>
      <c r="U288" s="3">
        <f t="shared" si="270"/>
        <v>0</v>
      </c>
      <c r="V288" s="3">
        <f t="shared" si="270"/>
        <v>0</v>
      </c>
      <c r="W288" s="3">
        <f t="shared" si="270"/>
        <v>0</v>
      </c>
      <c r="X288" s="3">
        <f t="shared" si="270"/>
        <v>0</v>
      </c>
      <c r="Y288" s="3">
        <f t="shared" si="270"/>
        <v>0</v>
      </c>
      <c r="Z288" s="3">
        <f t="shared" si="270"/>
        <v>0</v>
      </c>
      <c r="AA288" s="3">
        <f t="shared" si="270"/>
        <v>0</v>
      </c>
      <c r="AB288" s="3">
        <f t="shared" si="270"/>
        <v>0</v>
      </c>
      <c r="AC288" s="3">
        <f t="shared" si="270"/>
        <v>0</v>
      </c>
      <c r="AD288" s="3">
        <f t="shared" si="270"/>
        <v>0</v>
      </c>
      <c r="AE288" s="3">
        <f t="shared" si="270"/>
        <v>0</v>
      </c>
      <c r="AF288" s="3">
        <f t="shared" si="270"/>
        <v>0</v>
      </c>
      <c r="AG288" s="3"/>
      <c r="AH288" s="3"/>
    </row>
    <row r="289" spans="2:34" x14ac:dyDescent="0.25">
      <c r="B289" s="3">
        <f t="shared" ref="B289:AF289" si="271">$C19*EXP(-B$285/$A19/EXP(-$F$126))</f>
        <v>8.570155763626873E-2</v>
      </c>
      <c r="C289" s="3">
        <f t="shared" si="271"/>
        <v>8.5701557635070952E-2</v>
      </c>
      <c r="D289" s="3">
        <f t="shared" si="271"/>
        <v>8.5701557623093061E-2</v>
      </c>
      <c r="E289" s="3">
        <f t="shared" si="271"/>
        <v>8.5701557503314263E-2</v>
      </c>
      <c r="F289" s="3">
        <f t="shared" si="271"/>
        <v>8.5701556305526366E-2</v>
      </c>
      <c r="G289" s="3">
        <f t="shared" si="271"/>
        <v>8.5701544327648205E-2</v>
      </c>
      <c r="H289" s="3">
        <f t="shared" si="271"/>
        <v>8.5701424548958752E-2</v>
      </c>
      <c r="I289" s="3">
        <f t="shared" si="271"/>
        <v>8.5700226771271468E-2</v>
      </c>
      <c r="J289" s="3">
        <f t="shared" si="271"/>
        <v>8.5688249915078854E-2</v>
      </c>
      <c r="K289" s="3">
        <f t="shared" si="271"/>
        <v>8.5568573373595788E-2</v>
      </c>
      <c r="L289" s="3">
        <f t="shared" si="271"/>
        <v>8.4380962594646475E-2</v>
      </c>
      <c r="M289" s="3">
        <f t="shared" si="271"/>
        <v>7.3374696129936245E-2</v>
      </c>
      <c r="N289" s="3">
        <f t="shared" si="271"/>
        <v>1.8136969338203857E-2</v>
      </c>
      <c r="O289" s="3">
        <f t="shared" si="271"/>
        <v>1.5443607298174556E-8</v>
      </c>
      <c r="P289" s="3">
        <f t="shared" si="271"/>
        <v>3.0944898309802171E-69</v>
      </c>
      <c r="Q289" s="3">
        <f t="shared" si="271"/>
        <v>0</v>
      </c>
      <c r="R289" s="3">
        <f t="shared" si="271"/>
        <v>0</v>
      </c>
      <c r="S289" s="3">
        <f t="shared" si="271"/>
        <v>0</v>
      </c>
      <c r="T289" s="3">
        <f t="shared" si="271"/>
        <v>0</v>
      </c>
      <c r="U289" s="3">
        <f t="shared" si="271"/>
        <v>0</v>
      </c>
      <c r="V289" s="3">
        <f t="shared" si="271"/>
        <v>0</v>
      </c>
      <c r="W289" s="3">
        <f t="shared" si="271"/>
        <v>0</v>
      </c>
      <c r="X289" s="3">
        <f t="shared" si="271"/>
        <v>0</v>
      </c>
      <c r="Y289" s="3">
        <f t="shared" si="271"/>
        <v>0</v>
      </c>
      <c r="Z289" s="3">
        <f t="shared" si="271"/>
        <v>0</v>
      </c>
      <c r="AA289" s="3">
        <f t="shared" si="271"/>
        <v>0</v>
      </c>
      <c r="AB289" s="3">
        <f t="shared" si="271"/>
        <v>0</v>
      </c>
      <c r="AC289" s="3">
        <f t="shared" si="271"/>
        <v>0</v>
      </c>
      <c r="AD289" s="3">
        <f t="shared" si="271"/>
        <v>0</v>
      </c>
      <c r="AE289" s="3">
        <f t="shared" si="271"/>
        <v>0</v>
      </c>
      <c r="AF289" s="3">
        <f t="shared" si="271"/>
        <v>0</v>
      </c>
      <c r="AG289" s="3"/>
      <c r="AH289" s="3"/>
    </row>
    <row r="290" spans="2:34" x14ac:dyDescent="0.25">
      <c r="B290" s="3">
        <f t="shared" ref="B290:AF290" si="272">$C20*EXP(-B$285/$A20/EXP(-$F$126))</f>
        <v>3.0493834764097085E-2</v>
      </c>
      <c r="C290" s="3">
        <f t="shared" si="272"/>
        <v>3.0493834764058637E-2</v>
      </c>
      <c r="D290" s="3">
        <f t="shared" si="272"/>
        <v>3.049383476367418E-2</v>
      </c>
      <c r="E290" s="3">
        <f t="shared" si="272"/>
        <v>3.0493834759829593E-2</v>
      </c>
      <c r="F290" s="3">
        <f t="shared" si="272"/>
        <v>3.0493834721383711E-2</v>
      </c>
      <c r="G290" s="3">
        <f t="shared" si="272"/>
        <v>3.0493834336924874E-2</v>
      </c>
      <c r="H290" s="3">
        <f t="shared" si="272"/>
        <v>3.0493830492336817E-2</v>
      </c>
      <c r="I290" s="3">
        <f t="shared" si="272"/>
        <v>3.0493792046482886E-2</v>
      </c>
      <c r="J290" s="3">
        <f t="shared" si="272"/>
        <v>3.0493407590609509E-2</v>
      </c>
      <c r="K290" s="3">
        <f t="shared" si="272"/>
        <v>3.0489563298455893E-2</v>
      </c>
      <c r="L290" s="3">
        <f t="shared" si="272"/>
        <v>3.0451147022504621E-2</v>
      </c>
      <c r="M290" s="3">
        <f t="shared" si="272"/>
        <v>3.0069636433468393E-2</v>
      </c>
      <c r="N290" s="3">
        <f t="shared" si="272"/>
        <v>2.6507781830294033E-2</v>
      </c>
      <c r="O290" s="3">
        <f t="shared" si="272"/>
        <v>7.5132093639452557E-3</v>
      </c>
      <c r="P290" s="3">
        <f t="shared" si="272"/>
        <v>2.5138914855394314E-8</v>
      </c>
      <c r="Q290" s="3">
        <f t="shared" si="272"/>
        <v>4.421370265937133E-63</v>
      </c>
      <c r="R290" s="3">
        <f t="shared" si="272"/>
        <v>0</v>
      </c>
      <c r="S290" s="3">
        <f t="shared" si="272"/>
        <v>0</v>
      </c>
      <c r="T290" s="3">
        <f t="shared" si="272"/>
        <v>0</v>
      </c>
      <c r="U290" s="3">
        <f t="shared" si="272"/>
        <v>0</v>
      </c>
      <c r="V290" s="3">
        <f t="shared" si="272"/>
        <v>0</v>
      </c>
      <c r="W290" s="3">
        <f t="shared" si="272"/>
        <v>0</v>
      </c>
      <c r="X290" s="3">
        <f t="shared" si="272"/>
        <v>0</v>
      </c>
      <c r="Y290" s="3">
        <f t="shared" si="272"/>
        <v>0</v>
      </c>
      <c r="Z290" s="3">
        <f t="shared" si="272"/>
        <v>0</v>
      </c>
      <c r="AA290" s="3">
        <f t="shared" si="272"/>
        <v>0</v>
      </c>
      <c r="AB290" s="3">
        <f t="shared" si="272"/>
        <v>0</v>
      </c>
      <c r="AC290" s="3">
        <f t="shared" si="272"/>
        <v>0</v>
      </c>
      <c r="AD290" s="3">
        <f t="shared" si="272"/>
        <v>0</v>
      </c>
      <c r="AE290" s="3">
        <f t="shared" si="272"/>
        <v>0</v>
      </c>
      <c r="AF290" s="3">
        <f t="shared" si="272"/>
        <v>0</v>
      </c>
      <c r="AG290" s="3"/>
      <c r="AH290" s="3"/>
    </row>
    <row r="291" spans="2:34" x14ac:dyDescent="0.25">
      <c r="B291" s="3">
        <f t="shared" ref="B291:AF291" si="273">$C21*EXP(-B$285/$A21/EXP(-$F$126))</f>
        <v>5.1956618575788413E-2</v>
      </c>
      <c r="C291" s="3">
        <f t="shared" si="273"/>
        <v>5.1956618575782508E-2</v>
      </c>
      <c r="D291" s="3">
        <f t="shared" si="273"/>
        <v>5.1956618575723416E-2</v>
      </c>
      <c r="E291" s="3">
        <f t="shared" si="273"/>
        <v>5.19566185751325E-2</v>
      </c>
      <c r="F291" s="3">
        <f t="shared" si="273"/>
        <v>5.1956618569223345E-2</v>
      </c>
      <c r="G291" s="3">
        <f t="shared" si="273"/>
        <v>5.1956618510131808E-2</v>
      </c>
      <c r="H291" s="3">
        <f t="shared" si="273"/>
        <v>5.1956617919216463E-2</v>
      </c>
      <c r="I291" s="3">
        <f t="shared" si="273"/>
        <v>5.1956612010063352E-2</v>
      </c>
      <c r="J291" s="3">
        <f t="shared" si="273"/>
        <v>5.1956552918569217E-2</v>
      </c>
      <c r="K291" s="3">
        <f t="shared" si="273"/>
        <v>5.1955962007324205E-2</v>
      </c>
      <c r="L291" s="3">
        <f t="shared" si="273"/>
        <v>5.1950053264491182E-2</v>
      </c>
      <c r="M291" s="3">
        <f t="shared" si="273"/>
        <v>5.1891002782321449E-2</v>
      </c>
      <c r="N291" s="3">
        <f t="shared" si="273"/>
        <v>5.1304177076545242E-2</v>
      </c>
      <c r="O291" s="3">
        <f t="shared" si="273"/>
        <v>4.5788809327221118E-2</v>
      </c>
      <c r="P291" s="3">
        <f t="shared" si="273"/>
        <v>1.4683365056255443E-2</v>
      </c>
      <c r="Q291" s="3">
        <f t="shared" si="273"/>
        <v>1.6884494180857426E-7</v>
      </c>
      <c r="R291" s="3">
        <f t="shared" si="273"/>
        <v>6.8251568915510419E-57</v>
      </c>
      <c r="S291" s="3">
        <f t="shared" si="273"/>
        <v>0</v>
      </c>
      <c r="T291" s="3">
        <f t="shared" si="273"/>
        <v>0</v>
      </c>
      <c r="U291" s="3">
        <f t="shared" si="273"/>
        <v>0</v>
      </c>
      <c r="V291" s="3">
        <f t="shared" si="273"/>
        <v>0</v>
      </c>
      <c r="W291" s="3">
        <f t="shared" si="273"/>
        <v>0</v>
      </c>
      <c r="X291" s="3">
        <f t="shared" si="273"/>
        <v>0</v>
      </c>
      <c r="Y291" s="3">
        <f t="shared" si="273"/>
        <v>0</v>
      </c>
      <c r="Z291" s="3">
        <f t="shared" si="273"/>
        <v>0</v>
      </c>
      <c r="AA291" s="3">
        <f t="shared" si="273"/>
        <v>0</v>
      </c>
      <c r="AB291" s="3">
        <f t="shared" si="273"/>
        <v>0</v>
      </c>
      <c r="AC291" s="3">
        <f t="shared" si="273"/>
        <v>0</v>
      </c>
      <c r="AD291" s="3">
        <f t="shared" si="273"/>
        <v>0</v>
      </c>
      <c r="AE291" s="3">
        <f t="shared" si="273"/>
        <v>0</v>
      </c>
      <c r="AF291" s="3">
        <f t="shared" si="273"/>
        <v>0</v>
      </c>
      <c r="AG291" s="3"/>
      <c r="AH291" s="3"/>
    </row>
    <row r="292" spans="2:34" x14ac:dyDescent="0.25">
      <c r="B292" s="3">
        <f t="shared" ref="B292:AF292" si="274">$C22*EXP(-B$285/$A22/EXP(-$F$126))</f>
        <v>4.9533140337010284E-2</v>
      </c>
      <c r="C292" s="3">
        <f t="shared" si="274"/>
        <v>4.9533140337009771E-2</v>
      </c>
      <c r="D292" s="3">
        <f t="shared" si="274"/>
        <v>4.9533140337004691E-2</v>
      </c>
      <c r="E292" s="3">
        <f t="shared" si="274"/>
        <v>4.9533140336953871E-2</v>
      </c>
      <c r="F292" s="3">
        <f t="shared" si="274"/>
        <v>4.9533140336445687E-2</v>
      </c>
      <c r="G292" s="3">
        <f t="shared" si="274"/>
        <v>4.9533140331363773E-2</v>
      </c>
      <c r="H292" s="3">
        <f t="shared" si="274"/>
        <v>4.9533140280544688E-2</v>
      </c>
      <c r="I292" s="3">
        <f t="shared" si="274"/>
        <v>4.9533139772353837E-2</v>
      </c>
      <c r="J292" s="3">
        <f t="shared" si="274"/>
        <v>4.9533134690445575E-2</v>
      </c>
      <c r="K292" s="3">
        <f t="shared" si="274"/>
        <v>4.9533083871391659E-2</v>
      </c>
      <c r="L292" s="3">
        <f t="shared" si="274"/>
        <v>4.9532575683720118E-2</v>
      </c>
      <c r="M292" s="3">
        <f t="shared" si="274"/>
        <v>4.9527494093753885E-2</v>
      </c>
      <c r="N292" s="3">
        <f t="shared" si="274"/>
        <v>4.9476706858128723E-2</v>
      </c>
      <c r="O292" s="3">
        <f t="shared" si="274"/>
        <v>4.8971690054360029E-2</v>
      </c>
      <c r="P292" s="3">
        <f t="shared" si="274"/>
        <v>4.419652851847751E-2</v>
      </c>
      <c r="Q292" s="3">
        <f t="shared" si="274"/>
        <v>1.5842321438162825E-2</v>
      </c>
      <c r="R292" s="3">
        <f t="shared" si="274"/>
        <v>5.5478593852539579E-7</v>
      </c>
      <c r="S292" s="3">
        <f t="shared" si="274"/>
        <v>1.5388336943780233E-51</v>
      </c>
      <c r="T292" s="3">
        <f t="shared" si="274"/>
        <v>0</v>
      </c>
      <c r="U292" s="3">
        <f t="shared" si="274"/>
        <v>0</v>
      </c>
      <c r="V292" s="3">
        <f t="shared" si="274"/>
        <v>0</v>
      </c>
      <c r="W292" s="3">
        <f t="shared" si="274"/>
        <v>0</v>
      </c>
      <c r="X292" s="3">
        <f t="shared" si="274"/>
        <v>0</v>
      </c>
      <c r="Y292" s="3">
        <f t="shared" si="274"/>
        <v>0</v>
      </c>
      <c r="Z292" s="3">
        <f t="shared" si="274"/>
        <v>0</v>
      </c>
      <c r="AA292" s="3">
        <f t="shared" si="274"/>
        <v>0</v>
      </c>
      <c r="AB292" s="3">
        <f t="shared" si="274"/>
        <v>0</v>
      </c>
      <c r="AC292" s="3">
        <f t="shared" si="274"/>
        <v>0</v>
      </c>
      <c r="AD292" s="3">
        <f t="shared" si="274"/>
        <v>0</v>
      </c>
      <c r="AE292" s="3">
        <f t="shared" si="274"/>
        <v>0</v>
      </c>
      <c r="AF292" s="3">
        <f t="shared" si="274"/>
        <v>0</v>
      </c>
      <c r="AG292" s="3"/>
      <c r="AH292" s="3"/>
    </row>
    <row r="293" spans="2:34" x14ac:dyDescent="0.25">
      <c r="B293" s="3">
        <f t="shared" ref="B293:AF293" si="275">$C23*EXP(-B$285/$A23/EXP(-$F$126))</f>
        <v>7.2790684842208783E-2</v>
      </c>
      <c r="C293" s="3">
        <f t="shared" si="275"/>
        <v>7.2790684842208728E-2</v>
      </c>
      <c r="D293" s="3">
        <f t="shared" si="275"/>
        <v>7.2790684842208048E-2</v>
      </c>
      <c r="E293" s="3">
        <f t="shared" si="275"/>
        <v>7.2790684842201317E-2</v>
      </c>
      <c r="F293" s="3">
        <f t="shared" si="275"/>
        <v>7.2790684842133954E-2</v>
      </c>
      <c r="G293" s="3">
        <f t="shared" si="275"/>
        <v>7.2790684841460271E-2</v>
      </c>
      <c r="H293" s="3">
        <f t="shared" si="275"/>
        <v>7.2790684834723465E-2</v>
      </c>
      <c r="I293" s="3">
        <f t="shared" si="275"/>
        <v>7.2790684767355507E-2</v>
      </c>
      <c r="J293" s="3">
        <f t="shared" si="275"/>
        <v>7.2790684093675936E-2</v>
      </c>
      <c r="K293" s="3">
        <f t="shared" si="275"/>
        <v>7.2790677356880551E-2</v>
      </c>
      <c r="L293" s="3">
        <f t="shared" si="275"/>
        <v>7.2790609988960947E-2</v>
      </c>
      <c r="M293" s="3">
        <f t="shared" si="275"/>
        <v>7.2789936313194095E-2</v>
      </c>
      <c r="N293" s="3">
        <f t="shared" si="275"/>
        <v>7.2783199898433154E-2</v>
      </c>
      <c r="O293" s="3">
        <f t="shared" si="275"/>
        <v>7.2715870029845392E-2</v>
      </c>
      <c r="P293" s="3">
        <f t="shared" si="275"/>
        <v>7.2045987536755646E-2</v>
      </c>
      <c r="Q293" s="3">
        <f t="shared" si="275"/>
        <v>6.567736759931754E-2</v>
      </c>
      <c r="R293" s="3">
        <f t="shared" si="275"/>
        <v>2.6030057490408792E-2</v>
      </c>
      <c r="S293" s="3">
        <f t="shared" si="275"/>
        <v>2.4892529148754752E-6</v>
      </c>
      <c r="T293" s="3">
        <f t="shared" si="275"/>
        <v>1.5922380381042919E-46</v>
      </c>
      <c r="U293" s="3">
        <f t="shared" si="275"/>
        <v>0</v>
      </c>
      <c r="V293" s="3">
        <f t="shared" si="275"/>
        <v>0</v>
      </c>
      <c r="W293" s="3">
        <f t="shared" si="275"/>
        <v>0</v>
      </c>
      <c r="X293" s="3">
        <f t="shared" si="275"/>
        <v>0</v>
      </c>
      <c r="Y293" s="3">
        <f t="shared" si="275"/>
        <v>0</v>
      </c>
      <c r="Z293" s="3">
        <f t="shared" si="275"/>
        <v>0</v>
      </c>
      <c r="AA293" s="3">
        <f t="shared" si="275"/>
        <v>0</v>
      </c>
      <c r="AB293" s="3">
        <f t="shared" si="275"/>
        <v>0</v>
      </c>
      <c r="AC293" s="3">
        <f t="shared" si="275"/>
        <v>0</v>
      </c>
      <c r="AD293" s="3">
        <f t="shared" si="275"/>
        <v>0</v>
      </c>
      <c r="AE293" s="3">
        <f t="shared" si="275"/>
        <v>0</v>
      </c>
      <c r="AF293" s="3">
        <f t="shared" si="275"/>
        <v>0</v>
      </c>
      <c r="AG293" s="3"/>
      <c r="AH293" s="3"/>
    </row>
    <row r="294" spans="2:34" x14ac:dyDescent="0.25">
      <c r="B294" s="3">
        <f t="shared" ref="B294:AF294" si="276">$C24*EXP(-B$285/$A24/EXP(-$F$126))</f>
        <v>8.9662910534614892E-2</v>
      </c>
      <c r="C294" s="3">
        <f t="shared" si="276"/>
        <v>8.9662910534614879E-2</v>
      </c>
      <c r="D294" s="3">
        <f t="shared" si="276"/>
        <v>8.9662910534614809E-2</v>
      </c>
      <c r="E294" s="3">
        <f t="shared" si="276"/>
        <v>8.966291053461406E-2</v>
      </c>
      <c r="F294" s="3">
        <f t="shared" si="276"/>
        <v>8.9662910534606566E-2</v>
      </c>
      <c r="G294" s="3">
        <f t="shared" si="276"/>
        <v>8.9662910534531723E-2</v>
      </c>
      <c r="H294" s="3">
        <f t="shared" si="276"/>
        <v>8.9662910533783141E-2</v>
      </c>
      <c r="I294" s="3">
        <f t="shared" si="276"/>
        <v>8.9662910526297365E-2</v>
      </c>
      <c r="J294" s="3">
        <f t="shared" si="276"/>
        <v>8.9662910451439579E-2</v>
      </c>
      <c r="K294" s="3">
        <f t="shared" si="276"/>
        <v>8.9662909702861684E-2</v>
      </c>
      <c r="L294" s="3">
        <f t="shared" si="276"/>
        <v>8.966290221708309E-2</v>
      </c>
      <c r="M294" s="3">
        <f t="shared" si="276"/>
        <v>8.9662827359331607E-2</v>
      </c>
      <c r="N294" s="3">
        <f t="shared" si="276"/>
        <v>8.9662078785254146E-2</v>
      </c>
      <c r="O294" s="3">
        <f t="shared" si="276"/>
        <v>8.9654593388202738E-2</v>
      </c>
      <c r="P294" s="3">
        <f t="shared" si="276"/>
        <v>8.9579773779401572E-2</v>
      </c>
      <c r="Q294" s="3">
        <f t="shared" si="276"/>
        <v>8.883500327180277E-2</v>
      </c>
      <c r="R294" s="3">
        <f t="shared" si="276"/>
        <v>8.1719506597398406E-2</v>
      </c>
      <c r="S294" s="3">
        <f t="shared" si="276"/>
        <v>3.5460256039170357E-2</v>
      </c>
      <c r="T294" s="3">
        <f t="shared" si="276"/>
        <v>8.3927286098428207E-6</v>
      </c>
      <c r="U294" s="3">
        <f t="shared" si="276"/>
        <v>4.629310462279996E-42</v>
      </c>
      <c r="V294" s="3">
        <f t="shared" si="276"/>
        <v>0</v>
      </c>
      <c r="W294" s="3">
        <f t="shared" si="276"/>
        <v>0</v>
      </c>
      <c r="X294" s="3">
        <f t="shared" si="276"/>
        <v>0</v>
      </c>
      <c r="Y294" s="3">
        <f t="shared" si="276"/>
        <v>0</v>
      </c>
      <c r="Z294" s="3">
        <f t="shared" si="276"/>
        <v>0</v>
      </c>
      <c r="AA294" s="3">
        <f t="shared" si="276"/>
        <v>0</v>
      </c>
      <c r="AB294" s="3">
        <f t="shared" si="276"/>
        <v>0</v>
      </c>
      <c r="AC294" s="3">
        <f t="shared" si="276"/>
        <v>0</v>
      </c>
      <c r="AD294" s="3">
        <f t="shared" si="276"/>
        <v>0</v>
      </c>
      <c r="AE294" s="3">
        <f t="shared" si="276"/>
        <v>0</v>
      </c>
      <c r="AF294" s="3">
        <f t="shared" si="276"/>
        <v>0</v>
      </c>
      <c r="AG294" s="3"/>
      <c r="AH294" s="3"/>
    </row>
    <row r="295" spans="2:34" x14ac:dyDescent="0.25">
      <c r="B295" s="3">
        <f t="shared" ref="B295:AF295" si="277">$C25*EXP(-B$285/$A25/EXP(-$F$126))</f>
        <v>0.1059802083256471</v>
      </c>
      <c r="C295" s="3">
        <f t="shared" si="277"/>
        <v>0.1059802083256471</v>
      </c>
      <c r="D295" s="3">
        <f t="shared" si="277"/>
        <v>0.10598020832564709</v>
      </c>
      <c r="E295" s="3">
        <f t="shared" si="277"/>
        <v>0.105980208325647</v>
      </c>
      <c r="F295" s="3">
        <f t="shared" si="277"/>
        <v>0.10598020832564621</v>
      </c>
      <c r="G295" s="3">
        <f t="shared" si="277"/>
        <v>0.10598020832563823</v>
      </c>
      <c r="H295" s="3">
        <f t="shared" si="277"/>
        <v>0.10598020832555842</v>
      </c>
      <c r="I295" s="3">
        <f t="shared" si="277"/>
        <v>0.10598020832476025</v>
      </c>
      <c r="J295" s="3">
        <f t="shared" si="277"/>
        <v>0.10598020831677854</v>
      </c>
      <c r="K295" s="3">
        <f t="shared" si="277"/>
        <v>0.10598020823696153</v>
      </c>
      <c r="L295" s="3">
        <f t="shared" si="277"/>
        <v>0.10598020743879129</v>
      </c>
      <c r="M295" s="3">
        <f t="shared" si="277"/>
        <v>0.10598019945708932</v>
      </c>
      <c r="N295" s="3">
        <f t="shared" si="277"/>
        <v>0.10598011964010279</v>
      </c>
      <c r="O295" s="3">
        <f t="shared" si="277"/>
        <v>0.10597932147354357</v>
      </c>
      <c r="P295" s="3">
        <f t="shared" si="277"/>
        <v>0.10597134013856097</v>
      </c>
      <c r="Q295" s="3">
        <f t="shared" si="277"/>
        <v>0.1058915598404893</v>
      </c>
      <c r="R295" s="3">
        <f t="shared" si="277"/>
        <v>0.10509705284357221</v>
      </c>
      <c r="S295" s="3">
        <f t="shared" si="277"/>
        <v>9.7472578809243246E-2</v>
      </c>
      <c r="T295" s="3">
        <f t="shared" si="277"/>
        <v>4.5898832899898961E-2</v>
      </c>
      <c r="U295" s="3">
        <f t="shared" si="277"/>
        <v>2.4603308144385914E-5</v>
      </c>
      <c r="V295" s="3">
        <f t="shared" si="277"/>
        <v>4.8185030686302692E-38</v>
      </c>
      <c r="W295" s="3">
        <f t="shared" si="277"/>
        <v>0</v>
      </c>
      <c r="X295" s="3">
        <f t="shared" si="277"/>
        <v>0</v>
      </c>
      <c r="Y295" s="3">
        <f t="shared" si="277"/>
        <v>0</v>
      </c>
      <c r="Z295" s="3">
        <f t="shared" si="277"/>
        <v>0</v>
      </c>
      <c r="AA295" s="3">
        <f t="shared" si="277"/>
        <v>0</v>
      </c>
      <c r="AB295" s="3">
        <f t="shared" si="277"/>
        <v>0</v>
      </c>
      <c r="AC295" s="3">
        <f t="shared" si="277"/>
        <v>0</v>
      </c>
      <c r="AD295" s="3">
        <f t="shared" si="277"/>
        <v>0</v>
      </c>
      <c r="AE295" s="3">
        <f t="shared" si="277"/>
        <v>0</v>
      </c>
      <c r="AF295" s="3">
        <f t="shared" si="277"/>
        <v>0</v>
      </c>
      <c r="AG295" s="3"/>
      <c r="AH295" s="3"/>
    </row>
    <row r="296" spans="2:34" x14ac:dyDescent="0.25">
      <c r="B296" s="3">
        <f t="shared" ref="B296:AF296" si="278">$C26*EXP(-B$285/$A26/EXP(-$F$126))</f>
        <v>0.12848084538695642</v>
      </c>
      <c r="C296" s="3">
        <f t="shared" si="278"/>
        <v>0.12848084538695642</v>
      </c>
      <c r="D296" s="3">
        <f t="shared" si="278"/>
        <v>0.12848084538695642</v>
      </c>
      <c r="E296" s="3">
        <f t="shared" si="278"/>
        <v>0.12848084538695639</v>
      </c>
      <c r="F296" s="3">
        <f t="shared" si="278"/>
        <v>0.12848084538695631</v>
      </c>
      <c r="G296" s="3">
        <f t="shared" si="278"/>
        <v>0.12848084538695545</v>
      </c>
      <c r="H296" s="3">
        <f t="shared" si="278"/>
        <v>0.12848084538694673</v>
      </c>
      <c r="I296" s="3">
        <f t="shared" si="278"/>
        <v>0.12848084538685944</v>
      </c>
      <c r="J296" s="3">
        <f t="shared" si="278"/>
        <v>0.12848084538598656</v>
      </c>
      <c r="K296" s="3">
        <f t="shared" si="278"/>
        <v>0.12848084537725774</v>
      </c>
      <c r="L296" s="3">
        <f t="shared" si="278"/>
        <v>0.1284808452899695</v>
      </c>
      <c r="M296" s="3">
        <f t="shared" si="278"/>
        <v>0.1284808444170871</v>
      </c>
      <c r="N296" s="3">
        <f t="shared" si="278"/>
        <v>0.12848083568826352</v>
      </c>
      <c r="O296" s="3">
        <f t="shared" si="278"/>
        <v>0.12848074840006021</v>
      </c>
      <c r="P296" s="3">
        <f t="shared" si="278"/>
        <v>0.12847987552128873</v>
      </c>
      <c r="Q296" s="3">
        <f t="shared" si="278"/>
        <v>0.12847114705972881</v>
      </c>
      <c r="R296" s="3">
        <f t="shared" si="278"/>
        <v>0.12838389505140274</v>
      </c>
      <c r="S296" s="3">
        <f t="shared" si="278"/>
        <v>0.1275146275137185</v>
      </c>
      <c r="T296" s="3">
        <f t="shared" si="278"/>
        <v>0.11913917712285253</v>
      </c>
      <c r="U296" s="3">
        <f t="shared" si="278"/>
        <v>6.0394931321048326E-2</v>
      </c>
      <c r="V296" s="3">
        <f t="shared" si="278"/>
        <v>6.7679859349721239E-5</v>
      </c>
      <c r="W296" s="3">
        <f t="shared" si="278"/>
        <v>2.1137275357577932E-34</v>
      </c>
      <c r="X296" s="3">
        <f t="shared" si="278"/>
        <v>0</v>
      </c>
      <c r="Y296" s="3">
        <f t="shared" si="278"/>
        <v>0</v>
      </c>
      <c r="Z296" s="3">
        <f t="shared" si="278"/>
        <v>0</v>
      </c>
      <c r="AA296" s="3">
        <f t="shared" si="278"/>
        <v>0</v>
      </c>
      <c r="AB296" s="3">
        <f t="shared" si="278"/>
        <v>0</v>
      </c>
      <c r="AC296" s="3">
        <f t="shared" si="278"/>
        <v>0</v>
      </c>
      <c r="AD296" s="3">
        <f t="shared" si="278"/>
        <v>0</v>
      </c>
      <c r="AE296" s="3">
        <f t="shared" si="278"/>
        <v>0</v>
      </c>
      <c r="AF296" s="3">
        <f t="shared" si="278"/>
        <v>0</v>
      </c>
      <c r="AG296" s="3"/>
      <c r="AH296" s="3"/>
    </row>
    <row r="297" spans="2:34" x14ac:dyDescent="0.25">
      <c r="B297" s="3">
        <f t="shared" ref="B297:AF297" si="279">$C27*EXP(-B$285/$A27/EXP(-$F$126))</f>
        <v>9.2499277670536229E-2</v>
      </c>
      <c r="C297" s="3">
        <f t="shared" si="279"/>
        <v>9.2499277670536229E-2</v>
      </c>
      <c r="D297" s="3">
        <f t="shared" si="279"/>
        <v>9.2499277670536229E-2</v>
      </c>
      <c r="E297" s="3">
        <f t="shared" si="279"/>
        <v>9.2499277670536229E-2</v>
      </c>
      <c r="F297" s="3">
        <f t="shared" si="279"/>
        <v>9.2499277670536215E-2</v>
      </c>
      <c r="G297" s="3">
        <f t="shared" si="279"/>
        <v>9.2499277670536173E-2</v>
      </c>
      <c r="H297" s="3">
        <f t="shared" si="279"/>
        <v>9.2499277670535604E-2</v>
      </c>
      <c r="I297" s="3">
        <f t="shared" si="279"/>
        <v>9.2499277670529928E-2</v>
      </c>
      <c r="J297" s="3">
        <f t="shared" si="279"/>
        <v>9.2499277670473237E-2</v>
      </c>
      <c r="K297" s="3">
        <f t="shared" si="279"/>
        <v>9.2499277669906343E-2</v>
      </c>
      <c r="L297" s="3">
        <f t="shared" si="279"/>
        <v>9.2499277664237406E-2</v>
      </c>
      <c r="M297" s="3">
        <f t="shared" si="279"/>
        <v>9.2499277607547947E-2</v>
      </c>
      <c r="N297" s="3">
        <f t="shared" si="279"/>
        <v>9.2499277040653388E-2</v>
      </c>
      <c r="O297" s="3">
        <f t="shared" si="279"/>
        <v>9.2499271371708117E-2</v>
      </c>
      <c r="P297" s="3">
        <f t="shared" si="279"/>
        <v>9.24992146822744E-2</v>
      </c>
      <c r="Q297" s="3">
        <f t="shared" si="279"/>
        <v>9.2498647789848176E-2</v>
      </c>
      <c r="R297" s="3">
        <f t="shared" si="279"/>
        <v>9.2492979056667077E-2</v>
      </c>
      <c r="S297" s="3">
        <f t="shared" si="279"/>
        <v>9.2436310828644216E-2</v>
      </c>
      <c r="T297" s="3">
        <f t="shared" si="279"/>
        <v>9.1871534602354948E-2</v>
      </c>
      <c r="U297" s="3">
        <f t="shared" si="279"/>
        <v>8.641012551393365E-2</v>
      </c>
      <c r="V297" s="3">
        <f t="shared" si="279"/>
        <v>4.6816752778908628E-2</v>
      </c>
      <c r="W297" s="3">
        <f t="shared" si="279"/>
        <v>1.0203937840767492E-4</v>
      </c>
      <c r="X297" s="3">
        <f t="shared" si="279"/>
        <v>2.4684990906642104E-31</v>
      </c>
      <c r="Y297" s="3">
        <f t="shared" si="279"/>
        <v>1.694668057954366E-297</v>
      </c>
      <c r="Z297" s="3">
        <f t="shared" si="279"/>
        <v>0</v>
      </c>
      <c r="AA297" s="3">
        <f t="shared" si="279"/>
        <v>0</v>
      </c>
      <c r="AB297" s="3">
        <f t="shared" si="279"/>
        <v>0</v>
      </c>
      <c r="AC297" s="3">
        <f t="shared" si="279"/>
        <v>0</v>
      </c>
      <c r="AD297" s="3">
        <f t="shared" si="279"/>
        <v>0</v>
      </c>
      <c r="AE297" s="3">
        <f t="shared" si="279"/>
        <v>0</v>
      </c>
      <c r="AF297" s="3">
        <f t="shared" si="279"/>
        <v>0</v>
      </c>
      <c r="AG297" s="3"/>
      <c r="AH297" s="3"/>
    </row>
    <row r="298" spans="2:34" x14ac:dyDescent="0.25">
      <c r="B298" s="3">
        <f t="shared" ref="B298:AF298" si="280">$C28*EXP(-B$285/$A28/EXP(-$F$126))</f>
        <v>5.52958361106754E-2</v>
      </c>
      <c r="C298" s="3">
        <f t="shared" si="280"/>
        <v>5.52958361106754E-2</v>
      </c>
      <c r="D298" s="3">
        <f t="shared" si="280"/>
        <v>5.52958361106754E-2</v>
      </c>
      <c r="E298" s="3">
        <f t="shared" si="280"/>
        <v>5.52958361106754E-2</v>
      </c>
      <c r="F298" s="3">
        <f t="shared" si="280"/>
        <v>5.52958361106754E-2</v>
      </c>
      <c r="G298" s="3">
        <f t="shared" si="280"/>
        <v>5.5295836110675393E-2</v>
      </c>
      <c r="H298" s="3">
        <f t="shared" si="280"/>
        <v>5.5295836110675366E-2</v>
      </c>
      <c r="I298" s="3">
        <f t="shared" si="280"/>
        <v>5.529583611067506E-2</v>
      </c>
      <c r="J298" s="3">
        <f t="shared" si="280"/>
        <v>5.5295836110672007E-2</v>
      </c>
      <c r="K298" s="3">
        <f t="shared" si="280"/>
        <v>5.5295836110641435E-2</v>
      </c>
      <c r="L298" s="3">
        <f t="shared" si="280"/>
        <v>5.5295836110335728E-2</v>
      </c>
      <c r="M298" s="3">
        <f t="shared" si="280"/>
        <v>5.529583610727868E-2</v>
      </c>
      <c r="N298" s="3">
        <f t="shared" si="280"/>
        <v>5.5295836076708148E-2</v>
      </c>
      <c r="O298" s="3">
        <f t="shared" si="280"/>
        <v>5.5295835771002853E-2</v>
      </c>
      <c r="P298" s="3">
        <f t="shared" si="280"/>
        <v>5.5295832713950006E-2</v>
      </c>
      <c r="Q298" s="3">
        <f t="shared" si="280"/>
        <v>5.5295802143430897E-2</v>
      </c>
      <c r="R298" s="3">
        <f t="shared" si="280"/>
        <v>5.5295496439169319E-2</v>
      </c>
      <c r="S298" s="3">
        <f t="shared" si="280"/>
        <v>5.5292439489507121E-2</v>
      </c>
      <c r="T298" s="3">
        <f t="shared" si="280"/>
        <v>5.5261879286346065E-2</v>
      </c>
      <c r="U298" s="3">
        <f t="shared" si="280"/>
        <v>5.495720470260082E-2</v>
      </c>
      <c r="V298" s="3">
        <f t="shared" si="280"/>
        <v>5.2001334229954073E-2</v>
      </c>
      <c r="W298" s="3">
        <f t="shared" si="280"/>
        <v>2.9916652982959011E-2</v>
      </c>
      <c r="X298" s="3">
        <f t="shared" si="280"/>
        <v>1.1882236040828881E-4</v>
      </c>
      <c r="Y298" s="3">
        <f t="shared" si="280"/>
        <v>1.1607799299039656E-28</v>
      </c>
      <c r="Z298" s="3">
        <f t="shared" si="280"/>
        <v>9.1889743906690869E-269</v>
      </c>
      <c r="AA298" s="3">
        <f t="shared" si="280"/>
        <v>0</v>
      </c>
      <c r="AB298" s="3">
        <f t="shared" si="280"/>
        <v>0</v>
      </c>
      <c r="AC298" s="3">
        <f t="shared" si="280"/>
        <v>0</v>
      </c>
      <c r="AD298" s="3">
        <f t="shared" si="280"/>
        <v>0</v>
      </c>
      <c r="AE298" s="3">
        <f t="shared" si="280"/>
        <v>0</v>
      </c>
      <c r="AF298" s="3">
        <f t="shared" si="280"/>
        <v>0</v>
      </c>
      <c r="AG298" s="3"/>
      <c r="AH298" s="3"/>
    </row>
    <row r="299" spans="2:34" x14ac:dyDescent="0.25">
      <c r="B299" s="3">
        <f t="shared" ref="B299:AF299" si="281">$C29*EXP(-B$285/$A29/EXP(-$F$126))</f>
        <v>3.0991280928739252E-2</v>
      </c>
      <c r="C299" s="3">
        <f t="shared" si="281"/>
        <v>3.0991280928739252E-2</v>
      </c>
      <c r="D299" s="3">
        <f t="shared" si="281"/>
        <v>3.0991280928739252E-2</v>
      </c>
      <c r="E299" s="3">
        <f t="shared" si="281"/>
        <v>3.0991280928739252E-2</v>
      </c>
      <c r="F299" s="3">
        <f t="shared" si="281"/>
        <v>3.0991280928739252E-2</v>
      </c>
      <c r="G299" s="3">
        <f t="shared" si="281"/>
        <v>3.0991280928739252E-2</v>
      </c>
      <c r="H299" s="3">
        <f t="shared" si="281"/>
        <v>3.0991280928739252E-2</v>
      </c>
      <c r="I299" s="3">
        <f t="shared" si="281"/>
        <v>3.0991280928739234E-2</v>
      </c>
      <c r="J299" s="3">
        <f t="shared" si="281"/>
        <v>3.0991280928739078E-2</v>
      </c>
      <c r="K299" s="3">
        <f t="shared" si="281"/>
        <v>3.0991280928737534E-2</v>
      </c>
      <c r="L299" s="3">
        <f t="shared" si="281"/>
        <v>3.0991280928722078E-2</v>
      </c>
      <c r="M299" s="3">
        <f t="shared" si="281"/>
        <v>3.0991280928567518E-2</v>
      </c>
      <c r="N299" s="3">
        <f t="shared" si="281"/>
        <v>3.0991280927021921E-2</v>
      </c>
      <c r="O299" s="3">
        <f t="shared" si="281"/>
        <v>3.0991280911565937E-2</v>
      </c>
      <c r="P299" s="3">
        <f t="shared" si="281"/>
        <v>3.09912807570061E-2</v>
      </c>
      <c r="Q299" s="3">
        <f t="shared" si="281"/>
        <v>3.0991279211407787E-2</v>
      </c>
      <c r="R299" s="3">
        <f t="shared" si="281"/>
        <v>3.0991263755428884E-2</v>
      </c>
      <c r="S299" s="3">
        <f t="shared" si="281"/>
        <v>3.0991109196063783E-2</v>
      </c>
      <c r="T299" s="3">
        <f t="shared" si="281"/>
        <v>3.098956364480708E-2</v>
      </c>
      <c r="U299" s="3">
        <f t="shared" si="281"/>
        <v>3.0974112370888766E-2</v>
      </c>
      <c r="V299" s="3">
        <f t="shared" si="281"/>
        <v>3.0820022715471383E-2</v>
      </c>
      <c r="W299" s="3">
        <f t="shared" si="281"/>
        <v>2.9320664141250657E-2</v>
      </c>
      <c r="X299" s="3">
        <f t="shared" si="281"/>
        <v>1.7806652818598379E-2</v>
      </c>
      <c r="Y299" s="3">
        <f t="shared" si="281"/>
        <v>1.2152543120022471E-4</v>
      </c>
      <c r="Z299" s="3">
        <f t="shared" si="281"/>
        <v>2.6638880264366787E-26</v>
      </c>
      <c r="AA299" s="3">
        <f t="shared" si="281"/>
        <v>6.8234484756824678E-243</v>
      </c>
      <c r="AB299" s="3">
        <f t="shared" si="281"/>
        <v>0</v>
      </c>
      <c r="AC299" s="3">
        <f t="shared" si="281"/>
        <v>0</v>
      </c>
      <c r="AD299" s="3">
        <f t="shared" si="281"/>
        <v>0</v>
      </c>
      <c r="AE299" s="3">
        <f t="shared" si="281"/>
        <v>0</v>
      </c>
      <c r="AF299" s="3">
        <f t="shared" si="281"/>
        <v>0</v>
      </c>
      <c r="AG299" s="3"/>
      <c r="AH299" s="3"/>
    </row>
    <row r="300" spans="2:34" x14ac:dyDescent="0.25">
      <c r="B300" s="3">
        <f t="shared" ref="B300:AF300" si="282">$C30*EXP(-B$285/$A30/EXP(-$F$126))</f>
        <v>6.4185010590350885E-3</v>
      </c>
      <c r="C300" s="3">
        <f t="shared" si="282"/>
        <v>6.4185010590350885E-3</v>
      </c>
      <c r="D300" s="3">
        <f t="shared" si="282"/>
        <v>6.4185010590350885E-3</v>
      </c>
      <c r="E300" s="3">
        <f t="shared" si="282"/>
        <v>6.4185010590350885E-3</v>
      </c>
      <c r="F300" s="3">
        <f t="shared" si="282"/>
        <v>6.4185010590350885E-3</v>
      </c>
      <c r="G300" s="3">
        <f t="shared" si="282"/>
        <v>6.4185010590350885E-3</v>
      </c>
      <c r="H300" s="3">
        <f t="shared" si="282"/>
        <v>6.4185010590350885E-3</v>
      </c>
      <c r="I300" s="3">
        <f t="shared" si="282"/>
        <v>6.4185010590350885E-3</v>
      </c>
      <c r="J300" s="3">
        <f t="shared" si="282"/>
        <v>6.418501059035085E-3</v>
      </c>
      <c r="K300" s="3">
        <f t="shared" si="282"/>
        <v>6.4185010590350564E-3</v>
      </c>
      <c r="L300" s="3">
        <f t="shared" si="282"/>
        <v>6.4185010590347676E-3</v>
      </c>
      <c r="M300" s="3">
        <f t="shared" si="282"/>
        <v>6.4185010590318801E-3</v>
      </c>
      <c r="N300" s="3">
        <f t="shared" si="282"/>
        <v>6.4185010590030039E-3</v>
      </c>
      <c r="O300" s="3">
        <f t="shared" si="282"/>
        <v>6.4185010587142436E-3</v>
      </c>
      <c r="P300" s="3">
        <f t="shared" si="282"/>
        <v>6.4185010558266411E-3</v>
      </c>
      <c r="Q300" s="3">
        <f t="shared" si="282"/>
        <v>6.4185010269506224E-3</v>
      </c>
      <c r="R300" s="3">
        <f t="shared" si="282"/>
        <v>6.418500738190433E-3</v>
      </c>
      <c r="S300" s="3">
        <f t="shared" si="282"/>
        <v>6.4184978505892531E-3</v>
      </c>
      <c r="T300" s="3">
        <f t="shared" si="282"/>
        <v>6.4184689746489051E-3</v>
      </c>
      <c r="U300" s="3">
        <f t="shared" si="282"/>
        <v>6.4181802223903153E-3</v>
      </c>
      <c r="V300" s="3">
        <f t="shared" si="282"/>
        <v>6.4152934141747482E-3</v>
      </c>
      <c r="W300" s="3">
        <f t="shared" si="282"/>
        <v>6.3864966502825112E-3</v>
      </c>
      <c r="X300" s="3">
        <f t="shared" si="282"/>
        <v>6.1055435375985331E-3</v>
      </c>
      <c r="Y300" s="3">
        <f t="shared" si="282"/>
        <v>3.8935052974089801E-3</v>
      </c>
      <c r="Z300" s="3">
        <f t="shared" si="282"/>
        <v>4.3301719703549819E-5</v>
      </c>
      <c r="AA300" s="3">
        <f t="shared" si="282"/>
        <v>1.2535708647990042E-24</v>
      </c>
      <c r="AB300" s="3">
        <f t="shared" si="282"/>
        <v>5.1830612765095246E-220</v>
      </c>
      <c r="AC300" s="3">
        <f t="shared" si="282"/>
        <v>0</v>
      </c>
      <c r="AD300" s="3">
        <f t="shared" si="282"/>
        <v>0</v>
      </c>
      <c r="AE300" s="3">
        <f t="shared" si="282"/>
        <v>0</v>
      </c>
      <c r="AF300" s="3">
        <f t="shared" si="282"/>
        <v>0</v>
      </c>
      <c r="AG300" s="3"/>
      <c r="AH300" s="3"/>
    </row>
    <row r="301" spans="2:34" x14ac:dyDescent="0.25">
      <c r="B301" s="3">
        <f t="shared" ref="B301:AF301" si="283">$C31*EXP(-B$285/$A31/EXP(-$F$126))</f>
        <v>3.5931837599499803E-3</v>
      </c>
      <c r="C301" s="3">
        <f t="shared" si="283"/>
        <v>3.5931837599499803E-3</v>
      </c>
      <c r="D301" s="3">
        <f t="shared" si="283"/>
        <v>3.5931837599499803E-3</v>
      </c>
      <c r="E301" s="3">
        <f t="shared" si="283"/>
        <v>3.5931837599499803E-3</v>
      </c>
      <c r="F301" s="3">
        <f t="shared" si="283"/>
        <v>3.5931837599499803E-3</v>
      </c>
      <c r="G301" s="3">
        <f t="shared" si="283"/>
        <v>3.5931837599499803E-3</v>
      </c>
      <c r="H301" s="3">
        <f t="shared" si="283"/>
        <v>3.5931837599499803E-3</v>
      </c>
      <c r="I301" s="3">
        <f t="shared" si="283"/>
        <v>3.5931837599499803E-3</v>
      </c>
      <c r="J301" s="3">
        <f t="shared" si="283"/>
        <v>3.5931837599499803E-3</v>
      </c>
      <c r="K301" s="3">
        <f t="shared" si="283"/>
        <v>3.5931837599499786E-3</v>
      </c>
      <c r="L301" s="3">
        <f t="shared" si="283"/>
        <v>3.5931837599499639E-3</v>
      </c>
      <c r="M301" s="3">
        <f t="shared" si="283"/>
        <v>3.5931837599498186E-3</v>
      </c>
      <c r="N301" s="3">
        <f t="shared" si="283"/>
        <v>3.5931837599483601E-3</v>
      </c>
      <c r="O301" s="3">
        <f t="shared" si="283"/>
        <v>3.5931837599337776E-3</v>
      </c>
      <c r="P301" s="3">
        <f t="shared" si="283"/>
        <v>3.5931837597879537E-3</v>
      </c>
      <c r="Q301" s="3">
        <f t="shared" si="283"/>
        <v>3.5931837583297109E-3</v>
      </c>
      <c r="R301" s="3">
        <f t="shared" si="283"/>
        <v>3.5931837437472866E-3</v>
      </c>
      <c r="S301" s="3">
        <f t="shared" si="283"/>
        <v>3.5931835979230468E-3</v>
      </c>
      <c r="T301" s="3">
        <f t="shared" si="283"/>
        <v>3.5931821396809741E-3</v>
      </c>
      <c r="U301" s="3">
        <f t="shared" si="283"/>
        <v>3.5931675572927978E-3</v>
      </c>
      <c r="V301" s="3">
        <f t="shared" si="283"/>
        <v>3.5930217366659202E-3</v>
      </c>
      <c r="W301" s="3">
        <f t="shared" si="283"/>
        <v>3.5915638558366414E-3</v>
      </c>
      <c r="X301" s="3">
        <f t="shared" si="283"/>
        <v>3.5770175426794197E-3</v>
      </c>
      <c r="Y301" s="3">
        <f t="shared" si="283"/>
        <v>3.4347556553786691E-3</v>
      </c>
      <c r="Z301" s="3">
        <f t="shared" si="283"/>
        <v>2.2889885461314036E-3</v>
      </c>
      <c r="AA301" s="3">
        <f t="shared" si="283"/>
        <v>3.954771009353644E-5</v>
      </c>
      <c r="AB301" s="3">
        <f t="shared" si="283"/>
        <v>9.373430540913197E-23</v>
      </c>
      <c r="AC301" s="3">
        <f t="shared" si="283"/>
        <v>5.2440980351105101E-199</v>
      </c>
      <c r="AD301" s="3">
        <f t="shared" si="283"/>
        <v>0</v>
      </c>
      <c r="AE301" s="3">
        <f t="shared" si="283"/>
        <v>0</v>
      </c>
      <c r="AF301" s="3">
        <f t="shared" si="283"/>
        <v>0</v>
      </c>
      <c r="AG301" s="3"/>
      <c r="AH301" s="3"/>
    </row>
    <row r="302" spans="2:34" x14ac:dyDescent="0.25">
      <c r="B302" s="3">
        <f t="shared" ref="B302:AF302" si="284">$C32*EXP(-B$285/$A32/EXP(-$F$126))</f>
        <v>1.3759911447272116E-3</v>
      </c>
      <c r="C302" s="3">
        <f t="shared" si="284"/>
        <v>1.3759911447272116E-3</v>
      </c>
      <c r="D302" s="3">
        <f t="shared" si="284"/>
        <v>1.3759911447272116E-3</v>
      </c>
      <c r="E302" s="3">
        <f t="shared" si="284"/>
        <v>1.3759911447272116E-3</v>
      </c>
      <c r="F302" s="3">
        <f t="shared" si="284"/>
        <v>1.3759911447272116E-3</v>
      </c>
      <c r="G302" s="3">
        <f t="shared" si="284"/>
        <v>1.3759911447272116E-3</v>
      </c>
      <c r="H302" s="3">
        <f t="shared" si="284"/>
        <v>1.3759911447272116E-3</v>
      </c>
      <c r="I302" s="3">
        <f t="shared" si="284"/>
        <v>1.3759911447272116E-3</v>
      </c>
      <c r="J302" s="3">
        <f t="shared" si="284"/>
        <v>1.3759911447272116E-3</v>
      </c>
      <c r="K302" s="3">
        <f t="shared" si="284"/>
        <v>1.3759911447272116E-3</v>
      </c>
      <c r="L302" s="3">
        <f t="shared" si="284"/>
        <v>1.3759911447272109E-3</v>
      </c>
      <c r="M302" s="3">
        <f t="shared" si="284"/>
        <v>1.3759911447272059E-3</v>
      </c>
      <c r="N302" s="3">
        <f t="shared" si="284"/>
        <v>1.3759911447271556E-3</v>
      </c>
      <c r="O302" s="3">
        <f t="shared" si="284"/>
        <v>1.3759911447266519E-3</v>
      </c>
      <c r="P302" s="3">
        <f t="shared" si="284"/>
        <v>1.3759911447216145E-3</v>
      </c>
      <c r="Q302" s="3">
        <f t="shared" si="284"/>
        <v>1.3759911446712399E-3</v>
      </c>
      <c r="R302" s="3">
        <f t="shared" si="284"/>
        <v>1.3759911441674926E-3</v>
      </c>
      <c r="S302" s="3">
        <f t="shared" si="284"/>
        <v>1.375991139130022E-3</v>
      </c>
      <c r="T302" s="3">
        <f t="shared" si="284"/>
        <v>1.3759910887553161E-3</v>
      </c>
      <c r="U302" s="3">
        <f t="shared" si="284"/>
        <v>1.3759905850083581E-3</v>
      </c>
      <c r="V302" s="3">
        <f t="shared" si="284"/>
        <v>1.3759855475489224E-3</v>
      </c>
      <c r="W302" s="3">
        <f t="shared" si="284"/>
        <v>1.3759351739688628E-3</v>
      </c>
      <c r="X302" s="3">
        <f t="shared" si="284"/>
        <v>1.3754315395843317E-3</v>
      </c>
      <c r="Y302" s="3">
        <f t="shared" si="284"/>
        <v>1.3704053236215294E-3</v>
      </c>
      <c r="Z302" s="3">
        <f t="shared" si="284"/>
        <v>1.3211423667145923E-3</v>
      </c>
      <c r="AA302" s="3">
        <f t="shared" si="284"/>
        <v>9.1612650389279301E-4</v>
      </c>
      <c r="AB302" s="3">
        <f t="shared" si="284"/>
        <v>2.3551237142173711E-5</v>
      </c>
      <c r="AC302" s="3">
        <f t="shared" si="284"/>
        <v>2.968906386317346E-21</v>
      </c>
      <c r="AD302" s="3">
        <f t="shared" si="284"/>
        <v>3.0090145537130603E-180</v>
      </c>
      <c r="AE302" s="3">
        <f t="shared" si="284"/>
        <v>0</v>
      </c>
      <c r="AF302" s="3">
        <f t="shared" si="284"/>
        <v>0</v>
      </c>
      <c r="AG302" s="3"/>
      <c r="AH302" s="3"/>
    </row>
    <row r="303" spans="2:34" x14ac:dyDescent="0.25">
      <c r="B303" s="3">
        <f t="shared" ref="B303:AF303" si="285">$C33*EXP(-B$285/$A33/EXP(-$F$126))</f>
        <v>1.7729334570218164E-4</v>
      </c>
      <c r="C303" s="3">
        <f t="shared" si="285"/>
        <v>1.7729334570218164E-4</v>
      </c>
      <c r="D303" s="3">
        <f t="shared" si="285"/>
        <v>1.7729334570218164E-4</v>
      </c>
      <c r="E303" s="3">
        <f t="shared" si="285"/>
        <v>1.7729334570218164E-4</v>
      </c>
      <c r="F303" s="3">
        <f t="shared" si="285"/>
        <v>1.7729334570218164E-4</v>
      </c>
      <c r="G303" s="3">
        <f t="shared" si="285"/>
        <v>1.7729334570218164E-4</v>
      </c>
      <c r="H303" s="3">
        <f t="shared" si="285"/>
        <v>1.7729334570218164E-4</v>
      </c>
      <c r="I303" s="3">
        <f t="shared" si="285"/>
        <v>1.7729334570218164E-4</v>
      </c>
      <c r="J303" s="3">
        <f t="shared" si="285"/>
        <v>1.7729334570218164E-4</v>
      </c>
      <c r="K303" s="3">
        <f t="shared" si="285"/>
        <v>1.7729334570218164E-4</v>
      </c>
      <c r="L303" s="3">
        <f t="shared" si="285"/>
        <v>1.7729334570218164E-4</v>
      </c>
      <c r="M303" s="3">
        <f t="shared" si="285"/>
        <v>1.7729334570218159E-4</v>
      </c>
      <c r="N303" s="3">
        <f t="shared" si="285"/>
        <v>1.7729334570218099E-4</v>
      </c>
      <c r="O303" s="3">
        <f t="shared" si="285"/>
        <v>1.7729334570217514E-4</v>
      </c>
      <c r="P303" s="3">
        <f t="shared" si="285"/>
        <v>1.7729334570211659E-4</v>
      </c>
      <c r="Q303" s="3">
        <f t="shared" si="285"/>
        <v>1.7729334570153109E-4</v>
      </c>
      <c r="R303" s="3">
        <f t="shared" si="285"/>
        <v>1.7729334569567594E-4</v>
      </c>
      <c r="S303" s="3">
        <f t="shared" si="285"/>
        <v>1.7729334563712474E-4</v>
      </c>
      <c r="T303" s="3">
        <f t="shared" si="285"/>
        <v>1.7729334505161258E-4</v>
      </c>
      <c r="U303" s="3">
        <f t="shared" si="285"/>
        <v>1.7729333919649107E-4</v>
      </c>
      <c r="V303" s="3">
        <f t="shared" si="285"/>
        <v>1.7729328064528658E-4</v>
      </c>
      <c r="W303" s="3">
        <f t="shared" si="285"/>
        <v>1.7729269513430522E-4</v>
      </c>
      <c r="X303" s="3">
        <f t="shared" si="285"/>
        <v>1.7728684013084138E-4</v>
      </c>
      <c r="Y303" s="3">
        <f t="shared" si="285"/>
        <v>1.7722830072987178E-4</v>
      </c>
      <c r="Z303" s="3">
        <f t="shared" si="285"/>
        <v>1.7664396878885698E-4</v>
      </c>
      <c r="AA303" s="3">
        <f t="shared" si="285"/>
        <v>1.7090556986094446E-4</v>
      </c>
      <c r="AB303" s="3">
        <f t="shared" si="285"/>
        <v>1.2283729558671498E-4</v>
      </c>
      <c r="AC303" s="3">
        <f t="shared" si="285"/>
        <v>4.5192934540633024E-6</v>
      </c>
      <c r="AD303" s="3">
        <f t="shared" si="285"/>
        <v>2.0533997490648261E-20</v>
      </c>
      <c r="AE303" s="3">
        <f t="shared" si="285"/>
        <v>7.7002198538905688E-164</v>
      </c>
      <c r="AF303" s="3">
        <f t="shared" si="285"/>
        <v>0</v>
      </c>
      <c r="AG303" s="3"/>
      <c r="AH303" s="3"/>
    </row>
    <row r="304" spans="2:34" x14ac:dyDescent="0.25">
      <c r="B304" s="3">
        <f t="shared" ref="B304:AF304" si="286">$C34*EXP(-B$285/$A34/EXP(-$F$126))</f>
        <v>4.3065005159432222E-4</v>
      </c>
      <c r="C304" s="3">
        <f t="shared" si="286"/>
        <v>4.3065005159432222E-4</v>
      </c>
      <c r="D304" s="3">
        <f t="shared" si="286"/>
        <v>4.3065005159432222E-4</v>
      </c>
      <c r="E304" s="3">
        <f t="shared" si="286"/>
        <v>4.3065005159432222E-4</v>
      </c>
      <c r="F304" s="3">
        <f t="shared" si="286"/>
        <v>4.3065005159432222E-4</v>
      </c>
      <c r="G304" s="3">
        <f t="shared" si="286"/>
        <v>4.3065005159432222E-4</v>
      </c>
      <c r="H304" s="3">
        <f t="shared" si="286"/>
        <v>4.3065005159432222E-4</v>
      </c>
      <c r="I304" s="3">
        <f t="shared" si="286"/>
        <v>4.3065005159432222E-4</v>
      </c>
      <c r="J304" s="3">
        <f t="shared" si="286"/>
        <v>4.3065005159432222E-4</v>
      </c>
      <c r="K304" s="3">
        <f t="shared" si="286"/>
        <v>4.3065005159432222E-4</v>
      </c>
      <c r="L304" s="3">
        <f t="shared" si="286"/>
        <v>4.3065005159432222E-4</v>
      </c>
      <c r="M304" s="3">
        <f t="shared" si="286"/>
        <v>4.3065005159432222E-4</v>
      </c>
      <c r="N304" s="3">
        <f t="shared" si="286"/>
        <v>4.3065005159432205E-4</v>
      </c>
      <c r="O304" s="3">
        <f t="shared" si="286"/>
        <v>4.3065005159432081E-4</v>
      </c>
      <c r="P304" s="3">
        <f t="shared" si="286"/>
        <v>4.3065005159430796E-4</v>
      </c>
      <c r="Q304" s="3">
        <f t="shared" si="286"/>
        <v>4.3065005159417964E-4</v>
      </c>
      <c r="R304" s="3">
        <f t="shared" si="286"/>
        <v>4.3065005159289671E-4</v>
      </c>
      <c r="S304" s="3">
        <f t="shared" si="286"/>
        <v>4.3065005158006702E-4</v>
      </c>
      <c r="T304" s="3">
        <f t="shared" si="286"/>
        <v>4.3065005145177067E-4</v>
      </c>
      <c r="U304" s="3">
        <f t="shared" si="286"/>
        <v>4.3065005016880632E-4</v>
      </c>
      <c r="V304" s="3">
        <f t="shared" si="286"/>
        <v>4.3065003733916326E-4</v>
      </c>
      <c r="W304" s="3">
        <f t="shared" si="286"/>
        <v>4.3064990904275423E-4</v>
      </c>
      <c r="X304" s="3">
        <f t="shared" si="286"/>
        <v>4.3064862608076541E-4</v>
      </c>
      <c r="Y304" s="3">
        <f t="shared" si="286"/>
        <v>4.3063579667109169E-4</v>
      </c>
      <c r="Z304" s="3">
        <f t="shared" si="286"/>
        <v>4.3050752359345652E-4</v>
      </c>
      <c r="AA304" s="3">
        <f t="shared" si="286"/>
        <v>4.2922689241225276E-4</v>
      </c>
      <c r="AB304" s="3">
        <f t="shared" si="286"/>
        <v>4.1662824410066009E-4</v>
      </c>
      <c r="AC304" s="3">
        <f t="shared" si="286"/>
        <v>3.0929047900160155E-4</v>
      </c>
      <c r="AD304" s="3">
        <f t="shared" si="286"/>
        <v>1.572334629108348E-5</v>
      </c>
      <c r="AE304" s="3">
        <f t="shared" si="286"/>
        <v>1.8127138879587606E-18</v>
      </c>
      <c r="AF304" s="3">
        <f t="shared" si="286"/>
        <v>7.5192078238655232E-148</v>
      </c>
      <c r="AG304" s="3"/>
      <c r="AH304" s="3"/>
    </row>
    <row r="305" spans="1:34" x14ac:dyDescent="0.25">
      <c r="B305" s="3">
        <f t="shared" ref="B305:AF305" si="287">$C35*EXP(-B$285/$A35/EXP(-$F$126))</f>
        <v>5.9717869572018282E-4</v>
      </c>
      <c r="C305" s="3">
        <f t="shared" si="287"/>
        <v>5.9717869572018282E-4</v>
      </c>
      <c r="D305" s="3">
        <f t="shared" si="287"/>
        <v>5.9717869572018282E-4</v>
      </c>
      <c r="E305" s="3">
        <f t="shared" si="287"/>
        <v>5.9717869572018282E-4</v>
      </c>
      <c r="F305" s="3">
        <f t="shared" si="287"/>
        <v>5.9717869572018282E-4</v>
      </c>
      <c r="G305" s="3">
        <f t="shared" si="287"/>
        <v>5.9717869572018282E-4</v>
      </c>
      <c r="H305" s="3">
        <f t="shared" si="287"/>
        <v>5.9717869572018282E-4</v>
      </c>
      <c r="I305" s="3">
        <f t="shared" si="287"/>
        <v>5.9717869572018282E-4</v>
      </c>
      <c r="J305" s="3">
        <f t="shared" si="287"/>
        <v>5.9717869572018282E-4</v>
      </c>
      <c r="K305" s="3">
        <f t="shared" si="287"/>
        <v>5.9717869572018282E-4</v>
      </c>
      <c r="L305" s="3">
        <f t="shared" si="287"/>
        <v>5.9717869572018282E-4</v>
      </c>
      <c r="M305" s="3">
        <f t="shared" si="287"/>
        <v>5.9717869572018282E-4</v>
      </c>
      <c r="N305" s="3">
        <f t="shared" si="287"/>
        <v>5.9717869572018282E-4</v>
      </c>
      <c r="O305" s="3">
        <f t="shared" si="287"/>
        <v>5.971786957201826E-4</v>
      </c>
      <c r="P305" s="3">
        <f t="shared" si="287"/>
        <v>5.9717869572018098E-4</v>
      </c>
      <c r="Q305" s="3">
        <f t="shared" si="287"/>
        <v>5.9717869572016504E-4</v>
      </c>
      <c r="R305" s="3">
        <f t="shared" si="287"/>
        <v>5.9717869572000447E-4</v>
      </c>
      <c r="S305" s="3">
        <f t="shared" si="287"/>
        <v>5.9717869571839963E-4</v>
      </c>
      <c r="T305" s="3">
        <f t="shared" si="287"/>
        <v>5.9717869570235084E-4</v>
      </c>
      <c r="U305" s="3">
        <f t="shared" si="287"/>
        <v>5.9717869554186344E-4</v>
      </c>
      <c r="V305" s="3">
        <f t="shared" si="287"/>
        <v>5.9717869393698933E-4</v>
      </c>
      <c r="W305" s="3">
        <f t="shared" si="287"/>
        <v>5.9717867788824843E-4</v>
      </c>
      <c r="X305" s="3">
        <f t="shared" si="287"/>
        <v>5.971785174008629E-4</v>
      </c>
      <c r="Y305" s="3">
        <f t="shared" si="287"/>
        <v>5.9717691252938001E-4</v>
      </c>
      <c r="Z305" s="3">
        <f t="shared" si="287"/>
        <v>5.9716086405176222E-4</v>
      </c>
      <c r="AA305" s="3">
        <f t="shared" si="287"/>
        <v>5.970004029943641E-4</v>
      </c>
      <c r="AB305" s="3">
        <f t="shared" si="287"/>
        <v>5.9539816194161791E-4</v>
      </c>
      <c r="AC305" s="3">
        <f t="shared" si="287"/>
        <v>5.7961036425010918E-4</v>
      </c>
      <c r="AD305" s="3">
        <f t="shared" si="287"/>
        <v>4.4301932733386515E-4</v>
      </c>
      <c r="AE305" s="3">
        <f t="shared" si="287"/>
        <v>3.0150046066920008E-5</v>
      </c>
      <c r="AF305" s="3">
        <f t="shared" si="287"/>
        <v>6.4260048222991167E-17</v>
      </c>
      <c r="AG305" s="3"/>
      <c r="AH305" s="3"/>
    </row>
    <row r="306" spans="1:34" x14ac:dyDescent="0.25">
      <c r="B306" s="3">
        <f t="shared" ref="B306:AF306" si="288">$C36*EXP(-B$285/$A36/EXP(-$F$126))</f>
        <v>5.2966364389967348E-4</v>
      </c>
      <c r="C306" s="3">
        <f t="shared" si="288"/>
        <v>5.2966364389967348E-4</v>
      </c>
      <c r="D306" s="3">
        <f t="shared" si="288"/>
        <v>5.2966364389967348E-4</v>
      </c>
      <c r="E306" s="3">
        <f t="shared" si="288"/>
        <v>5.2966364389967348E-4</v>
      </c>
      <c r="F306" s="3">
        <f t="shared" si="288"/>
        <v>5.2966364389967348E-4</v>
      </c>
      <c r="G306" s="3">
        <f t="shared" si="288"/>
        <v>5.2966364389967348E-4</v>
      </c>
      <c r="H306" s="3">
        <f t="shared" si="288"/>
        <v>5.2966364389967348E-4</v>
      </c>
      <c r="I306" s="3">
        <f t="shared" si="288"/>
        <v>5.2966364389967348E-4</v>
      </c>
      <c r="J306" s="3">
        <f t="shared" si="288"/>
        <v>5.2966364389967348E-4</v>
      </c>
      <c r="K306" s="3">
        <f t="shared" si="288"/>
        <v>5.2966364389967348E-4</v>
      </c>
      <c r="L306" s="3">
        <f t="shared" si="288"/>
        <v>5.2966364389967348E-4</v>
      </c>
      <c r="M306" s="3">
        <f t="shared" si="288"/>
        <v>5.2966364389967348E-4</v>
      </c>
      <c r="N306" s="3">
        <f t="shared" si="288"/>
        <v>5.2966364389967348E-4</v>
      </c>
      <c r="O306" s="3">
        <f t="shared" si="288"/>
        <v>5.2966364389967348E-4</v>
      </c>
      <c r="P306" s="3">
        <f t="shared" si="288"/>
        <v>5.2966364389967337E-4</v>
      </c>
      <c r="Q306" s="3">
        <f t="shared" si="288"/>
        <v>5.2966364389967207E-4</v>
      </c>
      <c r="R306" s="3">
        <f t="shared" si="288"/>
        <v>5.2966364389965916E-4</v>
      </c>
      <c r="S306" s="3">
        <f t="shared" si="288"/>
        <v>5.296636438995308E-4</v>
      </c>
      <c r="T306" s="3">
        <f t="shared" si="288"/>
        <v>5.2966364389824677E-4</v>
      </c>
      <c r="U306" s="3">
        <f t="shared" si="288"/>
        <v>5.2966364388540624E-4</v>
      </c>
      <c r="V306" s="3">
        <f t="shared" si="288"/>
        <v>5.2966364375700071E-4</v>
      </c>
      <c r="W306" s="3">
        <f t="shared" si="288"/>
        <v>5.2966364247294636E-4</v>
      </c>
      <c r="X306" s="3">
        <f t="shared" si="288"/>
        <v>5.2966362963240263E-4</v>
      </c>
      <c r="Y306" s="3">
        <f t="shared" si="288"/>
        <v>5.2966350122698189E-4</v>
      </c>
      <c r="Z306" s="3">
        <f t="shared" si="288"/>
        <v>5.2966221717448724E-4</v>
      </c>
      <c r="AA306" s="3">
        <f t="shared" si="288"/>
        <v>5.2964937682074852E-4</v>
      </c>
      <c r="AB306" s="3">
        <f t="shared" si="288"/>
        <v>5.2952099040266506E-4</v>
      </c>
      <c r="AC306" s="3">
        <f t="shared" si="288"/>
        <v>5.2823883661758304E-4</v>
      </c>
      <c r="AD306" s="3">
        <f t="shared" si="288"/>
        <v>5.1558681404136183E-4</v>
      </c>
      <c r="AE306" s="3">
        <f t="shared" si="288"/>
        <v>4.0459130289371167E-4</v>
      </c>
      <c r="AF306" s="3">
        <f t="shared" si="288"/>
        <v>3.5823164993155002E-5</v>
      </c>
      <c r="AG306" s="3"/>
      <c r="AH306" s="3"/>
    </row>
    <row r="307" spans="1:34" x14ac:dyDescent="0.25">
      <c r="B307" s="3">
        <f t="shared" ref="B307:AF307" si="289">$C37*EXP(-B$285/$A37/EXP(-$F$126))</f>
        <v>3.7946363748828321E-4</v>
      </c>
      <c r="C307" s="3">
        <f t="shared" si="289"/>
        <v>3.7946363748828321E-4</v>
      </c>
      <c r="D307" s="3">
        <f t="shared" si="289"/>
        <v>3.7946363748828321E-4</v>
      </c>
      <c r="E307" s="3">
        <f t="shared" si="289"/>
        <v>3.7946363748828321E-4</v>
      </c>
      <c r="F307" s="3">
        <f t="shared" si="289"/>
        <v>3.7946363748828321E-4</v>
      </c>
      <c r="G307" s="3">
        <f t="shared" si="289"/>
        <v>3.7946363748828321E-4</v>
      </c>
      <c r="H307" s="3">
        <f t="shared" si="289"/>
        <v>3.7946363748828321E-4</v>
      </c>
      <c r="I307" s="3">
        <f t="shared" si="289"/>
        <v>3.7946363748828321E-4</v>
      </c>
      <c r="J307" s="3">
        <f t="shared" si="289"/>
        <v>3.7946363748828321E-4</v>
      </c>
      <c r="K307" s="3">
        <f t="shared" si="289"/>
        <v>3.7946363748828321E-4</v>
      </c>
      <c r="L307" s="3">
        <f t="shared" si="289"/>
        <v>3.7946363748828321E-4</v>
      </c>
      <c r="M307" s="3">
        <f t="shared" si="289"/>
        <v>3.7946363748828321E-4</v>
      </c>
      <c r="N307" s="3">
        <f t="shared" si="289"/>
        <v>3.7946363748828321E-4</v>
      </c>
      <c r="O307" s="3">
        <f t="shared" si="289"/>
        <v>3.7946363748828321E-4</v>
      </c>
      <c r="P307" s="3">
        <f t="shared" si="289"/>
        <v>3.7946363748828321E-4</v>
      </c>
      <c r="Q307" s="3">
        <f t="shared" si="289"/>
        <v>3.794636374882831E-4</v>
      </c>
      <c r="R307" s="3">
        <f t="shared" si="289"/>
        <v>3.7946363748828229E-4</v>
      </c>
      <c r="S307" s="3">
        <f t="shared" si="289"/>
        <v>3.79463637488274E-4</v>
      </c>
      <c r="T307" s="3">
        <f t="shared" si="289"/>
        <v>3.79463637488191E-4</v>
      </c>
      <c r="U307" s="3">
        <f t="shared" si="289"/>
        <v>3.7946363748736115E-4</v>
      </c>
      <c r="V307" s="3">
        <f t="shared" si="289"/>
        <v>3.7946363747906267E-4</v>
      </c>
      <c r="W307" s="3">
        <f t="shared" si="289"/>
        <v>3.7946363739607756E-4</v>
      </c>
      <c r="X307" s="3">
        <f t="shared" si="289"/>
        <v>3.7946363656622678E-4</v>
      </c>
      <c r="Y307" s="3">
        <f t="shared" si="289"/>
        <v>3.7946362826771896E-4</v>
      </c>
      <c r="Z307" s="3">
        <f t="shared" si="289"/>
        <v>3.7946354528265044E-4</v>
      </c>
      <c r="AA307" s="3">
        <f t="shared" si="289"/>
        <v>3.7946271543296375E-4</v>
      </c>
      <c r="AB307" s="3">
        <f t="shared" si="289"/>
        <v>3.7945441703590997E-4</v>
      </c>
      <c r="AC307" s="3">
        <f t="shared" si="289"/>
        <v>3.7937144304590057E-4</v>
      </c>
      <c r="AD307" s="3">
        <f t="shared" si="289"/>
        <v>3.7854270039147842E-4</v>
      </c>
      <c r="AE307" s="3">
        <f t="shared" si="289"/>
        <v>3.7035419618701155E-4</v>
      </c>
      <c r="AF307" s="3">
        <f t="shared" si="289"/>
        <v>2.976056741329251E-4</v>
      </c>
      <c r="AG307" s="3"/>
      <c r="AH307" s="3"/>
    </row>
    <row r="308" spans="1:34" x14ac:dyDescent="0.25">
      <c r="B308" s="3">
        <f t="shared" ref="B308:AF308" si="290">$C38*EXP(-B$285/$A38/EXP(-$F$126))</f>
        <v>2.9006625777866605E-4</v>
      </c>
      <c r="C308" s="3">
        <f t="shared" si="290"/>
        <v>2.9006625777866605E-4</v>
      </c>
      <c r="D308" s="3">
        <f t="shared" si="290"/>
        <v>2.9006625777866605E-4</v>
      </c>
      <c r="E308" s="3">
        <f t="shared" si="290"/>
        <v>2.9006625777866605E-4</v>
      </c>
      <c r="F308" s="3">
        <f t="shared" si="290"/>
        <v>2.9006625777866605E-4</v>
      </c>
      <c r="G308" s="3">
        <f t="shared" si="290"/>
        <v>2.9006625777866605E-4</v>
      </c>
      <c r="H308" s="3">
        <f t="shared" si="290"/>
        <v>2.9006625777866605E-4</v>
      </c>
      <c r="I308" s="3">
        <f t="shared" si="290"/>
        <v>2.9006625777866605E-4</v>
      </c>
      <c r="J308" s="3">
        <f t="shared" si="290"/>
        <v>2.9006625777866605E-4</v>
      </c>
      <c r="K308" s="3">
        <f t="shared" si="290"/>
        <v>2.9006625777866605E-4</v>
      </c>
      <c r="L308" s="3">
        <f t="shared" si="290"/>
        <v>2.9006625777866605E-4</v>
      </c>
      <c r="M308" s="3">
        <f t="shared" si="290"/>
        <v>2.9006625777866605E-4</v>
      </c>
      <c r="N308" s="3">
        <f t="shared" si="290"/>
        <v>2.9006625777866605E-4</v>
      </c>
      <c r="O308" s="3">
        <f t="shared" si="290"/>
        <v>2.9006625777866605E-4</v>
      </c>
      <c r="P308" s="3">
        <f t="shared" si="290"/>
        <v>2.9006625777866605E-4</v>
      </c>
      <c r="Q308" s="3">
        <f t="shared" si="290"/>
        <v>2.9006625777866605E-4</v>
      </c>
      <c r="R308" s="3">
        <f t="shared" si="290"/>
        <v>2.9006625777866599E-4</v>
      </c>
      <c r="S308" s="3">
        <f t="shared" si="290"/>
        <v>2.9006625777866539E-4</v>
      </c>
      <c r="T308" s="3">
        <f t="shared" si="290"/>
        <v>2.900662577786597E-4</v>
      </c>
      <c r="U308" s="3">
        <f t="shared" si="290"/>
        <v>2.9006625777860246E-4</v>
      </c>
      <c r="V308" s="3">
        <f t="shared" si="290"/>
        <v>2.9006625777803027E-4</v>
      </c>
      <c r="W308" s="3">
        <f t="shared" si="290"/>
        <v>2.900662577723079E-4</v>
      </c>
      <c r="X308" s="3">
        <f t="shared" si="290"/>
        <v>2.9006625771508447E-4</v>
      </c>
      <c r="Y308" s="3">
        <f t="shared" si="290"/>
        <v>2.9006625714285048E-4</v>
      </c>
      <c r="Z308" s="3">
        <f t="shared" si="290"/>
        <v>2.9006625142051067E-4</v>
      </c>
      <c r="AA308" s="3">
        <f t="shared" si="290"/>
        <v>2.9006619419711836E-4</v>
      </c>
      <c r="AB308" s="3">
        <f t="shared" si="290"/>
        <v>2.9006562196381633E-4</v>
      </c>
      <c r="AC308" s="3">
        <f t="shared" si="290"/>
        <v>2.90059899692884E-4</v>
      </c>
      <c r="AD308" s="3">
        <f t="shared" si="290"/>
        <v>2.9000268319193069E-4</v>
      </c>
      <c r="AE308" s="3">
        <f t="shared" si="290"/>
        <v>2.8943113856642704E-4</v>
      </c>
      <c r="AF308" s="3">
        <f t="shared" si="290"/>
        <v>2.837772802602463E-4</v>
      </c>
      <c r="AG308" s="3"/>
      <c r="AH308" s="3"/>
    </row>
    <row r="309" spans="1:34" x14ac:dyDescent="0.25">
      <c r="B309" s="3">
        <f t="shared" ref="B309:AF309" si="291">$C39*EXP(-B$285/$A39/EXP(-$F$126))</f>
        <v>0</v>
      </c>
      <c r="C309" s="3">
        <f t="shared" si="291"/>
        <v>0</v>
      </c>
      <c r="D309" s="3">
        <f t="shared" si="291"/>
        <v>0</v>
      </c>
      <c r="E309" s="3">
        <f t="shared" si="291"/>
        <v>0</v>
      </c>
      <c r="F309" s="3">
        <f t="shared" si="291"/>
        <v>0</v>
      </c>
      <c r="G309" s="3">
        <f t="shared" si="291"/>
        <v>0</v>
      </c>
      <c r="H309" s="3">
        <f t="shared" si="291"/>
        <v>0</v>
      </c>
      <c r="I309" s="3">
        <f t="shared" si="291"/>
        <v>0</v>
      </c>
      <c r="J309" s="3">
        <f t="shared" si="291"/>
        <v>0</v>
      </c>
      <c r="K309" s="3">
        <f t="shared" si="291"/>
        <v>0</v>
      </c>
      <c r="L309" s="3">
        <f t="shared" si="291"/>
        <v>0</v>
      </c>
      <c r="M309" s="3">
        <f t="shared" si="291"/>
        <v>0</v>
      </c>
      <c r="N309" s="3">
        <f t="shared" si="291"/>
        <v>0</v>
      </c>
      <c r="O309" s="3">
        <f t="shared" si="291"/>
        <v>0</v>
      </c>
      <c r="P309" s="3">
        <f t="shared" si="291"/>
        <v>0</v>
      </c>
      <c r="Q309" s="3">
        <f t="shared" si="291"/>
        <v>0</v>
      </c>
      <c r="R309" s="3">
        <f t="shared" si="291"/>
        <v>0</v>
      </c>
      <c r="S309" s="3">
        <f t="shared" si="291"/>
        <v>0</v>
      </c>
      <c r="T309" s="3">
        <f t="shared" si="291"/>
        <v>0</v>
      </c>
      <c r="U309" s="3">
        <f t="shared" si="291"/>
        <v>0</v>
      </c>
      <c r="V309" s="3">
        <f t="shared" si="291"/>
        <v>0</v>
      </c>
      <c r="W309" s="3">
        <f t="shared" si="291"/>
        <v>0</v>
      </c>
      <c r="X309" s="3">
        <f t="shared" si="291"/>
        <v>0</v>
      </c>
      <c r="Y309" s="3">
        <f t="shared" si="291"/>
        <v>0</v>
      </c>
      <c r="Z309" s="3">
        <f t="shared" si="291"/>
        <v>0</v>
      </c>
      <c r="AA309" s="3">
        <f t="shared" si="291"/>
        <v>0</v>
      </c>
      <c r="AB309" s="3">
        <f t="shared" si="291"/>
        <v>0</v>
      </c>
      <c r="AC309" s="3">
        <f t="shared" si="291"/>
        <v>0</v>
      </c>
      <c r="AD309" s="3">
        <f t="shared" si="291"/>
        <v>0</v>
      </c>
      <c r="AE309" s="3">
        <f t="shared" si="291"/>
        <v>0</v>
      </c>
      <c r="AF309" s="3">
        <f t="shared" si="291"/>
        <v>0</v>
      </c>
      <c r="AG309" s="3"/>
      <c r="AH309" s="3"/>
    </row>
    <row r="310" spans="1:34" x14ac:dyDescent="0.25">
      <c r="B310" s="3">
        <f t="shared" ref="B310:AF310" si="292">$C40*EXP(-B$285/$A40/EXP(-$F$126))</f>
        <v>3.0334619433978663E-4</v>
      </c>
      <c r="C310" s="3">
        <f t="shared" si="292"/>
        <v>3.0334619433978663E-4</v>
      </c>
      <c r="D310" s="3">
        <f t="shared" si="292"/>
        <v>3.0334619433978663E-4</v>
      </c>
      <c r="E310" s="3">
        <f t="shared" si="292"/>
        <v>3.0334619433978663E-4</v>
      </c>
      <c r="F310" s="3">
        <f t="shared" si="292"/>
        <v>3.0334619433978663E-4</v>
      </c>
      <c r="G310" s="3">
        <f t="shared" si="292"/>
        <v>3.0334619433978663E-4</v>
      </c>
      <c r="H310" s="3">
        <f t="shared" si="292"/>
        <v>3.0334619433978663E-4</v>
      </c>
      <c r="I310" s="3">
        <f t="shared" si="292"/>
        <v>3.0334619433978663E-4</v>
      </c>
      <c r="J310" s="3">
        <f t="shared" si="292"/>
        <v>3.0334619433978663E-4</v>
      </c>
      <c r="K310" s="3">
        <f t="shared" si="292"/>
        <v>3.0334619433978663E-4</v>
      </c>
      <c r="L310" s="3">
        <f t="shared" si="292"/>
        <v>3.0334619433978663E-4</v>
      </c>
      <c r="M310" s="3">
        <f t="shared" si="292"/>
        <v>3.0334619433978663E-4</v>
      </c>
      <c r="N310" s="3">
        <f t="shared" si="292"/>
        <v>3.0334619433978663E-4</v>
      </c>
      <c r="O310" s="3">
        <f t="shared" si="292"/>
        <v>3.0334619433978663E-4</v>
      </c>
      <c r="P310" s="3">
        <f t="shared" si="292"/>
        <v>3.0334619433978663E-4</v>
      </c>
      <c r="Q310" s="3">
        <f t="shared" si="292"/>
        <v>3.0334619433978663E-4</v>
      </c>
      <c r="R310" s="3">
        <f t="shared" si="292"/>
        <v>3.0334619433978663E-4</v>
      </c>
      <c r="S310" s="3">
        <f t="shared" si="292"/>
        <v>3.0334619433978658E-4</v>
      </c>
      <c r="T310" s="3">
        <f t="shared" si="292"/>
        <v>3.0334619433978647E-4</v>
      </c>
      <c r="U310" s="3">
        <f t="shared" si="292"/>
        <v>3.0334619433978479E-4</v>
      </c>
      <c r="V310" s="3">
        <f t="shared" si="292"/>
        <v>3.0334619433976826E-4</v>
      </c>
      <c r="W310" s="3">
        <f t="shared" si="292"/>
        <v>3.033461943396027E-4</v>
      </c>
      <c r="X310" s="3">
        <f t="shared" si="292"/>
        <v>3.0334619433794761E-4</v>
      </c>
      <c r="Y310" s="3">
        <f t="shared" si="292"/>
        <v>3.033461943213965E-4</v>
      </c>
      <c r="Z310" s="3">
        <f t="shared" si="292"/>
        <v>3.0334619415588513E-4</v>
      </c>
      <c r="AA310" s="3">
        <f t="shared" si="292"/>
        <v>3.0334619250077131E-4</v>
      </c>
      <c r="AB310" s="3">
        <f t="shared" si="292"/>
        <v>3.0334617594963417E-4</v>
      </c>
      <c r="AC310" s="3">
        <f t="shared" si="292"/>
        <v>3.0334601043831202E-4</v>
      </c>
      <c r="AD310" s="3">
        <f t="shared" si="292"/>
        <v>3.0334435533005709E-4</v>
      </c>
      <c r="AE310" s="3">
        <f t="shared" si="292"/>
        <v>3.0332780474418074E-4</v>
      </c>
      <c r="AF310" s="3">
        <f t="shared" si="292"/>
        <v>3.0316234854264055E-4</v>
      </c>
      <c r="AG310" s="3"/>
      <c r="AH310" s="3"/>
    </row>
    <row r="311" spans="1:34" x14ac:dyDescent="0.25">
      <c r="B311" s="3">
        <f t="shared" ref="B311:AF311" si="293">$C41*EXP(-B$285/$A41/EXP(-$F$126))</f>
        <v>0</v>
      </c>
      <c r="C311" s="3">
        <f t="shared" si="293"/>
        <v>0</v>
      </c>
      <c r="D311" s="3">
        <f t="shared" si="293"/>
        <v>0</v>
      </c>
      <c r="E311" s="3">
        <f t="shared" si="293"/>
        <v>0</v>
      </c>
      <c r="F311" s="3">
        <f t="shared" si="293"/>
        <v>0</v>
      </c>
      <c r="G311" s="3">
        <f t="shared" si="293"/>
        <v>0</v>
      </c>
      <c r="H311" s="3">
        <f t="shared" si="293"/>
        <v>0</v>
      </c>
      <c r="I311" s="3">
        <f t="shared" si="293"/>
        <v>0</v>
      </c>
      <c r="J311" s="3">
        <f t="shared" si="293"/>
        <v>0</v>
      </c>
      <c r="K311" s="3">
        <f t="shared" si="293"/>
        <v>0</v>
      </c>
      <c r="L311" s="3">
        <f t="shared" si="293"/>
        <v>0</v>
      </c>
      <c r="M311" s="3">
        <f t="shared" si="293"/>
        <v>0</v>
      </c>
      <c r="N311" s="3">
        <f t="shared" si="293"/>
        <v>0</v>
      </c>
      <c r="O311" s="3">
        <f t="shared" si="293"/>
        <v>0</v>
      </c>
      <c r="P311" s="3">
        <f t="shared" si="293"/>
        <v>0</v>
      </c>
      <c r="Q311" s="3">
        <f t="shared" si="293"/>
        <v>0</v>
      </c>
      <c r="R311" s="3">
        <f t="shared" si="293"/>
        <v>0</v>
      </c>
      <c r="S311" s="3">
        <f t="shared" si="293"/>
        <v>0</v>
      </c>
      <c r="T311" s="3">
        <f t="shared" si="293"/>
        <v>0</v>
      </c>
      <c r="U311" s="3">
        <f t="shared" si="293"/>
        <v>0</v>
      </c>
      <c r="V311" s="3">
        <f t="shared" si="293"/>
        <v>0</v>
      </c>
      <c r="W311" s="3">
        <f t="shared" si="293"/>
        <v>0</v>
      </c>
      <c r="X311" s="3">
        <f t="shared" si="293"/>
        <v>0</v>
      </c>
      <c r="Y311" s="3">
        <f t="shared" si="293"/>
        <v>0</v>
      </c>
      <c r="Z311" s="3">
        <f t="shared" si="293"/>
        <v>0</v>
      </c>
      <c r="AA311" s="3">
        <f t="shared" si="293"/>
        <v>0</v>
      </c>
      <c r="AB311" s="3">
        <f t="shared" si="293"/>
        <v>0</v>
      </c>
      <c r="AC311" s="3">
        <f t="shared" si="293"/>
        <v>0</v>
      </c>
      <c r="AD311" s="3">
        <f t="shared" si="293"/>
        <v>0</v>
      </c>
      <c r="AE311" s="3">
        <f t="shared" si="293"/>
        <v>0</v>
      </c>
      <c r="AF311" s="3">
        <f t="shared" si="293"/>
        <v>0</v>
      </c>
      <c r="AG311" s="3"/>
      <c r="AH311" s="3"/>
    </row>
    <row r="312" spans="1:34" x14ac:dyDescent="0.25">
      <c r="B312" s="3">
        <f t="shared" ref="B312:AF312" si="294">$C42*EXP(-B$285/$A42/EXP(-$F$126))</f>
        <v>0</v>
      </c>
      <c r="C312" s="3">
        <f t="shared" si="294"/>
        <v>0</v>
      </c>
      <c r="D312" s="3">
        <f t="shared" si="294"/>
        <v>0</v>
      </c>
      <c r="E312" s="3">
        <f t="shared" si="294"/>
        <v>0</v>
      </c>
      <c r="F312" s="3">
        <f t="shared" si="294"/>
        <v>0</v>
      </c>
      <c r="G312" s="3">
        <f t="shared" si="294"/>
        <v>0</v>
      </c>
      <c r="H312" s="3">
        <f t="shared" si="294"/>
        <v>0</v>
      </c>
      <c r="I312" s="3">
        <f t="shared" si="294"/>
        <v>0</v>
      </c>
      <c r="J312" s="3">
        <f t="shared" si="294"/>
        <v>0</v>
      </c>
      <c r="K312" s="3">
        <f t="shared" si="294"/>
        <v>0</v>
      </c>
      <c r="L312" s="3">
        <f t="shared" si="294"/>
        <v>0</v>
      </c>
      <c r="M312" s="3">
        <f t="shared" si="294"/>
        <v>0</v>
      </c>
      <c r="N312" s="3">
        <f t="shared" si="294"/>
        <v>0</v>
      </c>
      <c r="O312" s="3">
        <f t="shared" si="294"/>
        <v>0</v>
      </c>
      <c r="P312" s="3">
        <f t="shared" si="294"/>
        <v>0</v>
      </c>
      <c r="Q312" s="3">
        <f t="shared" si="294"/>
        <v>0</v>
      </c>
      <c r="R312" s="3">
        <f t="shared" si="294"/>
        <v>0</v>
      </c>
      <c r="S312" s="3">
        <f t="shared" si="294"/>
        <v>0</v>
      </c>
      <c r="T312" s="3">
        <f t="shared" si="294"/>
        <v>0</v>
      </c>
      <c r="U312" s="3">
        <f t="shared" si="294"/>
        <v>0</v>
      </c>
      <c r="V312" s="3">
        <f t="shared" si="294"/>
        <v>0</v>
      </c>
      <c r="W312" s="3">
        <f t="shared" si="294"/>
        <v>0</v>
      </c>
      <c r="X312" s="3">
        <f t="shared" si="294"/>
        <v>0</v>
      </c>
      <c r="Y312" s="3">
        <f t="shared" si="294"/>
        <v>0</v>
      </c>
      <c r="Z312" s="3">
        <f t="shared" si="294"/>
        <v>0</v>
      </c>
      <c r="AA312" s="3">
        <f t="shared" si="294"/>
        <v>0</v>
      </c>
      <c r="AB312" s="3">
        <f t="shared" si="294"/>
        <v>0</v>
      </c>
      <c r="AC312" s="3">
        <f t="shared" si="294"/>
        <v>0</v>
      </c>
      <c r="AD312" s="3">
        <f t="shared" si="294"/>
        <v>0</v>
      </c>
      <c r="AE312" s="3">
        <f t="shared" si="294"/>
        <v>0</v>
      </c>
      <c r="AF312" s="3">
        <f t="shared" si="294"/>
        <v>0</v>
      </c>
      <c r="AG312" s="3"/>
      <c r="AH312" s="3"/>
    </row>
    <row r="313" spans="1:34" x14ac:dyDescent="0.25">
      <c r="B313" s="3">
        <f t="shared" ref="B313:AF313" si="295">$C43*EXP(-B$285/$A43/EXP(-$F$126))</f>
        <v>7.7330920795246901E-5</v>
      </c>
      <c r="C313" s="3">
        <f t="shared" si="295"/>
        <v>7.7330920795246901E-5</v>
      </c>
      <c r="D313" s="3">
        <f t="shared" si="295"/>
        <v>7.7330920795246901E-5</v>
      </c>
      <c r="E313" s="3">
        <f t="shared" si="295"/>
        <v>7.7330920795246901E-5</v>
      </c>
      <c r="F313" s="3">
        <f t="shared" si="295"/>
        <v>7.7330920795246901E-5</v>
      </c>
      <c r="G313" s="3">
        <f t="shared" si="295"/>
        <v>7.7330920795246901E-5</v>
      </c>
      <c r="H313" s="3">
        <f t="shared" si="295"/>
        <v>7.7330920795246901E-5</v>
      </c>
      <c r="I313" s="3">
        <f t="shared" si="295"/>
        <v>7.7330920795246901E-5</v>
      </c>
      <c r="J313" s="3">
        <f t="shared" si="295"/>
        <v>7.7330920795246901E-5</v>
      </c>
      <c r="K313" s="3">
        <f t="shared" si="295"/>
        <v>7.7330920795246901E-5</v>
      </c>
      <c r="L313" s="3">
        <f t="shared" si="295"/>
        <v>7.7330920795246901E-5</v>
      </c>
      <c r="M313" s="3">
        <f t="shared" si="295"/>
        <v>7.7330920795246901E-5</v>
      </c>
      <c r="N313" s="3">
        <f t="shared" si="295"/>
        <v>7.7330920795246901E-5</v>
      </c>
      <c r="O313" s="3">
        <f t="shared" si="295"/>
        <v>7.7330920795246901E-5</v>
      </c>
      <c r="P313" s="3">
        <f t="shared" si="295"/>
        <v>7.7330920795246901E-5</v>
      </c>
      <c r="Q313" s="3">
        <f t="shared" si="295"/>
        <v>7.7330920795246901E-5</v>
      </c>
      <c r="R313" s="3">
        <f t="shared" si="295"/>
        <v>7.7330920795246901E-5</v>
      </c>
      <c r="S313" s="3">
        <f t="shared" si="295"/>
        <v>7.7330920795246901E-5</v>
      </c>
      <c r="T313" s="3">
        <f t="shared" si="295"/>
        <v>7.7330920795246901E-5</v>
      </c>
      <c r="U313" s="3">
        <f t="shared" si="295"/>
        <v>7.7330920795246901E-5</v>
      </c>
      <c r="V313" s="3">
        <f t="shared" si="295"/>
        <v>7.7330920795246888E-5</v>
      </c>
      <c r="W313" s="3">
        <f t="shared" si="295"/>
        <v>7.733092079524686E-5</v>
      </c>
      <c r="X313" s="3">
        <f t="shared" si="295"/>
        <v>7.7330920795246427E-5</v>
      </c>
      <c r="Y313" s="3">
        <f t="shared" si="295"/>
        <v>7.7330920795242212E-5</v>
      </c>
      <c r="Z313" s="3">
        <f t="shared" si="295"/>
        <v>7.7330920795200009E-5</v>
      </c>
      <c r="AA313" s="3">
        <f t="shared" si="295"/>
        <v>7.7330920794778079E-5</v>
      </c>
      <c r="AB313" s="3">
        <f t="shared" si="295"/>
        <v>7.733092079055877E-5</v>
      </c>
      <c r="AC313" s="3">
        <f t="shared" si="295"/>
        <v>7.7330920748365566E-5</v>
      </c>
      <c r="AD313" s="3">
        <f t="shared" si="295"/>
        <v>7.7330920326433545E-5</v>
      </c>
      <c r="AE313" s="3">
        <f t="shared" si="295"/>
        <v>7.7330916107113502E-5</v>
      </c>
      <c r="AF313" s="3">
        <f t="shared" si="295"/>
        <v>7.7330873913925702E-5</v>
      </c>
      <c r="AG313" s="3"/>
      <c r="AH313" s="3"/>
    </row>
    <row r="314" spans="1:34" x14ac:dyDescent="0.25">
      <c r="B314" s="3">
        <f t="shared" ref="B314:AF314" si="296">$C44*EXP(-B$285/$A44/EXP(-$F$126))</f>
        <v>1.3850961695873314E-4</v>
      </c>
      <c r="C314" s="3">
        <f t="shared" si="296"/>
        <v>1.3850961695873314E-4</v>
      </c>
      <c r="D314" s="3">
        <f t="shared" si="296"/>
        <v>1.3850961695873314E-4</v>
      </c>
      <c r="E314" s="3">
        <f t="shared" si="296"/>
        <v>1.3850961695873314E-4</v>
      </c>
      <c r="F314" s="3">
        <f t="shared" si="296"/>
        <v>1.3850961695873314E-4</v>
      </c>
      <c r="G314" s="3">
        <f t="shared" si="296"/>
        <v>1.3850961695873314E-4</v>
      </c>
      <c r="H314" s="3">
        <f t="shared" si="296"/>
        <v>1.3850961695873314E-4</v>
      </c>
      <c r="I314" s="3">
        <f t="shared" si="296"/>
        <v>1.3850961695873314E-4</v>
      </c>
      <c r="J314" s="3">
        <f t="shared" si="296"/>
        <v>1.3850961695873314E-4</v>
      </c>
      <c r="K314" s="3">
        <f t="shared" si="296"/>
        <v>1.3850961695873314E-4</v>
      </c>
      <c r="L314" s="3">
        <f t="shared" si="296"/>
        <v>1.3850961695873314E-4</v>
      </c>
      <c r="M314" s="3">
        <f t="shared" si="296"/>
        <v>1.3850961695873314E-4</v>
      </c>
      <c r="N314" s="3">
        <f t="shared" si="296"/>
        <v>1.3850961695873314E-4</v>
      </c>
      <c r="O314" s="3">
        <f t="shared" si="296"/>
        <v>1.3850961695873314E-4</v>
      </c>
      <c r="P314" s="3">
        <f t="shared" si="296"/>
        <v>1.3850961695873314E-4</v>
      </c>
      <c r="Q314" s="3">
        <f t="shared" si="296"/>
        <v>1.3850961695873314E-4</v>
      </c>
      <c r="R314" s="3">
        <f t="shared" si="296"/>
        <v>1.3850961695873314E-4</v>
      </c>
      <c r="S314" s="3">
        <f t="shared" si="296"/>
        <v>1.3850961695873314E-4</v>
      </c>
      <c r="T314" s="3">
        <f t="shared" si="296"/>
        <v>1.3850961695873314E-4</v>
      </c>
      <c r="U314" s="3">
        <f t="shared" si="296"/>
        <v>1.3850961695873314E-4</v>
      </c>
      <c r="V314" s="3">
        <f t="shared" si="296"/>
        <v>1.3850961695873314E-4</v>
      </c>
      <c r="W314" s="3">
        <f t="shared" si="296"/>
        <v>1.3850961695873311E-4</v>
      </c>
      <c r="X314" s="3">
        <f t="shared" si="296"/>
        <v>1.3850961695873306E-4</v>
      </c>
      <c r="Y314" s="3">
        <f t="shared" si="296"/>
        <v>1.385096169587323E-4</v>
      </c>
      <c r="Z314" s="3">
        <f t="shared" si="296"/>
        <v>1.3850961695872473E-4</v>
      </c>
      <c r="AA314" s="3">
        <f t="shared" si="296"/>
        <v>1.3850961695864917E-4</v>
      </c>
      <c r="AB314" s="3">
        <f t="shared" si="296"/>
        <v>1.3850961695789342E-4</v>
      </c>
      <c r="AC314" s="3">
        <f t="shared" si="296"/>
        <v>1.385096169503361E-4</v>
      </c>
      <c r="AD314" s="3">
        <f t="shared" si="296"/>
        <v>1.3850961687476265E-4</v>
      </c>
      <c r="AE314" s="3">
        <f t="shared" si="296"/>
        <v>1.3850961611902818E-4</v>
      </c>
      <c r="AF314" s="3">
        <f t="shared" si="296"/>
        <v>1.3850960856168375E-4</v>
      </c>
      <c r="AG314" s="3"/>
      <c r="AH314" s="3"/>
    </row>
    <row r="315" spans="1:34" x14ac:dyDescent="0.25">
      <c r="B315" s="3">
        <f t="shared" ref="B315:AF315" si="297">$C45*EXP(-B$285/$A45/EXP(-$F$126))</f>
        <v>0</v>
      </c>
      <c r="C315" s="3">
        <f t="shared" si="297"/>
        <v>0</v>
      </c>
      <c r="D315" s="3">
        <f t="shared" si="297"/>
        <v>0</v>
      </c>
      <c r="E315" s="3">
        <f t="shared" si="297"/>
        <v>0</v>
      </c>
      <c r="F315" s="3">
        <f t="shared" si="297"/>
        <v>0</v>
      </c>
      <c r="G315" s="3">
        <f t="shared" si="297"/>
        <v>0</v>
      </c>
      <c r="H315" s="3">
        <f t="shared" si="297"/>
        <v>0</v>
      </c>
      <c r="I315" s="3">
        <f t="shared" si="297"/>
        <v>0</v>
      </c>
      <c r="J315" s="3">
        <f t="shared" si="297"/>
        <v>0</v>
      </c>
      <c r="K315" s="3">
        <f t="shared" si="297"/>
        <v>0</v>
      </c>
      <c r="L315" s="3">
        <f t="shared" si="297"/>
        <v>0</v>
      </c>
      <c r="M315" s="3">
        <f t="shared" si="297"/>
        <v>0</v>
      </c>
      <c r="N315" s="3">
        <f t="shared" si="297"/>
        <v>0</v>
      </c>
      <c r="O315" s="3">
        <f t="shared" si="297"/>
        <v>0</v>
      </c>
      <c r="P315" s="3">
        <f t="shared" si="297"/>
        <v>0</v>
      </c>
      <c r="Q315" s="3">
        <f t="shared" si="297"/>
        <v>0</v>
      </c>
      <c r="R315" s="3">
        <f t="shared" si="297"/>
        <v>0</v>
      </c>
      <c r="S315" s="3">
        <f t="shared" si="297"/>
        <v>0</v>
      </c>
      <c r="T315" s="3">
        <f t="shared" si="297"/>
        <v>0</v>
      </c>
      <c r="U315" s="3">
        <f t="shared" si="297"/>
        <v>0</v>
      </c>
      <c r="V315" s="3">
        <f t="shared" si="297"/>
        <v>0</v>
      </c>
      <c r="W315" s="3">
        <f t="shared" si="297"/>
        <v>0</v>
      </c>
      <c r="X315" s="3">
        <f t="shared" si="297"/>
        <v>0</v>
      </c>
      <c r="Y315" s="3">
        <f t="shared" si="297"/>
        <v>0</v>
      </c>
      <c r="Z315" s="3">
        <f t="shared" si="297"/>
        <v>0</v>
      </c>
      <c r="AA315" s="3">
        <f t="shared" si="297"/>
        <v>0</v>
      </c>
      <c r="AB315" s="3">
        <f t="shared" si="297"/>
        <v>0</v>
      </c>
      <c r="AC315" s="3">
        <f t="shared" si="297"/>
        <v>0</v>
      </c>
      <c r="AD315" s="3">
        <f t="shared" si="297"/>
        <v>0</v>
      </c>
      <c r="AE315" s="3">
        <f t="shared" si="297"/>
        <v>0</v>
      </c>
      <c r="AF315" s="3">
        <f t="shared" si="297"/>
        <v>0</v>
      </c>
      <c r="AG315" s="3"/>
      <c r="AH315" s="3"/>
    </row>
    <row r="316" spans="1:34" x14ac:dyDescent="0.25">
      <c r="B316" s="3">
        <f t="shared" ref="B316:AF316" si="298">$C46*EXP(-B$285/$A46/EXP(-$F$126))</f>
        <v>0</v>
      </c>
      <c r="C316" s="3">
        <f t="shared" si="298"/>
        <v>0</v>
      </c>
      <c r="D316" s="3">
        <f t="shared" si="298"/>
        <v>0</v>
      </c>
      <c r="E316" s="3">
        <f t="shared" si="298"/>
        <v>0</v>
      </c>
      <c r="F316" s="3">
        <f t="shared" si="298"/>
        <v>0</v>
      </c>
      <c r="G316" s="3">
        <f t="shared" si="298"/>
        <v>0</v>
      </c>
      <c r="H316" s="3">
        <f t="shared" si="298"/>
        <v>0</v>
      </c>
      <c r="I316" s="3">
        <f t="shared" si="298"/>
        <v>0</v>
      </c>
      <c r="J316" s="3">
        <f t="shared" si="298"/>
        <v>0</v>
      </c>
      <c r="K316" s="3">
        <f t="shared" si="298"/>
        <v>0</v>
      </c>
      <c r="L316" s="3">
        <f t="shared" si="298"/>
        <v>0</v>
      </c>
      <c r="M316" s="3">
        <f t="shared" si="298"/>
        <v>0</v>
      </c>
      <c r="N316" s="3">
        <f t="shared" si="298"/>
        <v>0</v>
      </c>
      <c r="O316" s="3">
        <f t="shared" si="298"/>
        <v>0</v>
      </c>
      <c r="P316" s="3">
        <f t="shared" si="298"/>
        <v>0</v>
      </c>
      <c r="Q316" s="3">
        <f t="shared" si="298"/>
        <v>0</v>
      </c>
      <c r="R316" s="3">
        <f t="shared" si="298"/>
        <v>0</v>
      </c>
      <c r="S316" s="3">
        <f t="shared" si="298"/>
        <v>0</v>
      </c>
      <c r="T316" s="3">
        <f t="shared" si="298"/>
        <v>0</v>
      </c>
      <c r="U316" s="3">
        <f t="shared" si="298"/>
        <v>0</v>
      </c>
      <c r="V316" s="3">
        <f t="shared" si="298"/>
        <v>0</v>
      </c>
      <c r="W316" s="3">
        <f t="shared" si="298"/>
        <v>0</v>
      </c>
      <c r="X316" s="3">
        <f t="shared" si="298"/>
        <v>0</v>
      </c>
      <c r="Y316" s="3">
        <f t="shared" si="298"/>
        <v>0</v>
      </c>
      <c r="Z316" s="3">
        <f t="shared" si="298"/>
        <v>0</v>
      </c>
      <c r="AA316" s="3">
        <f t="shared" si="298"/>
        <v>0</v>
      </c>
      <c r="AB316" s="3">
        <f t="shared" si="298"/>
        <v>0</v>
      </c>
      <c r="AC316" s="3">
        <f t="shared" si="298"/>
        <v>0</v>
      </c>
      <c r="AD316" s="3">
        <f t="shared" si="298"/>
        <v>0</v>
      </c>
      <c r="AE316" s="3">
        <f t="shared" si="298"/>
        <v>0</v>
      </c>
      <c r="AF316" s="3">
        <f t="shared" si="298"/>
        <v>0</v>
      </c>
      <c r="AG316" s="3"/>
      <c r="AH316" s="3"/>
    </row>
    <row r="317" spans="1:34" x14ac:dyDescent="0.25">
      <c r="B317" s="3">
        <f t="shared" ref="B317:AF317" si="299">$C47*EXP(-B$285/$A47/EXP(-$F$126))</f>
        <v>0</v>
      </c>
      <c r="C317" s="3">
        <f t="shared" si="299"/>
        <v>0</v>
      </c>
      <c r="D317" s="3">
        <f t="shared" si="299"/>
        <v>0</v>
      </c>
      <c r="E317" s="3">
        <f t="shared" si="299"/>
        <v>0</v>
      </c>
      <c r="F317" s="3">
        <f t="shared" si="299"/>
        <v>0</v>
      </c>
      <c r="G317" s="3">
        <f t="shared" si="299"/>
        <v>0</v>
      </c>
      <c r="H317" s="3">
        <f t="shared" si="299"/>
        <v>0</v>
      </c>
      <c r="I317" s="3">
        <f t="shared" si="299"/>
        <v>0</v>
      </c>
      <c r="J317" s="3">
        <f t="shared" si="299"/>
        <v>0</v>
      </c>
      <c r="K317" s="3">
        <f t="shared" si="299"/>
        <v>0</v>
      </c>
      <c r="L317" s="3">
        <f t="shared" si="299"/>
        <v>0</v>
      </c>
      <c r="M317" s="3">
        <f t="shared" si="299"/>
        <v>0</v>
      </c>
      <c r="N317" s="3">
        <f t="shared" si="299"/>
        <v>0</v>
      </c>
      <c r="O317" s="3">
        <f t="shared" si="299"/>
        <v>0</v>
      </c>
      <c r="P317" s="3">
        <f t="shared" si="299"/>
        <v>0</v>
      </c>
      <c r="Q317" s="3">
        <f t="shared" si="299"/>
        <v>0</v>
      </c>
      <c r="R317" s="3">
        <f t="shared" si="299"/>
        <v>0</v>
      </c>
      <c r="S317" s="3">
        <f t="shared" si="299"/>
        <v>0</v>
      </c>
      <c r="T317" s="3">
        <f t="shared" si="299"/>
        <v>0</v>
      </c>
      <c r="U317" s="3">
        <f t="shared" si="299"/>
        <v>0</v>
      </c>
      <c r="V317" s="3">
        <f t="shared" si="299"/>
        <v>0</v>
      </c>
      <c r="W317" s="3">
        <f t="shared" si="299"/>
        <v>0</v>
      </c>
      <c r="X317" s="3">
        <f t="shared" si="299"/>
        <v>0</v>
      </c>
      <c r="Y317" s="3">
        <f t="shared" si="299"/>
        <v>0</v>
      </c>
      <c r="Z317" s="3">
        <f t="shared" si="299"/>
        <v>0</v>
      </c>
      <c r="AA317" s="3">
        <f t="shared" si="299"/>
        <v>0</v>
      </c>
      <c r="AB317" s="3">
        <f t="shared" si="299"/>
        <v>0</v>
      </c>
      <c r="AC317" s="3">
        <f t="shared" si="299"/>
        <v>0</v>
      </c>
      <c r="AD317" s="3">
        <f t="shared" si="299"/>
        <v>0</v>
      </c>
      <c r="AE317" s="3">
        <f t="shared" si="299"/>
        <v>0</v>
      </c>
      <c r="AF317" s="3">
        <f t="shared" si="299"/>
        <v>0</v>
      </c>
      <c r="AG317" s="3"/>
      <c r="AH317" s="3"/>
    </row>
    <row r="318" spans="1:34" x14ac:dyDescent="0.25">
      <c r="B318" s="3">
        <f t="shared" ref="B318:AF318" si="300">$C48*EXP(-B$285/$A48/EXP(-$F$126))</f>
        <v>3.8158806353945737E-4</v>
      </c>
      <c r="C318" s="3">
        <f t="shared" si="300"/>
        <v>3.8158806353945737E-4</v>
      </c>
      <c r="D318" s="3">
        <f t="shared" si="300"/>
        <v>3.8158806353945737E-4</v>
      </c>
      <c r="E318" s="3">
        <f t="shared" si="300"/>
        <v>3.8158806353945737E-4</v>
      </c>
      <c r="F318" s="3">
        <f t="shared" si="300"/>
        <v>3.8158806353945737E-4</v>
      </c>
      <c r="G318" s="3">
        <f t="shared" si="300"/>
        <v>3.8158806353945737E-4</v>
      </c>
      <c r="H318" s="3">
        <f t="shared" si="300"/>
        <v>3.8158806353945737E-4</v>
      </c>
      <c r="I318" s="3">
        <f t="shared" si="300"/>
        <v>3.8158806353945737E-4</v>
      </c>
      <c r="J318" s="3">
        <f t="shared" si="300"/>
        <v>3.8158806353945737E-4</v>
      </c>
      <c r="K318" s="3">
        <f t="shared" si="300"/>
        <v>3.8158806353945737E-4</v>
      </c>
      <c r="L318" s="3">
        <f t="shared" si="300"/>
        <v>3.8158806353945737E-4</v>
      </c>
      <c r="M318" s="3">
        <f t="shared" si="300"/>
        <v>3.8158806353945737E-4</v>
      </c>
      <c r="N318" s="3">
        <f t="shared" si="300"/>
        <v>3.8158806353945737E-4</v>
      </c>
      <c r="O318" s="3">
        <f t="shared" si="300"/>
        <v>3.8158806353945737E-4</v>
      </c>
      <c r="P318" s="3">
        <f t="shared" si="300"/>
        <v>3.8158806353945737E-4</v>
      </c>
      <c r="Q318" s="3">
        <f t="shared" si="300"/>
        <v>3.8158806353945737E-4</v>
      </c>
      <c r="R318" s="3">
        <f t="shared" si="300"/>
        <v>3.8158806353945737E-4</v>
      </c>
      <c r="S318" s="3">
        <f t="shared" si="300"/>
        <v>3.8158806353945737E-4</v>
      </c>
      <c r="T318" s="3">
        <f t="shared" si="300"/>
        <v>3.8158806353945737E-4</v>
      </c>
      <c r="U318" s="3">
        <f t="shared" si="300"/>
        <v>3.8158806353945737E-4</v>
      </c>
      <c r="V318" s="3">
        <f t="shared" si="300"/>
        <v>3.8158806353945737E-4</v>
      </c>
      <c r="W318" s="3">
        <f t="shared" si="300"/>
        <v>3.8158806353945737E-4</v>
      </c>
      <c r="X318" s="3">
        <f t="shared" si="300"/>
        <v>3.8158806353945737E-4</v>
      </c>
      <c r="Y318" s="3">
        <f t="shared" si="300"/>
        <v>3.8158806353945737E-4</v>
      </c>
      <c r="Z318" s="3">
        <f t="shared" si="300"/>
        <v>3.8158806353945737E-4</v>
      </c>
      <c r="AA318" s="3">
        <f t="shared" si="300"/>
        <v>3.8158806353945731E-4</v>
      </c>
      <c r="AB318" s="3">
        <f t="shared" si="300"/>
        <v>3.8158806353945715E-4</v>
      </c>
      <c r="AC318" s="3">
        <f t="shared" si="300"/>
        <v>3.8158806353945504E-4</v>
      </c>
      <c r="AD318" s="3">
        <f t="shared" si="300"/>
        <v>3.8158806353943422E-4</v>
      </c>
      <c r="AE318" s="3">
        <f t="shared" si="300"/>
        <v>3.81588063539226E-4</v>
      </c>
      <c r="AF318" s="3">
        <f t="shared" si="300"/>
        <v>3.81588063537144E-4</v>
      </c>
      <c r="AG318" s="3"/>
      <c r="AH318" s="3"/>
    </row>
    <row r="319" spans="1:34" x14ac:dyDescent="0.25">
      <c r="A319" s="79">
        <f>AVERAGE(B319:AF319)</f>
        <v>8.0553213270344141E-3</v>
      </c>
      <c r="B319" s="80">
        <f>IF($A$64&lt;=B285,IF($B$64&gt;=B285,ABS((B287-B286)/B286),0),0)</f>
        <v>0</v>
      </c>
      <c r="C319" s="80">
        <f t="shared" ref="C319:AF319" si="301">IF($A$64&lt;=C285,IF($B$64&gt;=C285,ABS((C287-C286)/C286),0),0)</f>
        <v>0</v>
      </c>
      <c r="D319" s="80">
        <f t="shared" si="301"/>
        <v>0</v>
      </c>
      <c r="E319" s="80">
        <f t="shared" si="301"/>
        <v>0</v>
      </c>
      <c r="F319" s="80">
        <f t="shared" si="301"/>
        <v>0</v>
      </c>
      <c r="G319" s="80">
        <f t="shared" si="301"/>
        <v>0</v>
      </c>
      <c r="H319" s="80">
        <f t="shared" si="301"/>
        <v>0</v>
      </c>
      <c r="I319" s="80">
        <f t="shared" si="301"/>
        <v>0</v>
      </c>
      <c r="J319" s="80">
        <f t="shared" si="301"/>
        <v>0</v>
      </c>
      <c r="K319" s="80">
        <f t="shared" si="301"/>
        <v>0</v>
      </c>
      <c r="L319" s="80">
        <f t="shared" si="301"/>
        <v>3.0513826666032438E-2</v>
      </c>
      <c r="M319" s="80">
        <f t="shared" si="301"/>
        <v>2.5133987605719414E-3</v>
      </c>
      <c r="N319" s="80">
        <f t="shared" si="301"/>
        <v>1.8476192374835502E-2</v>
      </c>
      <c r="O319" s="80">
        <f t="shared" si="301"/>
        <v>2.0690380228041965E-2</v>
      </c>
      <c r="P319" s="80">
        <f t="shared" si="301"/>
        <v>1.9592704450384524E-2</v>
      </c>
      <c r="Q319" s="80">
        <f t="shared" si="301"/>
        <v>2.2226795229440884E-2</v>
      </c>
      <c r="R319" s="80">
        <f t="shared" si="301"/>
        <v>1.4450934790891068E-2</v>
      </c>
      <c r="S319" s="80">
        <f t="shared" si="301"/>
        <v>1.3973090439782855E-2</v>
      </c>
      <c r="T319" s="80">
        <f t="shared" si="301"/>
        <v>4.2186350416444356E-2</v>
      </c>
      <c r="U319" s="80">
        <f t="shared" si="301"/>
        <v>4.2655601108508912E-2</v>
      </c>
      <c r="V319" s="80">
        <f t="shared" si="301"/>
        <v>2.2435686673132393E-2</v>
      </c>
      <c r="W319" s="80">
        <f t="shared" si="301"/>
        <v>0</v>
      </c>
      <c r="X319" s="80">
        <f t="shared" si="301"/>
        <v>0</v>
      </c>
      <c r="Y319" s="80">
        <f t="shared" si="301"/>
        <v>0</v>
      </c>
      <c r="Z319" s="80">
        <f t="shared" si="301"/>
        <v>0</v>
      </c>
      <c r="AA319" s="80">
        <f t="shared" si="301"/>
        <v>0</v>
      </c>
      <c r="AB319" s="80">
        <f t="shared" si="301"/>
        <v>0</v>
      </c>
      <c r="AC319" s="80">
        <f t="shared" si="301"/>
        <v>0</v>
      </c>
      <c r="AD319" s="80">
        <f t="shared" si="301"/>
        <v>0</v>
      </c>
      <c r="AE319" s="80">
        <f t="shared" si="301"/>
        <v>0</v>
      </c>
      <c r="AF319" s="80">
        <f t="shared" si="301"/>
        <v>0</v>
      </c>
    </row>
    <row r="320" spans="1:34" x14ac:dyDescent="0.25">
      <c r="B320" s="21">
        <f>(B287-B286)^2</f>
        <v>2024.9546895665085</v>
      </c>
      <c r="C320" s="21">
        <f t="shared" ref="C320:AF320" si="302">(C287-C286)^2</f>
        <v>2015.2250200044418</v>
      </c>
      <c r="D320" s="21">
        <f t="shared" si="302"/>
        <v>1968.2466601612825</v>
      </c>
      <c r="E320" s="21">
        <f t="shared" si="302"/>
        <v>1505.6765746903732</v>
      </c>
      <c r="F320" s="21">
        <f t="shared" si="302"/>
        <v>231.15755324989226</v>
      </c>
      <c r="G320" s="21">
        <f t="shared" si="302"/>
        <v>172510.80605439006</v>
      </c>
      <c r="H320" s="21">
        <f t="shared" si="302"/>
        <v>782017.49260530493</v>
      </c>
      <c r="I320" s="21">
        <f t="shared" si="302"/>
        <v>544005.18956619373</v>
      </c>
      <c r="J320" s="21">
        <f t="shared" si="302"/>
        <v>320766.96308813605</v>
      </c>
      <c r="K320" s="21">
        <f t="shared" si="302"/>
        <v>134208.78730037325</v>
      </c>
      <c r="L320" s="21">
        <f t="shared" si="302"/>
        <v>28718.375323411499</v>
      </c>
      <c r="M320" s="21">
        <f t="shared" si="302"/>
        <v>177.19610808046383</v>
      </c>
      <c r="N320" s="21">
        <f t="shared" si="302"/>
        <v>8583.3006673422151</v>
      </c>
      <c r="O320" s="21">
        <f t="shared" si="302"/>
        <v>9608.8983728972289</v>
      </c>
      <c r="P320" s="21">
        <f t="shared" si="302"/>
        <v>7562.857754658934</v>
      </c>
      <c r="Q320" s="21">
        <f t="shared" si="302"/>
        <v>8367.0042740063273</v>
      </c>
      <c r="R320" s="21">
        <f t="shared" si="302"/>
        <v>2801.3550974186946</v>
      </c>
      <c r="S320" s="21">
        <f t="shared" si="302"/>
        <v>1804.1259714867269</v>
      </c>
      <c r="T320" s="21">
        <f t="shared" si="302"/>
        <v>9882.9225713214128</v>
      </c>
      <c r="U320" s="21">
        <f t="shared" si="302"/>
        <v>5041.6971236013042</v>
      </c>
      <c r="V320" s="21">
        <f t="shared" si="302"/>
        <v>544.35198349017037</v>
      </c>
      <c r="W320" s="21">
        <f t="shared" si="302"/>
        <v>65.331075219937489</v>
      </c>
      <c r="X320" s="21">
        <f t="shared" si="302"/>
        <v>2.0104514759842734E-2</v>
      </c>
      <c r="Y320" s="21">
        <f t="shared" si="302"/>
        <v>57.520150237936427</v>
      </c>
      <c r="Z320" s="21">
        <f t="shared" si="302"/>
        <v>313.46973717311369</v>
      </c>
      <c r="AA320" s="21">
        <f t="shared" si="302"/>
        <v>219.91172615999184</v>
      </c>
      <c r="AB320" s="21">
        <f t="shared" si="302"/>
        <v>308.36269132267802</v>
      </c>
      <c r="AC320" s="21">
        <f t="shared" si="302"/>
        <v>258.70965314703284</v>
      </c>
      <c r="AD320" s="21">
        <f t="shared" si="302"/>
        <v>193.35758203422458</v>
      </c>
      <c r="AE320" s="21">
        <f t="shared" si="302"/>
        <v>106.90589492709839</v>
      </c>
      <c r="AF320" s="21">
        <f t="shared" si="302"/>
        <v>58.260343563935869</v>
      </c>
      <c r="AG320" s="3"/>
      <c r="AH320" s="3"/>
    </row>
    <row r="321" spans="1:34" x14ac:dyDescent="0.25">
      <c r="A321" s="71">
        <f>SUM(B321:AF321)</f>
        <v>83092.085247714989</v>
      </c>
      <c r="B321" s="60">
        <f>IF($A$64&lt;=B285,IF($B$64&gt;=B285,ABS(B320),0),0)</f>
        <v>0</v>
      </c>
      <c r="C321" s="60">
        <f t="shared" ref="C321" si="303">IF($A$64&lt;=C285,IF($B$64&gt;=C285,ABS(C320),0),0)</f>
        <v>0</v>
      </c>
      <c r="D321" s="60">
        <f t="shared" ref="D321" si="304">IF($A$64&lt;=D285,IF($B$64&gt;=D285,ABS(D320),0),0)</f>
        <v>0</v>
      </c>
      <c r="E321" s="60">
        <f t="shared" ref="E321" si="305">IF($A$64&lt;=E285,IF($B$64&gt;=E285,ABS(E320),0),0)</f>
        <v>0</v>
      </c>
      <c r="F321" s="60">
        <f t="shared" ref="F321" si="306">IF($A$64&lt;=F285,IF($B$64&gt;=F285,ABS(F320),0),0)</f>
        <v>0</v>
      </c>
      <c r="G321" s="60">
        <f t="shared" ref="G321" si="307">IF($A$64&lt;=G285,IF($B$64&gt;=G285,ABS(G320),0),0)</f>
        <v>0</v>
      </c>
      <c r="H321" s="60">
        <f t="shared" ref="H321" si="308">IF($A$64&lt;=H285,IF($B$64&gt;=H285,ABS(H320),0),0)</f>
        <v>0</v>
      </c>
      <c r="I321" s="60">
        <f t="shared" ref="I321" si="309">IF($A$64&lt;=I285,IF($B$64&gt;=I285,ABS(I320),0),0)</f>
        <v>0</v>
      </c>
      <c r="J321" s="60">
        <f t="shared" ref="J321" si="310">IF($A$64&lt;=J285,IF($B$64&gt;=J285,ABS(J320),0),0)</f>
        <v>0</v>
      </c>
      <c r="K321" s="60">
        <f t="shared" ref="K321" si="311">IF($A$64&lt;=K285,IF($B$64&gt;=K285,ABS(K320),0),0)</f>
        <v>0</v>
      </c>
      <c r="L321" s="60">
        <f t="shared" ref="L321" si="312">IF($A$64&lt;=L285,IF($B$64&gt;=L285,ABS(L320),0),0)</f>
        <v>28718.375323411499</v>
      </c>
      <c r="M321" s="60">
        <f t="shared" ref="M321" si="313">IF($A$64&lt;=M285,IF($B$64&gt;=M285,ABS(M320),0),0)</f>
        <v>177.19610808046383</v>
      </c>
      <c r="N321" s="60">
        <f t="shared" ref="N321" si="314">IF($A$64&lt;=N285,IF($B$64&gt;=N285,ABS(N320),0),0)</f>
        <v>8583.3006673422151</v>
      </c>
      <c r="O321" s="60">
        <f t="shared" ref="O321" si="315">IF($A$64&lt;=O285,IF($B$64&gt;=O285,ABS(O320),0),0)</f>
        <v>9608.8983728972289</v>
      </c>
      <c r="P321" s="60">
        <f t="shared" ref="P321" si="316">IF($A$64&lt;=P285,IF($B$64&gt;=P285,ABS(P320),0),0)</f>
        <v>7562.857754658934</v>
      </c>
      <c r="Q321" s="60">
        <f t="shared" ref="Q321" si="317">IF($A$64&lt;=Q285,IF($B$64&gt;=Q285,ABS(Q320),0),0)</f>
        <v>8367.0042740063273</v>
      </c>
      <c r="R321" s="60">
        <f t="shared" ref="R321" si="318">IF($A$64&lt;=R285,IF($B$64&gt;=R285,ABS(R320),0),0)</f>
        <v>2801.3550974186946</v>
      </c>
      <c r="S321" s="60">
        <f t="shared" ref="S321" si="319">IF($A$64&lt;=S285,IF($B$64&gt;=S285,ABS(S320),0),0)</f>
        <v>1804.1259714867269</v>
      </c>
      <c r="T321" s="60">
        <f t="shared" ref="T321" si="320">IF($A$64&lt;=T285,IF($B$64&gt;=T285,ABS(T320),0),0)</f>
        <v>9882.9225713214128</v>
      </c>
      <c r="U321" s="60">
        <f t="shared" ref="U321" si="321">IF($A$64&lt;=U285,IF($B$64&gt;=U285,ABS(U320),0),0)</f>
        <v>5041.6971236013042</v>
      </c>
      <c r="V321" s="60">
        <f t="shared" ref="V321" si="322">IF($A$64&lt;=V285,IF($B$64&gt;=V285,ABS(V320),0),0)</f>
        <v>544.35198349017037</v>
      </c>
      <c r="W321" s="60">
        <f t="shared" ref="W321" si="323">IF($A$64&lt;=W285,IF($B$64&gt;=W285,ABS(W320),0),0)</f>
        <v>0</v>
      </c>
      <c r="X321" s="60">
        <f t="shared" ref="X321" si="324">IF($A$64&lt;=X285,IF($B$64&gt;=X285,ABS(X320),0),0)</f>
        <v>0</v>
      </c>
      <c r="Y321" s="60">
        <f t="shared" ref="Y321" si="325">IF($A$64&lt;=Y285,IF($B$64&gt;=Y285,ABS(Y320),0),0)</f>
        <v>0</v>
      </c>
      <c r="Z321" s="60">
        <f t="shared" ref="Z321" si="326">IF($A$64&lt;=Z285,IF($B$64&gt;=Z285,ABS(Z320),0),0)</f>
        <v>0</v>
      </c>
      <c r="AA321" s="60">
        <f t="shared" ref="AA321" si="327">IF($A$64&lt;=AA285,IF($B$64&gt;=AA285,ABS(AA320),0),0)</f>
        <v>0</v>
      </c>
      <c r="AB321" s="60">
        <f t="shared" ref="AB321" si="328">IF($A$64&lt;=AB285,IF($B$64&gt;=AB285,ABS(AB320),0),0)</f>
        <v>0</v>
      </c>
      <c r="AC321" s="60">
        <f t="shared" ref="AC321" si="329">IF($A$64&lt;=AC285,IF($B$64&gt;=AC285,ABS(AC320),0),0)</f>
        <v>0</v>
      </c>
      <c r="AD321" s="60">
        <f t="shared" ref="AD321" si="330">IF($A$64&lt;=AD285,IF($B$64&gt;=AD285,ABS(AD320),0),0)</f>
        <v>0</v>
      </c>
      <c r="AE321" s="60">
        <f t="shared" ref="AE321" si="331">IF($A$64&lt;=AE285,IF($B$64&gt;=AE285,ABS(AE320),0),0)</f>
        <v>0</v>
      </c>
      <c r="AF321" s="60">
        <f t="shared" ref="AF321" si="332">IF($A$64&lt;=AF285,IF($B$64&gt;=AF285,ABS(AF320),0),0)</f>
        <v>0</v>
      </c>
      <c r="AG321" s="3"/>
      <c r="AH321" s="3"/>
    </row>
    <row r="322" spans="1:34" x14ac:dyDescent="0.25">
      <c r="B322" s="38"/>
      <c r="C322" s="38"/>
      <c r="D322" s="38"/>
      <c r="E322" s="38"/>
      <c r="F322" s="38"/>
      <c r="G322" s="38"/>
      <c r="H322" s="38"/>
      <c r="I322" s="38"/>
      <c r="J322" s="38"/>
      <c r="K322" s="38"/>
      <c r="L322" s="38"/>
      <c r="M322" s="38"/>
      <c r="N322" s="38"/>
      <c r="O322" s="38"/>
      <c r="P322" s="38"/>
      <c r="Q322" s="38"/>
      <c r="R322" s="38"/>
      <c r="S322" s="38"/>
      <c r="T322" s="38"/>
      <c r="U322" s="38"/>
      <c r="V322" s="38"/>
      <c r="W322" s="38"/>
      <c r="X322" s="38"/>
      <c r="Y322" s="38"/>
      <c r="Z322" s="38"/>
      <c r="AA322" s="38"/>
      <c r="AB322" s="38"/>
      <c r="AC322" s="38"/>
      <c r="AD322" s="38"/>
      <c r="AE322" s="38"/>
      <c r="AF322" s="38"/>
      <c r="AG322" s="38"/>
      <c r="AH322" s="38"/>
    </row>
    <row r="323" spans="1:34" x14ac:dyDescent="0.25">
      <c r="A323" s="76" t="s">
        <v>27</v>
      </c>
      <c r="B323" s="11">
        <f>INDEX($D$1:$M$1,1,G122)</f>
        <v>125</v>
      </c>
    </row>
    <row r="324" spans="1:34" x14ac:dyDescent="0.25">
      <c r="A324" s="76" t="s">
        <v>17</v>
      </c>
      <c r="B324" s="22">
        <f>INDEX(Comparison!$AL$3:$AL$33,F$14,1)</f>
        <v>1.0000000000000001E-15</v>
      </c>
      <c r="C324" s="22">
        <f>INDEX(Comparison!$AL$3:$AL$33,G$14,1)</f>
        <v>1E-14</v>
      </c>
      <c r="D324" s="22">
        <f>INDEX(Comparison!$AL$3:$AL$33,H$14,1)</f>
        <v>1E-13</v>
      </c>
      <c r="E324" s="22">
        <f>INDEX(Comparison!$AL$3:$AL$33,I$14,1)</f>
        <v>9.9999999999999998E-13</v>
      </c>
      <c r="F324" s="22">
        <f>INDEX(Comparison!$AL$3:$AL$33,J$14,1)</f>
        <v>9.9999999999999994E-12</v>
      </c>
      <c r="G324" s="22">
        <f>INDEX(Comparison!$AL$3:$AL$33,K$14,1)</f>
        <v>1E-10</v>
      </c>
      <c r="H324" s="22">
        <f>INDEX(Comparison!$AL$3:$AL$33,L$14,1)</f>
        <v>1.0000000000000001E-9</v>
      </c>
      <c r="I324" s="22">
        <f>INDEX(Comparison!$AL$3:$AL$33,M$14,1)</f>
        <v>1E-8</v>
      </c>
      <c r="J324" s="22">
        <f>INDEX(Comparison!$AL$3:$AL$33,N$14,1)</f>
        <v>9.9999999999999995E-8</v>
      </c>
      <c r="K324" s="22">
        <f>INDEX(Comparison!$AL$3:$AL$33,O$14,1)</f>
        <v>9.9999999999999995E-7</v>
      </c>
      <c r="L324" s="22">
        <f>INDEX(Comparison!$AL$3:$AL$33,P$14,1)</f>
        <v>1.0000000000000001E-5</v>
      </c>
      <c r="M324" s="22">
        <f>INDEX(Comparison!$AL$3:$AL$33,Q$14,1)</f>
        <v>1E-4</v>
      </c>
      <c r="N324" s="22">
        <f>INDEX(Comparison!$AL$3:$AL$33,R$14,1)</f>
        <v>1E-3</v>
      </c>
      <c r="O324" s="22">
        <f>INDEX(Comparison!$AL$3:$AL$33,S$14,1)</f>
        <v>0.01</v>
      </c>
      <c r="P324" s="22">
        <f>INDEX(Comparison!$AL$3:$AL$33,T$14,1)</f>
        <v>0.1</v>
      </c>
      <c r="Q324" s="22">
        <f>INDEX(Comparison!$AL$3:$AL$33,U$14,1)</f>
        <v>1</v>
      </c>
      <c r="R324" s="22">
        <f>INDEX(Comparison!$AL$3:$AL$33,V$14,1)</f>
        <v>10</v>
      </c>
      <c r="S324" s="22">
        <f>INDEX(Comparison!$AL$3:$AL$33,W$14,1)</f>
        <v>100</v>
      </c>
      <c r="T324" s="22">
        <f>INDEX(Comparison!$AL$3:$AL$33,X$14,1)</f>
        <v>1000</v>
      </c>
      <c r="U324" s="22">
        <f>INDEX(Comparison!$AL$3:$AL$33,Y$14,1)</f>
        <v>10000</v>
      </c>
      <c r="V324" s="22">
        <f>INDEX(Comparison!$AL$3:$AL$33,Z$14,1)</f>
        <v>100000</v>
      </c>
      <c r="W324" s="22">
        <f>INDEX(Comparison!$AL$3:$AL$33,AA$14,1)</f>
        <v>1000000</v>
      </c>
      <c r="X324" s="22">
        <f>INDEX(Comparison!$AL$3:$AL$33,AB$14,1)</f>
        <v>10000000</v>
      </c>
      <c r="Y324" s="22">
        <f>INDEX(Comparison!$AL$3:$AL$33,AC$14,1)</f>
        <v>100000000</v>
      </c>
      <c r="Z324" s="22">
        <f>INDEX(Comparison!$AL$3:$AL$33,AD$14,1)</f>
        <v>1000000000</v>
      </c>
      <c r="AA324" s="22">
        <f>INDEX(Comparison!$AL$3:$AL$33,AE$14,1)</f>
        <v>10000000000</v>
      </c>
      <c r="AB324" s="22">
        <f>INDEX(Comparison!$AL$3:$AL$33,AF$14,1)</f>
        <v>100000000000</v>
      </c>
      <c r="AC324" s="22">
        <f>INDEX(Comparison!$AL$3:$AL$33,AG$14,1)</f>
        <v>1000000000000</v>
      </c>
      <c r="AD324" s="22">
        <f>INDEX(Comparison!$AL$3:$AL$33,AH$14,1)</f>
        <v>10000000000000</v>
      </c>
      <c r="AE324" s="22">
        <f>INDEX(Comparison!$AL$3:$AL$33,AI$14,1)</f>
        <v>100000000000000</v>
      </c>
      <c r="AF324" s="22">
        <f>INDEX(Comparison!$AL$3:$AL$33,AJ$14,1)</f>
        <v>1000000000000000</v>
      </c>
      <c r="AG324" s="22"/>
      <c r="AH324" s="22"/>
    </row>
    <row r="325" spans="1:34" x14ac:dyDescent="0.25">
      <c r="A325" s="25" t="s">
        <v>23</v>
      </c>
      <c r="B325" s="26">
        <f>INDEX(Comparison!$AM$3:$AS$33,F$14,$G$122)</f>
        <v>5863.6829549380891</v>
      </c>
      <c r="C325" s="26">
        <f>INDEX(Comparison!$AM$3:$AS$33,G$14,$G$122)</f>
        <v>5609.1927579282792</v>
      </c>
      <c r="D325" s="26">
        <f>INDEX(Comparison!$AM$3:$AS$33,H$14,$G$122)</f>
        <v>5370.7345311781783</v>
      </c>
      <c r="E325" s="26">
        <f>INDEX(Comparison!$AM$3:$AS$33,I$14,$G$122)</f>
        <v>5097.9534912421213</v>
      </c>
      <c r="F325" s="26">
        <f>INDEX(Comparison!$AM$3:$AS$33,J$14,$G$122)</f>
        <v>4821.046341164677</v>
      </c>
      <c r="G325" s="26">
        <f>INDEX(Comparison!$AM$3:$AS$33,K$14,$G$122)</f>
        <v>4535.3452020984814</v>
      </c>
      <c r="H325" s="26">
        <f>INDEX(Comparison!$AM$3:$AS$33,L$14,$G$122)</f>
        <v>4228.4929725950406</v>
      </c>
      <c r="I325" s="26">
        <f>INDEX(Comparison!$AM$3:$AS$33,M$14,$G$122)</f>
        <v>3871.0057883923755</v>
      </c>
      <c r="J325" s="26">
        <f>INDEX(Comparison!$AM$3:$AS$33,N$14,$G$122)</f>
        <v>3401.7561264704505</v>
      </c>
      <c r="K325" s="26">
        <f>INDEX(Comparison!$AM$3:$AS$33,O$14,$G$122)</f>
        <v>2827.0529060658037</v>
      </c>
      <c r="L325" s="26">
        <f>INDEX(Comparison!$AM$3:$AS$33,P$14,$G$122)</f>
        <v>2150.7951483518323</v>
      </c>
      <c r="M325" s="26">
        <f>INDEX(Comparison!$AM$3:$AS$33,Q$14,$G$122)</f>
        <v>1410.5199057082755</v>
      </c>
      <c r="N325" s="26">
        <f>INDEX(Comparison!$AM$3:$AS$33,R$14,$G$122)</f>
        <v>826.67973456797017</v>
      </c>
      <c r="O325" s="26">
        <f>INDEX(Comparison!$AM$3:$AS$33,S$14,$G$122)</f>
        <v>463.10914863390207</v>
      </c>
      <c r="P325" s="26">
        <f>INDEX(Comparison!$AM$3:$AS$33,T$14,$G$122)</f>
        <v>257.27368574751409</v>
      </c>
      <c r="Q325" s="26">
        <f>INDEX(Comparison!$AM$3:$AS$33,U$14,$G$122)</f>
        <v>179.98076982609024</v>
      </c>
      <c r="R325" s="26">
        <f>INDEX(Comparison!$AM$3:$AS$33,V$14,$G$122)</f>
        <v>157.55849658546879</v>
      </c>
      <c r="S325" s="26">
        <f>INDEX(Comparison!$AM$3:$AS$33,W$14,$G$122)</f>
        <v>143.13037816485394</v>
      </c>
      <c r="T325" s="26">
        <f>INDEX(Comparison!$AM$3:$AS$33,X$14,$G$122)</f>
        <v>139.03929298884987</v>
      </c>
      <c r="U325" s="26">
        <f>INDEX(Comparison!$AM$3:$AS$33,Y$14,$G$122)</f>
        <v>135.60631839895524</v>
      </c>
      <c r="V325" s="26">
        <f>INDEX(Comparison!$AM$3:$AS$33,Z$14,$G$122)</f>
        <v>132.22937471479068</v>
      </c>
      <c r="W325" s="26">
        <f>INDEX(Comparison!$AM$3:$AS$33,AA$14,$G$122)</f>
        <v>129.58780540541244</v>
      </c>
      <c r="X325" s="26">
        <f>INDEX(Comparison!$AM$3:$AS$33,AB$14,$G$122)</f>
        <v>127.7135675720335</v>
      </c>
      <c r="Y325" s="26">
        <f>INDEX(Comparison!$AM$3:$AS$33,AC$14,$G$122)</f>
        <v>126.4367312836393</v>
      </c>
      <c r="Z325" s="26">
        <f>INDEX(Comparison!$AM$3:$AS$33,AD$14,$G$122)</f>
        <v>125.52960401951817</v>
      </c>
      <c r="AA325" s="26">
        <f>INDEX(Comparison!$AM$3:$AS$33,AE$14,$G$122)</f>
        <v>124.83927834622055</v>
      </c>
      <c r="AB325" s="26">
        <f>INDEX(Comparison!$AM$3:$AS$33,AF$14,$G$122)</f>
        <v>124.70417941781746</v>
      </c>
      <c r="AC325" s="26">
        <f>INDEX(Comparison!$AM$3:$AS$33,AG$14,$G$122)</f>
        <v>123.9260383626436</v>
      </c>
      <c r="AD325" s="26">
        <f>INDEX(Comparison!$AM$3:$AS$33,AH$14,$G$122)</f>
        <v>123.91358498832378</v>
      </c>
      <c r="AE325" s="26">
        <f>INDEX(Comparison!$AM$3:$AS$33,AI$14,$G$122)</f>
        <v>123.65466987195585</v>
      </c>
      <c r="AF325" s="26">
        <f>INDEX(Comparison!$AM$3:$AS$33,AJ$14,$G$122)</f>
        <v>123.64094316844046</v>
      </c>
      <c r="AG325" s="26"/>
      <c r="AH325" s="26"/>
    </row>
    <row r="326" spans="1:34" x14ac:dyDescent="0.25">
      <c r="A326" s="77" t="s">
        <v>22</v>
      </c>
      <c r="B326" s="27">
        <f>($C$17+SUM(B327:B357))*$B$51</f>
        <v>5392.95879733935</v>
      </c>
      <c r="C326" s="27">
        <f t="shared" ref="C326:AF326" si="333">($C$17+SUM(C327:C357))*$B$51</f>
        <v>5390.9084079842341</v>
      </c>
      <c r="D326" s="27">
        <f t="shared" si="333"/>
        <v>5370.7858742462813</v>
      </c>
      <c r="E326" s="27">
        <f t="shared" si="333"/>
        <v>5203.1507997049212</v>
      </c>
      <c r="F326" s="27">
        <f t="shared" si="333"/>
        <v>4773.7787408749864</v>
      </c>
      <c r="G326" s="27">
        <f t="shared" si="333"/>
        <v>4537.3502656940891</v>
      </c>
      <c r="H326" s="27">
        <f t="shared" si="333"/>
        <v>4215.0937602925324</v>
      </c>
      <c r="I326" s="27">
        <f t="shared" si="333"/>
        <v>3866.7927291084466</v>
      </c>
      <c r="J326" s="27">
        <f t="shared" si="333"/>
        <v>3394.3838965373207</v>
      </c>
      <c r="K326" s="27">
        <f t="shared" si="333"/>
        <v>2819.7578710749012</v>
      </c>
      <c r="L326" s="27">
        <f t="shared" si="333"/>
        <v>2147.7729223271303</v>
      </c>
      <c r="M326" s="27">
        <f t="shared" si="333"/>
        <v>1405.7147777476287</v>
      </c>
      <c r="N326" s="27">
        <f t="shared" si="333"/>
        <v>832.57019478736845</v>
      </c>
      <c r="O326" s="27">
        <f t="shared" si="333"/>
        <v>468.26215623359087</v>
      </c>
      <c r="P326" s="27">
        <f t="shared" si="333"/>
        <v>261.44901775280181</v>
      </c>
      <c r="Q326" s="27">
        <f t="shared" si="333"/>
        <v>184.36005645652227</v>
      </c>
      <c r="R326" s="27">
        <f t="shared" si="333"/>
        <v>158.32914320242415</v>
      </c>
      <c r="S326" s="27">
        <f t="shared" si="333"/>
        <v>145.84101054272901</v>
      </c>
      <c r="T326" s="27">
        <f t="shared" si="333"/>
        <v>141.810093690461</v>
      </c>
      <c r="U326" s="27">
        <f t="shared" si="333"/>
        <v>139.70707562436698</v>
      </c>
      <c r="V326" s="27">
        <f t="shared" si="333"/>
        <v>136.49006127246039</v>
      </c>
      <c r="W326" s="27">
        <f t="shared" si="333"/>
        <v>133.03955326220762</v>
      </c>
      <c r="X326" s="27">
        <f t="shared" si="333"/>
        <v>130.21030750287099</v>
      </c>
      <c r="Y326" s="27">
        <f t="shared" si="333"/>
        <v>128.14296068041253</v>
      </c>
      <c r="Z326" s="27">
        <f t="shared" si="333"/>
        <v>126.80743705762541</v>
      </c>
      <c r="AA326" s="27">
        <f t="shared" si="333"/>
        <v>125.52790312463338</v>
      </c>
      <c r="AB326" s="27">
        <f t="shared" si="333"/>
        <v>125.09392160979012</v>
      </c>
      <c r="AC326" s="27">
        <f t="shared" si="333"/>
        <v>125.01736844895706</v>
      </c>
      <c r="AD326" s="27">
        <f t="shared" si="333"/>
        <v>124.57830530788321</v>
      </c>
      <c r="AE326" s="27">
        <f t="shared" si="333"/>
        <v>123.88888477162732</v>
      </c>
      <c r="AF326" s="27">
        <f t="shared" si="333"/>
        <v>123.69101552926207</v>
      </c>
      <c r="AG326" s="27"/>
      <c r="AH326" s="27"/>
    </row>
    <row r="327" spans="1:34" x14ac:dyDescent="0.25">
      <c r="B327" s="3">
        <f t="shared" ref="B327:AF327" si="334">$C18*EXP(-B$363/$A18/EXP(-$G$126))</f>
        <v>0</v>
      </c>
      <c r="C327" s="3">
        <f t="shared" si="334"/>
        <v>0</v>
      </c>
      <c r="D327" s="3">
        <f t="shared" si="334"/>
        <v>0</v>
      </c>
      <c r="E327" s="3">
        <f t="shared" si="334"/>
        <v>0</v>
      </c>
      <c r="F327" s="3">
        <f t="shared" si="334"/>
        <v>0</v>
      </c>
      <c r="G327" s="3">
        <f t="shared" si="334"/>
        <v>0</v>
      </c>
      <c r="H327" s="3">
        <f t="shared" si="334"/>
        <v>0</v>
      </c>
      <c r="I327" s="3">
        <f t="shared" si="334"/>
        <v>0</v>
      </c>
      <c r="J327" s="3">
        <f t="shared" si="334"/>
        <v>0</v>
      </c>
      <c r="K327" s="3">
        <f t="shared" si="334"/>
        <v>0</v>
      </c>
      <c r="L327" s="3">
        <f t="shared" si="334"/>
        <v>0</v>
      </c>
      <c r="M327" s="3">
        <f t="shared" si="334"/>
        <v>0</v>
      </c>
      <c r="N327" s="3">
        <f t="shared" si="334"/>
        <v>0</v>
      </c>
      <c r="O327" s="3">
        <f t="shared" si="334"/>
        <v>0</v>
      </c>
      <c r="P327" s="3">
        <f t="shared" si="334"/>
        <v>0</v>
      </c>
      <c r="Q327" s="3">
        <f t="shared" si="334"/>
        <v>0</v>
      </c>
      <c r="R327" s="3">
        <f t="shared" si="334"/>
        <v>0</v>
      </c>
      <c r="S327" s="3">
        <f t="shared" si="334"/>
        <v>0</v>
      </c>
      <c r="T327" s="3">
        <f t="shared" si="334"/>
        <v>0</v>
      </c>
      <c r="U327" s="3">
        <f t="shared" si="334"/>
        <v>0</v>
      </c>
      <c r="V327" s="3">
        <f t="shared" si="334"/>
        <v>0</v>
      </c>
      <c r="W327" s="3">
        <f t="shared" si="334"/>
        <v>0</v>
      </c>
      <c r="X327" s="3">
        <f t="shared" si="334"/>
        <v>0</v>
      </c>
      <c r="Y327" s="3">
        <f t="shared" si="334"/>
        <v>0</v>
      </c>
      <c r="Z327" s="3">
        <f t="shared" si="334"/>
        <v>0</v>
      </c>
      <c r="AA327" s="3">
        <f t="shared" si="334"/>
        <v>0</v>
      </c>
      <c r="AB327" s="3">
        <f t="shared" si="334"/>
        <v>0</v>
      </c>
      <c r="AC327" s="3">
        <f t="shared" si="334"/>
        <v>0</v>
      </c>
      <c r="AD327" s="3">
        <f t="shared" si="334"/>
        <v>0</v>
      </c>
      <c r="AE327" s="3">
        <f t="shared" si="334"/>
        <v>0</v>
      </c>
      <c r="AF327" s="3">
        <f t="shared" si="334"/>
        <v>0</v>
      </c>
      <c r="AG327" s="3"/>
      <c r="AH327" s="3"/>
    </row>
    <row r="328" spans="1:34" x14ac:dyDescent="0.25">
      <c r="B328" s="3">
        <f t="shared" ref="B328:AF328" si="335">$C19*EXP(-B$363/$A19/EXP(-$G$126))</f>
        <v>8.5667836596142979E-2</v>
      </c>
      <c r="C328" s="3">
        <f t="shared" si="335"/>
        <v>8.5364943678418945E-2</v>
      </c>
      <c r="D328" s="3">
        <f t="shared" si="335"/>
        <v>8.2394295196000222E-2</v>
      </c>
      <c r="E328" s="3">
        <f t="shared" si="335"/>
        <v>5.7819321774449227E-2</v>
      </c>
      <c r="F328" s="3">
        <f t="shared" si="335"/>
        <v>1.6742931189904094E-3</v>
      </c>
      <c r="G328" s="3">
        <f t="shared" si="335"/>
        <v>6.9409111585763408E-19</v>
      </c>
      <c r="H328" s="3">
        <f t="shared" si="335"/>
        <v>1.0405583005174043E-172</v>
      </c>
      <c r="I328" s="3">
        <f t="shared" si="335"/>
        <v>0</v>
      </c>
      <c r="J328" s="3">
        <f t="shared" si="335"/>
        <v>0</v>
      </c>
      <c r="K328" s="3">
        <f t="shared" si="335"/>
        <v>0</v>
      </c>
      <c r="L328" s="3">
        <f t="shared" si="335"/>
        <v>0</v>
      </c>
      <c r="M328" s="3">
        <f t="shared" si="335"/>
        <v>0</v>
      </c>
      <c r="N328" s="3">
        <f t="shared" si="335"/>
        <v>0</v>
      </c>
      <c r="O328" s="3">
        <f t="shared" si="335"/>
        <v>0</v>
      </c>
      <c r="P328" s="3">
        <f t="shared" si="335"/>
        <v>0</v>
      </c>
      <c r="Q328" s="3">
        <f t="shared" si="335"/>
        <v>0</v>
      </c>
      <c r="R328" s="3">
        <f t="shared" si="335"/>
        <v>0</v>
      </c>
      <c r="S328" s="3">
        <f t="shared" si="335"/>
        <v>0</v>
      </c>
      <c r="T328" s="3">
        <f t="shared" si="335"/>
        <v>0</v>
      </c>
      <c r="U328" s="3">
        <f t="shared" si="335"/>
        <v>0</v>
      </c>
      <c r="V328" s="3">
        <f t="shared" si="335"/>
        <v>0</v>
      </c>
      <c r="W328" s="3">
        <f t="shared" si="335"/>
        <v>0</v>
      </c>
      <c r="X328" s="3">
        <f t="shared" si="335"/>
        <v>0</v>
      </c>
      <c r="Y328" s="3">
        <f t="shared" si="335"/>
        <v>0</v>
      </c>
      <c r="Z328" s="3">
        <f t="shared" si="335"/>
        <v>0</v>
      </c>
      <c r="AA328" s="3">
        <f t="shared" si="335"/>
        <v>0</v>
      </c>
      <c r="AB328" s="3">
        <f t="shared" si="335"/>
        <v>0</v>
      </c>
      <c r="AC328" s="3">
        <f t="shared" si="335"/>
        <v>0</v>
      </c>
      <c r="AD328" s="3">
        <f t="shared" si="335"/>
        <v>0</v>
      </c>
      <c r="AE328" s="3">
        <f t="shared" si="335"/>
        <v>0</v>
      </c>
      <c r="AF328" s="3">
        <f t="shared" si="335"/>
        <v>0</v>
      </c>
      <c r="AG328" s="3"/>
      <c r="AH328" s="3"/>
    </row>
    <row r="329" spans="1:34" x14ac:dyDescent="0.25">
      <c r="B329" s="3">
        <f t="shared" ref="B329:AF329" si="336">$C20*EXP(-B$363/$A20/EXP(-$G$126))</f>
        <v>3.0492752212447082E-2</v>
      </c>
      <c r="C329" s="3">
        <f t="shared" si="336"/>
        <v>3.0483010976803945E-2</v>
      </c>
      <c r="D329" s="3">
        <f t="shared" si="336"/>
        <v>3.0385769613245673E-2</v>
      </c>
      <c r="E329" s="3">
        <f t="shared" si="336"/>
        <v>2.943025483434385E-2</v>
      </c>
      <c r="F329" s="3">
        <f t="shared" si="336"/>
        <v>2.1381188499886884E-2</v>
      </c>
      <c r="G329" s="3">
        <f t="shared" si="336"/>
        <v>8.758102817345171E-4</v>
      </c>
      <c r="H329" s="3">
        <f t="shared" si="336"/>
        <v>1.1646408248047852E-17</v>
      </c>
      <c r="I329" s="3">
        <f t="shared" si="336"/>
        <v>2.0137785565053194E-156</v>
      </c>
      <c r="J329" s="3">
        <f t="shared" si="336"/>
        <v>0</v>
      </c>
      <c r="K329" s="3">
        <f t="shared" si="336"/>
        <v>0</v>
      </c>
      <c r="L329" s="3">
        <f t="shared" si="336"/>
        <v>0</v>
      </c>
      <c r="M329" s="3">
        <f t="shared" si="336"/>
        <v>0</v>
      </c>
      <c r="N329" s="3">
        <f t="shared" si="336"/>
        <v>0</v>
      </c>
      <c r="O329" s="3">
        <f t="shared" si="336"/>
        <v>0</v>
      </c>
      <c r="P329" s="3">
        <f t="shared" si="336"/>
        <v>0</v>
      </c>
      <c r="Q329" s="3">
        <f t="shared" si="336"/>
        <v>0</v>
      </c>
      <c r="R329" s="3">
        <f t="shared" si="336"/>
        <v>0</v>
      </c>
      <c r="S329" s="3">
        <f t="shared" si="336"/>
        <v>0</v>
      </c>
      <c r="T329" s="3">
        <f t="shared" si="336"/>
        <v>0</v>
      </c>
      <c r="U329" s="3">
        <f t="shared" si="336"/>
        <v>0</v>
      </c>
      <c r="V329" s="3">
        <f t="shared" si="336"/>
        <v>0</v>
      </c>
      <c r="W329" s="3">
        <f t="shared" si="336"/>
        <v>0</v>
      </c>
      <c r="X329" s="3">
        <f t="shared" si="336"/>
        <v>0</v>
      </c>
      <c r="Y329" s="3">
        <f t="shared" si="336"/>
        <v>0</v>
      </c>
      <c r="Z329" s="3">
        <f t="shared" si="336"/>
        <v>0</v>
      </c>
      <c r="AA329" s="3">
        <f t="shared" si="336"/>
        <v>0</v>
      </c>
      <c r="AB329" s="3">
        <f t="shared" si="336"/>
        <v>0</v>
      </c>
      <c r="AC329" s="3">
        <f t="shared" si="336"/>
        <v>0</v>
      </c>
      <c r="AD329" s="3">
        <f t="shared" si="336"/>
        <v>0</v>
      </c>
      <c r="AE329" s="3">
        <f t="shared" si="336"/>
        <v>0</v>
      </c>
      <c r="AF329" s="3">
        <f t="shared" si="336"/>
        <v>0</v>
      </c>
      <c r="AG329" s="3"/>
      <c r="AH329" s="3"/>
    </row>
    <row r="330" spans="1:34" x14ac:dyDescent="0.25">
      <c r="B330" s="3">
        <f t="shared" ref="B330:AF330" si="337">$C21*EXP(-B$363/$A21/EXP(-$G$126))</f>
        <v>5.1956452184315251E-2</v>
      </c>
      <c r="C330" s="3">
        <f t="shared" si="337"/>
        <v>5.1954954685029815E-2</v>
      </c>
      <c r="D330" s="3">
        <f t="shared" si="337"/>
        <v>5.1939982065837588E-2</v>
      </c>
      <c r="E330" s="3">
        <f t="shared" si="337"/>
        <v>5.1790492987185542E-2</v>
      </c>
      <c r="F330" s="3">
        <f t="shared" si="337"/>
        <v>5.031906259905071E-2</v>
      </c>
      <c r="G330" s="3">
        <f t="shared" si="337"/>
        <v>3.771876907864509E-2</v>
      </c>
      <c r="H330" s="3">
        <f t="shared" si="337"/>
        <v>2.1125510190369797E-3</v>
      </c>
      <c r="I330" s="3">
        <f t="shared" si="337"/>
        <v>6.4165879766015442E-16</v>
      </c>
      <c r="J330" s="3">
        <f t="shared" si="337"/>
        <v>4.2881860864819519E-141</v>
      </c>
      <c r="K330" s="3">
        <f t="shared" si="337"/>
        <v>0</v>
      </c>
      <c r="L330" s="3">
        <f t="shared" si="337"/>
        <v>0</v>
      </c>
      <c r="M330" s="3">
        <f t="shared" si="337"/>
        <v>0</v>
      </c>
      <c r="N330" s="3">
        <f t="shared" si="337"/>
        <v>0</v>
      </c>
      <c r="O330" s="3">
        <f t="shared" si="337"/>
        <v>0</v>
      </c>
      <c r="P330" s="3">
        <f t="shared" si="337"/>
        <v>0</v>
      </c>
      <c r="Q330" s="3">
        <f t="shared" si="337"/>
        <v>0</v>
      </c>
      <c r="R330" s="3">
        <f t="shared" si="337"/>
        <v>0</v>
      </c>
      <c r="S330" s="3">
        <f t="shared" si="337"/>
        <v>0</v>
      </c>
      <c r="T330" s="3">
        <f t="shared" si="337"/>
        <v>0</v>
      </c>
      <c r="U330" s="3">
        <f t="shared" si="337"/>
        <v>0</v>
      </c>
      <c r="V330" s="3">
        <f t="shared" si="337"/>
        <v>0</v>
      </c>
      <c r="W330" s="3">
        <f t="shared" si="337"/>
        <v>0</v>
      </c>
      <c r="X330" s="3">
        <f t="shared" si="337"/>
        <v>0</v>
      </c>
      <c r="Y330" s="3">
        <f t="shared" si="337"/>
        <v>0</v>
      </c>
      <c r="Z330" s="3">
        <f t="shared" si="337"/>
        <v>0</v>
      </c>
      <c r="AA330" s="3">
        <f t="shared" si="337"/>
        <v>0</v>
      </c>
      <c r="AB330" s="3">
        <f t="shared" si="337"/>
        <v>0</v>
      </c>
      <c r="AC330" s="3">
        <f t="shared" si="337"/>
        <v>0</v>
      </c>
      <c r="AD330" s="3">
        <f t="shared" si="337"/>
        <v>0</v>
      </c>
      <c r="AE330" s="3">
        <f t="shared" si="337"/>
        <v>0</v>
      </c>
      <c r="AF330" s="3">
        <f t="shared" si="337"/>
        <v>0</v>
      </c>
      <c r="AG330" s="3"/>
      <c r="AH330" s="3"/>
    </row>
    <row r="331" spans="1:34" x14ac:dyDescent="0.25">
      <c r="B331" s="3">
        <f t="shared" ref="B331:AF331" si="338">$C22*EXP(-B$363/$A22/EXP(-$G$126))</f>
        <v>4.9533126027219827E-2</v>
      </c>
      <c r="C331" s="3">
        <f t="shared" si="338"/>
        <v>4.9532997239291228E-2</v>
      </c>
      <c r="D331" s="3">
        <f t="shared" si="338"/>
        <v>4.9531709378422072E-2</v>
      </c>
      <c r="E331" s="3">
        <f t="shared" si="338"/>
        <v>4.9518832611232091E-2</v>
      </c>
      <c r="F331" s="3">
        <f t="shared" si="338"/>
        <v>4.9390248912461E-2</v>
      </c>
      <c r="G331" s="3">
        <f t="shared" si="338"/>
        <v>4.8122633476911758E-2</v>
      </c>
      <c r="H331" s="3">
        <f t="shared" si="338"/>
        <v>3.7104885407471921E-2</v>
      </c>
      <c r="I331" s="3">
        <f t="shared" si="338"/>
        <v>2.7558030959747601E-3</v>
      </c>
      <c r="J331" s="3">
        <f t="shared" si="338"/>
        <v>1.4074049494196631E-14</v>
      </c>
      <c r="K331" s="3">
        <f t="shared" si="338"/>
        <v>1.6987441599522514E-127</v>
      </c>
      <c r="L331" s="3">
        <f t="shared" si="338"/>
        <v>0</v>
      </c>
      <c r="M331" s="3">
        <f t="shared" si="338"/>
        <v>0</v>
      </c>
      <c r="N331" s="3">
        <f t="shared" si="338"/>
        <v>0</v>
      </c>
      <c r="O331" s="3">
        <f t="shared" si="338"/>
        <v>0</v>
      </c>
      <c r="P331" s="3">
        <f t="shared" si="338"/>
        <v>0</v>
      </c>
      <c r="Q331" s="3">
        <f t="shared" si="338"/>
        <v>0</v>
      </c>
      <c r="R331" s="3">
        <f t="shared" si="338"/>
        <v>0</v>
      </c>
      <c r="S331" s="3">
        <f t="shared" si="338"/>
        <v>0</v>
      </c>
      <c r="T331" s="3">
        <f t="shared" si="338"/>
        <v>0</v>
      </c>
      <c r="U331" s="3">
        <f t="shared" si="338"/>
        <v>0</v>
      </c>
      <c r="V331" s="3">
        <f t="shared" si="338"/>
        <v>0</v>
      </c>
      <c r="W331" s="3">
        <f t="shared" si="338"/>
        <v>0</v>
      </c>
      <c r="X331" s="3">
        <f t="shared" si="338"/>
        <v>0</v>
      </c>
      <c r="Y331" s="3">
        <f t="shared" si="338"/>
        <v>0</v>
      </c>
      <c r="Z331" s="3">
        <f t="shared" si="338"/>
        <v>0</v>
      </c>
      <c r="AA331" s="3">
        <f t="shared" si="338"/>
        <v>0</v>
      </c>
      <c r="AB331" s="3">
        <f t="shared" si="338"/>
        <v>0</v>
      </c>
      <c r="AC331" s="3">
        <f t="shared" si="338"/>
        <v>0</v>
      </c>
      <c r="AD331" s="3">
        <f t="shared" si="338"/>
        <v>0</v>
      </c>
      <c r="AE331" s="3">
        <f t="shared" si="338"/>
        <v>0</v>
      </c>
      <c r="AF331" s="3">
        <f t="shared" si="338"/>
        <v>0</v>
      </c>
      <c r="AG331" s="3"/>
      <c r="AH331" s="3"/>
    </row>
    <row r="332" spans="1:34" x14ac:dyDescent="0.25">
      <c r="B332" s="3">
        <f t="shared" ref="B332:AF332" si="339">$C23*EXP(-B$363/$A23/EXP(-$G$126))</f>
        <v>7.2790682945241408E-2</v>
      </c>
      <c r="C332" s="3">
        <f t="shared" si="339"/>
        <v>7.2790665872537047E-2</v>
      </c>
      <c r="D332" s="3">
        <f t="shared" si="339"/>
        <v>7.2790495145713771E-2</v>
      </c>
      <c r="E332" s="3">
        <f t="shared" si="339"/>
        <v>7.2788787899504548E-2</v>
      </c>
      <c r="F332" s="3">
        <f t="shared" si="339"/>
        <v>7.2771717639576808E-2</v>
      </c>
      <c r="G332" s="3">
        <f t="shared" si="339"/>
        <v>7.260123506576921E-2</v>
      </c>
      <c r="H332" s="3">
        <f t="shared" si="339"/>
        <v>7.0918222124773389E-2</v>
      </c>
      <c r="I332" s="3">
        <f t="shared" si="339"/>
        <v>5.6091382860359348E-2</v>
      </c>
      <c r="J332" s="3">
        <f t="shared" si="339"/>
        <v>5.373771830858339E-3</v>
      </c>
      <c r="K332" s="3">
        <f t="shared" si="339"/>
        <v>3.5003379436972266E-13</v>
      </c>
      <c r="L332" s="3">
        <f t="shared" si="339"/>
        <v>4.8130182577021184E-115</v>
      </c>
      <c r="M332" s="3">
        <f t="shared" si="339"/>
        <v>0</v>
      </c>
      <c r="N332" s="3">
        <f t="shared" si="339"/>
        <v>0</v>
      </c>
      <c r="O332" s="3">
        <f t="shared" si="339"/>
        <v>0</v>
      </c>
      <c r="P332" s="3">
        <f t="shared" si="339"/>
        <v>0</v>
      </c>
      <c r="Q332" s="3">
        <f t="shared" si="339"/>
        <v>0</v>
      </c>
      <c r="R332" s="3">
        <f t="shared" si="339"/>
        <v>0</v>
      </c>
      <c r="S332" s="3">
        <f t="shared" si="339"/>
        <v>0</v>
      </c>
      <c r="T332" s="3">
        <f t="shared" si="339"/>
        <v>0</v>
      </c>
      <c r="U332" s="3">
        <f t="shared" si="339"/>
        <v>0</v>
      </c>
      <c r="V332" s="3">
        <f t="shared" si="339"/>
        <v>0</v>
      </c>
      <c r="W332" s="3">
        <f t="shared" si="339"/>
        <v>0</v>
      </c>
      <c r="X332" s="3">
        <f t="shared" si="339"/>
        <v>0</v>
      </c>
      <c r="Y332" s="3">
        <f t="shared" si="339"/>
        <v>0</v>
      </c>
      <c r="Z332" s="3">
        <f t="shared" si="339"/>
        <v>0</v>
      </c>
      <c r="AA332" s="3">
        <f t="shared" si="339"/>
        <v>0</v>
      </c>
      <c r="AB332" s="3">
        <f t="shared" si="339"/>
        <v>0</v>
      </c>
      <c r="AC332" s="3">
        <f t="shared" si="339"/>
        <v>0</v>
      </c>
      <c r="AD332" s="3">
        <f t="shared" si="339"/>
        <v>0</v>
      </c>
      <c r="AE332" s="3">
        <f t="shared" si="339"/>
        <v>0</v>
      </c>
      <c r="AF332" s="3">
        <f t="shared" si="339"/>
        <v>0</v>
      </c>
      <c r="AG332" s="3"/>
      <c r="AH332" s="3"/>
    </row>
    <row r="333" spans="1:34" x14ac:dyDescent="0.25">
      <c r="B333" s="3">
        <f t="shared" ref="B333:AF333" si="340">$C24*EXP(-B$363/$A24/EXP(-$G$126))</f>
        <v>8.966291032382806E-2</v>
      </c>
      <c r="C333" s="3">
        <f t="shared" si="340"/>
        <v>8.966290842674654E-2</v>
      </c>
      <c r="D333" s="3">
        <f t="shared" si="340"/>
        <v>8.9662889455933509E-2</v>
      </c>
      <c r="E333" s="3">
        <f t="shared" si="340"/>
        <v>8.966269974802403E-2</v>
      </c>
      <c r="F333" s="3">
        <f t="shared" si="340"/>
        <v>8.9660802691005154E-2</v>
      </c>
      <c r="G333" s="3">
        <f t="shared" si="340"/>
        <v>8.9641834328231806E-2</v>
      </c>
      <c r="H333" s="3">
        <f t="shared" si="340"/>
        <v>8.9452371269336819E-2</v>
      </c>
      <c r="I333" s="3">
        <f t="shared" si="340"/>
        <v>8.7579625866245958E-2</v>
      </c>
      <c r="J333" s="3">
        <f t="shared" si="340"/>
        <v>7.0878638216089862E-2</v>
      </c>
      <c r="K333" s="3">
        <f t="shared" si="340"/>
        <v>8.5435459212381427E-3</v>
      </c>
      <c r="L333" s="3">
        <f t="shared" si="340"/>
        <v>5.5317951593879215E-12</v>
      </c>
      <c r="M333" s="3">
        <f t="shared" si="340"/>
        <v>7.1638322628736173E-104</v>
      </c>
      <c r="N333" s="3">
        <f t="shared" si="340"/>
        <v>0</v>
      </c>
      <c r="O333" s="3">
        <f t="shared" si="340"/>
        <v>0</v>
      </c>
      <c r="P333" s="3">
        <f t="shared" si="340"/>
        <v>0</v>
      </c>
      <c r="Q333" s="3">
        <f t="shared" si="340"/>
        <v>0</v>
      </c>
      <c r="R333" s="3">
        <f t="shared" si="340"/>
        <v>0</v>
      </c>
      <c r="S333" s="3">
        <f t="shared" si="340"/>
        <v>0</v>
      </c>
      <c r="T333" s="3">
        <f t="shared" si="340"/>
        <v>0</v>
      </c>
      <c r="U333" s="3">
        <f t="shared" si="340"/>
        <v>0</v>
      </c>
      <c r="V333" s="3">
        <f t="shared" si="340"/>
        <v>0</v>
      </c>
      <c r="W333" s="3">
        <f t="shared" si="340"/>
        <v>0</v>
      </c>
      <c r="X333" s="3">
        <f t="shared" si="340"/>
        <v>0</v>
      </c>
      <c r="Y333" s="3">
        <f t="shared" si="340"/>
        <v>0</v>
      </c>
      <c r="Z333" s="3">
        <f t="shared" si="340"/>
        <v>0</v>
      </c>
      <c r="AA333" s="3">
        <f t="shared" si="340"/>
        <v>0</v>
      </c>
      <c r="AB333" s="3">
        <f t="shared" si="340"/>
        <v>0</v>
      </c>
      <c r="AC333" s="3">
        <f t="shared" si="340"/>
        <v>0</v>
      </c>
      <c r="AD333" s="3">
        <f t="shared" si="340"/>
        <v>0</v>
      </c>
      <c r="AE333" s="3">
        <f t="shared" si="340"/>
        <v>0</v>
      </c>
      <c r="AF333" s="3">
        <f t="shared" si="340"/>
        <v>0</v>
      </c>
      <c r="AG333" s="3"/>
      <c r="AH333" s="3"/>
    </row>
    <row r="334" spans="1:34" x14ac:dyDescent="0.25">
      <c r="B334" s="3">
        <f t="shared" ref="B334:AF334" si="341">$C25*EXP(-B$363/$A25/EXP(-$G$126))</f>
        <v>0.10598020830317198</v>
      </c>
      <c r="C334" s="3">
        <f t="shared" si="341"/>
        <v>0.1059802081008959</v>
      </c>
      <c r="D334" s="3">
        <f t="shared" si="341"/>
        <v>0.10598020607813513</v>
      </c>
      <c r="E334" s="3">
        <f t="shared" si="341"/>
        <v>0.10598018585052955</v>
      </c>
      <c r="F334" s="3">
        <f t="shared" si="341"/>
        <v>0.10597998357468613</v>
      </c>
      <c r="G334" s="3">
        <f t="shared" si="341"/>
        <v>0.10597796083748541</v>
      </c>
      <c r="H334" s="3">
        <f t="shared" si="341"/>
        <v>0.1059577355886881</v>
      </c>
      <c r="I334" s="3">
        <f t="shared" si="341"/>
        <v>0.10575569527182688</v>
      </c>
      <c r="J334" s="3">
        <f t="shared" si="341"/>
        <v>0.10375636014319468</v>
      </c>
      <c r="K334" s="3">
        <f t="shared" si="341"/>
        <v>8.5728329185685639E-2</v>
      </c>
      <c r="L334" s="3">
        <f t="shared" si="341"/>
        <v>1.271219879483451E-2</v>
      </c>
      <c r="M334" s="3">
        <f t="shared" si="341"/>
        <v>6.5340708326538826E-11</v>
      </c>
      <c r="N334" s="3">
        <f t="shared" si="341"/>
        <v>8.4103769571580492E-94</v>
      </c>
      <c r="O334" s="3">
        <f t="shared" si="341"/>
        <v>0</v>
      </c>
      <c r="P334" s="3">
        <f t="shared" si="341"/>
        <v>0</v>
      </c>
      <c r="Q334" s="3">
        <f t="shared" si="341"/>
        <v>0</v>
      </c>
      <c r="R334" s="3">
        <f t="shared" si="341"/>
        <v>0</v>
      </c>
      <c r="S334" s="3">
        <f t="shared" si="341"/>
        <v>0</v>
      </c>
      <c r="T334" s="3">
        <f t="shared" si="341"/>
        <v>0</v>
      </c>
      <c r="U334" s="3">
        <f t="shared" si="341"/>
        <v>0</v>
      </c>
      <c r="V334" s="3">
        <f t="shared" si="341"/>
        <v>0</v>
      </c>
      <c r="W334" s="3">
        <f t="shared" si="341"/>
        <v>0</v>
      </c>
      <c r="X334" s="3">
        <f t="shared" si="341"/>
        <v>0</v>
      </c>
      <c r="Y334" s="3">
        <f t="shared" si="341"/>
        <v>0</v>
      </c>
      <c r="Z334" s="3">
        <f t="shared" si="341"/>
        <v>0</v>
      </c>
      <c r="AA334" s="3">
        <f t="shared" si="341"/>
        <v>0</v>
      </c>
      <c r="AB334" s="3">
        <f t="shared" si="341"/>
        <v>0</v>
      </c>
      <c r="AC334" s="3">
        <f t="shared" si="341"/>
        <v>0</v>
      </c>
      <c r="AD334" s="3">
        <f t="shared" si="341"/>
        <v>0</v>
      </c>
      <c r="AE334" s="3">
        <f t="shared" si="341"/>
        <v>0</v>
      </c>
      <c r="AF334" s="3">
        <f t="shared" si="341"/>
        <v>0</v>
      </c>
      <c r="AG334" s="3"/>
      <c r="AH334" s="3"/>
    </row>
    <row r="335" spans="1:34" x14ac:dyDescent="0.25">
      <c r="B335" s="3">
        <f t="shared" ref="B335:AF335" si="342">$C26*EXP(-B$363/$A26/EXP(-$G$126))</f>
        <v>0.12848084538449853</v>
      </c>
      <c r="C335" s="3">
        <f t="shared" si="342"/>
        <v>0.12848084536237753</v>
      </c>
      <c r="D335" s="3">
        <f t="shared" si="342"/>
        <v>0.12848084514116753</v>
      </c>
      <c r="E335" s="3">
        <f t="shared" si="342"/>
        <v>0.12848084292906767</v>
      </c>
      <c r="F335" s="3">
        <f t="shared" si="342"/>
        <v>0.12848082080807108</v>
      </c>
      <c r="G335" s="3">
        <f t="shared" si="342"/>
        <v>0.12848059959831445</v>
      </c>
      <c r="H335" s="3">
        <f t="shared" si="342"/>
        <v>0.12847838752169571</v>
      </c>
      <c r="I335" s="3">
        <f t="shared" si="342"/>
        <v>0.12845626885011771</v>
      </c>
      <c r="J335" s="3">
        <f t="shared" si="342"/>
        <v>0.12823529146189677</v>
      </c>
      <c r="K335" s="3">
        <f t="shared" si="342"/>
        <v>0.12604631759705362</v>
      </c>
      <c r="L335" s="3">
        <f t="shared" si="342"/>
        <v>0.10610996085843108</v>
      </c>
      <c r="M335" s="3">
        <f t="shared" si="342"/>
        <v>1.8967761204411918E-2</v>
      </c>
      <c r="N335" s="3">
        <f t="shared" si="342"/>
        <v>6.3185185440055062E-10</v>
      </c>
      <c r="O335" s="3">
        <f t="shared" si="342"/>
        <v>1.0631809206191753E-84</v>
      </c>
      <c r="P335" s="3">
        <f t="shared" si="342"/>
        <v>0</v>
      </c>
      <c r="Q335" s="3">
        <f t="shared" si="342"/>
        <v>0</v>
      </c>
      <c r="R335" s="3">
        <f t="shared" si="342"/>
        <v>0</v>
      </c>
      <c r="S335" s="3">
        <f t="shared" si="342"/>
        <v>0</v>
      </c>
      <c r="T335" s="3">
        <f t="shared" si="342"/>
        <v>0</v>
      </c>
      <c r="U335" s="3">
        <f t="shared" si="342"/>
        <v>0</v>
      </c>
      <c r="V335" s="3">
        <f t="shared" si="342"/>
        <v>0</v>
      </c>
      <c r="W335" s="3">
        <f t="shared" si="342"/>
        <v>0</v>
      </c>
      <c r="X335" s="3">
        <f t="shared" si="342"/>
        <v>0</v>
      </c>
      <c r="Y335" s="3">
        <f t="shared" si="342"/>
        <v>0</v>
      </c>
      <c r="Z335" s="3">
        <f t="shared" si="342"/>
        <v>0</v>
      </c>
      <c r="AA335" s="3">
        <f t="shared" si="342"/>
        <v>0</v>
      </c>
      <c r="AB335" s="3">
        <f t="shared" si="342"/>
        <v>0</v>
      </c>
      <c r="AC335" s="3">
        <f t="shared" si="342"/>
        <v>0</v>
      </c>
      <c r="AD335" s="3">
        <f t="shared" si="342"/>
        <v>0</v>
      </c>
      <c r="AE335" s="3">
        <f t="shared" si="342"/>
        <v>0</v>
      </c>
      <c r="AF335" s="3">
        <f t="shared" si="342"/>
        <v>0</v>
      </c>
      <c r="AG335" s="3"/>
      <c r="AH335" s="3"/>
    </row>
    <row r="336" spans="1:34" x14ac:dyDescent="0.25">
      <c r="B336" s="3">
        <f t="shared" ref="B336:AF336" si="343">$C27*EXP(-B$363/$A27/EXP(-$G$126))</f>
        <v>9.2499277670376606E-2</v>
      </c>
      <c r="C336" s="3">
        <f t="shared" si="343"/>
        <v>9.249927766893995E-2</v>
      </c>
      <c r="D336" s="3">
        <f t="shared" si="343"/>
        <v>9.2499277654573442E-2</v>
      </c>
      <c r="E336" s="3">
        <f t="shared" si="343"/>
        <v>9.2499277510908348E-2</v>
      </c>
      <c r="F336" s="3">
        <f t="shared" si="343"/>
        <v>9.2499276074257342E-2</v>
      </c>
      <c r="G336" s="3">
        <f t="shared" si="343"/>
        <v>9.2499261707748637E-2</v>
      </c>
      <c r="H336" s="3">
        <f t="shared" si="343"/>
        <v>9.2499118042784295E-2</v>
      </c>
      <c r="I336" s="3">
        <f t="shared" si="343"/>
        <v>9.249768140541316E-2</v>
      </c>
      <c r="J336" s="3">
        <f t="shared" si="343"/>
        <v>9.2483316258856141E-2</v>
      </c>
      <c r="K336" s="3">
        <f t="shared" si="343"/>
        <v>9.2339787438227183E-2</v>
      </c>
      <c r="L336" s="3">
        <f t="shared" si="343"/>
        <v>9.0916693538170348E-2</v>
      </c>
      <c r="M336" s="3">
        <f t="shared" si="343"/>
        <v>7.7837926253668754E-2</v>
      </c>
      <c r="N336" s="3">
        <f t="shared" si="343"/>
        <v>1.6469010181978959E-2</v>
      </c>
      <c r="O336" s="3">
        <f t="shared" si="343"/>
        <v>2.9609420555415085E-9</v>
      </c>
      <c r="P336" s="3">
        <f t="shared" si="343"/>
        <v>1.0448501586902145E-76</v>
      </c>
      <c r="Q336" s="3">
        <f t="shared" si="343"/>
        <v>0</v>
      </c>
      <c r="R336" s="3">
        <f t="shared" si="343"/>
        <v>0</v>
      </c>
      <c r="S336" s="3">
        <f t="shared" si="343"/>
        <v>0</v>
      </c>
      <c r="T336" s="3">
        <f t="shared" si="343"/>
        <v>0</v>
      </c>
      <c r="U336" s="3">
        <f t="shared" si="343"/>
        <v>0</v>
      </c>
      <c r="V336" s="3">
        <f t="shared" si="343"/>
        <v>0</v>
      </c>
      <c r="W336" s="3">
        <f t="shared" si="343"/>
        <v>0</v>
      </c>
      <c r="X336" s="3">
        <f t="shared" si="343"/>
        <v>0</v>
      </c>
      <c r="Y336" s="3">
        <f t="shared" si="343"/>
        <v>0</v>
      </c>
      <c r="Z336" s="3">
        <f t="shared" si="343"/>
        <v>0</v>
      </c>
      <c r="AA336" s="3">
        <f t="shared" si="343"/>
        <v>0</v>
      </c>
      <c r="AB336" s="3">
        <f t="shared" si="343"/>
        <v>0</v>
      </c>
      <c r="AC336" s="3">
        <f t="shared" si="343"/>
        <v>0</v>
      </c>
      <c r="AD336" s="3">
        <f t="shared" si="343"/>
        <v>0</v>
      </c>
      <c r="AE336" s="3">
        <f t="shared" si="343"/>
        <v>0</v>
      </c>
      <c r="AF336" s="3">
        <f t="shared" si="343"/>
        <v>0</v>
      </c>
      <c r="AG336" s="3"/>
      <c r="AH336" s="3"/>
    </row>
    <row r="337" spans="2:34" x14ac:dyDescent="0.25">
      <c r="B337" s="3">
        <f t="shared" ref="B337:AF337" si="344">$C28*EXP(-B$363/$A28/EXP(-$G$126))</f>
        <v>5.5295836110666796E-2</v>
      </c>
      <c r="C337" s="3">
        <f t="shared" si="344"/>
        <v>5.5295836110589316E-2</v>
      </c>
      <c r="D337" s="3">
        <f t="shared" si="344"/>
        <v>5.5295836109814589E-2</v>
      </c>
      <c r="E337" s="3">
        <f t="shared" si="344"/>
        <v>5.5295836102067258E-2</v>
      </c>
      <c r="F337" s="3">
        <f t="shared" si="344"/>
        <v>5.5295836024593974E-2</v>
      </c>
      <c r="G337" s="3">
        <f t="shared" si="344"/>
        <v>5.5295835249861154E-2</v>
      </c>
      <c r="H337" s="3">
        <f t="shared" si="344"/>
        <v>5.5295827502533507E-2</v>
      </c>
      <c r="I337" s="3">
        <f t="shared" si="344"/>
        <v>5.5295750029316748E-2</v>
      </c>
      <c r="J337" s="3">
        <f t="shared" si="344"/>
        <v>5.5294975303119172E-2</v>
      </c>
      <c r="K337" s="3">
        <f t="shared" si="344"/>
        <v>5.5287228638108789E-2</v>
      </c>
      <c r="L337" s="3">
        <f t="shared" si="344"/>
        <v>5.5209821653610991E-2</v>
      </c>
      <c r="M337" s="3">
        <f t="shared" si="344"/>
        <v>5.4441687554426153E-2</v>
      </c>
      <c r="N337" s="3">
        <f t="shared" si="344"/>
        <v>4.7324270079684337E-2</v>
      </c>
      <c r="O337" s="3">
        <f t="shared" si="344"/>
        <v>1.1657552464609333E-2</v>
      </c>
      <c r="P337" s="3">
        <f t="shared" si="344"/>
        <v>9.5905148730835583E-9</v>
      </c>
      <c r="Q337" s="3">
        <f t="shared" si="344"/>
        <v>1.3620321793502723E-69</v>
      </c>
      <c r="R337" s="3">
        <f t="shared" si="344"/>
        <v>0</v>
      </c>
      <c r="S337" s="3">
        <f t="shared" si="344"/>
        <v>0</v>
      </c>
      <c r="T337" s="3">
        <f t="shared" si="344"/>
        <v>0</v>
      </c>
      <c r="U337" s="3">
        <f t="shared" si="344"/>
        <v>0</v>
      </c>
      <c r="V337" s="3">
        <f t="shared" si="344"/>
        <v>0</v>
      </c>
      <c r="W337" s="3">
        <f t="shared" si="344"/>
        <v>0</v>
      </c>
      <c r="X337" s="3">
        <f t="shared" si="344"/>
        <v>0</v>
      </c>
      <c r="Y337" s="3">
        <f t="shared" si="344"/>
        <v>0</v>
      </c>
      <c r="Z337" s="3">
        <f t="shared" si="344"/>
        <v>0</v>
      </c>
      <c r="AA337" s="3">
        <f t="shared" si="344"/>
        <v>0</v>
      </c>
      <c r="AB337" s="3">
        <f t="shared" si="344"/>
        <v>0</v>
      </c>
      <c r="AC337" s="3">
        <f t="shared" si="344"/>
        <v>0</v>
      </c>
      <c r="AD337" s="3">
        <f t="shared" si="344"/>
        <v>0</v>
      </c>
      <c r="AE337" s="3">
        <f t="shared" si="344"/>
        <v>0</v>
      </c>
      <c r="AF337" s="3">
        <f t="shared" si="344"/>
        <v>0</v>
      </c>
      <c r="AG337" s="3"/>
      <c r="AH337" s="3"/>
    </row>
    <row r="338" spans="2:34" x14ac:dyDescent="0.25">
      <c r="B338" s="3">
        <f t="shared" ref="B338:AF338" si="345">$C29*EXP(-B$363/$A29/EXP(-$G$126))</f>
        <v>3.0991280928738818E-2</v>
      </c>
      <c r="C338" s="3">
        <f t="shared" si="345"/>
        <v>3.0991280928734898E-2</v>
      </c>
      <c r="D338" s="3">
        <f t="shared" si="345"/>
        <v>3.0991280928695731E-2</v>
      </c>
      <c r="E338" s="3">
        <f t="shared" si="345"/>
        <v>3.0991280928304037E-2</v>
      </c>
      <c r="F338" s="3">
        <f t="shared" si="345"/>
        <v>3.0991280924387108E-2</v>
      </c>
      <c r="G338" s="3">
        <f t="shared" si="345"/>
        <v>3.0991280885217826E-2</v>
      </c>
      <c r="H338" s="3">
        <f t="shared" si="345"/>
        <v>3.099128049352497E-2</v>
      </c>
      <c r="I338" s="3">
        <f t="shared" si="345"/>
        <v>3.099127657659673E-2</v>
      </c>
      <c r="J338" s="3">
        <f t="shared" si="345"/>
        <v>3.0991237407341533E-2</v>
      </c>
      <c r="K338" s="3">
        <f t="shared" si="345"/>
        <v>3.0990845717512348E-2</v>
      </c>
      <c r="L338" s="3">
        <f t="shared" si="345"/>
        <v>3.0986929091485559E-2</v>
      </c>
      <c r="M338" s="3">
        <f t="shared" si="345"/>
        <v>3.0947790044994816E-2</v>
      </c>
      <c r="N338" s="3">
        <f t="shared" si="345"/>
        <v>3.0559108274575548E-2</v>
      </c>
      <c r="O338" s="3">
        <f t="shared" si="345"/>
        <v>2.6930910138605994E-2</v>
      </c>
      <c r="P338" s="3">
        <f t="shared" si="345"/>
        <v>7.6094727531800651E-3</v>
      </c>
      <c r="Q338" s="3">
        <f t="shared" si="345"/>
        <v>2.4682544106577789E-8</v>
      </c>
      <c r="R338" s="3">
        <f t="shared" si="345"/>
        <v>3.1823172727695084E-63</v>
      </c>
      <c r="S338" s="3">
        <f t="shared" si="345"/>
        <v>0</v>
      </c>
      <c r="T338" s="3">
        <f t="shared" si="345"/>
        <v>0</v>
      </c>
      <c r="U338" s="3">
        <f t="shared" si="345"/>
        <v>0</v>
      </c>
      <c r="V338" s="3">
        <f t="shared" si="345"/>
        <v>0</v>
      </c>
      <c r="W338" s="3">
        <f t="shared" si="345"/>
        <v>0</v>
      </c>
      <c r="X338" s="3">
        <f t="shared" si="345"/>
        <v>0</v>
      </c>
      <c r="Y338" s="3">
        <f t="shared" si="345"/>
        <v>0</v>
      </c>
      <c r="Z338" s="3">
        <f t="shared" si="345"/>
        <v>0</v>
      </c>
      <c r="AA338" s="3">
        <f t="shared" si="345"/>
        <v>0</v>
      </c>
      <c r="AB338" s="3">
        <f t="shared" si="345"/>
        <v>0</v>
      </c>
      <c r="AC338" s="3">
        <f t="shared" si="345"/>
        <v>0</v>
      </c>
      <c r="AD338" s="3">
        <f t="shared" si="345"/>
        <v>0</v>
      </c>
      <c r="AE338" s="3">
        <f t="shared" si="345"/>
        <v>0</v>
      </c>
      <c r="AF338" s="3">
        <f t="shared" si="345"/>
        <v>0</v>
      </c>
      <c r="AG338" s="3"/>
      <c r="AH338" s="3"/>
    </row>
    <row r="339" spans="2:34" x14ac:dyDescent="0.25">
      <c r="B339" s="3">
        <f t="shared" ref="B339:AF339" si="346">$C30*EXP(-B$363/$A30/EXP(-$G$126))</f>
        <v>6.4185010590350807E-3</v>
      </c>
      <c r="C339" s="3">
        <f t="shared" si="346"/>
        <v>6.418501059035007E-3</v>
      </c>
      <c r="D339" s="3">
        <f t="shared" si="346"/>
        <v>6.4185010590342758E-3</v>
      </c>
      <c r="E339" s="3">
        <f t="shared" si="346"/>
        <v>6.4185010590269579E-3</v>
      </c>
      <c r="F339" s="3">
        <f t="shared" si="346"/>
        <v>6.4185010589537786E-3</v>
      </c>
      <c r="G339" s="3">
        <f t="shared" si="346"/>
        <v>6.4185010582219889E-3</v>
      </c>
      <c r="H339" s="3">
        <f t="shared" si="346"/>
        <v>6.4185010509040918E-3</v>
      </c>
      <c r="I339" s="3">
        <f t="shared" si="346"/>
        <v>6.418500977725115E-3</v>
      </c>
      <c r="J339" s="3">
        <f t="shared" si="346"/>
        <v>6.4185002459354028E-3</v>
      </c>
      <c r="K339" s="3">
        <f t="shared" si="346"/>
        <v>6.4184929280428652E-3</v>
      </c>
      <c r="L339" s="3">
        <f t="shared" si="346"/>
        <v>6.4184197495763661E-3</v>
      </c>
      <c r="M339" s="3">
        <f t="shared" si="346"/>
        <v>6.417688010797503E-3</v>
      </c>
      <c r="N339" s="3">
        <f t="shared" si="346"/>
        <v>6.4103752096862027E-3</v>
      </c>
      <c r="O339" s="3">
        <f t="shared" si="346"/>
        <v>6.3377039373187245E-3</v>
      </c>
      <c r="P339" s="3">
        <f t="shared" si="346"/>
        <v>5.654795712020484E-3</v>
      </c>
      <c r="Q339" s="3">
        <f t="shared" si="346"/>
        <v>1.808284023618031E-3</v>
      </c>
      <c r="R339" s="3">
        <f t="shared" si="346"/>
        <v>2.0219196734477926E-8</v>
      </c>
      <c r="S339" s="3">
        <f t="shared" si="346"/>
        <v>6.176414377853174E-58</v>
      </c>
      <c r="T339" s="3">
        <f t="shared" si="346"/>
        <v>0</v>
      </c>
      <c r="U339" s="3">
        <f t="shared" si="346"/>
        <v>0</v>
      </c>
      <c r="V339" s="3">
        <f t="shared" si="346"/>
        <v>0</v>
      </c>
      <c r="W339" s="3">
        <f t="shared" si="346"/>
        <v>0</v>
      </c>
      <c r="X339" s="3">
        <f t="shared" si="346"/>
        <v>0</v>
      </c>
      <c r="Y339" s="3">
        <f t="shared" si="346"/>
        <v>0</v>
      </c>
      <c r="Z339" s="3">
        <f t="shared" si="346"/>
        <v>0</v>
      </c>
      <c r="AA339" s="3">
        <f t="shared" si="346"/>
        <v>0</v>
      </c>
      <c r="AB339" s="3">
        <f t="shared" si="346"/>
        <v>0</v>
      </c>
      <c r="AC339" s="3">
        <f t="shared" si="346"/>
        <v>0</v>
      </c>
      <c r="AD339" s="3">
        <f t="shared" si="346"/>
        <v>0</v>
      </c>
      <c r="AE339" s="3">
        <f t="shared" si="346"/>
        <v>0</v>
      </c>
      <c r="AF339" s="3">
        <f t="shared" si="346"/>
        <v>0</v>
      </c>
      <c r="AG339" s="3"/>
      <c r="AH339" s="3"/>
    </row>
    <row r="340" spans="2:34" x14ac:dyDescent="0.25">
      <c r="B340" s="3">
        <f t="shared" ref="B340:AF340" si="347">$C31*EXP(-B$363/$A31/EXP(-$G$126))</f>
        <v>3.5931837599499799E-3</v>
      </c>
      <c r="C340" s="3">
        <f t="shared" si="347"/>
        <v>3.5931837599499764E-3</v>
      </c>
      <c r="D340" s="3">
        <f t="shared" si="347"/>
        <v>3.5931837599499391E-3</v>
      </c>
      <c r="E340" s="3">
        <f t="shared" si="347"/>
        <v>3.5931837599495696E-3</v>
      </c>
      <c r="F340" s="3">
        <f t="shared" si="347"/>
        <v>3.5931837599458743E-3</v>
      </c>
      <c r="G340" s="3">
        <f t="shared" si="347"/>
        <v>3.5931837599089186E-3</v>
      </c>
      <c r="H340" s="3">
        <f t="shared" si="347"/>
        <v>3.5931837595393639E-3</v>
      </c>
      <c r="I340" s="3">
        <f t="shared" si="347"/>
        <v>3.593183755843817E-3</v>
      </c>
      <c r="J340" s="3">
        <f t="shared" si="347"/>
        <v>3.5931837188883471E-3</v>
      </c>
      <c r="K340" s="3">
        <f t="shared" si="347"/>
        <v>3.5931833493336686E-3</v>
      </c>
      <c r="L340" s="3">
        <f t="shared" si="347"/>
        <v>3.5931796537889732E-3</v>
      </c>
      <c r="M340" s="3">
        <f t="shared" si="347"/>
        <v>3.5931426985510661E-3</v>
      </c>
      <c r="N340" s="3">
        <f t="shared" si="347"/>
        <v>3.5927731670756542E-3</v>
      </c>
      <c r="O340" s="3">
        <f t="shared" si="347"/>
        <v>3.5890799418924284E-3</v>
      </c>
      <c r="P340" s="3">
        <f t="shared" si="347"/>
        <v>3.5523558541657421E-3</v>
      </c>
      <c r="Q340" s="3">
        <f t="shared" si="347"/>
        <v>3.2051605620973854E-3</v>
      </c>
      <c r="R340" s="3">
        <f t="shared" si="347"/>
        <v>1.1459958633637623E-3</v>
      </c>
      <c r="S340" s="3">
        <f t="shared" si="347"/>
        <v>3.9130522467053571E-8</v>
      </c>
      <c r="T340" s="3">
        <f t="shared" si="347"/>
        <v>8.4302724950016855E-53</v>
      </c>
      <c r="U340" s="3">
        <f t="shared" si="347"/>
        <v>0</v>
      </c>
      <c r="V340" s="3">
        <f t="shared" si="347"/>
        <v>0</v>
      </c>
      <c r="W340" s="3">
        <f t="shared" si="347"/>
        <v>0</v>
      </c>
      <c r="X340" s="3">
        <f t="shared" si="347"/>
        <v>0</v>
      </c>
      <c r="Y340" s="3">
        <f t="shared" si="347"/>
        <v>0</v>
      </c>
      <c r="Z340" s="3">
        <f t="shared" si="347"/>
        <v>0</v>
      </c>
      <c r="AA340" s="3">
        <f t="shared" si="347"/>
        <v>0</v>
      </c>
      <c r="AB340" s="3">
        <f t="shared" si="347"/>
        <v>0</v>
      </c>
      <c r="AC340" s="3">
        <f t="shared" si="347"/>
        <v>0</v>
      </c>
      <c r="AD340" s="3">
        <f t="shared" si="347"/>
        <v>0</v>
      </c>
      <c r="AE340" s="3">
        <f t="shared" si="347"/>
        <v>0</v>
      </c>
      <c r="AF340" s="3">
        <f t="shared" si="347"/>
        <v>0</v>
      </c>
      <c r="AG340" s="3"/>
      <c r="AH340" s="3"/>
    </row>
    <row r="341" spans="2:34" x14ac:dyDescent="0.25">
      <c r="B341" s="3">
        <f t="shared" ref="B341:AF341" si="348">$C32*EXP(-B$363/$A32/EXP(-$G$126))</f>
        <v>1.3759911447272116E-3</v>
      </c>
      <c r="C341" s="3">
        <f t="shared" si="348"/>
        <v>1.3759911447272114E-3</v>
      </c>
      <c r="D341" s="3">
        <f t="shared" si="348"/>
        <v>1.3759911447272103E-3</v>
      </c>
      <c r="E341" s="3">
        <f t="shared" si="348"/>
        <v>1.3759911447271973E-3</v>
      </c>
      <c r="F341" s="3">
        <f t="shared" si="348"/>
        <v>1.3759911447270698E-3</v>
      </c>
      <c r="G341" s="3">
        <f t="shared" si="348"/>
        <v>1.3759911447257932E-3</v>
      </c>
      <c r="H341" s="3">
        <f t="shared" si="348"/>
        <v>1.375991144713027E-3</v>
      </c>
      <c r="I341" s="3">
        <f t="shared" si="348"/>
        <v>1.375991144585365E-3</v>
      </c>
      <c r="J341" s="3">
        <f t="shared" si="348"/>
        <v>1.3759911433087453E-3</v>
      </c>
      <c r="K341" s="3">
        <f t="shared" si="348"/>
        <v>1.3759911305425486E-3</v>
      </c>
      <c r="L341" s="3">
        <f t="shared" si="348"/>
        <v>1.3759910028805881E-3</v>
      </c>
      <c r="M341" s="3">
        <f t="shared" si="348"/>
        <v>1.3759897262616355E-3</v>
      </c>
      <c r="N341" s="3">
        <f t="shared" si="348"/>
        <v>1.3759769601372526E-3</v>
      </c>
      <c r="O341" s="3">
        <f t="shared" si="348"/>
        <v>1.3758493054075104E-3</v>
      </c>
      <c r="P341" s="3">
        <f t="shared" si="348"/>
        <v>1.3745734092952269E-3</v>
      </c>
      <c r="Q341" s="3">
        <f t="shared" si="348"/>
        <v>1.3618793437015692E-3</v>
      </c>
      <c r="R341" s="3">
        <f t="shared" si="348"/>
        <v>1.2412108888246402E-3</v>
      </c>
      <c r="S341" s="3">
        <f t="shared" si="348"/>
        <v>4.908118255430693E-4</v>
      </c>
      <c r="T341" s="3">
        <f t="shared" si="348"/>
        <v>4.5878523138775053E-8</v>
      </c>
      <c r="U341" s="3">
        <f t="shared" si="348"/>
        <v>2.3364341281984324E-48</v>
      </c>
      <c r="V341" s="3">
        <f t="shared" si="348"/>
        <v>0</v>
      </c>
      <c r="W341" s="3">
        <f t="shared" si="348"/>
        <v>0</v>
      </c>
      <c r="X341" s="3">
        <f t="shared" si="348"/>
        <v>0</v>
      </c>
      <c r="Y341" s="3">
        <f t="shared" si="348"/>
        <v>0</v>
      </c>
      <c r="Z341" s="3">
        <f t="shared" si="348"/>
        <v>0</v>
      </c>
      <c r="AA341" s="3">
        <f t="shared" si="348"/>
        <v>0</v>
      </c>
      <c r="AB341" s="3">
        <f t="shared" si="348"/>
        <v>0</v>
      </c>
      <c r="AC341" s="3">
        <f t="shared" si="348"/>
        <v>0</v>
      </c>
      <c r="AD341" s="3">
        <f t="shared" si="348"/>
        <v>0</v>
      </c>
      <c r="AE341" s="3">
        <f t="shared" si="348"/>
        <v>0</v>
      </c>
      <c r="AF341" s="3">
        <f t="shared" si="348"/>
        <v>0</v>
      </c>
      <c r="AG341" s="3"/>
      <c r="AH341" s="3"/>
    </row>
    <row r="342" spans="2:34" x14ac:dyDescent="0.25">
      <c r="B342" s="3">
        <f t="shared" ref="B342:AF342" si="349">$C33*EXP(-B$363/$A33/EXP(-$G$126))</f>
        <v>1.7729334570218164E-4</v>
      </c>
      <c r="C342" s="3">
        <f t="shared" si="349"/>
        <v>1.7729334570218164E-4</v>
      </c>
      <c r="D342" s="3">
        <f t="shared" si="349"/>
        <v>1.7729334570218161E-4</v>
      </c>
      <c r="E342" s="3">
        <f t="shared" si="349"/>
        <v>1.7729334570218148E-4</v>
      </c>
      <c r="F342" s="3">
        <f t="shared" si="349"/>
        <v>1.7729334570217999E-4</v>
      </c>
      <c r="G342" s="3">
        <f t="shared" si="349"/>
        <v>1.7729334570216513E-4</v>
      </c>
      <c r="H342" s="3">
        <f t="shared" si="349"/>
        <v>1.7729334570201676E-4</v>
      </c>
      <c r="I342" s="3">
        <f t="shared" si="349"/>
        <v>1.7729334570053292E-4</v>
      </c>
      <c r="J342" s="3">
        <f t="shared" si="349"/>
        <v>1.7729334568569461E-4</v>
      </c>
      <c r="K342" s="3">
        <f t="shared" si="349"/>
        <v>1.7729334553731135E-4</v>
      </c>
      <c r="L342" s="3">
        <f t="shared" si="349"/>
        <v>1.7729334405347871E-4</v>
      </c>
      <c r="M342" s="3">
        <f t="shared" si="349"/>
        <v>1.7729332921515302E-4</v>
      </c>
      <c r="N342" s="3">
        <f t="shared" si="349"/>
        <v>1.7729318083196442E-4</v>
      </c>
      <c r="O342" s="3">
        <f t="shared" si="349"/>
        <v>1.7729169700690875E-4</v>
      </c>
      <c r="P342" s="3">
        <f t="shared" si="349"/>
        <v>1.772768594393589E-4</v>
      </c>
      <c r="Q342" s="3">
        <f t="shared" si="349"/>
        <v>1.7712855204341475E-4</v>
      </c>
      <c r="R342" s="3">
        <f t="shared" si="349"/>
        <v>1.7565228494275425E-4</v>
      </c>
      <c r="S342" s="3">
        <f t="shared" si="349"/>
        <v>1.6154968485161661E-4</v>
      </c>
      <c r="T342" s="3">
        <f t="shared" si="349"/>
        <v>6.9956686421392158E-5</v>
      </c>
      <c r="U342" s="3">
        <f t="shared" si="349"/>
        <v>1.6220356061957234E-8</v>
      </c>
      <c r="V342" s="3">
        <f t="shared" si="349"/>
        <v>7.2840331429726672E-45</v>
      </c>
      <c r="W342" s="3">
        <f t="shared" si="349"/>
        <v>0</v>
      </c>
      <c r="X342" s="3">
        <f t="shared" si="349"/>
        <v>0</v>
      </c>
      <c r="Y342" s="3">
        <f t="shared" si="349"/>
        <v>0</v>
      </c>
      <c r="Z342" s="3">
        <f t="shared" si="349"/>
        <v>0</v>
      </c>
      <c r="AA342" s="3">
        <f t="shared" si="349"/>
        <v>0</v>
      </c>
      <c r="AB342" s="3">
        <f t="shared" si="349"/>
        <v>0</v>
      </c>
      <c r="AC342" s="3">
        <f t="shared" si="349"/>
        <v>0</v>
      </c>
      <c r="AD342" s="3">
        <f t="shared" si="349"/>
        <v>0</v>
      </c>
      <c r="AE342" s="3">
        <f t="shared" si="349"/>
        <v>0</v>
      </c>
      <c r="AF342" s="3">
        <f t="shared" si="349"/>
        <v>0</v>
      </c>
      <c r="AG342" s="3"/>
      <c r="AH342" s="3"/>
    </row>
    <row r="343" spans="2:34" x14ac:dyDescent="0.25">
      <c r="B343" s="3">
        <f t="shared" ref="B343:AF343" si="350">$C34*EXP(-B$363/$A34/EXP(-$G$126))</f>
        <v>4.3065005159432222E-4</v>
      </c>
      <c r="C343" s="3">
        <f t="shared" si="350"/>
        <v>4.3065005159432222E-4</v>
      </c>
      <c r="D343" s="3">
        <f t="shared" si="350"/>
        <v>4.3065005159432222E-4</v>
      </c>
      <c r="E343" s="3">
        <f t="shared" si="350"/>
        <v>4.3065005159432216E-4</v>
      </c>
      <c r="F343" s="3">
        <f t="shared" si="350"/>
        <v>4.3065005159432184E-4</v>
      </c>
      <c r="G343" s="3">
        <f t="shared" si="350"/>
        <v>4.3065005159431859E-4</v>
      </c>
      <c r="H343" s="3">
        <f t="shared" si="350"/>
        <v>4.3065005159428606E-4</v>
      </c>
      <c r="I343" s="3">
        <f t="shared" si="350"/>
        <v>4.3065005159396096E-4</v>
      </c>
      <c r="J343" s="3">
        <f t="shared" si="350"/>
        <v>4.306500515907096E-4</v>
      </c>
      <c r="K343" s="3">
        <f t="shared" si="350"/>
        <v>4.3065005155819611E-4</v>
      </c>
      <c r="L343" s="3">
        <f t="shared" si="350"/>
        <v>4.3065005123306123E-4</v>
      </c>
      <c r="M343" s="3">
        <f t="shared" si="350"/>
        <v>4.3065004798171233E-4</v>
      </c>
      <c r="N343" s="3">
        <f t="shared" si="350"/>
        <v>4.3065001546822444E-4</v>
      </c>
      <c r="O343" s="3">
        <f t="shared" si="350"/>
        <v>4.306496903334811E-4</v>
      </c>
      <c r="P343" s="3">
        <f t="shared" si="350"/>
        <v>4.3064643899954843E-4</v>
      </c>
      <c r="Q343" s="3">
        <f t="shared" si="350"/>
        <v>4.3061392701027772E-4</v>
      </c>
      <c r="R343" s="3">
        <f t="shared" si="350"/>
        <v>4.3028894208549156E-4</v>
      </c>
      <c r="S343" s="3">
        <f t="shared" si="350"/>
        <v>4.2705255200309252E-4</v>
      </c>
      <c r="T343" s="3">
        <f t="shared" si="350"/>
        <v>3.9599771746398778E-4</v>
      </c>
      <c r="U343" s="3">
        <f t="shared" si="350"/>
        <v>1.8612567865177541E-4</v>
      </c>
      <c r="V343" s="3">
        <f t="shared" si="350"/>
        <v>9.7936010932724591E-8</v>
      </c>
      <c r="W343" s="3">
        <f t="shared" si="350"/>
        <v>1.593322078342631E-40</v>
      </c>
      <c r="X343" s="3">
        <f t="shared" si="350"/>
        <v>0</v>
      </c>
      <c r="Y343" s="3">
        <f t="shared" si="350"/>
        <v>0</v>
      </c>
      <c r="Z343" s="3">
        <f t="shared" si="350"/>
        <v>0</v>
      </c>
      <c r="AA343" s="3">
        <f t="shared" si="350"/>
        <v>0</v>
      </c>
      <c r="AB343" s="3">
        <f t="shared" si="350"/>
        <v>0</v>
      </c>
      <c r="AC343" s="3">
        <f t="shared" si="350"/>
        <v>0</v>
      </c>
      <c r="AD343" s="3">
        <f t="shared" si="350"/>
        <v>0</v>
      </c>
      <c r="AE343" s="3">
        <f t="shared" si="350"/>
        <v>0</v>
      </c>
      <c r="AF343" s="3">
        <f t="shared" si="350"/>
        <v>0</v>
      </c>
      <c r="AG343" s="3"/>
      <c r="AH343" s="3"/>
    </row>
    <row r="344" spans="2:34" x14ac:dyDescent="0.25">
      <c r="B344" s="3">
        <f t="shared" ref="B344:AF344" si="351">$C35*EXP(-B$363/$A35/EXP(-$G$126))</f>
        <v>5.9717869572018282E-4</v>
      </c>
      <c r="C344" s="3">
        <f t="shared" si="351"/>
        <v>5.9717869572018282E-4</v>
      </c>
      <c r="D344" s="3">
        <f t="shared" si="351"/>
        <v>5.9717869572018282E-4</v>
      </c>
      <c r="E344" s="3">
        <f t="shared" si="351"/>
        <v>5.9717869572018282E-4</v>
      </c>
      <c r="F344" s="3">
        <f t="shared" si="351"/>
        <v>5.9717869572018271E-4</v>
      </c>
      <c r="G344" s="3">
        <f t="shared" si="351"/>
        <v>5.9717869572018239E-4</v>
      </c>
      <c r="H344" s="3">
        <f t="shared" si="351"/>
        <v>5.9717869572017827E-4</v>
      </c>
      <c r="I344" s="3">
        <f t="shared" si="351"/>
        <v>5.9717869572013761E-4</v>
      </c>
      <c r="J344" s="3">
        <f t="shared" si="351"/>
        <v>5.9717869571973092E-4</v>
      </c>
      <c r="K344" s="3">
        <f t="shared" si="351"/>
        <v>5.9717869571566376E-4</v>
      </c>
      <c r="L344" s="3">
        <f t="shared" si="351"/>
        <v>5.971786956749923E-4</v>
      </c>
      <c r="M344" s="3">
        <f t="shared" si="351"/>
        <v>5.9717869526827749E-4</v>
      </c>
      <c r="N344" s="3">
        <f t="shared" si="351"/>
        <v>5.971786912011295E-4</v>
      </c>
      <c r="O344" s="3">
        <f t="shared" si="351"/>
        <v>5.9717865052965149E-4</v>
      </c>
      <c r="P344" s="3">
        <f t="shared" si="351"/>
        <v>5.9717824381502326E-4</v>
      </c>
      <c r="Q344" s="3">
        <f t="shared" si="351"/>
        <v>5.9717417668397595E-4</v>
      </c>
      <c r="R344" s="3">
        <f t="shared" si="351"/>
        <v>5.9713350689694544E-4</v>
      </c>
      <c r="S344" s="3">
        <f t="shared" si="351"/>
        <v>5.9672696133254428E-4</v>
      </c>
      <c r="T344" s="3">
        <f t="shared" si="351"/>
        <v>5.9267669796881132E-4</v>
      </c>
      <c r="U344" s="3">
        <f t="shared" si="351"/>
        <v>5.5365569641117819E-4</v>
      </c>
      <c r="V344" s="3">
        <f t="shared" si="351"/>
        <v>2.8019409135810727E-4</v>
      </c>
      <c r="W344" s="3">
        <f t="shared" si="351"/>
        <v>3.0878128807931744E-7</v>
      </c>
      <c r="X344" s="3">
        <f t="shared" si="351"/>
        <v>8.157761271817477E-37</v>
      </c>
      <c r="Y344" s="3">
        <f t="shared" si="351"/>
        <v>0</v>
      </c>
      <c r="Z344" s="3">
        <f t="shared" si="351"/>
        <v>0</v>
      </c>
      <c r="AA344" s="3">
        <f t="shared" si="351"/>
        <v>0</v>
      </c>
      <c r="AB344" s="3">
        <f t="shared" si="351"/>
        <v>0</v>
      </c>
      <c r="AC344" s="3">
        <f t="shared" si="351"/>
        <v>0</v>
      </c>
      <c r="AD344" s="3">
        <f t="shared" si="351"/>
        <v>0</v>
      </c>
      <c r="AE344" s="3">
        <f t="shared" si="351"/>
        <v>0</v>
      </c>
      <c r="AF344" s="3">
        <f t="shared" si="351"/>
        <v>0</v>
      </c>
      <c r="AG344" s="3"/>
      <c r="AH344" s="3"/>
    </row>
    <row r="345" spans="2:34" x14ac:dyDescent="0.25">
      <c r="B345" s="3">
        <f t="shared" ref="B345:AF345" si="352">$C36*EXP(-B$363/$A36/EXP(-$G$126))</f>
        <v>5.2966364389967348E-4</v>
      </c>
      <c r="C345" s="3">
        <f t="shared" si="352"/>
        <v>5.2966364389967348E-4</v>
      </c>
      <c r="D345" s="3">
        <f t="shared" si="352"/>
        <v>5.2966364389967348E-4</v>
      </c>
      <c r="E345" s="3">
        <f t="shared" si="352"/>
        <v>5.2966364389967348E-4</v>
      </c>
      <c r="F345" s="3">
        <f t="shared" si="352"/>
        <v>5.2966364389967348E-4</v>
      </c>
      <c r="G345" s="3">
        <f t="shared" si="352"/>
        <v>5.2966364389967337E-4</v>
      </c>
      <c r="H345" s="3">
        <f t="shared" si="352"/>
        <v>5.2966364389967315E-4</v>
      </c>
      <c r="I345" s="3">
        <f t="shared" si="352"/>
        <v>5.296636438996699E-4</v>
      </c>
      <c r="J345" s="3">
        <f t="shared" si="352"/>
        <v>5.2966364389963726E-4</v>
      </c>
      <c r="K345" s="3">
        <f t="shared" si="352"/>
        <v>5.2966364389931189E-4</v>
      </c>
      <c r="L345" s="3">
        <f t="shared" si="352"/>
        <v>5.2966364389605777E-4</v>
      </c>
      <c r="M345" s="3">
        <f t="shared" si="352"/>
        <v>5.2966364386351663E-4</v>
      </c>
      <c r="N345" s="3">
        <f t="shared" si="352"/>
        <v>5.296636435381056E-4</v>
      </c>
      <c r="O345" s="3">
        <f t="shared" si="352"/>
        <v>5.2966364028399411E-4</v>
      </c>
      <c r="P345" s="3">
        <f t="shared" si="352"/>
        <v>5.2966360774288086E-4</v>
      </c>
      <c r="Q345" s="3">
        <f t="shared" si="352"/>
        <v>5.2966328233185829E-4</v>
      </c>
      <c r="R345" s="3">
        <f t="shared" si="352"/>
        <v>5.2966002823262874E-4</v>
      </c>
      <c r="S345" s="3">
        <f t="shared" si="352"/>
        <v>5.2962748833988672E-4</v>
      </c>
      <c r="T345" s="3">
        <f t="shared" si="352"/>
        <v>5.2930219934283471E-4</v>
      </c>
      <c r="U345" s="3">
        <f t="shared" si="352"/>
        <v>5.26060277461013E-4</v>
      </c>
      <c r="V345" s="3">
        <f t="shared" si="352"/>
        <v>4.9471333949828022E-4</v>
      </c>
      <c r="W345" s="3">
        <f t="shared" si="352"/>
        <v>2.6762996225943204E-4</v>
      </c>
      <c r="X345" s="3">
        <f t="shared" si="352"/>
        <v>5.7457384470896304E-7</v>
      </c>
      <c r="Y345" s="3">
        <f t="shared" si="352"/>
        <v>1.1952453121691838E-33</v>
      </c>
      <c r="Z345" s="3">
        <f t="shared" si="352"/>
        <v>1.8137148733317183E-300</v>
      </c>
      <c r="AA345" s="3">
        <f t="shared" si="352"/>
        <v>0</v>
      </c>
      <c r="AB345" s="3">
        <f t="shared" si="352"/>
        <v>0</v>
      </c>
      <c r="AC345" s="3">
        <f t="shared" si="352"/>
        <v>0</v>
      </c>
      <c r="AD345" s="3">
        <f t="shared" si="352"/>
        <v>0</v>
      </c>
      <c r="AE345" s="3">
        <f t="shared" si="352"/>
        <v>0</v>
      </c>
      <c r="AF345" s="3">
        <f t="shared" si="352"/>
        <v>0</v>
      </c>
      <c r="AG345" s="3"/>
      <c r="AH345" s="3"/>
    </row>
    <row r="346" spans="2:34" x14ac:dyDescent="0.25">
      <c r="B346" s="3">
        <f t="shared" ref="B346:AF346" si="353">$C37*EXP(-B$363/$A37/EXP(-$G$126))</f>
        <v>3.7946363748828321E-4</v>
      </c>
      <c r="C346" s="3">
        <f t="shared" si="353"/>
        <v>3.7946363748828321E-4</v>
      </c>
      <c r="D346" s="3">
        <f t="shared" si="353"/>
        <v>3.7946363748828321E-4</v>
      </c>
      <c r="E346" s="3">
        <f t="shared" si="353"/>
        <v>3.7946363748828321E-4</v>
      </c>
      <c r="F346" s="3">
        <f t="shared" si="353"/>
        <v>3.7946363748828321E-4</v>
      </c>
      <c r="G346" s="3">
        <f t="shared" si="353"/>
        <v>3.7946363748828321E-4</v>
      </c>
      <c r="H346" s="3">
        <f t="shared" si="353"/>
        <v>3.7946363748828316E-4</v>
      </c>
      <c r="I346" s="3">
        <f t="shared" si="353"/>
        <v>3.7946363748828294E-4</v>
      </c>
      <c r="J346" s="3">
        <f t="shared" si="353"/>
        <v>3.7946363748828088E-4</v>
      </c>
      <c r="K346" s="3">
        <f t="shared" si="353"/>
        <v>3.7946363748825985E-4</v>
      </c>
      <c r="L346" s="3">
        <f t="shared" si="353"/>
        <v>3.7946363748804951E-4</v>
      </c>
      <c r="M346" s="3">
        <f t="shared" si="353"/>
        <v>3.7946363748594649E-4</v>
      </c>
      <c r="N346" s="3">
        <f t="shared" si="353"/>
        <v>3.79463637464916E-4</v>
      </c>
      <c r="O346" s="3">
        <f t="shared" si="353"/>
        <v>3.794636372546113E-4</v>
      </c>
      <c r="P346" s="3">
        <f t="shared" si="353"/>
        <v>3.7946363515156412E-4</v>
      </c>
      <c r="Q346" s="3">
        <f t="shared" si="353"/>
        <v>3.7946361412109309E-4</v>
      </c>
      <c r="R346" s="3">
        <f t="shared" si="353"/>
        <v>3.7946340381644672E-4</v>
      </c>
      <c r="S346" s="3">
        <f t="shared" si="353"/>
        <v>3.794613007763932E-4</v>
      </c>
      <c r="T346" s="3">
        <f t="shared" si="353"/>
        <v>3.7944027101689142E-4</v>
      </c>
      <c r="U346" s="3">
        <f t="shared" si="353"/>
        <v>3.7923003751207086E-4</v>
      </c>
      <c r="V346" s="3">
        <f t="shared" si="353"/>
        <v>3.7713409836070424E-4</v>
      </c>
      <c r="W346" s="3">
        <f t="shared" si="353"/>
        <v>3.5680137327727705E-4</v>
      </c>
      <c r="X346" s="3">
        <f t="shared" si="353"/>
        <v>2.0499047559550363E-4</v>
      </c>
      <c r="Y346" s="3">
        <f t="shared" si="353"/>
        <v>8.0316604735735914E-7</v>
      </c>
      <c r="Z346" s="3">
        <f t="shared" si="353"/>
        <v>6.8473404414289726E-31</v>
      </c>
      <c r="AA346" s="3">
        <f t="shared" si="353"/>
        <v>1.388953545065115E-271</v>
      </c>
      <c r="AB346" s="3">
        <f t="shared" si="353"/>
        <v>0</v>
      </c>
      <c r="AC346" s="3">
        <f t="shared" si="353"/>
        <v>0</v>
      </c>
      <c r="AD346" s="3">
        <f t="shared" si="353"/>
        <v>0</v>
      </c>
      <c r="AE346" s="3">
        <f t="shared" si="353"/>
        <v>0</v>
      </c>
      <c r="AF346" s="3">
        <f t="shared" si="353"/>
        <v>0</v>
      </c>
      <c r="AG346" s="3"/>
      <c r="AH346" s="3"/>
    </row>
    <row r="347" spans="2:34" x14ac:dyDescent="0.25">
      <c r="B347" s="3">
        <f t="shared" ref="B347:AF347" si="354">$C38*EXP(-B$363/$A38/EXP(-$G$126))</f>
        <v>2.9006625777866605E-4</v>
      </c>
      <c r="C347" s="3">
        <f t="shared" si="354"/>
        <v>2.9006625777866605E-4</v>
      </c>
      <c r="D347" s="3">
        <f t="shared" si="354"/>
        <v>2.9006625777866605E-4</v>
      </c>
      <c r="E347" s="3">
        <f t="shared" si="354"/>
        <v>2.9006625777866605E-4</v>
      </c>
      <c r="F347" s="3">
        <f t="shared" si="354"/>
        <v>2.9006625777866605E-4</v>
      </c>
      <c r="G347" s="3">
        <f t="shared" si="354"/>
        <v>2.9006625777866605E-4</v>
      </c>
      <c r="H347" s="3">
        <f t="shared" si="354"/>
        <v>2.9006625777866605E-4</v>
      </c>
      <c r="I347" s="3">
        <f t="shared" si="354"/>
        <v>2.9006625777866605E-4</v>
      </c>
      <c r="J347" s="3">
        <f t="shared" si="354"/>
        <v>2.9006625777866588E-4</v>
      </c>
      <c r="K347" s="3">
        <f t="shared" si="354"/>
        <v>2.9006625777866442E-4</v>
      </c>
      <c r="L347" s="3">
        <f t="shared" si="354"/>
        <v>2.9006625777864994E-4</v>
      </c>
      <c r="M347" s="3">
        <f t="shared" si="354"/>
        <v>2.9006625777850493E-4</v>
      </c>
      <c r="N347" s="3">
        <f t="shared" si="354"/>
        <v>2.900662577770547E-4</v>
      </c>
      <c r="O347" s="3">
        <f t="shared" si="354"/>
        <v>2.900662577625529E-4</v>
      </c>
      <c r="P347" s="3">
        <f t="shared" si="354"/>
        <v>2.9006625761753468E-4</v>
      </c>
      <c r="Q347" s="3">
        <f t="shared" si="354"/>
        <v>2.9006625616735221E-4</v>
      </c>
      <c r="R347" s="3">
        <f t="shared" si="354"/>
        <v>2.9006624166552788E-4</v>
      </c>
      <c r="S347" s="3">
        <f t="shared" si="354"/>
        <v>2.900660966473247E-4</v>
      </c>
      <c r="T347" s="3">
        <f t="shared" si="354"/>
        <v>2.9006464646928032E-4</v>
      </c>
      <c r="U347" s="3">
        <f t="shared" si="354"/>
        <v>2.9005014508758775E-4</v>
      </c>
      <c r="V347" s="3">
        <f t="shared" si="354"/>
        <v>2.8990517113839368E-4</v>
      </c>
      <c r="W347" s="3">
        <f t="shared" si="354"/>
        <v>2.8845941105466873E-4</v>
      </c>
      <c r="X347" s="3">
        <f t="shared" si="354"/>
        <v>2.7439248729276797E-4</v>
      </c>
      <c r="Y347" s="3">
        <f t="shared" si="354"/>
        <v>1.6643599485295009E-4</v>
      </c>
      <c r="Z347" s="3">
        <f t="shared" si="354"/>
        <v>1.1220123950463037E-6</v>
      </c>
      <c r="AA347" s="3">
        <f t="shared" si="354"/>
        <v>2.1752122395912172E-28</v>
      </c>
      <c r="AB347" s="3">
        <f t="shared" si="354"/>
        <v>1.6313286917067776E-245</v>
      </c>
      <c r="AC347" s="3">
        <f t="shared" si="354"/>
        <v>0</v>
      </c>
      <c r="AD347" s="3">
        <f t="shared" si="354"/>
        <v>0</v>
      </c>
      <c r="AE347" s="3">
        <f t="shared" si="354"/>
        <v>0</v>
      </c>
      <c r="AF347" s="3">
        <f t="shared" si="354"/>
        <v>0</v>
      </c>
      <c r="AG347" s="3"/>
      <c r="AH347" s="3"/>
    </row>
    <row r="348" spans="2:34" x14ac:dyDescent="0.25">
      <c r="B348" s="3">
        <f t="shared" ref="B348:AF348" si="355">$C39*EXP(-B$363/$A39/EXP(-$G$126))</f>
        <v>0</v>
      </c>
      <c r="C348" s="3">
        <f t="shared" si="355"/>
        <v>0</v>
      </c>
      <c r="D348" s="3">
        <f t="shared" si="355"/>
        <v>0</v>
      </c>
      <c r="E348" s="3">
        <f t="shared" si="355"/>
        <v>0</v>
      </c>
      <c r="F348" s="3">
        <f t="shared" si="355"/>
        <v>0</v>
      </c>
      <c r="G348" s="3">
        <f t="shared" si="355"/>
        <v>0</v>
      </c>
      <c r="H348" s="3">
        <f t="shared" si="355"/>
        <v>0</v>
      </c>
      <c r="I348" s="3">
        <f t="shared" si="355"/>
        <v>0</v>
      </c>
      <c r="J348" s="3">
        <f t="shared" si="355"/>
        <v>0</v>
      </c>
      <c r="K348" s="3">
        <f t="shared" si="355"/>
        <v>0</v>
      </c>
      <c r="L348" s="3">
        <f t="shared" si="355"/>
        <v>0</v>
      </c>
      <c r="M348" s="3">
        <f t="shared" si="355"/>
        <v>0</v>
      </c>
      <c r="N348" s="3">
        <f t="shared" si="355"/>
        <v>0</v>
      </c>
      <c r="O348" s="3">
        <f t="shared" si="355"/>
        <v>0</v>
      </c>
      <c r="P348" s="3">
        <f t="shared" si="355"/>
        <v>0</v>
      </c>
      <c r="Q348" s="3">
        <f t="shared" si="355"/>
        <v>0</v>
      </c>
      <c r="R348" s="3">
        <f t="shared" si="355"/>
        <v>0</v>
      </c>
      <c r="S348" s="3">
        <f t="shared" si="355"/>
        <v>0</v>
      </c>
      <c r="T348" s="3">
        <f t="shared" si="355"/>
        <v>0</v>
      </c>
      <c r="U348" s="3">
        <f t="shared" si="355"/>
        <v>0</v>
      </c>
      <c r="V348" s="3">
        <f t="shared" si="355"/>
        <v>0</v>
      </c>
      <c r="W348" s="3">
        <f t="shared" si="355"/>
        <v>0</v>
      </c>
      <c r="X348" s="3">
        <f t="shared" si="355"/>
        <v>0</v>
      </c>
      <c r="Y348" s="3">
        <f t="shared" si="355"/>
        <v>0</v>
      </c>
      <c r="Z348" s="3">
        <f t="shared" si="355"/>
        <v>0</v>
      </c>
      <c r="AA348" s="3">
        <f t="shared" si="355"/>
        <v>0</v>
      </c>
      <c r="AB348" s="3">
        <f t="shared" si="355"/>
        <v>0</v>
      </c>
      <c r="AC348" s="3">
        <f t="shared" si="355"/>
        <v>0</v>
      </c>
      <c r="AD348" s="3">
        <f t="shared" si="355"/>
        <v>0</v>
      </c>
      <c r="AE348" s="3">
        <f t="shared" si="355"/>
        <v>0</v>
      </c>
      <c r="AF348" s="3">
        <f t="shared" si="355"/>
        <v>0</v>
      </c>
      <c r="AG348" s="3"/>
      <c r="AH348" s="3"/>
    </row>
    <row r="349" spans="2:34" x14ac:dyDescent="0.25">
      <c r="B349" s="3">
        <f t="shared" ref="B349:AF349" si="356">$C40*EXP(-B$363/$A40/EXP(-$G$126))</f>
        <v>3.0334619433978663E-4</v>
      </c>
      <c r="C349" s="3">
        <f t="shared" si="356"/>
        <v>3.0334619433978663E-4</v>
      </c>
      <c r="D349" s="3">
        <f t="shared" si="356"/>
        <v>3.0334619433978663E-4</v>
      </c>
      <c r="E349" s="3">
        <f t="shared" si="356"/>
        <v>3.0334619433978663E-4</v>
      </c>
      <c r="F349" s="3">
        <f t="shared" si="356"/>
        <v>3.0334619433978663E-4</v>
      </c>
      <c r="G349" s="3">
        <f t="shared" si="356"/>
        <v>3.0334619433978663E-4</v>
      </c>
      <c r="H349" s="3">
        <f t="shared" si="356"/>
        <v>3.0334619433978663E-4</v>
      </c>
      <c r="I349" s="3">
        <f t="shared" si="356"/>
        <v>3.0334619433978663E-4</v>
      </c>
      <c r="J349" s="3">
        <f t="shared" si="356"/>
        <v>3.0334619433978663E-4</v>
      </c>
      <c r="K349" s="3">
        <f t="shared" si="356"/>
        <v>3.0334619433978658E-4</v>
      </c>
      <c r="L349" s="3">
        <f t="shared" si="356"/>
        <v>3.0334619433978614E-4</v>
      </c>
      <c r="M349" s="3">
        <f t="shared" si="356"/>
        <v>3.0334619433978197E-4</v>
      </c>
      <c r="N349" s="3">
        <f t="shared" si="356"/>
        <v>3.0334619433974001E-4</v>
      </c>
      <c r="O349" s="3">
        <f t="shared" si="356"/>
        <v>3.0334619433932059E-4</v>
      </c>
      <c r="P349" s="3">
        <f t="shared" si="356"/>
        <v>3.0334619433512614E-4</v>
      </c>
      <c r="Q349" s="3">
        <f t="shared" si="356"/>
        <v>3.0334619429318144E-4</v>
      </c>
      <c r="R349" s="3">
        <f t="shared" si="356"/>
        <v>3.0334619387373469E-4</v>
      </c>
      <c r="S349" s="3">
        <f t="shared" si="356"/>
        <v>3.03346189679267E-4</v>
      </c>
      <c r="T349" s="3">
        <f t="shared" si="356"/>
        <v>3.0334614773459367E-4</v>
      </c>
      <c r="U349" s="3">
        <f t="shared" si="356"/>
        <v>3.0334572828817944E-4</v>
      </c>
      <c r="V349" s="3">
        <f t="shared" si="356"/>
        <v>3.0334153385593553E-4</v>
      </c>
      <c r="W349" s="3">
        <f t="shared" si="356"/>
        <v>3.0329959272322097E-4</v>
      </c>
      <c r="X349" s="3">
        <f t="shared" si="356"/>
        <v>3.0288050020538357E-4</v>
      </c>
      <c r="Y349" s="3">
        <f t="shared" si="356"/>
        <v>2.9872129345293388E-4</v>
      </c>
      <c r="Z349" s="3">
        <f t="shared" si="356"/>
        <v>2.6014462279428025E-4</v>
      </c>
      <c r="AA349" s="3">
        <f t="shared" si="356"/>
        <v>6.5268191160085712E-5</v>
      </c>
      <c r="AB349" s="3">
        <f t="shared" si="356"/>
        <v>6.4501350972841226E-11</v>
      </c>
      <c r="AC349" s="3">
        <f t="shared" si="356"/>
        <v>5.7311417785609419E-71</v>
      </c>
      <c r="AD349" s="3">
        <f t="shared" si="356"/>
        <v>0</v>
      </c>
      <c r="AE349" s="3">
        <f t="shared" si="356"/>
        <v>0</v>
      </c>
      <c r="AF349" s="3">
        <f t="shared" si="356"/>
        <v>0</v>
      </c>
      <c r="AG349" s="3"/>
      <c r="AH349" s="3"/>
    </row>
    <row r="350" spans="2:34" x14ac:dyDescent="0.25">
      <c r="B350" s="3">
        <f t="shared" ref="B350:AF350" si="357">$C41*EXP(-B$363/$A41/EXP(-$G$126))</f>
        <v>0</v>
      </c>
      <c r="C350" s="3">
        <f t="shared" si="357"/>
        <v>0</v>
      </c>
      <c r="D350" s="3">
        <f t="shared" si="357"/>
        <v>0</v>
      </c>
      <c r="E350" s="3">
        <f t="shared" si="357"/>
        <v>0</v>
      </c>
      <c r="F350" s="3">
        <f t="shared" si="357"/>
        <v>0</v>
      </c>
      <c r="G350" s="3">
        <f t="shared" si="357"/>
        <v>0</v>
      </c>
      <c r="H350" s="3">
        <f t="shared" si="357"/>
        <v>0</v>
      </c>
      <c r="I350" s="3">
        <f t="shared" si="357"/>
        <v>0</v>
      </c>
      <c r="J350" s="3">
        <f t="shared" si="357"/>
        <v>0</v>
      </c>
      <c r="K350" s="3">
        <f t="shared" si="357"/>
        <v>0</v>
      </c>
      <c r="L350" s="3">
        <f t="shared" si="357"/>
        <v>0</v>
      </c>
      <c r="M350" s="3">
        <f t="shared" si="357"/>
        <v>0</v>
      </c>
      <c r="N350" s="3">
        <f t="shared" si="357"/>
        <v>0</v>
      </c>
      <c r="O350" s="3">
        <f t="shared" si="357"/>
        <v>0</v>
      </c>
      <c r="P350" s="3">
        <f t="shared" si="357"/>
        <v>0</v>
      </c>
      <c r="Q350" s="3">
        <f t="shared" si="357"/>
        <v>0</v>
      </c>
      <c r="R350" s="3">
        <f t="shared" si="357"/>
        <v>0</v>
      </c>
      <c r="S350" s="3">
        <f t="shared" si="357"/>
        <v>0</v>
      </c>
      <c r="T350" s="3">
        <f t="shared" si="357"/>
        <v>0</v>
      </c>
      <c r="U350" s="3">
        <f t="shared" si="357"/>
        <v>0</v>
      </c>
      <c r="V350" s="3">
        <f t="shared" si="357"/>
        <v>0</v>
      </c>
      <c r="W350" s="3">
        <f t="shared" si="357"/>
        <v>0</v>
      </c>
      <c r="X350" s="3">
        <f t="shared" si="357"/>
        <v>0</v>
      </c>
      <c r="Y350" s="3">
        <f t="shared" si="357"/>
        <v>0</v>
      </c>
      <c r="Z350" s="3">
        <f t="shared" si="357"/>
        <v>0</v>
      </c>
      <c r="AA350" s="3">
        <f t="shared" si="357"/>
        <v>0</v>
      </c>
      <c r="AB350" s="3">
        <f t="shared" si="357"/>
        <v>0</v>
      </c>
      <c r="AC350" s="3">
        <f t="shared" si="357"/>
        <v>0</v>
      </c>
      <c r="AD350" s="3">
        <f t="shared" si="357"/>
        <v>0</v>
      </c>
      <c r="AE350" s="3">
        <f t="shared" si="357"/>
        <v>0</v>
      </c>
      <c r="AF350" s="3">
        <f t="shared" si="357"/>
        <v>0</v>
      </c>
      <c r="AG350" s="3"/>
      <c r="AH350" s="3"/>
    </row>
    <row r="351" spans="2:34" x14ac:dyDescent="0.25">
      <c r="B351" s="3">
        <f t="shared" ref="B351:AF351" si="358">$C42*EXP(-B$363/$A42/EXP(-$G$126))</f>
        <v>0</v>
      </c>
      <c r="C351" s="3">
        <f t="shared" si="358"/>
        <v>0</v>
      </c>
      <c r="D351" s="3">
        <f t="shared" si="358"/>
        <v>0</v>
      </c>
      <c r="E351" s="3">
        <f t="shared" si="358"/>
        <v>0</v>
      </c>
      <c r="F351" s="3">
        <f t="shared" si="358"/>
        <v>0</v>
      </c>
      <c r="G351" s="3">
        <f t="shared" si="358"/>
        <v>0</v>
      </c>
      <c r="H351" s="3">
        <f t="shared" si="358"/>
        <v>0</v>
      </c>
      <c r="I351" s="3">
        <f t="shared" si="358"/>
        <v>0</v>
      </c>
      <c r="J351" s="3">
        <f t="shared" si="358"/>
        <v>0</v>
      </c>
      <c r="K351" s="3">
        <f t="shared" si="358"/>
        <v>0</v>
      </c>
      <c r="L351" s="3">
        <f t="shared" si="358"/>
        <v>0</v>
      </c>
      <c r="M351" s="3">
        <f t="shared" si="358"/>
        <v>0</v>
      </c>
      <c r="N351" s="3">
        <f t="shared" si="358"/>
        <v>0</v>
      </c>
      <c r="O351" s="3">
        <f t="shared" si="358"/>
        <v>0</v>
      </c>
      <c r="P351" s="3">
        <f t="shared" si="358"/>
        <v>0</v>
      </c>
      <c r="Q351" s="3">
        <f t="shared" si="358"/>
        <v>0</v>
      </c>
      <c r="R351" s="3">
        <f t="shared" si="358"/>
        <v>0</v>
      </c>
      <c r="S351" s="3">
        <f t="shared" si="358"/>
        <v>0</v>
      </c>
      <c r="T351" s="3">
        <f t="shared" si="358"/>
        <v>0</v>
      </c>
      <c r="U351" s="3">
        <f t="shared" si="358"/>
        <v>0</v>
      </c>
      <c r="V351" s="3">
        <f t="shared" si="358"/>
        <v>0</v>
      </c>
      <c r="W351" s="3">
        <f t="shared" si="358"/>
        <v>0</v>
      </c>
      <c r="X351" s="3">
        <f t="shared" si="358"/>
        <v>0</v>
      </c>
      <c r="Y351" s="3">
        <f t="shared" si="358"/>
        <v>0</v>
      </c>
      <c r="Z351" s="3">
        <f t="shared" si="358"/>
        <v>0</v>
      </c>
      <c r="AA351" s="3">
        <f t="shared" si="358"/>
        <v>0</v>
      </c>
      <c r="AB351" s="3">
        <f t="shared" si="358"/>
        <v>0</v>
      </c>
      <c r="AC351" s="3">
        <f t="shared" si="358"/>
        <v>0</v>
      </c>
      <c r="AD351" s="3">
        <f t="shared" si="358"/>
        <v>0</v>
      </c>
      <c r="AE351" s="3">
        <f t="shared" si="358"/>
        <v>0</v>
      </c>
      <c r="AF351" s="3">
        <f t="shared" si="358"/>
        <v>0</v>
      </c>
      <c r="AG351" s="3"/>
      <c r="AH351" s="3"/>
    </row>
    <row r="352" spans="2:34" x14ac:dyDescent="0.25">
      <c r="B352" s="3">
        <f t="shared" ref="B352:AF352" si="359">$C43*EXP(-B$363/$A43/EXP(-$G$126))</f>
        <v>7.7330920795246901E-5</v>
      </c>
      <c r="C352" s="3">
        <f t="shared" si="359"/>
        <v>7.7330920795246901E-5</v>
      </c>
      <c r="D352" s="3">
        <f t="shared" si="359"/>
        <v>7.7330920795246901E-5</v>
      </c>
      <c r="E352" s="3">
        <f t="shared" si="359"/>
        <v>7.7330920795246901E-5</v>
      </c>
      <c r="F352" s="3">
        <f t="shared" si="359"/>
        <v>7.7330920795246901E-5</v>
      </c>
      <c r="G352" s="3">
        <f t="shared" si="359"/>
        <v>7.7330920795246901E-5</v>
      </c>
      <c r="H352" s="3">
        <f t="shared" si="359"/>
        <v>7.7330920795246901E-5</v>
      </c>
      <c r="I352" s="3">
        <f t="shared" si="359"/>
        <v>7.7330920795246901E-5</v>
      </c>
      <c r="J352" s="3">
        <f t="shared" si="359"/>
        <v>7.7330920795246901E-5</v>
      </c>
      <c r="K352" s="3">
        <f t="shared" si="359"/>
        <v>7.7330920795246901E-5</v>
      </c>
      <c r="L352" s="3">
        <f t="shared" si="359"/>
        <v>7.7330920795246901E-5</v>
      </c>
      <c r="M352" s="3">
        <f t="shared" si="359"/>
        <v>7.7330920795246901E-5</v>
      </c>
      <c r="N352" s="3">
        <f t="shared" si="359"/>
        <v>7.7330920795246888E-5</v>
      </c>
      <c r="O352" s="3">
        <f t="shared" si="359"/>
        <v>7.7330920795246779E-5</v>
      </c>
      <c r="P352" s="3">
        <f t="shared" si="359"/>
        <v>7.7330920795245722E-5</v>
      </c>
      <c r="Q352" s="3">
        <f t="shared" si="359"/>
        <v>7.7330920795235016E-5</v>
      </c>
      <c r="R352" s="3">
        <f t="shared" si="359"/>
        <v>7.73309207951281E-5</v>
      </c>
      <c r="S352" s="3">
        <f t="shared" si="359"/>
        <v>7.7330920794058805E-5</v>
      </c>
      <c r="T352" s="3">
        <f t="shared" si="359"/>
        <v>7.733092078336601E-5</v>
      </c>
      <c r="U352" s="3">
        <f t="shared" si="359"/>
        <v>7.7330920676437994E-5</v>
      </c>
      <c r="V352" s="3">
        <f t="shared" si="359"/>
        <v>7.7330919607157913E-5</v>
      </c>
      <c r="W352" s="3">
        <f t="shared" si="359"/>
        <v>7.7330908914357833E-5</v>
      </c>
      <c r="X352" s="3">
        <f t="shared" si="359"/>
        <v>7.7330801986438366E-5</v>
      </c>
      <c r="Y352" s="3">
        <f t="shared" si="359"/>
        <v>7.7329732715375506E-5</v>
      </c>
      <c r="Z352" s="3">
        <f t="shared" si="359"/>
        <v>7.7319040817891611E-5</v>
      </c>
      <c r="AA352" s="3">
        <f t="shared" si="359"/>
        <v>7.7212203115927688E-5</v>
      </c>
      <c r="AB352" s="3">
        <f t="shared" si="359"/>
        <v>7.6151911957026683E-5</v>
      </c>
      <c r="AC352" s="3">
        <f t="shared" si="359"/>
        <v>6.6317704312716705E-5</v>
      </c>
      <c r="AD352" s="3">
        <f t="shared" si="359"/>
        <v>1.6638578018209965E-5</v>
      </c>
      <c r="AE352" s="3">
        <f t="shared" si="359"/>
        <v>1.6443090292011591E-11</v>
      </c>
      <c r="AF352" s="3">
        <f t="shared" si="359"/>
        <v>1.4610187278228782E-71</v>
      </c>
      <c r="AG352" s="3"/>
      <c r="AH352" s="3"/>
    </row>
    <row r="353" spans="1:34" x14ac:dyDescent="0.25">
      <c r="B353" s="3">
        <f t="shared" ref="B353:AF353" si="360">$C44*EXP(-B$363/$A44/EXP(-$G$126))</f>
        <v>1.3850961695873314E-4</v>
      </c>
      <c r="C353" s="3">
        <f t="shared" si="360"/>
        <v>1.3850961695873314E-4</v>
      </c>
      <c r="D353" s="3">
        <f t="shared" si="360"/>
        <v>1.3850961695873314E-4</v>
      </c>
      <c r="E353" s="3">
        <f t="shared" si="360"/>
        <v>1.3850961695873314E-4</v>
      </c>
      <c r="F353" s="3">
        <f t="shared" si="360"/>
        <v>1.3850961695873314E-4</v>
      </c>
      <c r="G353" s="3">
        <f t="shared" si="360"/>
        <v>1.3850961695873314E-4</v>
      </c>
      <c r="H353" s="3">
        <f t="shared" si="360"/>
        <v>1.3850961695873314E-4</v>
      </c>
      <c r="I353" s="3">
        <f t="shared" si="360"/>
        <v>1.3850961695873314E-4</v>
      </c>
      <c r="J353" s="3">
        <f t="shared" si="360"/>
        <v>1.3850961695873314E-4</v>
      </c>
      <c r="K353" s="3">
        <f t="shared" si="360"/>
        <v>1.3850961695873314E-4</v>
      </c>
      <c r="L353" s="3">
        <f t="shared" si="360"/>
        <v>1.3850961695873314E-4</v>
      </c>
      <c r="M353" s="3">
        <f t="shared" si="360"/>
        <v>1.3850961695873314E-4</v>
      </c>
      <c r="N353" s="3">
        <f t="shared" si="360"/>
        <v>1.3850961695873314E-4</v>
      </c>
      <c r="O353" s="3">
        <f t="shared" si="360"/>
        <v>1.3850961695873311E-4</v>
      </c>
      <c r="P353" s="3">
        <f t="shared" si="360"/>
        <v>1.3850961695873292E-4</v>
      </c>
      <c r="Q353" s="3">
        <f t="shared" si="360"/>
        <v>1.3850961695873102E-4</v>
      </c>
      <c r="R353" s="3">
        <f t="shared" si="360"/>
        <v>1.3850961695871186E-4</v>
      </c>
      <c r="S353" s="3">
        <f t="shared" si="360"/>
        <v>1.3850961695852034E-4</v>
      </c>
      <c r="T353" s="3">
        <f t="shared" si="360"/>
        <v>1.3850961695660512E-4</v>
      </c>
      <c r="U353" s="3">
        <f t="shared" si="360"/>
        <v>1.3850961693745293E-4</v>
      </c>
      <c r="V353" s="3">
        <f t="shared" si="360"/>
        <v>1.3850961674593114E-4</v>
      </c>
      <c r="W353" s="3">
        <f t="shared" si="360"/>
        <v>1.3850961483071307E-4</v>
      </c>
      <c r="X353" s="3">
        <f t="shared" si="360"/>
        <v>1.3850959567853402E-4</v>
      </c>
      <c r="Y353" s="3">
        <f t="shared" si="360"/>
        <v>1.385094041568889E-4</v>
      </c>
      <c r="Z353" s="3">
        <f t="shared" si="360"/>
        <v>1.3850748895500307E-4</v>
      </c>
      <c r="AA353" s="3">
        <f t="shared" si="360"/>
        <v>1.3848833839259119E-4</v>
      </c>
      <c r="AB353" s="3">
        <f t="shared" si="360"/>
        <v>1.3829697833863612E-4</v>
      </c>
      <c r="AC353" s="3">
        <f t="shared" si="360"/>
        <v>1.3639786061478331E-4</v>
      </c>
      <c r="AD353" s="3">
        <f t="shared" si="360"/>
        <v>1.187835309275343E-4</v>
      </c>
      <c r="AE353" s="3">
        <f t="shared" si="360"/>
        <v>2.9801831458108159E-5</v>
      </c>
      <c r="AF353" s="3">
        <f t="shared" si="360"/>
        <v>2.9451687818314138E-11</v>
      </c>
      <c r="AG353" s="3"/>
      <c r="AH353" s="3"/>
    </row>
    <row r="354" spans="1:34" x14ac:dyDescent="0.25">
      <c r="B354" s="3">
        <f t="shared" ref="B354:AF354" si="361">$C45*EXP(-B$363/$A45/EXP(-$G$126))</f>
        <v>0</v>
      </c>
      <c r="C354" s="3">
        <f t="shared" si="361"/>
        <v>0</v>
      </c>
      <c r="D354" s="3">
        <f t="shared" si="361"/>
        <v>0</v>
      </c>
      <c r="E354" s="3">
        <f t="shared" si="361"/>
        <v>0</v>
      </c>
      <c r="F354" s="3">
        <f t="shared" si="361"/>
        <v>0</v>
      </c>
      <c r="G354" s="3">
        <f t="shared" si="361"/>
        <v>0</v>
      </c>
      <c r="H354" s="3">
        <f t="shared" si="361"/>
        <v>0</v>
      </c>
      <c r="I354" s="3">
        <f t="shared" si="361"/>
        <v>0</v>
      </c>
      <c r="J354" s="3">
        <f t="shared" si="361"/>
        <v>0</v>
      </c>
      <c r="K354" s="3">
        <f t="shared" si="361"/>
        <v>0</v>
      </c>
      <c r="L354" s="3">
        <f t="shared" si="361"/>
        <v>0</v>
      </c>
      <c r="M354" s="3">
        <f t="shared" si="361"/>
        <v>0</v>
      </c>
      <c r="N354" s="3">
        <f t="shared" si="361"/>
        <v>0</v>
      </c>
      <c r="O354" s="3">
        <f t="shared" si="361"/>
        <v>0</v>
      </c>
      <c r="P354" s="3">
        <f t="shared" si="361"/>
        <v>0</v>
      </c>
      <c r="Q354" s="3">
        <f t="shared" si="361"/>
        <v>0</v>
      </c>
      <c r="R354" s="3">
        <f t="shared" si="361"/>
        <v>0</v>
      </c>
      <c r="S354" s="3">
        <f t="shared" si="361"/>
        <v>0</v>
      </c>
      <c r="T354" s="3">
        <f t="shared" si="361"/>
        <v>0</v>
      </c>
      <c r="U354" s="3">
        <f t="shared" si="361"/>
        <v>0</v>
      </c>
      <c r="V354" s="3">
        <f t="shared" si="361"/>
        <v>0</v>
      </c>
      <c r="W354" s="3">
        <f t="shared" si="361"/>
        <v>0</v>
      </c>
      <c r="X354" s="3">
        <f t="shared" si="361"/>
        <v>0</v>
      </c>
      <c r="Y354" s="3">
        <f t="shared" si="361"/>
        <v>0</v>
      </c>
      <c r="Z354" s="3">
        <f t="shared" si="361"/>
        <v>0</v>
      </c>
      <c r="AA354" s="3">
        <f t="shared" si="361"/>
        <v>0</v>
      </c>
      <c r="AB354" s="3">
        <f t="shared" si="361"/>
        <v>0</v>
      </c>
      <c r="AC354" s="3">
        <f t="shared" si="361"/>
        <v>0</v>
      </c>
      <c r="AD354" s="3">
        <f t="shared" si="361"/>
        <v>0</v>
      </c>
      <c r="AE354" s="3">
        <f t="shared" si="361"/>
        <v>0</v>
      </c>
      <c r="AF354" s="3">
        <f t="shared" si="361"/>
        <v>0</v>
      </c>
      <c r="AG354" s="3"/>
      <c r="AH354" s="3"/>
    </row>
    <row r="355" spans="1:34" x14ac:dyDescent="0.25">
      <c r="B355" s="3">
        <f t="shared" ref="B355:AF355" si="362">$C46*EXP(-B$363/$A46/EXP(-$G$126))</f>
        <v>0</v>
      </c>
      <c r="C355" s="3">
        <f t="shared" si="362"/>
        <v>0</v>
      </c>
      <c r="D355" s="3">
        <f t="shared" si="362"/>
        <v>0</v>
      </c>
      <c r="E355" s="3">
        <f t="shared" si="362"/>
        <v>0</v>
      </c>
      <c r="F355" s="3">
        <f t="shared" si="362"/>
        <v>0</v>
      </c>
      <c r="G355" s="3">
        <f t="shared" si="362"/>
        <v>0</v>
      </c>
      <c r="H355" s="3">
        <f t="shared" si="362"/>
        <v>0</v>
      </c>
      <c r="I355" s="3">
        <f t="shared" si="362"/>
        <v>0</v>
      </c>
      <c r="J355" s="3">
        <f t="shared" si="362"/>
        <v>0</v>
      </c>
      <c r="K355" s="3">
        <f t="shared" si="362"/>
        <v>0</v>
      </c>
      <c r="L355" s="3">
        <f t="shared" si="362"/>
        <v>0</v>
      </c>
      <c r="M355" s="3">
        <f t="shared" si="362"/>
        <v>0</v>
      </c>
      <c r="N355" s="3">
        <f t="shared" si="362"/>
        <v>0</v>
      </c>
      <c r="O355" s="3">
        <f t="shared" si="362"/>
        <v>0</v>
      </c>
      <c r="P355" s="3">
        <f t="shared" si="362"/>
        <v>0</v>
      </c>
      <c r="Q355" s="3">
        <f t="shared" si="362"/>
        <v>0</v>
      </c>
      <c r="R355" s="3">
        <f t="shared" si="362"/>
        <v>0</v>
      </c>
      <c r="S355" s="3">
        <f t="shared" si="362"/>
        <v>0</v>
      </c>
      <c r="T355" s="3">
        <f t="shared" si="362"/>
        <v>0</v>
      </c>
      <c r="U355" s="3">
        <f t="shared" si="362"/>
        <v>0</v>
      </c>
      <c r="V355" s="3">
        <f t="shared" si="362"/>
        <v>0</v>
      </c>
      <c r="W355" s="3">
        <f t="shared" si="362"/>
        <v>0</v>
      </c>
      <c r="X355" s="3">
        <f t="shared" si="362"/>
        <v>0</v>
      </c>
      <c r="Y355" s="3">
        <f t="shared" si="362"/>
        <v>0</v>
      </c>
      <c r="Z355" s="3">
        <f t="shared" si="362"/>
        <v>0</v>
      </c>
      <c r="AA355" s="3">
        <f t="shared" si="362"/>
        <v>0</v>
      </c>
      <c r="AB355" s="3">
        <f t="shared" si="362"/>
        <v>0</v>
      </c>
      <c r="AC355" s="3">
        <f t="shared" si="362"/>
        <v>0</v>
      </c>
      <c r="AD355" s="3">
        <f t="shared" si="362"/>
        <v>0</v>
      </c>
      <c r="AE355" s="3">
        <f t="shared" si="362"/>
        <v>0</v>
      </c>
      <c r="AF355" s="3">
        <f t="shared" si="362"/>
        <v>0</v>
      </c>
      <c r="AG355" s="3"/>
      <c r="AH355" s="3"/>
    </row>
    <row r="356" spans="1:34" x14ac:dyDescent="0.25">
      <c r="B356" s="3">
        <f t="shared" ref="B356:AF356" si="363">$C47*EXP(-B$363/$A47/EXP(-$G$126))</f>
        <v>0</v>
      </c>
      <c r="C356" s="3">
        <f t="shared" si="363"/>
        <v>0</v>
      </c>
      <c r="D356" s="3">
        <f t="shared" si="363"/>
        <v>0</v>
      </c>
      <c r="E356" s="3">
        <f t="shared" si="363"/>
        <v>0</v>
      </c>
      <c r="F356" s="3">
        <f t="shared" si="363"/>
        <v>0</v>
      </c>
      <c r="G356" s="3">
        <f t="shared" si="363"/>
        <v>0</v>
      </c>
      <c r="H356" s="3">
        <f t="shared" si="363"/>
        <v>0</v>
      </c>
      <c r="I356" s="3">
        <f t="shared" si="363"/>
        <v>0</v>
      </c>
      <c r="J356" s="3">
        <f t="shared" si="363"/>
        <v>0</v>
      </c>
      <c r="K356" s="3">
        <f t="shared" si="363"/>
        <v>0</v>
      </c>
      <c r="L356" s="3">
        <f t="shared" si="363"/>
        <v>0</v>
      </c>
      <c r="M356" s="3">
        <f t="shared" si="363"/>
        <v>0</v>
      </c>
      <c r="N356" s="3">
        <f t="shared" si="363"/>
        <v>0</v>
      </c>
      <c r="O356" s="3">
        <f t="shared" si="363"/>
        <v>0</v>
      </c>
      <c r="P356" s="3">
        <f t="shared" si="363"/>
        <v>0</v>
      </c>
      <c r="Q356" s="3">
        <f t="shared" si="363"/>
        <v>0</v>
      </c>
      <c r="R356" s="3">
        <f t="shared" si="363"/>
        <v>0</v>
      </c>
      <c r="S356" s="3">
        <f t="shared" si="363"/>
        <v>0</v>
      </c>
      <c r="T356" s="3">
        <f t="shared" si="363"/>
        <v>0</v>
      </c>
      <c r="U356" s="3">
        <f t="shared" si="363"/>
        <v>0</v>
      </c>
      <c r="V356" s="3">
        <f t="shared" si="363"/>
        <v>0</v>
      </c>
      <c r="W356" s="3">
        <f t="shared" si="363"/>
        <v>0</v>
      </c>
      <c r="X356" s="3">
        <f t="shared" si="363"/>
        <v>0</v>
      </c>
      <c r="Y356" s="3">
        <f t="shared" si="363"/>
        <v>0</v>
      </c>
      <c r="Z356" s="3">
        <f t="shared" si="363"/>
        <v>0</v>
      </c>
      <c r="AA356" s="3">
        <f t="shared" si="363"/>
        <v>0</v>
      </c>
      <c r="AB356" s="3">
        <f t="shared" si="363"/>
        <v>0</v>
      </c>
      <c r="AC356" s="3">
        <f t="shared" si="363"/>
        <v>0</v>
      </c>
      <c r="AD356" s="3">
        <f t="shared" si="363"/>
        <v>0</v>
      </c>
      <c r="AE356" s="3">
        <f t="shared" si="363"/>
        <v>0</v>
      </c>
      <c r="AF356" s="3">
        <f t="shared" si="363"/>
        <v>0</v>
      </c>
      <c r="AG356" s="3"/>
      <c r="AH356" s="3"/>
    </row>
    <row r="357" spans="1:34" x14ac:dyDescent="0.25">
      <c r="B357" s="3">
        <f t="shared" ref="B357:AF357" si="364">$C48*EXP(-B$363/$A48/EXP(-$G$126))</f>
        <v>3.8158806353945737E-4</v>
      </c>
      <c r="C357" s="3">
        <f t="shared" si="364"/>
        <v>3.8158806353945737E-4</v>
      </c>
      <c r="D357" s="3">
        <f t="shared" si="364"/>
        <v>3.8158806353945737E-4</v>
      </c>
      <c r="E357" s="3">
        <f t="shared" si="364"/>
        <v>3.8158806353945737E-4</v>
      </c>
      <c r="F357" s="3">
        <f t="shared" si="364"/>
        <v>3.8158806353945737E-4</v>
      </c>
      <c r="G357" s="3">
        <f t="shared" si="364"/>
        <v>3.8158806353945737E-4</v>
      </c>
      <c r="H357" s="3">
        <f t="shared" si="364"/>
        <v>3.8158806353945737E-4</v>
      </c>
      <c r="I357" s="3">
        <f t="shared" si="364"/>
        <v>3.8158806353945737E-4</v>
      </c>
      <c r="J357" s="3">
        <f t="shared" si="364"/>
        <v>3.8158806353945737E-4</v>
      </c>
      <c r="K357" s="3">
        <f t="shared" si="364"/>
        <v>3.8158806353945737E-4</v>
      </c>
      <c r="L357" s="3">
        <f t="shared" si="364"/>
        <v>3.8158806353945737E-4</v>
      </c>
      <c r="M357" s="3">
        <f t="shared" si="364"/>
        <v>3.8158806353945737E-4</v>
      </c>
      <c r="N357" s="3">
        <f t="shared" si="364"/>
        <v>3.8158806353945737E-4</v>
      </c>
      <c r="O357" s="3">
        <f t="shared" si="364"/>
        <v>3.8158806353945737E-4</v>
      </c>
      <c r="P357" s="3">
        <f t="shared" si="364"/>
        <v>3.8158806353945737E-4</v>
      </c>
      <c r="Q357" s="3">
        <f t="shared" si="364"/>
        <v>3.8158806353945737E-4</v>
      </c>
      <c r="R357" s="3">
        <f t="shared" si="364"/>
        <v>3.8158806353945737E-4</v>
      </c>
      <c r="S357" s="3">
        <f t="shared" si="364"/>
        <v>3.8158806353945731E-4</v>
      </c>
      <c r="T357" s="3">
        <f t="shared" si="364"/>
        <v>3.8158806353945677E-4</v>
      </c>
      <c r="U357" s="3">
        <f t="shared" si="364"/>
        <v>3.8158806353945151E-4</v>
      </c>
      <c r="V357" s="3">
        <f t="shared" si="364"/>
        <v>3.8158806353939871E-4</v>
      </c>
      <c r="W357" s="3">
        <f t="shared" si="364"/>
        <v>3.8158806353887114E-4</v>
      </c>
      <c r="X357" s="3">
        <f t="shared" si="364"/>
        <v>3.8158806353359476E-4</v>
      </c>
      <c r="Y357" s="3">
        <f t="shared" si="364"/>
        <v>3.815880634808313E-4</v>
      </c>
      <c r="Z357" s="3">
        <f t="shared" si="364"/>
        <v>3.8158806295319694E-4</v>
      </c>
      <c r="AA357" s="3">
        <f t="shared" si="364"/>
        <v>3.8158805767685324E-4</v>
      </c>
      <c r="AB357" s="3">
        <f t="shared" si="364"/>
        <v>3.8158800491342002E-4</v>
      </c>
      <c r="AC357" s="3">
        <f t="shared" si="364"/>
        <v>3.8158747727948895E-4</v>
      </c>
      <c r="AD357" s="3">
        <f t="shared" si="364"/>
        <v>3.815822009803052E-4</v>
      </c>
      <c r="AE357" s="3">
        <f t="shared" si="364"/>
        <v>3.8152944200091528E-4</v>
      </c>
      <c r="AF357" s="3">
        <f t="shared" si="364"/>
        <v>3.8100225324658291E-4</v>
      </c>
      <c r="AG357" s="3"/>
      <c r="AH357" s="3"/>
    </row>
    <row r="358" spans="1:34" x14ac:dyDescent="0.25">
      <c r="A358" s="79">
        <f>AVERAGE(B358:AF358)</f>
        <v>5.478871353165906E-3</v>
      </c>
      <c r="B358" s="80">
        <f>IF($A$64&lt;=B324,IF($B$64&gt;=B324,ABS((B326-B325)/B325),0),0)</f>
        <v>0</v>
      </c>
      <c r="C358" s="80">
        <f t="shared" ref="C358:AF358" si="365">IF($A$64&lt;=C324,IF($B$64&gt;=C324,ABS((C326-C325)/C325),0),0)</f>
        <v>0</v>
      </c>
      <c r="D358" s="80">
        <f t="shared" si="365"/>
        <v>0</v>
      </c>
      <c r="E358" s="80">
        <f t="shared" si="365"/>
        <v>0</v>
      </c>
      <c r="F358" s="80">
        <f t="shared" si="365"/>
        <v>0</v>
      </c>
      <c r="G358" s="80">
        <f t="shared" si="365"/>
        <v>0</v>
      </c>
      <c r="H358" s="80">
        <f t="shared" si="365"/>
        <v>0</v>
      </c>
      <c r="I358" s="80">
        <f t="shared" si="365"/>
        <v>0</v>
      </c>
      <c r="J358" s="80">
        <f t="shared" si="365"/>
        <v>0</v>
      </c>
      <c r="K358" s="80">
        <f t="shared" si="365"/>
        <v>0</v>
      </c>
      <c r="L358" s="80">
        <f t="shared" si="365"/>
        <v>1.4051668412112016E-3</v>
      </c>
      <c r="M358" s="80">
        <f t="shared" si="365"/>
        <v>3.4066360504384214E-3</v>
      </c>
      <c r="N358" s="80">
        <f t="shared" si="365"/>
        <v>7.1254440783850622E-3</v>
      </c>
      <c r="O358" s="80">
        <f t="shared" si="365"/>
        <v>1.1126982947517565E-2</v>
      </c>
      <c r="P358" s="80">
        <f t="shared" si="365"/>
        <v>1.6229145212252077E-2</v>
      </c>
      <c r="Q358" s="80">
        <f t="shared" si="365"/>
        <v>2.4331969658000691E-2</v>
      </c>
      <c r="R358" s="80">
        <f t="shared" si="365"/>
        <v>4.891177776231939E-3</v>
      </c>
      <c r="S358" s="80">
        <f t="shared" si="365"/>
        <v>1.8938204542106599E-2</v>
      </c>
      <c r="T358" s="80">
        <f t="shared" si="365"/>
        <v>1.9928184630752823E-2</v>
      </c>
      <c r="U358" s="80">
        <f t="shared" si="365"/>
        <v>3.0240163392293188E-2</v>
      </c>
      <c r="V358" s="80">
        <f t="shared" si="365"/>
        <v>3.2221936818953516E-2</v>
      </c>
      <c r="W358" s="80">
        <f t="shared" si="365"/>
        <v>0</v>
      </c>
      <c r="X358" s="80">
        <f t="shared" si="365"/>
        <v>0</v>
      </c>
      <c r="Y358" s="80">
        <f t="shared" si="365"/>
        <v>0</v>
      </c>
      <c r="Z358" s="80">
        <f t="shared" si="365"/>
        <v>0</v>
      </c>
      <c r="AA358" s="80">
        <f t="shared" si="365"/>
        <v>0</v>
      </c>
      <c r="AB358" s="80">
        <f t="shared" si="365"/>
        <v>0</v>
      </c>
      <c r="AC358" s="80">
        <f t="shared" si="365"/>
        <v>0</v>
      </c>
      <c r="AD358" s="80">
        <f t="shared" si="365"/>
        <v>0</v>
      </c>
      <c r="AE358" s="80">
        <f t="shared" si="365"/>
        <v>0</v>
      </c>
      <c r="AF358" s="80">
        <f t="shared" si="365"/>
        <v>0</v>
      </c>
    </row>
    <row r="359" spans="1:34" x14ac:dyDescent="0.25">
      <c r="B359" s="21">
        <f>(B326-B325)^2</f>
        <v>221581.23254704257</v>
      </c>
      <c r="C359" s="21">
        <f t="shared" ref="C359:AF359" si="366">(C326-C325)^2</f>
        <v>47648.057430494322</v>
      </c>
      <c r="D359" s="21">
        <f t="shared" si="366"/>
        <v>2.6361106422345677E-3</v>
      </c>
      <c r="E359" s="21">
        <f t="shared" si="366"/>
        <v>11066.473707817453</v>
      </c>
      <c r="F359" s="21">
        <f t="shared" si="366"/>
        <v>2234.2260371459556</v>
      </c>
      <c r="G359" s="21">
        <f t="shared" si="366"/>
        <v>4.0202800224311996</v>
      </c>
      <c r="H359" s="21">
        <f t="shared" si="366"/>
        <v>179.5388903276872</v>
      </c>
      <c r="I359" s="21">
        <f t="shared" si="366"/>
        <v>17.74986852989985</v>
      </c>
      <c r="J359" s="21">
        <f t="shared" si="366"/>
        <v>54.349774186935043</v>
      </c>
      <c r="K359" s="21">
        <f t="shared" si="366"/>
        <v>53.217535518490706</v>
      </c>
      <c r="L359" s="21">
        <f t="shared" si="366"/>
        <v>9.1338501443855833</v>
      </c>
      <c r="M359" s="21">
        <f t="shared" si="366"/>
        <v>23.089254718189814</v>
      </c>
      <c r="N359" s="21">
        <f t="shared" si="366"/>
        <v>34.697521596313614</v>
      </c>
      <c r="O359" s="21">
        <f t="shared" si="366"/>
        <v>26.553487322450589</v>
      </c>
      <c r="P359" s="21">
        <f t="shared" si="366"/>
        <v>17.433397354379924</v>
      </c>
      <c r="Q359" s="21">
        <f t="shared" si="366"/>
        <v>19.17815139148076</v>
      </c>
      <c r="R359" s="21">
        <f t="shared" si="366"/>
        <v>0.59389620822474254</v>
      </c>
      <c r="S359" s="21">
        <f t="shared" si="366"/>
        <v>7.3475278879846675</v>
      </c>
      <c r="T359" s="21">
        <f t="shared" si="366"/>
        <v>7.6773365280487669</v>
      </c>
      <c r="U359" s="21">
        <f t="shared" si="366"/>
        <v>16.816209821766599</v>
      </c>
      <c r="V359" s="21">
        <f t="shared" si="366"/>
        <v>18.153449942707404</v>
      </c>
      <c r="W359" s="21">
        <f t="shared" si="366"/>
        <v>11.914563266890116</v>
      </c>
      <c r="X359" s="21">
        <f t="shared" si="366"/>
        <v>6.2337102822384054</v>
      </c>
      <c r="Y359" s="21">
        <f t="shared" si="366"/>
        <v>2.9112187544131216</v>
      </c>
      <c r="Z359" s="21">
        <f t="shared" si="366"/>
        <v>1.6328572732783593</v>
      </c>
      <c r="AA359" s="21">
        <f t="shared" si="366"/>
        <v>0.47420408544411935</v>
      </c>
      <c r="AB359" s="21">
        <f t="shared" si="366"/>
        <v>0.15189897620365239</v>
      </c>
      <c r="AC359" s="21">
        <f t="shared" si="366"/>
        <v>1.191001357292949</v>
      </c>
      <c r="AD359" s="21">
        <f t="shared" si="366"/>
        <v>0.44185310323519844</v>
      </c>
      <c r="AE359" s="21">
        <f t="shared" si="366"/>
        <v>5.485661922811734E-2</v>
      </c>
      <c r="AF359" s="21">
        <f t="shared" si="366"/>
        <v>2.5072413182501306E-3</v>
      </c>
      <c r="AG359" s="3"/>
      <c r="AH359" s="3"/>
    </row>
    <row r="360" spans="1:34" x14ac:dyDescent="0.25">
      <c r="A360" s="71">
        <f>SUM(B360:AF360)</f>
        <v>180.67408291593244</v>
      </c>
      <c r="B360" s="60">
        <f>IF($A$64&lt;=B324,IF($B$64&gt;=B324,ABS(B359),0),0)</f>
        <v>0</v>
      </c>
      <c r="C360" s="60">
        <f t="shared" ref="C360:AF360" si="367">IF($A$64&lt;=C324,IF($B$64&gt;=C324,ABS(C359),0),0)</f>
        <v>0</v>
      </c>
      <c r="D360" s="60">
        <f t="shared" si="367"/>
        <v>0</v>
      </c>
      <c r="E360" s="60">
        <f t="shared" si="367"/>
        <v>0</v>
      </c>
      <c r="F360" s="60">
        <f t="shared" si="367"/>
        <v>0</v>
      </c>
      <c r="G360" s="60">
        <f t="shared" si="367"/>
        <v>0</v>
      </c>
      <c r="H360" s="60">
        <f t="shared" si="367"/>
        <v>0</v>
      </c>
      <c r="I360" s="60">
        <f t="shared" si="367"/>
        <v>0</v>
      </c>
      <c r="J360" s="60">
        <f t="shared" si="367"/>
        <v>0</v>
      </c>
      <c r="K360" s="60">
        <f t="shared" si="367"/>
        <v>0</v>
      </c>
      <c r="L360" s="60">
        <f t="shared" si="367"/>
        <v>9.1338501443855833</v>
      </c>
      <c r="M360" s="60">
        <f t="shared" si="367"/>
        <v>23.089254718189814</v>
      </c>
      <c r="N360" s="60">
        <f t="shared" si="367"/>
        <v>34.697521596313614</v>
      </c>
      <c r="O360" s="60">
        <f t="shared" si="367"/>
        <v>26.553487322450589</v>
      </c>
      <c r="P360" s="60">
        <f t="shared" si="367"/>
        <v>17.433397354379924</v>
      </c>
      <c r="Q360" s="60">
        <f t="shared" si="367"/>
        <v>19.17815139148076</v>
      </c>
      <c r="R360" s="60">
        <f t="shared" si="367"/>
        <v>0.59389620822474254</v>
      </c>
      <c r="S360" s="60">
        <f t="shared" si="367"/>
        <v>7.3475278879846675</v>
      </c>
      <c r="T360" s="60">
        <f t="shared" si="367"/>
        <v>7.6773365280487669</v>
      </c>
      <c r="U360" s="60">
        <f t="shared" si="367"/>
        <v>16.816209821766599</v>
      </c>
      <c r="V360" s="60">
        <f t="shared" si="367"/>
        <v>18.153449942707404</v>
      </c>
      <c r="W360" s="60">
        <f t="shared" si="367"/>
        <v>0</v>
      </c>
      <c r="X360" s="60">
        <f t="shared" si="367"/>
        <v>0</v>
      </c>
      <c r="Y360" s="60">
        <f t="shared" si="367"/>
        <v>0</v>
      </c>
      <c r="Z360" s="60">
        <f t="shared" si="367"/>
        <v>0</v>
      </c>
      <c r="AA360" s="60">
        <f t="shared" si="367"/>
        <v>0</v>
      </c>
      <c r="AB360" s="60">
        <f t="shared" si="367"/>
        <v>0</v>
      </c>
      <c r="AC360" s="60">
        <f t="shared" si="367"/>
        <v>0</v>
      </c>
      <c r="AD360" s="60">
        <f t="shared" si="367"/>
        <v>0</v>
      </c>
      <c r="AE360" s="60">
        <f t="shared" si="367"/>
        <v>0</v>
      </c>
      <c r="AF360" s="60">
        <f t="shared" si="367"/>
        <v>0</v>
      </c>
      <c r="AG360" s="3"/>
      <c r="AH360" s="3"/>
    </row>
    <row r="361" spans="1:34" x14ac:dyDescent="0.25">
      <c r="B361" s="38"/>
      <c r="C361" s="38"/>
      <c r="D361" s="38"/>
      <c r="E361" s="38"/>
      <c r="F361" s="38"/>
      <c r="G361" s="38"/>
      <c r="H361" s="38"/>
      <c r="I361" s="38"/>
      <c r="J361" s="38"/>
      <c r="K361" s="38"/>
      <c r="L361" s="38"/>
      <c r="M361" s="38"/>
      <c r="N361" s="38"/>
      <c r="O361" s="38"/>
      <c r="P361" s="38"/>
      <c r="Q361" s="38"/>
      <c r="R361" s="38"/>
      <c r="S361" s="38"/>
      <c r="T361" s="38"/>
      <c r="U361" s="38"/>
      <c r="V361" s="38"/>
      <c r="W361" s="38"/>
      <c r="X361" s="38"/>
      <c r="Y361" s="38"/>
      <c r="Z361" s="38"/>
      <c r="AA361" s="38"/>
      <c r="AB361" s="38"/>
      <c r="AC361" s="38"/>
      <c r="AD361" s="38"/>
      <c r="AE361" s="38"/>
      <c r="AF361" s="38"/>
      <c r="AG361" s="38"/>
      <c r="AH361" s="38"/>
    </row>
    <row r="362" spans="1:34" x14ac:dyDescent="0.25">
      <c r="A362" s="69" t="s">
        <v>27</v>
      </c>
      <c r="B362" s="11">
        <f>INDEX($D$1:$M$1,1,$H$122)</f>
        <v>160</v>
      </c>
    </row>
    <row r="363" spans="1:34" x14ac:dyDescent="0.25">
      <c r="A363" s="69" t="s">
        <v>17</v>
      </c>
      <c r="B363" s="22">
        <f>INDEX(Comparison!$AL$3:$AL$33,F$14,1)</f>
        <v>1.0000000000000001E-15</v>
      </c>
      <c r="C363" s="22">
        <f>INDEX(Comparison!$AL$3:$AL$33,G$14,1)</f>
        <v>1E-14</v>
      </c>
      <c r="D363" s="22">
        <f>INDEX(Comparison!$AL$3:$AL$33,H$14,1)</f>
        <v>1E-13</v>
      </c>
      <c r="E363" s="22">
        <f>INDEX(Comparison!$AL$3:$AL$33,I$14,1)</f>
        <v>9.9999999999999998E-13</v>
      </c>
      <c r="F363" s="22">
        <f>INDEX(Comparison!$AL$3:$AL$33,J$14,1)</f>
        <v>9.9999999999999994E-12</v>
      </c>
      <c r="G363" s="22">
        <f>INDEX(Comparison!$AL$3:$AL$33,K$14,1)</f>
        <v>1E-10</v>
      </c>
      <c r="H363" s="22">
        <f>INDEX(Comparison!$AL$3:$AL$33,L$14,1)</f>
        <v>1.0000000000000001E-9</v>
      </c>
      <c r="I363" s="22">
        <f>INDEX(Comparison!$AL$3:$AL$33,M$14,1)</f>
        <v>1E-8</v>
      </c>
      <c r="J363" s="22">
        <f>INDEX(Comparison!$AL$3:$AL$33,N$14,1)</f>
        <v>9.9999999999999995E-8</v>
      </c>
      <c r="K363" s="22">
        <f>INDEX(Comparison!$AL$3:$AL$33,O$14,1)</f>
        <v>9.9999999999999995E-7</v>
      </c>
      <c r="L363" s="22">
        <f>INDEX(Comparison!$AL$3:$AL$33,P$14,1)</f>
        <v>1.0000000000000001E-5</v>
      </c>
      <c r="M363" s="22">
        <f>INDEX(Comparison!$AL$3:$AL$33,Q$14,1)</f>
        <v>1E-4</v>
      </c>
      <c r="N363" s="22">
        <f>INDEX(Comparison!$AL$3:$AL$33,R$14,1)</f>
        <v>1E-3</v>
      </c>
      <c r="O363" s="22">
        <f>INDEX(Comparison!$AL$3:$AL$33,S$14,1)</f>
        <v>0.01</v>
      </c>
      <c r="P363" s="22">
        <f>INDEX(Comparison!$AL$3:$AL$33,T$14,1)</f>
        <v>0.1</v>
      </c>
      <c r="Q363" s="22">
        <f>INDEX(Comparison!$AL$3:$AL$33,U$14,1)</f>
        <v>1</v>
      </c>
      <c r="R363" s="22">
        <f>INDEX(Comparison!$AL$3:$AL$33,V$14,1)</f>
        <v>10</v>
      </c>
      <c r="S363" s="22">
        <f>INDEX(Comparison!$AL$3:$AL$33,W$14,1)</f>
        <v>100</v>
      </c>
      <c r="T363" s="22">
        <f>INDEX(Comparison!$AL$3:$AL$33,X$14,1)</f>
        <v>1000</v>
      </c>
      <c r="U363" s="22">
        <f>INDEX(Comparison!$AL$3:$AL$33,Y$14,1)</f>
        <v>10000</v>
      </c>
      <c r="V363" s="22">
        <f>INDEX(Comparison!$AL$3:$AL$33,Z$14,1)</f>
        <v>100000</v>
      </c>
      <c r="W363" s="22">
        <f>INDEX(Comparison!$AL$3:$AL$33,AA$14,1)</f>
        <v>1000000</v>
      </c>
      <c r="X363" s="22">
        <f>INDEX(Comparison!$AL$3:$AL$33,AB$14,1)</f>
        <v>10000000</v>
      </c>
      <c r="Y363" s="22">
        <f>INDEX(Comparison!$AL$3:$AL$33,AC$14,1)</f>
        <v>100000000</v>
      </c>
      <c r="Z363" s="22">
        <f>INDEX(Comparison!$AL$3:$AL$33,AD$14,1)</f>
        <v>1000000000</v>
      </c>
      <c r="AA363" s="22">
        <f>INDEX(Comparison!$AL$3:$AL$33,AE$14,1)</f>
        <v>10000000000</v>
      </c>
      <c r="AB363" s="22">
        <f>INDEX(Comparison!$AL$3:$AL$33,AF$14,1)</f>
        <v>100000000000</v>
      </c>
      <c r="AC363" s="22">
        <f>INDEX(Comparison!$AL$3:$AL$33,AG$14,1)</f>
        <v>1000000000000</v>
      </c>
      <c r="AD363" s="22">
        <f>INDEX(Comparison!$AL$3:$AL$33,AH$14,1)</f>
        <v>10000000000000</v>
      </c>
      <c r="AE363" s="22">
        <f>INDEX(Comparison!$AL$3:$AL$33,AI$14,1)</f>
        <v>100000000000000</v>
      </c>
      <c r="AF363" s="22">
        <f>INDEX(Comparison!$AL$3:$AL$33,AJ$14,1)</f>
        <v>1000000000000000</v>
      </c>
      <c r="AG363" s="22"/>
      <c r="AH363" s="22"/>
    </row>
    <row r="364" spans="1:34" x14ac:dyDescent="0.25">
      <c r="A364" s="25" t="s">
        <v>23</v>
      </c>
      <c r="B364" s="26">
        <f>INDEX(Comparison!$AM$3:$AS$33,F$14,$H$122)</f>
        <v>5469.0375175567433</v>
      </c>
      <c r="C364" s="26">
        <f>INDEX(Comparison!$AM$3:$AS$33,G$14,$H$122)</f>
        <v>5144.4254375399241</v>
      </c>
      <c r="D364" s="26">
        <f>INDEX(Comparison!$AM$3:$AS$33,H$14,$H$122)</f>
        <v>4859.4796757955091</v>
      </c>
      <c r="E364" s="26">
        <f>INDEX(Comparison!$AM$3:$AS$33,I$14,$H$122)</f>
        <v>4579.0872874253573</v>
      </c>
      <c r="F364" s="26">
        <f>INDEX(Comparison!$AM$3:$AS$33,J$14,$H$122)</f>
        <v>4274.6287252900811</v>
      </c>
      <c r="G364" s="26">
        <f>INDEX(Comparison!$AM$3:$AS$33,K$14,$H$122)</f>
        <v>3938.1560081824523</v>
      </c>
      <c r="H364" s="26">
        <f>INDEX(Comparison!$AM$3:$AS$33,L$14,$H$122)</f>
        <v>3491.5925245283374</v>
      </c>
      <c r="I364" s="26">
        <f>INDEX(Comparison!$AM$3:$AS$33,M$14,$H$122)</f>
        <v>2939.5473684961994</v>
      </c>
      <c r="J364" s="26">
        <f>INDEX(Comparison!$AM$3:$AS$33,N$14,$H$122)</f>
        <v>2290.3210430692648</v>
      </c>
      <c r="K364" s="26">
        <f>INDEX(Comparison!$AM$3:$AS$33,O$14,$H$122)</f>
        <v>1556.8723374202477</v>
      </c>
      <c r="L364" s="26">
        <f>INDEX(Comparison!$AM$3:$AS$33,P$14,$H$122)</f>
        <v>939.61789874376836</v>
      </c>
      <c r="M364" s="26">
        <f>INDEX(Comparison!$AM$3:$AS$33,Q$14,$H$122)</f>
        <v>532.22470015904992</v>
      </c>
      <c r="N364" s="26">
        <f>INDEX(Comparison!$AM$3:$AS$33,R$14,$H$122)</f>
        <v>294.61415856723238</v>
      </c>
      <c r="O364" s="26">
        <f>INDEX(Comparison!$AM$3:$AS$33,S$14,$H$122)</f>
        <v>191.85627557437303</v>
      </c>
      <c r="P364" s="26">
        <f>INDEX(Comparison!$AM$3:$AS$33,T$14,$H$122)</f>
        <v>162.27843823453597</v>
      </c>
      <c r="Q364" s="26">
        <f>INDEX(Comparison!$AM$3:$AS$33,U$14,$H$122)</f>
        <v>147.30961753431595</v>
      </c>
      <c r="R364" s="26">
        <f>INDEX(Comparison!$AM$3:$AS$33,V$14,$H$122)</f>
        <v>142.06591803394016</v>
      </c>
      <c r="S364" s="26">
        <f>INDEX(Comparison!$AM$3:$AS$33,W$14,$H$122)</f>
        <v>140.2404472955443</v>
      </c>
      <c r="T364" s="26">
        <f>INDEX(Comparison!$AM$3:$AS$33,X$14,$H$122)</f>
        <v>137.13168564571805</v>
      </c>
      <c r="U364" s="26">
        <f>INDEX(Comparison!$AM$3:$AS$33,Y$14,$H$122)</f>
        <v>133.5914564553571</v>
      </c>
      <c r="V364" s="26">
        <f>INDEX(Comparison!$AM$3:$AS$33,Z$14,$H$122)</f>
        <v>130.60597118111332</v>
      </c>
      <c r="W364" s="26">
        <f>INDEX(Comparison!$AM$3:$AS$33,AA$14,$H$122)</f>
        <v>128.42317853149575</v>
      </c>
      <c r="X364" s="26">
        <f>INDEX(Comparison!$AM$3:$AS$33,AB$14,$H$122)</f>
        <v>126.92571513683149</v>
      </c>
      <c r="Y364" s="26">
        <f>INDEX(Comparison!$AM$3:$AS$33,AC$14,$H$122)</f>
        <v>125.87891264299097</v>
      </c>
      <c r="Z364" s="26">
        <f>INDEX(Comparison!$AM$3:$AS$33,AD$14,$H$122)</f>
        <v>125.11103067782525</v>
      </c>
      <c r="AA364" s="26">
        <f>INDEX(Comparison!$AM$3:$AS$33,AE$14,$H$122)</f>
        <v>124.96985459314666</v>
      </c>
      <c r="AB364" s="26">
        <f>INDEX(Comparison!$AM$3:$AS$33,AF$14,$H$122)</f>
        <v>124.77108605330615</v>
      </c>
      <c r="AC364" s="26">
        <f>INDEX(Comparison!$AM$3:$AS$33,AG$14,$H$122)</f>
        <v>123.93614365125383</v>
      </c>
      <c r="AD364" s="26">
        <f>INDEX(Comparison!$AM$3:$AS$33,AH$14,$H$122)</f>
        <v>123.92285545904397</v>
      </c>
      <c r="AE364" s="26">
        <f>INDEX(Comparison!$AM$3:$AS$33,AI$14,$H$122)</f>
        <v>123.48008539289999</v>
      </c>
      <c r="AF364" s="26">
        <f>INDEX(Comparison!$AM$3:$AS$33,AJ$14,$H$122)</f>
        <v>123.46865182434244</v>
      </c>
      <c r="AG364" s="26"/>
      <c r="AH364" s="26"/>
    </row>
    <row r="365" spans="1:34" x14ac:dyDescent="0.25">
      <c r="A365" s="70" t="s">
        <v>22</v>
      </c>
      <c r="B365" s="27">
        <f>($C$17+SUM(B366:B396))*$B$51</f>
        <v>5378.5094567125407</v>
      </c>
      <c r="C365" s="27">
        <f t="shared" ref="C365:AF365" si="368">($C$17+SUM(C366:C396))*$B$51</f>
        <v>5261.5138738166333</v>
      </c>
      <c r="D365" s="27">
        <f t="shared" si="368"/>
        <v>4828.4777305577427</v>
      </c>
      <c r="E365" s="27">
        <f t="shared" si="368"/>
        <v>4584.1435530210692</v>
      </c>
      <c r="F365" s="27">
        <f t="shared" si="368"/>
        <v>4273.9194302811247</v>
      </c>
      <c r="G365" s="27">
        <f t="shared" si="368"/>
        <v>3938.2368300027665</v>
      </c>
      <c r="H365" s="27">
        <f t="shared" si="368"/>
        <v>3491.5800337663136</v>
      </c>
      <c r="I365" s="27">
        <f t="shared" si="368"/>
        <v>2939.5318869958019</v>
      </c>
      <c r="J365" s="27">
        <f t="shared" si="368"/>
        <v>2290.322324045349</v>
      </c>
      <c r="K365" s="27">
        <f t="shared" si="368"/>
        <v>1556.8466008215435</v>
      </c>
      <c r="L365" s="27">
        <f t="shared" si="368"/>
        <v>939.62739604828505</v>
      </c>
      <c r="M365" s="27">
        <f t="shared" si="368"/>
        <v>532.19837028862071</v>
      </c>
      <c r="N365" s="27">
        <f t="shared" si="368"/>
        <v>294.63800102899501</v>
      </c>
      <c r="O365" s="27">
        <f t="shared" si="368"/>
        <v>191.82666634031577</v>
      </c>
      <c r="P365" s="27">
        <f t="shared" si="368"/>
        <v>162.30666771814853</v>
      </c>
      <c r="Q365" s="27">
        <f t="shared" si="368"/>
        <v>147.28558661973022</v>
      </c>
      <c r="R365" s="27">
        <f t="shared" si="368"/>
        <v>142.08366157209113</v>
      </c>
      <c r="S365" s="27">
        <f t="shared" si="368"/>
        <v>140.22829183181668</v>
      </c>
      <c r="T365" s="27">
        <f t="shared" si="368"/>
        <v>137.13758510563264</v>
      </c>
      <c r="U365" s="27">
        <f t="shared" si="368"/>
        <v>133.5900140342043</v>
      </c>
      <c r="V365" s="27">
        <f t="shared" si="368"/>
        <v>130.60403858022784</v>
      </c>
      <c r="W365" s="27">
        <f t="shared" si="368"/>
        <v>128.42554830018395</v>
      </c>
      <c r="X365" s="27">
        <f t="shared" si="368"/>
        <v>126.94456138112351</v>
      </c>
      <c r="Y365" s="27">
        <f t="shared" si="368"/>
        <v>125.83043931499756</v>
      </c>
      <c r="Z365" s="27">
        <f t="shared" si="368"/>
        <v>125.09716700802167</v>
      </c>
      <c r="AA365" s="27">
        <f t="shared" si="368"/>
        <v>125.04599436029351</v>
      </c>
      <c r="AB365" s="27">
        <f t="shared" si="368"/>
        <v>124.69806057580095</v>
      </c>
      <c r="AC365" s="27">
        <f t="shared" si="368"/>
        <v>124.02703530249076</v>
      </c>
      <c r="AD365" s="27">
        <f t="shared" si="368"/>
        <v>123.69238988505018</v>
      </c>
      <c r="AE365" s="27">
        <f t="shared" si="368"/>
        <v>123.67006538431906</v>
      </c>
      <c r="AF365" s="27">
        <f t="shared" si="368"/>
        <v>123.45792172959186</v>
      </c>
      <c r="AG365" s="27"/>
      <c r="AH365" s="27"/>
    </row>
    <row r="366" spans="1:34" x14ac:dyDescent="0.25">
      <c r="B366" s="3">
        <f t="shared" ref="B366:AF366" si="369">$C18*EXP(-B$363/$A18/EXP(-$H$126))</f>
        <v>0</v>
      </c>
      <c r="C366" s="3">
        <f t="shared" si="369"/>
        <v>0</v>
      </c>
      <c r="D366" s="3">
        <f t="shared" si="369"/>
        <v>0</v>
      </c>
      <c r="E366" s="3">
        <f t="shared" si="369"/>
        <v>0</v>
      </c>
      <c r="F366" s="3">
        <f t="shared" si="369"/>
        <v>0</v>
      </c>
      <c r="G366" s="3">
        <f t="shared" si="369"/>
        <v>0</v>
      </c>
      <c r="H366" s="3">
        <f t="shared" si="369"/>
        <v>0</v>
      </c>
      <c r="I366" s="3">
        <f t="shared" si="369"/>
        <v>0</v>
      </c>
      <c r="J366" s="3">
        <f t="shared" si="369"/>
        <v>0</v>
      </c>
      <c r="K366" s="3">
        <f t="shared" si="369"/>
        <v>0</v>
      </c>
      <c r="L366" s="3">
        <f t="shared" si="369"/>
        <v>0</v>
      </c>
      <c r="M366" s="3">
        <f t="shared" si="369"/>
        <v>0</v>
      </c>
      <c r="N366" s="3">
        <f t="shared" si="369"/>
        <v>0</v>
      </c>
      <c r="O366" s="3">
        <f t="shared" si="369"/>
        <v>0</v>
      </c>
      <c r="P366" s="3">
        <f t="shared" si="369"/>
        <v>0</v>
      </c>
      <c r="Q366" s="3">
        <f t="shared" si="369"/>
        <v>0</v>
      </c>
      <c r="R366" s="3">
        <f t="shared" si="369"/>
        <v>0</v>
      </c>
      <c r="S366" s="3">
        <f t="shared" si="369"/>
        <v>0</v>
      </c>
      <c r="T366" s="3">
        <f t="shared" si="369"/>
        <v>0</v>
      </c>
      <c r="U366" s="3">
        <f t="shared" si="369"/>
        <v>0</v>
      </c>
      <c r="V366" s="3">
        <f t="shared" si="369"/>
        <v>0</v>
      </c>
      <c r="W366" s="3">
        <f t="shared" si="369"/>
        <v>0</v>
      </c>
      <c r="X366" s="3">
        <f t="shared" si="369"/>
        <v>0</v>
      </c>
      <c r="Y366" s="3">
        <f t="shared" si="369"/>
        <v>0</v>
      </c>
      <c r="Z366" s="3">
        <f t="shared" si="369"/>
        <v>0</v>
      </c>
      <c r="AA366" s="3">
        <f t="shared" si="369"/>
        <v>0</v>
      </c>
      <c r="AB366" s="3">
        <f t="shared" si="369"/>
        <v>0</v>
      </c>
      <c r="AC366" s="3">
        <f t="shared" si="369"/>
        <v>0</v>
      </c>
      <c r="AD366" s="3">
        <f t="shared" si="369"/>
        <v>0</v>
      </c>
      <c r="AE366" s="3">
        <f t="shared" si="369"/>
        <v>0</v>
      </c>
      <c r="AF366" s="3">
        <f t="shared" si="369"/>
        <v>0</v>
      </c>
      <c r="AG366" s="3"/>
      <c r="AH366" s="3"/>
    </row>
    <row r="367" spans="1:34" x14ac:dyDescent="0.25">
      <c r="B367" s="3">
        <f t="shared" ref="B367:AF367" si="370">$C19*EXP(-B$363/$A19/EXP(-$H$126))</f>
        <v>8.3534088072671556E-2</v>
      </c>
      <c r="C367" s="3">
        <f t="shared" si="370"/>
        <v>6.6334417581600483E-2</v>
      </c>
      <c r="D367" s="3">
        <f t="shared" si="370"/>
        <v>6.6144047306395046E-3</v>
      </c>
      <c r="E367" s="3">
        <f t="shared" si="370"/>
        <v>6.4270135776985285E-13</v>
      </c>
      <c r="F367" s="3">
        <f t="shared" si="370"/>
        <v>4.8216283926491639E-113</v>
      </c>
      <c r="G367" s="3">
        <f t="shared" si="370"/>
        <v>0</v>
      </c>
      <c r="H367" s="3">
        <f t="shared" si="370"/>
        <v>0</v>
      </c>
      <c r="I367" s="3">
        <f t="shared" si="370"/>
        <v>0</v>
      </c>
      <c r="J367" s="3">
        <f t="shared" si="370"/>
        <v>0</v>
      </c>
      <c r="K367" s="3">
        <f t="shared" si="370"/>
        <v>0</v>
      </c>
      <c r="L367" s="3">
        <f t="shared" si="370"/>
        <v>0</v>
      </c>
      <c r="M367" s="3">
        <f t="shared" si="370"/>
        <v>0</v>
      </c>
      <c r="N367" s="3">
        <f t="shared" si="370"/>
        <v>0</v>
      </c>
      <c r="O367" s="3">
        <f t="shared" si="370"/>
        <v>0</v>
      </c>
      <c r="P367" s="3">
        <f t="shared" si="370"/>
        <v>0</v>
      </c>
      <c r="Q367" s="3">
        <f t="shared" si="370"/>
        <v>0</v>
      </c>
      <c r="R367" s="3">
        <f t="shared" si="370"/>
        <v>0</v>
      </c>
      <c r="S367" s="3">
        <f t="shared" si="370"/>
        <v>0</v>
      </c>
      <c r="T367" s="3">
        <f t="shared" si="370"/>
        <v>0</v>
      </c>
      <c r="U367" s="3">
        <f t="shared" si="370"/>
        <v>0</v>
      </c>
      <c r="V367" s="3">
        <f t="shared" si="370"/>
        <v>0</v>
      </c>
      <c r="W367" s="3">
        <f t="shared" si="370"/>
        <v>0</v>
      </c>
      <c r="X367" s="3">
        <f t="shared" si="370"/>
        <v>0</v>
      </c>
      <c r="Y367" s="3">
        <f t="shared" si="370"/>
        <v>0</v>
      </c>
      <c r="Z367" s="3">
        <f t="shared" si="370"/>
        <v>0</v>
      </c>
      <c r="AA367" s="3">
        <f t="shared" si="370"/>
        <v>0</v>
      </c>
      <c r="AB367" s="3">
        <f t="shared" si="370"/>
        <v>0</v>
      </c>
      <c r="AC367" s="3">
        <f t="shared" si="370"/>
        <v>0</v>
      </c>
      <c r="AD367" s="3">
        <f t="shared" si="370"/>
        <v>0</v>
      </c>
      <c r="AE367" s="3">
        <f t="shared" si="370"/>
        <v>0</v>
      </c>
      <c r="AF367" s="3">
        <f t="shared" si="370"/>
        <v>0</v>
      </c>
      <c r="AG367" s="3"/>
      <c r="AH367" s="3"/>
    </row>
    <row r="368" spans="1:34" x14ac:dyDescent="0.25">
      <c r="B368" s="3">
        <f t="shared" ref="B368:AF368" si="371">$C20*EXP(-B$363/$A20/EXP(-$H$126))</f>
        <v>3.0423451102696498E-2</v>
      </c>
      <c r="C368" s="3">
        <f t="shared" si="371"/>
        <v>2.9797263786612276E-2</v>
      </c>
      <c r="D368" s="3">
        <f t="shared" si="371"/>
        <v>2.4202234941611507E-2</v>
      </c>
      <c r="E368" s="3">
        <f t="shared" si="371"/>
        <v>3.0244495255168486E-3</v>
      </c>
      <c r="F368" s="3">
        <f t="shared" si="371"/>
        <v>2.8090212614366747E-12</v>
      </c>
      <c r="G368" s="3">
        <f t="shared" si="371"/>
        <v>1.3416581704589431E-102</v>
      </c>
      <c r="H368" s="3">
        <f t="shared" si="371"/>
        <v>0</v>
      </c>
      <c r="I368" s="3">
        <f t="shared" si="371"/>
        <v>0</v>
      </c>
      <c r="J368" s="3">
        <f t="shared" si="371"/>
        <v>0</v>
      </c>
      <c r="K368" s="3">
        <f t="shared" si="371"/>
        <v>0</v>
      </c>
      <c r="L368" s="3">
        <f t="shared" si="371"/>
        <v>0</v>
      </c>
      <c r="M368" s="3">
        <f t="shared" si="371"/>
        <v>0</v>
      </c>
      <c r="N368" s="3">
        <f t="shared" si="371"/>
        <v>0</v>
      </c>
      <c r="O368" s="3">
        <f t="shared" si="371"/>
        <v>0</v>
      </c>
      <c r="P368" s="3">
        <f t="shared" si="371"/>
        <v>0</v>
      </c>
      <c r="Q368" s="3">
        <f t="shared" si="371"/>
        <v>0</v>
      </c>
      <c r="R368" s="3">
        <f t="shared" si="371"/>
        <v>0</v>
      </c>
      <c r="S368" s="3">
        <f t="shared" si="371"/>
        <v>0</v>
      </c>
      <c r="T368" s="3">
        <f t="shared" si="371"/>
        <v>0</v>
      </c>
      <c r="U368" s="3">
        <f t="shared" si="371"/>
        <v>0</v>
      </c>
      <c r="V368" s="3">
        <f t="shared" si="371"/>
        <v>0</v>
      </c>
      <c r="W368" s="3">
        <f t="shared" si="371"/>
        <v>0</v>
      </c>
      <c r="X368" s="3">
        <f t="shared" si="371"/>
        <v>0</v>
      </c>
      <c r="Y368" s="3">
        <f t="shared" si="371"/>
        <v>0</v>
      </c>
      <c r="Z368" s="3">
        <f t="shared" si="371"/>
        <v>0</v>
      </c>
      <c r="AA368" s="3">
        <f t="shared" si="371"/>
        <v>0</v>
      </c>
      <c r="AB368" s="3">
        <f t="shared" si="371"/>
        <v>0</v>
      </c>
      <c r="AC368" s="3">
        <f t="shared" si="371"/>
        <v>0</v>
      </c>
      <c r="AD368" s="3">
        <f t="shared" si="371"/>
        <v>0</v>
      </c>
      <c r="AE368" s="3">
        <f t="shared" si="371"/>
        <v>0</v>
      </c>
      <c r="AF368" s="3">
        <f t="shared" si="371"/>
        <v>0</v>
      </c>
      <c r="AG368" s="3"/>
      <c r="AH368" s="3"/>
    </row>
    <row r="369" spans="2:34" x14ac:dyDescent="0.25">
      <c r="B369" s="3">
        <f t="shared" ref="B369:AF369" si="372">$C21*EXP(-B$363/$A21/EXP(-$H$126))</f>
        <v>5.1945789193018677E-2</v>
      </c>
      <c r="C369" s="3">
        <f t="shared" si="372"/>
        <v>5.1848426264828315E-2</v>
      </c>
      <c r="D369" s="3">
        <f t="shared" si="372"/>
        <v>5.0884777656841414E-2</v>
      </c>
      <c r="E369" s="3">
        <f t="shared" si="372"/>
        <v>4.2180420365357026E-2</v>
      </c>
      <c r="F369" s="3">
        <f t="shared" si="372"/>
        <v>6.461615731501889E-3</v>
      </c>
      <c r="G369" s="3">
        <f t="shared" si="372"/>
        <v>4.5987877281009782E-11</v>
      </c>
      <c r="H369" s="3">
        <f t="shared" si="372"/>
        <v>1.5334362632093078E-92</v>
      </c>
      <c r="I369" s="3">
        <f t="shared" si="372"/>
        <v>0</v>
      </c>
      <c r="J369" s="3">
        <f t="shared" si="372"/>
        <v>0</v>
      </c>
      <c r="K369" s="3">
        <f t="shared" si="372"/>
        <v>0</v>
      </c>
      <c r="L369" s="3">
        <f t="shared" si="372"/>
        <v>0</v>
      </c>
      <c r="M369" s="3">
        <f t="shared" si="372"/>
        <v>0</v>
      </c>
      <c r="N369" s="3">
        <f t="shared" si="372"/>
        <v>0</v>
      </c>
      <c r="O369" s="3">
        <f t="shared" si="372"/>
        <v>0</v>
      </c>
      <c r="P369" s="3">
        <f t="shared" si="372"/>
        <v>0</v>
      </c>
      <c r="Q369" s="3">
        <f t="shared" si="372"/>
        <v>0</v>
      </c>
      <c r="R369" s="3">
        <f t="shared" si="372"/>
        <v>0</v>
      </c>
      <c r="S369" s="3">
        <f t="shared" si="372"/>
        <v>0</v>
      </c>
      <c r="T369" s="3">
        <f t="shared" si="372"/>
        <v>0</v>
      </c>
      <c r="U369" s="3">
        <f t="shared" si="372"/>
        <v>0</v>
      </c>
      <c r="V369" s="3">
        <f t="shared" si="372"/>
        <v>0</v>
      </c>
      <c r="W369" s="3">
        <f t="shared" si="372"/>
        <v>0</v>
      </c>
      <c r="X369" s="3">
        <f t="shared" si="372"/>
        <v>0</v>
      </c>
      <c r="Y369" s="3">
        <f t="shared" si="372"/>
        <v>0</v>
      </c>
      <c r="Z369" s="3">
        <f t="shared" si="372"/>
        <v>0</v>
      </c>
      <c r="AA369" s="3">
        <f t="shared" si="372"/>
        <v>0</v>
      </c>
      <c r="AB369" s="3">
        <f t="shared" si="372"/>
        <v>0</v>
      </c>
      <c r="AC369" s="3">
        <f t="shared" si="372"/>
        <v>0</v>
      </c>
      <c r="AD369" s="3">
        <f t="shared" si="372"/>
        <v>0</v>
      </c>
      <c r="AE369" s="3">
        <f t="shared" si="372"/>
        <v>0</v>
      </c>
      <c r="AF369" s="3">
        <f t="shared" si="372"/>
        <v>0</v>
      </c>
      <c r="AG369" s="3"/>
      <c r="AH369" s="3"/>
    </row>
    <row r="370" spans="2:34" x14ac:dyDescent="0.25">
      <c r="B370" s="3">
        <f t="shared" ref="B370:AF370" si="373">$C22*EXP(-B$363/$A22/EXP(-$H$126))</f>
        <v>4.9532208915078098E-2</v>
      </c>
      <c r="C370" s="3">
        <f t="shared" si="373"/>
        <v>4.9523826905799602E-2</v>
      </c>
      <c r="D370" s="3">
        <f t="shared" si="373"/>
        <v>4.9440084787193257E-2</v>
      </c>
      <c r="E370" s="3">
        <f t="shared" si="373"/>
        <v>4.8610412413389197E-2</v>
      </c>
      <c r="F370" s="3">
        <f t="shared" si="373"/>
        <v>4.1042167985873693E-2</v>
      </c>
      <c r="G370" s="3">
        <f t="shared" si="373"/>
        <v>7.5550992338244555E-3</v>
      </c>
      <c r="H370" s="3">
        <f t="shared" si="373"/>
        <v>3.3755066448175693E-10</v>
      </c>
      <c r="I370" s="3">
        <f t="shared" si="373"/>
        <v>1.0698598991273182E-83</v>
      </c>
      <c r="J370" s="3">
        <f t="shared" si="373"/>
        <v>0</v>
      </c>
      <c r="K370" s="3">
        <f t="shared" si="373"/>
        <v>0</v>
      </c>
      <c r="L370" s="3">
        <f t="shared" si="373"/>
        <v>0</v>
      </c>
      <c r="M370" s="3">
        <f t="shared" si="373"/>
        <v>0</v>
      </c>
      <c r="N370" s="3">
        <f t="shared" si="373"/>
        <v>0</v>
      </c>
      <c r="O370" s="3">
        <f t="shared" si="373"/>
        <v>0</v>
      </c>
      <c r="P370" s="3">
        <f t="shared" si="373"/>
        <v>0</v>
      </c>
      <c r="Q370" s="3">
        <f t="shared" si="373"/>
        <v>0</v>
      </c>
      <c r="R370" s="3">
        <f t="shared" si="373"/>
        <v>0</v>
      </c>
      <c r="S370" s="3">
        <f t="shared" si="373"/>
        <v>0</v>
      </c>
      <c r="T370" s="3">
        <f t="shared" si="373"/>
        <v>0</v>
      </c>
      <c r="U370" s="3">
        <f t="shared" si="373"/>
        <v>0</v>
      </c>
      <c r="V370" s="3">
        <f t="shared" si="373"/>
        <v>0</v>
      </c>
      <c r="W370" s="3">
        <f t="shared" si="373"/>
        <v>0</v>
      </c>
      <c r="X370" s="3">
        <f t="shared" si="373"/>
        <v>0</v>
      </c>
      <c r="Y370" s="3">
        <f t="shared" si="373"/>
        <v>0</v>
      </c>
      <c r="Z370" s="3">
        <f t="shared" si="373"/>
        <v>0</v>
      </c>
      <c r="AA370" s="3">
        <f t="shared" si="373"/>
        <v>0</v>
      </c>
      <c r="AB370" s="3">
        <f t="shared" si="373"/>
        <v>0</v>
      </c>
      <c r="AC370" s="3">
        <f t="shared" si="373"/>
        <v>0</v>
      </c>
      <c r="AD370" s="3">
        <f t="shared" si="373"/>
        <v>0</v>
      </c>
      <c r="AE370" s="3">
        <f t="shared" si="373"/>
        <v>0</v>
      </c>
      <c r="AF370" s="3">
        <f t="shared" si="373"/>
        <v>0</v>
      </c>
      <c r="AG370" s="3"/>
      <c r="AH370" s="3"/>
    </row>
    <row r="371" spans="2:34" x14ac:dyDescent="0.25">
      <c r="B371" s="3">
        <f t="shared" ref="B371:AF371" si="374">$C23*EXP(-B$363/$A23/EXP(-$H$126))</f>
        <v>7.2790561367870127E-2</v>
      </c>
      <c r="C371" s="3">
        <f t="shared" si="374"/>
        <v>7.2789450108247195E-2</v>
      </c>
      <c r="D371" s="3">
        <f t="shared" si="374"/>
        <v>7.2778338445054769E-2</v>
      </c>
      <c r="E371" s="3">
        <f t="shared" si="374"/>
        <v>7.2667315064133681E-2</v>
      </c>
      <c r="F371" s="3">
        <f t="shared" si="374"/>
        <v>7.1566353895325188E-2</v>
      </c>
      <c r="G371" s="3">
        <f t="shared" si="374"/>
        <v>6.1433699391416553E-2</v>
      </c>
      <c r="H371" s="3">
        <f t="shared" si="374"/>
        <v>1.3347023780044341E-2</v>
      </c>
      <c r="I371" s="3">
        <f t="shared" si="374"/>
        <v>3.1272463460094363E-9</v>
      </c>
      <c r="J371" s="3">
        <f t="shared" si="374"/>
        <v>1.5593323497601581E-75</v>
      </c>
      <c r="K371" s="3">
        <f t="shared" si="374"/>
        <v>0</v>
      </c>
      <c r="L371" s="3">
        <f t="shared" si="374"/>
        <v>0</v>
      </c>
      <c r="M371" s="3">
        <f t="shared" si="374"/>
        <v>0</v>
      </c>
      <c r="N371" s="3">
        <f t="shared" si="374"/>
        <v>0</v>
      </c>
      <c r="O371" s="3">
        <f t="shared" si="374"/>
        <v>0</v>
      </c>
      <c r="P371" s="3">
        <f t="shared" si="374"/>
        <v>0</v>
      </c>
      <c r="Q371" s="3">
        <f t="shared" si="374"/>
        <v>0</v>
      </c>
      <c r="R371" s="3">
        <f t="shared" si="374"/>
        <v>0</v>
      </c>
      <c r="S371" s="3">
        <f t="shared" si="374"/>
        <v>0</v>
      </c>
      <c r="T371" s="3">
        <f t="shared" si="374"/>
        <v>0</v>
      </c>
      <c r="U371" s="3">
        <f t="shared" si="374"/>
        <v>0</v>
      </c>
      <c r="V371" s="3">
        <f t="shared" si="374"/>
        <v>0</v>
      </c>
      <c r="W371" s="3">
        <f t="shared" si="374"/>
        <v>0</v>
      </c>
      <c r="X371" s="3">
        <f t="shared" si="374"/>
        <v>0</v>
      </c>
      <c r="Y371" s="3">
        <f t="shared" si="374"/>
        <v>0</v>
      </c>
      <c r="Z371" s="3">
        <f t="shared" si="374"/>
        <v>0</v>
      </c>
      <c r="AA371" s="3">
        <f t="shared" si="374"/>
        <v>0</v>
      </c>
      <c r="AB371" s="3">
        <f t="shared" si="374"/>
        <v>0</v>
      </c>
      <c r="AC371" s="3">
        <f t="shared" si="374"/>
        <v>0</v>
      </c>
      <c r="AD371" s="3">
        <f t="shared" si="374"/>
        <v>0</v>
      </c>
      <c r="AE371" s="3">
        <f t="shared" si="374"/>
        <v>0</v>
      </c>
      <c r="AF371" s="3">
        <f t="shared" si="374"/>
        <v>0</v>
      </c>
      <c r="AG371" s="3"/>
      <c r="AH371" s="3"/>
    </row>
    <row r="372" spans="2:34" x14ac:dyDescent="0.25">
      <c r="B372" s="3">
        <f t="shared" ref="B372:AF372" si="375">$C24*EXP(-B$363/$A24/EXP(-$H$126))</f>
        <v>8.9662896814407964E-2</v>
      </c>
      <c r="C372" s="3">
        <f t="shared" si="375"/>
        <v>8.966277333264E-2</v>
      </c>
      <c r="D372" s="3">
        <f t="shared" si="375"/>
        <v>8.9661538524313453E-2</v>
      </c>
      <c r="E372" s="3">
        <f t="shared" si="375"/>
        <v>8.9649191376306572E-2</v>
      </c>
      <c r="F372" s="3">
        <f t="shared" si="375"/>
        <v>8.9525813374451604E-2</v>
      </c>
      <c r="G372" s="3">
        <f t="shared" si="375"/>
        <v>8.8301333719840905E-2</v>
      </c>
      <c r="H372" s="3">
        <f t="shared" si="375"/>
        <v>7.6940878722430703E-2</v>
      </c>
      <c r="I372" s="3">
        <f t="shared" si="375"/>
        <v>1.9411358421995265E-2</v>
      </c>
      <c r="J372" s="3">
        <f t="shared" si="375"/>
        <v>2.0278872105707139E-8</v>
      </c>
      <c r="K372" s="3">
        <f t="shared" si="375"/>
        <v>3.139948111770328E-68</v>
      </c>
      <c r="L372" s="3">
        <f t="shared" si="375"/>
        <v>0</v>
      </c>
      <c r="M372" s="3">
        <f t="shared" si="375"/>
        <v>0</v>
      </c>
      <c r="N372" s="3">
        <f t="shared" si="375"/>
        <v>0</v>
      </c>
      <c r="O372" s="3">
        <f t="shared" si="375"/>
        <v>0</v>
      </c>
      <c r="P372" s="3">
        <f t="shared" si="375"/>
        <v>0</v>
      </c>
      <c r="Q372" s="3">
        <f t="shared" si="375"/>
        <v>0</v>
      </c>
      <c r="R372" s="3">
        <f t="shared" si="375"/>
        <v>0</v>
      </c>
      <c r="S372" s="3">
        <f t="shared" si="375"/>
        <v>0</v>
      </c>
      <c r="T372" s="3">
        <f t="shared" si="375"/>
        <v>0</v>
      </c>
      <c r="U372" s="3">
        <f t="shared" si="375"/>
        <v>0</v>
      </c>
      <c r="V372" s="3">
        <f t="shared" si="375"/>
        <v>0</v>
      </c>
      <c r="W372" s="3">
        <f t="shared" si="375"/>
        <v>0</v>
      </c>
      <c r="X372" s="3">
        <f t="shared" si="375"/>
        <v>0</v>
      </c>
      <c r="Y372" s="3">
        <f t="shared" si="375"/>
        <v>0</v>
      </c>
      <c r="Z372" s="3">
        <f t="shared" si="375"/>
        <v>0</v>
      </c>
      <c r="AA372" s="3">
        <f t="shared" si="375"/>
        <v>0</v>
      </c>
      <c r="AB372" s="3">
        <f t="shared" si="375"/>
        <v>0</v>
      </c>
      <c r="AC372" s="3">
        <f t="shared" si="375"/>
        <v>0</v>
      </c>
      <c r="AD372" s="3">
        <f t="shared" si="375"/>
        <v>0</v>
      </c>
      <c r="AE372" s="3">
        <f t="shared" si="375"/>
        <v>0</v>
      </c>
      <c r="AF372" s="3">
        <f t="shared" si="375"/>
        <v>0</v>
      </c>
      <c r="AG372" s="3"/>
      <c r="AH372" s="3"/>
    </row>
    <row r="373" spans="2:34" x14ac:dyDescent="0.25">
      <c r="B373" s="3">
        <f t="shared" ref="B373:AF373" si="376">$C25*EXP(-B$363/$A25/EXP(-$H$126))</f>
        <v>0.10598020686273169</v>
      </c>
      <c r="C373" s="3">
        <f t="shared" si="376"/>
        <v>0.10598019369649375</v>
      </c>
      <c r="D373" s="3">
        <f t="shared" si="376"/>
        <v>0.10598006203420444</v>
      </c>
      <c r="E373" s="3">
        <f t="shared" si="376"/>
        <v>0.10597874542030773</v>
      </c>
      <c r="F373" s="3">
        <f t="shared" si="376"/>
        <v>0.10596558018091931</v>
      </c>
      <c r="G373" s="3">
        <f t="shared" si="376"/>
        <v>0.10583401770357682</v>
      </c>
      <c r="H373" s="3">
        <f t="shared" si="376"/>
        <v>0.10452734339009279</v>
      </c>
      <c r="I373" s="3">
        <f t="shared" si="376"/>
        <v>9.2315836133740864E-2</v>
      </c>
      <c r="J373" s="3">
        <f t="shared" si="376"/>
        <v>2.665257388830632E-2</v>
      </c>
      <c r="K373" s="3">
        <f t="shared" si="376"/>
        <v>1.0724292242599834E-7</v>
      </c>
      <c r="L373" s="3">
        <f t="shared" si="376"/>
        <v>1.193063288674584E-61</v>
      </c>
      <c r="M373" s="3">
        <f t="shared" si="376"/>
        <v>0</v>
      </c>
      <c r="N373" s="3">
        <f t="shared" si="376"/>
        <v>0</v>
      </c>
      <c r="O373" s="3">
        <f t="shared" si="376"/>
        <v>0</v>
      </c>
      <c r="P373" s="3">
        <f t="shared" si="376"/>
        <v>0</v>
      </c>
      <c r="Q373" s="3">
        <f t="shared" si="376"/>
        <v>0</v>
      </c>
      <c r="R373" s="3">
        <f t="shared" si="376"/>
        <v>0</v>
      </c>
      <c r="S373" s="3">
        <f t="shared" si="376"/>
        <v>0</v>
      </c>
      <c r="T373" s="3">
        <f t="shared" si="376"/>
        <v>0</v>
      </c>
      <c r="U373" s="3">
        <f t="shared" si="376"/>
        <v>0</v>
      </c>
      <c r="V373" s="3">
        <f t="shared" si="376"/>
        <v>0</v>
      </c>
      <c r="W373" s="3">
        <f t="shared" si="376"/>
        <v>0</v>
      </c>
      <c r="X373" s="3">
        <f t="shared" si="376"/>
        <v>0</v>
      </c>
      <c r="Y373" s="3">
        <f t="shared" si="376"/>
        <v>0</v>
      </c>
      <c r="Z373" s="3">
        <f t="shared" si="376"/>
        <v>0</v>
      </c>
      <c r="AA373" s="3">
        <f t="shared" si="376"/>
        <v>0</v>
      </c>
      <c r="AB373" s="3">
        <f t="shared" si="376"/>
        <v>0</v>
      </c>
      <c r="AC373" s="3">
        <f t="shared" si="376"/>
        <v>0</v>
      </c>
      <c r="AD373" s="3">
        <f t="shared" si="376"/>
        <v>0</v>
      </c>
      <c r="AE373" s="3">
        <f t="shared" si="376"/>
        <v>0</v>
      </c>
      <c r="AF373" s="3">
        <f t="shared" si="376"/>
        <v>0</v>
      </c>
      <c r="AG373" s="3"/>
      <c r="AH373" s="3"/>
    </row>
    <row r="374" spans="2:34" x14ac:dyDescent="0.25">
      <c r="B374" s="3">
        <f t="shared" ref="B374:AF374" si="377">$C26*EXP(-B$363/$A26/EXP(-$H$126))</f>
        <v>0.12848084522697137</v>
      </c>
      <c r="C374" s="3">
        <f t="shared" si="377"/>
        <v>0.12848084378710584</v>
      </c>
      <c r="D374" s="3">
        <f t="shared" si="377"/>
        <v>0.12848082938845137</v>
      </c>
      <c r="E374" s="3">
        <f t="shared" si="377"/>
        <v>0.12848068540199548</v>
      </c>
      <c r="F374" s="3">
        <f t="shared" si="377"/>
        <v>0.12847924554631146</v>
      </c>
      <c r="G374" s="3">
        <f t="shared" si="377"/>
        <v>0.1284648478769303</v>
      </c>
      <c r="H374" s="3">
        <f t="shared" si="377"/>
        <v>0.12832095989220552</v>
      </c>
      <c r="I374" s="3">
        <f t="shared" si="377"/>
        <v>0.12689091428012556</v>
      </c>
      <c r="J374" s="3">
        <f t="shared" si="377"/>
        <v>0.11343832260057417</v>
      </c>
      <c r="K374" s="3">
        <f t="shared" si="377"/>
        <v>3.6987288120151535E-2</v>
      </c>
      <c r="L374" s="3">
        <f t="shared" si="377"/>
        <v>5.0231880110993519E-7</v>
      </c>
      <c r="M374" s="3">
        <f t="shared" si="377"/>
        <v>1.0721334975908056E-55</v>
      </c>
      <c r="N374" s="3">
        <f t="shared" si="377"/>
        <v>0</v>
      </c>
      <c r="O374" s="3">
        <f t="shared" si="377"/>
        <v>0</v>
      </c>
      <c r="P374" s="3">
        <f t="shared" si="377"/>
        <v>0</v>
      </c>
      <c r="Q374" s="3">
        <f t="shared" si="377"/>
        <v>0</v>
      </c>
      <c r="R374" s="3">
        <f t="shared" si="377"/>
        <v>0</v>
      </c>
      <c r="S374" s="3">
        <f t="shared" si="377"/>
        <v>0</v>
      </c>
      <c r="T374" s="3">
        <f t="shared" si="377"/>
        <v>0</v>
      </c>
      <c r="U374" s="3">
        <f t="shared" si="377"/>
        <v>0</v>
      </c>
      <c r="V374" s="3">
        <f t="shared" si="377"/>
        <v>0</v>
      </c>
      <c r="W374" s="3">
        <f t="shared" si="377"/>
        <v>0</v>
      </c>
      <c r="X374" s="3">
        <f t="shared" si="377"/>
        <v>0</v>
      </c>
      <c r="Y374" s="3">
        <f t="shared" si="377"/>
        <v>0</v>
      </c>
      <c r="Z374" s="3">
        <f t="shared" si="377"/>
        <v>0</v>
      </c>
      <c r="AA374" s="3">
        <f t="shared" si="377"/>
        <v>0</v>
      </c>
      <c r="AB374" s="3">
        <f t="shared" si="377"/>
        <v>0</v>
      </c>
      <c r="AC374" s="3">
        <f t="shared" si="377"/>
        <v>0</v>
      </c>
      <c r="AD374" s="3">
        <f t="shared" si="377"/>
        <v>0</v>
      </c>
      <c r="AE374" s="3">
        <f t="shared" si="377"/>
        <v>0</v>
      </c>
      <c r="AF374" s="3">
        <f t="shared" si="377"/>
        <v>0</v>
      </c>
      <c r="AG374" s="3"/>
      <c r="AH374" s="3"/>
    </row>
    <row r="375" spans="2:34" x14ac:dyDescent="0.25">
      <c r="B375" s="3">
        <f t="shared" ref="B375:AF375" si="378">$C27*EXP(-B$363/$A27/EXP(-$H$126))</f>
        <v>9.249927766014597E-2</v>
      </c>
      <c r="C375" s="3">
        <f t="shared" si="378"/>
        <v>9.2499277566633731E-2</v>
      </c>
      <c r="D375" s="3">
        <f t="shared" si="378"/>
        <v>9.2499276631511279E-2</v>
      </c>
      <c r="E375" s="3">
        <f t="shared" si="378"/>
        <v>9.2499267280287303E-2</v>
      </c>
      <c r="F375" s="3">
        <f t="shared" si="378"/>
        <v>9.2499173768099491E-2</v>
      </c>
      <c r="G375" s="3">
        <f t="shared" si="378"/>
        <v>9.2498238651420803E-2</v>
      </c>
      <c r="H375" s="3">
        <f t="shared" si="378"/>
        <v>9.2488888004562078E-2</v>
      </c>
      <c r="I375" s="3">
        <f t="shared" si="378"/>
        <v>9.2395433509339708E-2</v>
      </c>
      <c r="J375" s="3">
        <f t="shared" si="378"/>
        <v>9.1466066505336702E-2</v>
      </c>
      <c r="K375" s="3">
        <f t="shared" si="378"/>
        <v>8.2671335740087476E-2</v>
      </c>
      <c r="L375" s="3">
        <f t="shared" si="378"/>
        <v>3.0081845389992482E-2</v>
      </c>
      <c r="M375" s="3">
        <f t="shared" si="378"/>
        <v>1.2240514595318696E-6</v>
      </c>
      <c r="N375" s="3">
        <f t="shared" si="378"/>
        <v>1.5231816139191465E-50</v>
      </c>
      <c r="O375" s="3">
        <f t="shared" si="378"/>
        <v>0</v>
      </c>
      <c r="P375" s="3">
        <f t="shared" si="378"/>
        <v>0</v>
      </c>
      <c r="Q375" s="3">
        <f t="shared" si="378"/>
        <v>0</v>
      </c>
      <c r="R375" s="3">
        <f t="shared" si="378"/>
        <v>0</v>
      </c>
      <c r="S375" s="3">
        <f t="shared" si="378"/>
        <v>0</v>
      </c>
      <c r="T375" s="3">
        <f t="shared" si="378"/>
        <v>0</v>
      </c>
      <c r="U375" s="3">
        <f t="shared" si="378"/>
        <v>0</v>
      </c>
      <c r="V375" s="3">
        <f t="shared" si="378"/>
        <v>0</v>
      </c>
      <c r="W375" s="3">
        <f t="shared" si="378"/>
        <v>0</v>
      </c>
      <c r="X375" s="3">
        <f t="shared" si="378"/>
        <v>0</v>
      </c>
      <c r="Y375" s="3">
        <f t="shared" si="378"/>
        <v>0</v>
      </c>
      <c r="Z375" s="3">
        <f t="shared" si="378"/>
        <v>0</v>
      </c>
      <c r="AA375" s="3">
        <f t="shared" si="378"/>
        <v>0</v>
      </c>
      <c r="AB375" s="3">
        <f t="shared" si="378"/>
        <v>0</v>
      </c>
      <c r="AC375" s="3">
        <f t="shared" si="378"/>
        <v>0</v>
      </c>
      <c r="AD375" s="3">
        <f t="shared" si="378"/>
        <v>0</v>
      </c>
      <c r="AE375" s="3">
        <f t="shared" si="378"/>
        <v>0</v>
      </c>
      <c r="AF375" s="3">
        <f t="shared" si="378"/>
        <v>0</v>
      </c>
      <c r="AG375" s="3"/>
      <c r="AH375" s="3"/>
    </row>
    <row r="376" spans="2:34" x14ac:dyDescent="0.25">
      <c r="B376" s="3">
        <f t="shared" ref="B376:AF376" si="379">$C28*EXP(-B$363/$A28/EXP(-$H$126))</f>
        <v>5.5295836110115092E-2</v>
      </c>
      <c r="C376" s="3">
        <f t="shared" si="379"/>
        <v>5.5295836105072327E-2</v>
      </c>
      <c r="D376" s="3">
        <f t="shared" si="379"/>
        <v>5.5295836054644623E-2</v>
      </c>
      <c r="E376" s="3">
        <f t="shared" si="379"/>
        <v>5.5295835550367614E-2</v>
      </c>
      <c r="F376" s="3">
        <f t="shared" si="379"/>
        <v>5.529583050759785E-2</v>
      </c>
      <c r="G376" s="3">
        <f t="shared" si="379"/>
        <v>5.5295780079925423E-2</v>
      </c>
      <c r="H376" s="3">
        <f t="shared" si="379"/>
        <v>5.5295275805730501E-2</v>
      </c>
      <c r="I376" s="3">
        <f t="shared" si="379"/>
        <v>5.5290233316706593E-2</v>
      </c>
      <c r="J376" s="3">
        <f t="shared" si="379"/>
        <v>5.523983371046727E-2</v>
      </c>
      <c r="K376" s="3">
        <f t="shared" si="379"/>
        <v>5.4738357537340555E-2</v>
      </c>
      <c r="L376" s="3">
        <f t="shared" si="379"/>
        <v>4.9967285422733175E-2</v>
      </c>
      <c r="M376" s="3">
        <f t="shared" si="379"/>
        <v>2.0073619964942009E-2</v>
      </c>
      <c r="N376" s="3">
        <f t="shared" si="379"/>
        <v>2.1979869750616367E-6</v>
      </c>
      <c r="O376" s="3">
        <f t="shared" si="379"/>
        <v>5.445268282521587E-46</v>
      </c>
      <c r="P376" s="3">
        <f t="shared" si="379"/>
        <v>0</v>
      </c>
      <c r="Q376" s="3">
        <f t="shared" si="379"/>
        <v>0</v>
      </c>
      <c r="R376" s="3">
        <f t="shared" si="379"/>
        <v>0</v>
      </c>
      <c r="S376" s="3">
        <f t="shared" si="379"/>
        <v>0</v>
      </c>
      <c r="T376" s="3">
        <f t="shared" si="379"/>
        <v>0</v>
      </c>
      <c r="U376" s="3">
        <f t="shared" si="379"/>
        <v>0</v>
      </c>
      <c r="V376" s="3">
        <f t="shared" si="379"/>
        <v>0</v>
      </c>
      <c r="W376" s="3">
        <f t="shared" si="379"/>
        <v>0</v>
      </c>
      <c r="X376" s="3">
        <f t="shared" si="379"/>
        <v>0</v>
      </c>
      <c r="Y376" s="3">
        <f t="shared" si="379"/>
        <v>0</v>
      </c>
      <c r="Z376" s="3">
        <f t="shared" si="379"/>
        <v>0</v>
      </c>
      <c r="AA376" s="3">
        <f t="shared" si="379"/>
        <v>0</v>
      </c>
      <c r="AB376" s="3">
        <f t="shared" si="379"/>
        <v>0</v>
      </c>
      <c r="AC376" s="3">
        <f t="shared" si="379"/>
        <v>0</v>
      </c>
      <c r="AD376" s="3">
        <f t="shared" si="379"/>
        <v>0</v>
      </c>
      <c r="AE376" s="3">
        <f t="shared" si="379"/>
        <v>0</v>
      </c>
      <c r="AF376" s="3">
        <f t="shared" si="379"/>
        <v>0</v>
      </c>
      <c r="AG376" s="3"/>
      <c r="AH376" s="3"/>
    </row>
    <row r="377" spans="2:34" x14ac:dyDescent="0.25">
      <c r="B377" s="3">
        <f t="shared" ref="B377:AF377" si="380">$C29*EXP(-B$363/$A29/EXP(-$H$126))</f>
        <v>3.0991280928710924E-2</v>
      </c>
      <c r="C377" s="3">
        <f t="shared" si="380"/>
        <v>3.0991280928455971E-2</v>
      </c>
      <c r="D377" s="3">
        <f t="shared" si="380"/>
        <v>3.0991280925906421E-2</v>
      </c>
      <c r="E377" s="3">
        <f t="shared" si="380"/>
        <v>3.0991280900410964E-2</v>
      </c>
      <c r="F377" s="3">
        <f t="shared" si="380"/>
        <v>3.0991280645456361E-2</v>
      </c>
      <c r="G377" s="3">
        <f t="shared" si="380"/>
        <v>3.0991278095910485E-2</v>
      </c>
      <c r="H377" s="3">
        <f t="shared" si="380"/>
        <v>3.0991252600463214E-2</v>
      </c>
      <c r="I377" s="3">
        <f t="shared" si="380"/>
        <v>3.0990997647144119E-2</v>
      </c>
      <c r="J377" s="3">
        <f t="shared" si="380"/>
        <v>3.0988448229307568E-2</v>
      </c>
      <c r="K377" s="3">
        <f t="shared" si="380"/>
        <v>3.0962965582872058E-2</v>
      </c>
      <c r="L377" s="3">
        <f t="shared" si="380"/>
        <v>3.0709288809066607E-2</v>
      </c>
      <c r="M377" s="3">
        <f t="shared" si="380"/>
        <v>2.8284066303610512E-2</v>
      </c>
      <c r="N377" s="3">
        <f t="shared" si="380"/>
        <v>1.2424036683034264E-2</v>
      </c>
      <c r="O377" s="3">
        <f t="shared" si="380"/>
        <v>3.3225498734093316E-6</v>
      </c>
      <c r="P377" s="3">
        <f t="shared" si="380"/>
        <v>6.2166919156034136E-42</v>
      </c>
      <c r="Q377" s="3">
        <f t="shared" si="380"/>
        <v>0</v>
      </c>
      <c r="R377" s="3">
        <f t="shared" si="380"/>
        <v>0</v>
      </c>
      <c r="S377" s="3">
        <f t="shared" si="380"/>
        <v>0</v>
      </c>
      <c r="T377" s="3">
        <f t="shared" si="380"/>
        <v>0</v>
      </c>
      <c r="U377" s="3">
        <f t="shared" si="380"/>
        <v>0</v>
      </c>
      <c r="V377" s="3">
        <f t="shared" si="380"/>
        <v>0</v>
      </c>
      <c r="W377" s="3">
        <f t="shared" si="380"/>
        <v>0</v>
      </c>
      <c r="X377" s="3">
        <f t="shared" si="380"/>
        <v>0</v>
      </c>
      <c r="Y377" s="3">
        <f t="shared" si="380"/>
        <v>0</v>
      </c>
      <c r="Z377" s="3">
        <f t="shared" si="380"/>
        <v>0</v>
      </c>
      <c r="AA377" s="3">
        <f t="shared" si="380"/>
        <v>0</v>
      </c>
      <c r="AB377" s="3">
        <f t="shared" si="380"/>
        <v>0</v>
      </c>
      <c r="AC377" s="3">
        <f t="shared" si="380"/>
        <v>0</v>
      </c>
      <c r="AD377" s="3">
        <f t="shared" si="380"/>
        <v>0</v>
      </c>
      <c r="AE377" s="3">
        <f t="shared" si="380"/>
        <v>0</v>
      </c>
      <c r="AF377" s="3">
        <f t="shared" si="380"/>
        <v>0</v>
      </c>
      <c r="AG377" s="3"/>
      <c r="AH377" s="3"/>
    </row>
    <row r="378" spans="2:34" x14ac:dyDescent="0.25">
      <c r="B378" s="3">
        <f t="shared" ref="B378:AF378" si="381">$C30*EXP(-B$363/$A30/EXP(-$H$126))</f>
        <v>6.4185010590345594E-3</v>
      </c>
      <c r="C378" s="3">
        <f t="shared" si="381"/>
        <v>6.4185010590297959E-3</v>
      </c>
      <c r="D378" s="3">
        <f t="shared" si="381"/>
        <v>6.418501058982163E-3</v>
      </c>
      <c r="E378" s="3">
        <f t="shared" si="381"/>
        <v>6.4185010585058383E-3</v>
      </c>
      <c r="F378" s="3">
        <f t="shared" si="381"/>
        <v>6.4185010537425868E-3</v>
      </c>
      <c r="G378" s="3">
        <f t="shared" si="381"/>
        <v>6.4185010061100691E-3</v>
      </c>
      <c r="H378" s="3">
        <f t="shared" si="381"/>
        <v>6.4185005297849171E-3</v>
      </c>
      <c r="I378" s="3">
        <f t="shared" si="381"/>
        <v>6.4184957665353358E-3</v>
      </c>
      <c r="J378" s="3">
        <f t="shared" si="381"/>
        <v>6.418448134233948E-3</v>
      </c>
      <c r="K378" s="3">
        <f t="shared" si="381"/>
        <v>6.4179718306612574E-3</v>
      </c>
      <c r="L378" s="3">
        <f t="shared" si="381"/>
        <v>6.4132107385198476E-3</v>
      </c>
      <c r="M378" s="3">
        <f t="shared" si="381"/>
        <v>6.3657936430403005E-3</v>
      </c>
      <c r="N378" s="3">
        <f t="shared" si="381"/>
        <v>5.9104834710362181E-3</v>
      </c>
      <c r="O378" s="3">
        <f t="shared" si="381"/>
        <v>2.8140221830371538E-3</v>
      </c>
      <c r="P378" s="3">
        <f t="shared" si="381"/>
        <v>1.68411836559843E-6</v>
      </c>
      <c r="Q378" s="3">
        <f t="shared" si="381"/>
        <v>9.9271266951089943E-39</v>
      </c>
      <c r="R378" s="3">
        <f t="shared" si="381"/>
        <v>0</v>
      </c>
      <c r="S378" s="3">
        <f t="shared" si="381"/>
        <v>0</v>
      </c>
      <c r="T378" s="3">
        <f t="shared" si="381"/>
        <v>0</v>
      </c>
      <c r="U378" s="3">
        <f t="shared" si="381"/>
        <v>0</v>
      </c>
      <c r="V378" s="3">
        <f t="shared" si="381"/>
        <v>0</v>
      </c>
      <c r="W378" s="3">
        <f t="shared" si="381"/>
        <v>0</v>
      </c>
      <c r="X378" s="3">
        <f t="shared" si="381"/>
        <v>0</v>
      </c>
      <c r="Y378" s="3">
        <f t="shared" si="381"/>
        <v>0</v>
      </c>
      <c r="Z378" s="3">
        <f t="shared" si="381"/>
        <v>0</v>
      </c>
      <c r="AA378" s="3">
        <f t="shared" si="381"/>
        <v>0</v>
      </c>
      <c r="AB378" s="3">
        <f t="shared" si="381"/>
        <v>0</v>
      </c>
      <c r="AC378" s="3">
        <f t="shared" si="381"/>
        <v>0</v>
      </c>
      <c r="AD378" s="3">
        <f t="shared" si="381"/>
        <v>0</v>
      </c>
      <c r="AE378" s="3">
        <f t="shared" si="381"/>
        <v>0</v>
      </c>
      <c r="AF378" s="3">
        <f t="shared" si="381"/>
        <v>0</v>
      </c>
      <c r="AG378" s="3"/>
      <c r="AH378" s="3"/>
    </row>
    <row r="379" spans="2:34" x14ac:dyDescent="0.25">
      <c r="B379" s="3">
        <f t="shared" ref="B379:AF379" si="382">$C31*EXP(-B$363/$A31/EXP(-$H$126))</f>
        <v>3.5931837599499535E-3</v>
      </c>
      <c r="C379" s="3">
        <f t="shared" si="382"/>
        <v>3.5931837599497132E-3</v>
      </c>
      <c r="D379" s="3">
        <f t="shared" si="382"/>
        <v>3.5931837599473076E-3</v>
      </c>
      <c r="E379" s="3">
        <f t="shared" si="382"/>
        <v>3.5931837599232535E-3</v>
      </c>
      <c r="F379" s="3">
        <f t="shared" si="382"/>
        <v>3.5931837596827085E-3</v>
      </c>
      <c r="G379" s="3">
        <f t="shared" si="382"/>
        <v>3.5931837572772607E-3</v>
      </c>
      <c r="H379" s="3">
        <f t="shared" si="382"/>
        <v>3.5931837332227826E-3</v>
      </c>
      <c r="I379" s="3">
        <f t="shared" si="382"/>
        <v>3.5931834926780123E-3</v>
      </c>
      <c r="J379" s="3">
        <f t="shared" si="382"/>
        <v>3.5931810872311971E-3</v>
      </c>
      <c r="K379" s="3">
        <f t="shared" si="382"/>
        <v>3.5931570328516117E-3</v>
      </c>
      <c r="L379" s="3">
        <f t="shared" si="382"/>
        <v>3.5929164979122776E-3</v>
      </c>
      <c r="M379" s="3">
        <f t="shared" si="382"/>
        <v>3.5905120339517547E-3</v>
      </c>
      <c r="N379" s="3">
        <f t="shared" si="382"/>
        <v>3.5665557187028645E-3</v>
      </c>
      <c r="O379" s="3">
        <f t="shared" si="382"/>
        <v>3.3356100887580245E-3</v>
      </c>
      <c r="P379" s="3">
        <f t="shared" si="382"/>
        <v>1.7078036362034965E-3</v>
      </c>
      <c r="Q379" s="3">
        <f t="shared" si="382"/>
        <v>2.113802882624556E-6</v>
      </c>
      <c r="R379" s="3">
        <f t="shared" si="382"/>
        <v>1.7837336483743296E-35</v>
      </c>
      <c r="S379" s="3">
        <f t="shared" si="382"/>
        <v>0</v>
      </c>
      <c r="T379" s="3">
        <f t="shared" si="382"/>
        <v>0</v>
      </c>
      <c r="U379" s="3">
        <f t="shared" si="382"/>
        <v>0</v>
      </c>
      <c r="V379" s="3">
        <f t="shared" si="382"/>
        <v>0</v>
      </c>
      <c r="W379" s="3">
        <f t="shared" si="382"/>
        <v>0</v>
      </c>
      <c r="X379" s="3">
        <f t="shared" si="382"/>
        <v>0</v>
      </c>
      <c r="Y379" s="3">
        <f t="shared" si="382"/>
        <v>0</v>
      </c>
      <c r="Z379" s="3">
        <f t="shared" si="382"/>
        <v>0</v>
      </c>
      <c r="AA379" s="3">
        <f t="shared" si="382"/>
        <v>0</v>
      </c>
      <c r="AB379" s="3">
        <f t="shared" si="382"/>
        <v>0</v>
      </c>
      <c r="AC379" s="3">
        <f t="shared" si="382"/>
        <v>0</v>
      </c>
      <c r="AD379" s="3">
        <f t="shared" si="382"/>
        <v>0</v>
      </c>
      <c r="AE379" s="3">
        <f t="shared" si="382"/>
        <v>0</v>
      </c>
      <c r="AF379" s="3">
        <f t="shared" si="382"/>
        <v>0</v>
      </c>
      <c r="AG379" s="3"/>
      <c r="AH379" s="3"/>
    </row>
    <row r="380" spans="2:34" x14ac:dyDescent="0.25">
      <c r="B380" s="3">
        <f t="shared" ref="B380:AF380" si="383">$C32*EXP(-B$363/$A32/EXP(-$H$126))</f>
        <v>1.3759911447272107E-3</v>
      </c>
      <c r="C380" s="3">
        <f t="shared" si="383"/>
        <v>1.3759911447272025E-3</v>
      </c>
      <c r="D380" s="3">
        <f t="shared" si="383"/>
        <v>1.3759911447271192E-3</v>
      </c>
      <c r="E380" s="3">
        <f t="shared" si="383"/>
        <v>1.3759911447262883E-3</v>
      </c>
      <c r="F380" s="3">
        <f t="shared" si="383"/>
        <v>1.3759911447179787E-3</v>
      </c>
      <c r="G380" s="3">
        <f t="shared" si="383"/>
        <v>1.3759911446348831E-3</v>
      </c>
      <c r="H380" s="3">
        <f t="shared" si="383"/>
        <v>1.3759911438039256E-3</v>
      </c>
      <c r="I380" s="3">
        <f t="shared" si="383"/>
        <v>1.3759911354943521E-3</v>
      </c>
      <c r="J380" s="3">
        <f t="shared" si="383"/>
        <v>1.3759910523986191E-3</v>
      </c>
      <c r="K380" s="3">
        <f t="shared" si="383"/>
        <v>1.3759902214415666E-3</v>
      </c>
      <c r="L380" s="3">
        <f t="shared" si="383"/>
        <v>1.3759819118986396E-3</v>
      </c>
      <c r="M380" s="3">
        <f t="shared" si="383"/>
        <v>1.3758988192292718E-3</v>
      </c>
      <c r="N380" s="3">
        <f t="shared" si="383"/>
        <v>1.3750681684641904E-3</v>
      </c>
      <c r="O380" s="3">
        <f t="shared" si="383"/>
        <v>1.3667891921183698E-3</v>
      </c>
      <c r="P380" s="3">
        <f t="shared" si="383"/>
        <v>1.2866920237335289E-3</v>
      </c>
      <c r="Q380" s="3">
        <f t="shared" si="383"/>
        <v>7.0340481477819926E-4</v>
      </c>
      <c r="R380" s="3">
        <f t="shared" si="383"/>
        <v>1.6769210500506326E-6</v>
      </c>
      <c r="S380" s="3">
        <f t="shared" si="383"/>
        <v>9.9445563476925584E-33</v>
      </c>
      <c r="T380" s="3">
        <f t="shared" si="383"/>
        <v>5.3495022944978232E-295</v>
      </c>
      <c r="U380" s="3">
        <f t="shared" si="383"/>
        <v>0</v>
      </c>
      <c r="V380" s="3">
        <f t="shared" si="383"/>
        <v>0</v>
      </c>
      <c r="W380" s="3">
        <f t="shared" si="383"/>
        <v>0</v>
      </c>
      <c r="X380" s="3">
        <f t="shared" si="383"/>
        <v>0</v>
      </c>
      <c r="Y380" s="3">
        <f t="shared" si="383"/>
        <v>0</v>
      </c>
      <c r="Z380" s="3">
        <f t="shared" si="383"/>
        <v>0</v>
      </c>
      <c r="AA380" s="3">
        <f t="shared" si="383"/>
        <v>0</v>
      </c>
      <c r="AB380" s="3">
        <f t="shared" si="383"/>
        <v>0</v>
      </c>
      <c r="AC380" s="3">
        <f t="shared" si="383"/>
        <v>0</v>
      </c>
      <c r="AD380" s="3">
        <f t="shared" si="383"/>
        <v>0</v>
      </c>
      <c r="AE380" s="3">
        <f t="shared" si="383"/>
        <v>0</v>
      </c>
      <c r="AF380" s="3">
        <f t="shared" si="383"/>
        <v>0</v>
      </c>
      <c r="AG380" s="3"/>
      <c r="AH380" s="3"/>
    </row>
    <row r="381" spans="2:34" x14ac:dyDescent="0.25">
      <c r="B381" s="3">
        <f t="shared" ref="B381:AF381" si="384">$C33*EXP(-B$363/$A33/EXP(-$H$126))</f>
        <v>1.7729334570218161E-4</v>
      </c>
      <c r="C381" s="3">
        <f t="shared" si="384"/>
        <v>1.7729334570218153E-4</v>
      </c>
      <c r="D381" s="3">
        <f t="shared" si="384"/>
        <v>1.7729334570218056E-4</v>
      </c>
      <c r="E381" s="3">
        <f t="shared" si="384"/>
        <v>1.7729334570217091E-4</v>
      </c>
      <c r="F381" s="3">
        <f t="shared" si="384"/>
        <v>1.7729334570207433E-4</v>
      </c>
      <c r="G381" s="3">
        <f t="shared" si="384"/>
        <v>1.772933457011085E-4</v>
      </c>
      <c r="H381" s="3">
        <f t="shared" si="384"/>
        <v>1.7729334569145018E-4</v>
      </c>
      <c r="I381" s="3">
        <f t="shared" si="384"/>
        <v>1.7729334559486685E-4</v>
      </c>
      <c r="J381" s="3">
        <f t="shared" si="384"/>
        <v>1.7729334462903367E-4</v>
      </c>
      <c r="K381" s="3">
        <f t="shared" si="384"/>
        <v>1.7729333497070208E-4</v>
      </c>
      <c r="L381" s="3">
        <f t="shared" si="384"/>
        <v>1.7729323838741506E-4</v>
      </c>
      <c r="M381" s="3">
        <f t="shared" si="384"/>
        <v>1.7729227255743906E-4</v>
      </c>
      <c r="N381" s="3">
        <f t="shared" si="384"/>
        <v>1.7728261454705622E-4</v>
      </c>
      <c r="O381" s="3">
        <f t="shared" si="384"/>
        <v>1.7718606337514744E-4</v>
      </c>
      <c r="P381" s="3">
        <f t="shared" si="384"/>
        <v>1.7622343902487004E-4</v>
      </c>
      <c r="Q381" s="3">
        <f t="shared" si="384"/>
        <v>1.6688019636080313E-4</v>
      </c>
      <c r="R381" s="3">
        <f t="shared" si="384"/>
        <v>9.6786793030323624E-5</v>
      </c>
      <c r="S381" s="3">
        <f t="shared" si="384"/>
        <v>4.1680131381711466E-7</v>
      </c>
      <c r="T381" s="3">
        <f t="shared" si="384"/>
        <v>9.1423716409933595E-31</v>
      </c>
      <c r="U381" s="3">
        <f t="shared" si="384"/>
        <v>2.356984869272044E-267</v>
      </c>
      <c r="V381" s="3">
        <f t="shared" si="384"/>
        <v>0</v>
      </c>
      <c r="W381" s="3">
        <f t="shared" si="384"/>
        <v>0</v>
      </c>
      <c r="X381" s="3">
        <f t="shared" si="384"/>
        <v>0</v>
      </c>
      <c r="Y381" s="3">
        <f t="shared" si="384"/>
        <v>0</v>
      </c>
      <c r="Z381" s="3">
        <f t="shared" si="384"/>
        <v>0</v>
      </c>
      <c r="AA381" s="3">
        <f t="shared" si="384"/>
        <v>0</v>
      </c>
      <c r="AB381" s="3">
        <f t="shared" si="384"/>
        <v>0</v>
      </c>
      <c r="AC381" s="3">
        <f t="shared" si="384"/>
        <v>0</v>
      </c>
      <c r="AD381" s="3">
        <f t="shared" si="384"/>
        <v>0</v>
      </c>
      <c r="AE381" s="3">
        <f t="shared" si="384"/>
        <v>0</v>
      </c>
      <c r="AF381" s="3">
        <f t="shared" si="384"/>
        <v>0</v>
      </c>
      <c r="AG381" s="3"/>
      <c r="AH381" s="3"/>
    </row>
    <row r="382" spans="2:34" x14ac:dyDescent="0.25">
      <c r="B382" s="3">
        <f t="shared" ref="B382:AF382" si="385">$C34*EXP(-B$363/$A34/EXP(-$H$126))</f>
        <v>4.3065005159432222E-4</v>
      </c>
      <c r="C382" s="3">
        <f t="shared" si="385"/>
        <v>4.3065005159432222E-4</v>
      </c>
      <c r="D382" s="3">
        <f t="shared" si="385"/>
        <v>4.30650051594322E-4</v>
      </c>
      <c r="E382" s="3">
        <f t="shared" si="385"/>
        <v>4.3065005159431989E-4</v>
      </c>
      <c r="F382" s="3">
        <f t="shared" si="385"/>
        <v>4.3065005159429869E-4</v>
      </c>
      <c r="G382" s="3">
        <f t="shared" si="385"/>
        <v>4.3065005159408705E-4</v>
      </c>
      <c r="H382" s="3">
        <f t="shared" si="385"/>
        <v>4.3065005159197075E-4</v>
      </c>
      <c r="I382" s="3">
        <f t="shared" si="385"/>
        <v>4.3065005157080761E-4</v>
      </c>
      <c r="J382" s="3">
        <f t="shared" si="385"/>
        <v>4.3065005135917584E-4</v>
      </c>
      <c r="K382" s="3">
        <f t="shared" si="385"/>
        <v>4.3065004924285852E-4</v>
      </c>
      <c r="L382" s="3">
        <f t="shared" si="385"/>
        <v>4.3065002807968607E-4</v>
      </c>
      <c r="M382" s="3">
        <f t="shared" si="385"/>
        <v>4.3064981644801826E-4</v>
      </c>
      <c r="N382" s="3">
        <f t="shared" si="385"/>
        <v>4.3064770013706008E-4</v>
      </c>
      <c r="O382" s="3">
        <f t="shared" si="385"/>
        <v>4.3062653759947219E-4</v>
      </c>
      <c r="P382" s="3">
        <f t="shared" si="385"/>
        <v>4.3041496941252958E-4</v>
      </c>
      <c r="Q382" s="3">
        <f t="shared" si="385"/>
        <v>4.2830499605190091E-4</v>
      </c>
      <c r="R382" s="3">
        <f t="shared" si="385"/>
        <v>4.0776586875045556E-4</v>
      </c>
      <c r="S382" s="3">
        <f t="shared" si="385"/>
        <v>2.4945268314674528E-4</v>
      </c>
      <c r="T382" s="3">
        <f t="shared" si="385"/>
        <v>1.8313074579234847E-6</v>
      </c>
      <c r="U382" s="3">
        <f t="shared" si="385"/>
        <v>8.3270679449526754E-28</v>
      </c>
      <c r="V382" s="3">
        <f t="shared" si="385"/>
        <v>3.1463030469632068E-241</v>
      </c>
      <c r="W382" s="3">
        <f t="shared" si="385"/>
        <v>0</v>
      </c>
      <c r="X382" s="3">
        <f t="shared" si="385"/>
        <v>0</v>
      </c>
      <c r="Y382" s="3">
        <f t="shared" si="385"/>
        <v>0</v>
      </c>
      <c r="Z382" s="3">
        <f t="shared" si="385"/>
        <v>0</v>
      </c>
      <c r="AA382" s="3">
        <f t="shared" si="385"/>
        <v>0</v>
      </c>
      <c r="AB382" s="3">
        <f t="shared" si="385"/>
        <v>0</v>
      </c>
      <c r="AC382" s="3">
        <f t="shared" si="385"/>
        <v>0</v>
      </c>
      <c r="AD382" s="3">
        <f t="shared" si="385"/>
        <v>0</v>
      </c>
      <c r="AE382" s="3">
        <f t="shared" si="385"/>
        <v>0</v>
      </c>
      <c r="AF382" s="3">
        <f t="shared" si="385"/>
        <v>0</v>
      </c>
      <c r="AG382" s="3"/>
      <c r="AH382" s="3"/>
    </row>
    <row r="383" spans="2:34" x14ac:dyDescent="0.25">
      <c r="B383" s="3">
        <f t="shared" ref="B383:AF383" si="386">$C35*EXP(-B$363/$A35/EXP(-$H$126))</f>
        <v>5.9717869572018282E-4</v>
      </c>
      <c r="C383" s="3">
        <f t="shared" si="386"/>
        <v>5.9717869572018282E-4</v>
      </c>
      <c r="D383" s="3">
        <f t="shared" si="386"/>
        <v>5.9717869572018282E-4</v>
      </c>
      <c r="E383" s="3">
        <f t="shared" si="386"/>
        <v>5.971786957201826E-4</v>
      </c>
      <c r="F383" s="3">
        <f t="shared" si="386"/>
        <v>5.9717869572017989E-4</v>
      </c>
      <c r="G383" s="3">
        <f t="shared" si="386"/>
        <v>5.9717869572015333E-4</v>
      </c>
      <c r="H383" s="3">
        <f t="shared" si="386"/>
        <v>5.9717869571988868E-4</v>
      </c>
      <c r="I383" s="3">
        <f t="shared" si="386"/>
        <v>5.9717869571724138E-4</v>
      </c>
      <c r="J383" s="3">
        <f t="shared" si="386"/>
        <v>5.9717869569076809E-4</v>
      </c>
      <c r="K383" s="3">
        <f t="shared" si="386"/>
        <v>5.9717869542603563E-4</v>
      </c>
      <c r="L383" s="3">
        <f t="shared" si="386"/>
        <v>5.9717869277871121E-4</v>
      </c>
      <c r="M383" s="3">
        <f t="shared" si="386"/>
        <v>5.9717866630546693E-4</v>
      </c>
      <c r="N383" s="3">
        <f t="shared" si="386"/>
        <v>5.9717840157308909E-4</v>
      </c>
      <c r="O383" s="3">
        <f t="shared" si="386"/>
        <v>5.9717575425576508E-4</v>
      </c>
      <c r="P383" s="3">
        <f t="shared" si="386"/>
        <v>5.9714928172797824E-4</v>
      </c>
      <c r="Q383" s="3">
        <f t="shared" si="386"/>
        <v>5.9688462098485501E-4</v>
      </c>
      <c r="R383" s="3">
        <f t="shared" si="386"/>
        <v>5.9424445645541151E-4</v>
      </c>
      <c r="S383" s="3">
        <f t="shared" si="386"/>
        <v>5.6847665764365931E-4</v>
      </c>
      <c r="T383" s="3">
        <f t="shared" si="386"/>
        <v>3.6491155354677931E-4</v>
      </c>
      <c r="U383" s="3">
        <f t="shared" si="386"/>
        <v>4.3344838132280588E-6</v>
      </c>
      <c r="V383" s="3">
        <f t="shared" si="386"/>
        <v>2.4234557884319797E-25</v>
      </c>
      <c r="W383" s="3">
        <f t="shared" si="386"/>
        <v>7.2345622653411762E-218</v>
      </c>
      <c r="X383" s="3">
        <f t="shared" si="386"/>
        <v>0</v>
      </c>
      <c r="Y383" s="3">
        <f t="shared" si="386"/>
        <v>0</v>
      </c>
      <c r="Z383" s="3">
        <f t="shared" si="386"/>
        <v>0</v>
      </c>
      <c r="AA383" s="3">
        <f t="shared" si="386"/>
        <v>0</v>
      </c>
      <c r="AB383" s="3">
        <f t="shared" si="386"/>
        <v>0</v>
      </c>
      <c r="AC383" s="3">
        <f t="shared" si="386"/>
        <v>0</v>
      </c>
      <c r="AD383" s="3">
        <f t="shared" si="386"/>
        <v>0</v>
      </c>
      <c r="AE383" s="3">
        <f t="shared" si="386"/>
        <v>0</v>
      </c>
      <c r="AF383" s="3">
        <f t="shared" si="386"/>
        <v>0</v>
      </c>
      <c r="AG383" s="3"/>
      <c r="AH383" s="3"/>
    </row>
    <row r="384" spans="2:34" x14ac:dyDescent="0.25">
      <c r="B384" s="3">
        <f t="shared" ref="B384:AF384" si="387">$C36*EXP(-B$363/$A36/EXP(-$H$126))</f>
        <v>5.2966364389967348E-4</v>
      </c>
      <c r="C384" s="3">
        <f t="shared" si="387"/>
        <v>5.2966364389967348E-4</v>
      </c>
      <c r="D384" s="3">
        <f t="shared" si="387"/>
        <v>5.2966364389967348E-4</v>
      </c>
      <c r="E384" s="3">
        <f t="shared" si="387"/>
        <v>5.2966364389967348E-4</v>
      </c>
      <c r="F384" s="3">
        <f t="shared" si="387"/>
        <v>5.2966364389967326E-4</v>
      </c>
      <c r="G384" s="3">
        <f t="shared" si="387"/>
        <v>5.2966364389967109E-4</v>
      </c>
      <c r="H384" s="3">
        <f t="shared" si="387"/>
        <v>5.2966364389964995E-4</v>
      </c>
      <c r="I384" s="3">
        <f t="shared" si="387"/>
        <v>5.296636438994381E-4</v>
      </c>
      <c r="J384" s="3">
        <f t="shared" si="387"/>
        <v>5.2966364389732E-4</v>
      </c>
      <c r="K384" s="3">
        <f t="shared" si="387"/>
        <v>5.2966364387613892E-4</v>
      </c>
      <c r="L384" s="3">
        <f t="shared" si="387"/>
        <v>5.2966364366432734E-4</v>
      </c>
      <c r="M384" s="3">
        <f t="shared" si="387"/>
        <v>5.2966364154621187E-4</v>
      </c>
      <c r="N384" s="3">
        <f t="shared" si="387"/>
        <v>5.2966362036505792E-4</v>
      </c>
      <c r="O384" s="3">
        <f t="shared" si="387"/>
        <v>5.296634085535651E-4</v>
      </c>
      <c r="P384" s="3">
        <f t="shared" si="387"/>
        <v>5.2966129044329556E-4</v>
      </c>
      <c r="Q384" s="3">
        <f t="shared" si="387"/>
        <v>5.2964010980645956E-4</v>
      </c>
      <c r="R384" s="3">
        <f t="shared" si="387"/>
        <v>5.2942835001712236E-4</v>
      </c>
      <c r="S384" s="3">
        <f t="shared" si="387"/>
        <v>5.2731540314156146E-4</v>
      </c>
      <c r="T384" s="3">
        <f t="shared" si="387"/>
        <v>5.0664422740414748E-4</v>
      </c>
      <c r="U384" s="3">
        <f t="shared" si="387"/>
        <v>3.3964835193187504E-4</v>
      </c>
      <c r="V384" s="3">
        <f t="shared" si="387"/>
        <v>6.2272118427899699E-6</v>
      </c>
      <c r="W384" s="3">
        <f t="shared" si="387"/>
        <v>2.6726059189866242E-23</v>
      </c>
      <c r="X384" s="3">
        <f t="shared" si="387"/>
        <v>5.6669291508839835E-197</v>
      </c>
      <c r="Y384" s="3">
        <f t="shared" si="387"/>
        <v>0</v>
      </c>
      <c r="Z384" s="3">
        <f t="shared" si="387"/>
        <v>0</v>
      </c>
      <c r="AA384" s="3">
        <f t="shared" si="387"/>
        <v>0</v>
      </c>
      <c r="AB384" s="3">
        <f t="shared" si="387"/>
        <v>0</v>
      </c>
      <c r="AC384" s="3">
        <f t="shared" si="387"/>
        <v>0</v>
      </c>
      <c r="AD384" s="3">
        <f t="shared" si="387"/>
        <v>0</v>
      </c>
      <c r="AE384" s="3">
        <f t="shared" si="387"/>
        <v>0</v>
      </c>
      <c r="AF384" s="3">
        <f t="shared" si="387"/>
        <v>0</v>
      </c>
      <c r="AG384" s="3"/>
      <c r="AH384" s="3"/>
    </row>
    <row r="385" spans="1:34" x14ac:dyDescent="0.25">
      <c r="B385" s="3">
        <f t="shared" ref="B385:AF385" si="388">$C37*EXP(-B$363/$A37/EXP(-$H$126))</f>
        <v>3.7946363748828321E-4</v>
      </c>
      <c r="C385" s="3">
        <f t="shared" si="388"/>
        <v>3.7946363748828321E-4</v>
      </c>
      <c r="D385" s="3">
        <f t="shared" si="388"/>
        <v>3.7946363748828321E-4</v>
      </c>
      <c r="E385" s="3">
        <f t="shared" si="388"/>
        <v>3.7946363748828321E-4</v>
      </c>
      <c r="F385" s="3">
        <f t="shared" si="388"/>
        <v>3.7946363748828321E-4</v>
      </c>
      <c r="G385" s="3">
        <f t="shared" si="388"/>
        <v>3.7946363748828305E-4</v>
      </c>
      <c r="H385" s="3">
        <f t="shared" si="388"/>
        <v>3.7946363748828169E-4</v>
      </c>
      <c r="I385" s="3">
        <f t="shared" si="388"/>
        <v>3.7946363748826798E-4</v>
      </c>
      <c r="J385" s="3">
        <f t="shared" si="388"/>
        <v>3.7946363748813115E-4</v>
      </c>
      <c r="K385" s="3">
        <f t="shared" si="388"/>
        <v>3.7946363748676224E-4</v>
      </c>
      <c r="L385" s="3">
        <f t="shared" si="388"/>
        <v>3.7946363747307343E-4</v>
      </c>
      <c r="M385" s="3">
        <f t="shared" si="388"/>
        <v>3.7946363733618515E-4</v>
      </c>
      <c r="N385" s="3">
        <f t="shared" si="388"/>
        <v>3.794636359673025E-4</v>
      </c>
      <c r="O385" s="3">
        <f t="shared" si="388"/>
        <v>3.7946362227847627E-4</v>
      </c>
      <c r="P385" s="3">
        <f t="shared" si="388"/>
        <v>3.7946348539024126E-4</v>
      </c>
      <c r="Q385" s="3">
        <f t="shared" si="388"/>
        <v>3.794621165106071E-4</v>
      </c>
      <c r="R385" s="3">
        <f t="shared" si="388"/>
        <v>3.794484279858584E-4</v>
      </c>
      <c r="S385" s="3">
        <f t="shared" si="388"/>
        <v>3.7931156989404381E-4</v>
      </c>
      <c r="T385" s="3">
        <f t="shared" si="388"/>
        <v>3.7794570092202357E-4</v>
      </c>
      <c r="U385" s="3">
        <f t="shared" si="388"/>
        <v>3.6455462072492557E-4</v>
      </c>
      <c r="V385" s="3">
        <f t="shared" si="388"/>
        <v>2.5415261550987126E-4</v>
      </c>
      <c r="W385" s="3">
        <f t="shared" si="388"/>
        <v>6.8930962848726368E-6</v>
      </c>
      <c r="X385" s="3">
        <f t="shared" si="388"/>
        <v>1.4846085574431343E-21</v>
      </c>
      <c r="Y385" s="3">
        <f t="shared" si="388"/>
        <v>3.18851236885548E-178</v>
      </c>
      <c r="Z385" s="3">
        <f t="shared" si="388"/>
        <v>0</v>
      </c>
      <c r="AA385" s="3">
        <f t="shared" si="388"/>
        <v>0</v>
      </c>
      <c r="AB385" s="3">
        <f t="shared" si="388"/>
        <v>0</v>
      </c>
      <c r="AC385" s="3">
        <f t="shared" si="388"/>
        <v>0</v>
      </c>
      <c r="AD385" s="3">
        <f t="shared" si="388"/>
        <v>0</v>
      </c>
      <c r="AE385" s="3">
        <f t="shared" si="388"/>
        <v>0</v>
      </c>
      <c r="AF385" s="3">
        <f t="shared" si="388"/>
        <v>0</v>
      </c>
      <c r="AG385" s="3"/>
      <c r="AH385" s="3"/>
    </row>
    <row r="386" spans="1:34" x14ac:dyDescent="0.25">
      <c r="B386" s="3">
        <f t="shared" ref="B386:AF386" si="389">$C38*EXP(-B$363/$A38/EXP(-$H$126))</f>
        <v>2.9006625777866605E-4</v>
      </c>
      <c r="C386" s="3">
        <f t="shared" si="389"/>
        <v>2.9006625777866605E-4</v>
      </c>
      <c r="D386" s="3">
        <f t="shared" si="389"/>
        <v>2.9006625777866605E-4</v>
      </c>
      <c r="E386" s="3">
        <f t="shared" si="389"/>
        <v>2.9006625777866605E-4</v>
      </c>
      <c r="F386" s="3">
        <f t="shared" si="389"/>
        <v>2.9006625777866605E-4</v>
      </c>
      <c r="G386" s="3">
        <f t="shared" si="389"/>
        <v>2.9006625777866605E-4</v>
      </c>
      <c r="H386" s="3">
        <f t="shared" si="389"/>
        <v>2.9006625777866594E-4</v>
      </c>
      <c r="I386" s="3">
        <f t="shared" si="389"/>
        <v>2.9006625777866496E-4</v>
      </c>
      <c r="J386" s="3">
        <f t="shared" si="389"/>
        <v>2.9006625777865553E-4</v>
      </c>
      <c r="K386" s="3">
        <f t="shared" si="389"/>
        <v>2.9006625777856115E-4</v>
      </c>
      <c r="L386" s="3">
        <f t="shared" si="389"/>
        <v>2.9006625777761724E-4</v>
      </c>
      <c r="M386" s="3">
        <f t="shared" si="389"/>
        <v>2.9006625776817796E-4</v>
      </c>
      <c r="N386" s="3">
        <f t="shared" si="389"/>
        <v>2.9006625767378494E-4</v>
      </c>
      <c r="O386" s="3">
        <f t="shared" si="389"/>
        <v>2.9006625672985478E-4</v>
      </c>
      <c r="P386" s="3">
        <f t="shared" si="389"/>
        <v>2.9006624729055344E-4</v>
      </c>
      <c r="Q386" s="3">
        <f t="shared" si="389"/>
        <v>2.9006615289755747E-4</v>
      </c>
      <c r="R386" s="3">
        <f t="shared" si="389"/>
        <v>2.9006520896928669E-4</v>
      </c>
      <c r="S386" s="3">
        <f t="shared" si="389"/>
        <v>2.9005576985552194E-4</v>
      </c>
      <c r="T386" s="3">
        <f t="shared" si="389"/>
        <v>2.8996139561010851E-4</v>
      </c>
      <c r="U386" s="3">
        <f t="shared" si="389"/>
        <v>2.89019340347246E-4</v>
      </c>
      <c r="V386" s="3">
        <f t="shared" si="389"/>
        <v>2.7976549294546918E-4</v>
      </c>
      <c r="W386" s="3">
        <f t="shared" si="389"/>
        <v>2.0205358261517708E-4</v>
      </c>
      <c r="X386" s="3">
        <f t="shared" si="389"/>
        <v>7.801725125088469E-6</v>
      </c>
      <c r="Y386" s="3">
        <f t="shared" si="389"/>
        <v>5.7468722213994176E-20</v>
      </c>
      <c r="Z386" s="3">
        <f t="shared" si="389"/>
        <v>2.7029654907434224E-161</v>
      </c>
      <c r="AA386" s="3">
        <f t="shared" si="389"/>
        <v>0</v>
      </c>
      <c r="AB386" s="3">
        <f t="shared" si="389"/>
        <v>0</v>
      </c>
      <c r="AC386" s="3">
        <f t="shared" si="389"/>
        <v>0</v>
      </c>
      <c r="AD386" s="3">
        <f t="shared" si="389"/>
        <v>0</v>
      </c>
      <c r="AE386" s="3">
        <f t="shared" si="389"/>
        <v>0</v>
      </c>
      <c r="AF386" s="3">
        <f t="shared" si="389"/>
        <v>0</v>
      </c>
      <c r="AG386" s="3"/>
      <c r="AH386" s="3"/>
    </row>
    <row r="387" spans="1:34" x14ac:dyDescent="0.25">
      <c r="B387" s="3">
        <f t="shared" ref="B387:AF387" si="390">$C39*EXP(-B$363/$A39/EXP(-$H$126))</f>
        <v>0</v>
      </c>
      <c r="C387" s="3">
        <f t="shared" si="390"/>
        <v>0</v>
      </c>
      <c r="D387" s="3">
        <f t="shared" si="390"/>
        <v>0</v>
      </c>
      <c r="E387" s="3">
        <f t="shared" si="390"/>
        <v>0</v>
      </c>
      <c r="F387" s="3">
        <f t="shared" si="390"/>
        <v>0</v>
      </c>
      <c r="G387" s="3">
        <f t="shared" si="390"/>
        <v>0</v>
      </c>
      <c r="H387" s="3">
        <f t="shared" si="390"/>
        <v>0</v>
      </c>
      <c r="I387" s="3">
        <f t="shared" si="390"/>
        <v>0</v>
      </c>
      <c r="J387" s="3">
        <f t="shared" si="390"/>
        <v>0</v>
      </c>
      <c r="K387" s="3">
        <f t="shared" si="390"/>
        <v>0</v>
      </c>
      <c r="L387" s="3">
        <f t="shared" si="390"/>
        <v>0</v>
      </c>
      <c r="M387" s="3">
        <f t="shared" si="390"/>
        <v>0</v>
      </c>
      <c r="N387" s="3">
        <f t="shared" si="390"/>
        <v>0</v>
      </c>
      <c r="O387" s="3">
        <f t="shared" si="390"/>
        <v>0</v>
      </c>
      <c r="P387" s="3">
        <f t="shared" si="390"/>
        <v>0</v>
      </c>
      <c r="Q387" s="3">
        <f t="shared" si="390"/>
        <v>0</v>
      </c>
      <c r="R387" s="3">
        <f t="shared" si="390"/>
        <v>0</v>
      </c>
      <c r="S387" s="3">
        <f t="shared" si="390"/>
        <v>0</v>
      </c>
      <c r="T387" s="3">
        <f t="shared" si="390"/>
        <v>0</v>
      </c>
      <c r="U387" s="3">
        <f t="shared" si="390"/>
        <v>0</v>
      </c>
      <c r="V387" s="3">
        <f t="shared" si="390"/>
        <v>0</v>
      </c>
      <c r="W387" s="3">
        <f t="shared" si="390"/>
        <v>0</v>
      </c>
      <c r="X387" s="3">
        <f t="shared" si="390"/>
        <v>0</v>
      </c>
      <c r="Y387" s="3">
        <f t="shared" si="390"/>
        <v>0</v>
      </c>
      <c r="Z387" s="3">
        <f t="shared" si="390"/>
        <v>0</v>
      </c>
      <c r="AA387" s="3">
        <f t="shared" si="390"/>
        <v>0</v>
      </c>
      <c r="AB387" s="3">
        <f t="shared" si="390"/>
        <v>0</v>
      </c>
      <c r="AC387" s="3">
        <f t="shared" si="390"/>
        <v>0</v>
      </c>
      <c r="AD387" s="3">
        <f t="shared" si="390"/>
        <v>0</v>
      </c>
      <c r="AE387" s="3">
        <f t="shared" si="390"/>
        <v>0</v>
      </c>
      <c r="AF387" s="3">
        <f t="shared" si="390"/>
        <v>0</v>
      </c>
      <c r="AG387" s="3"/>
      <c r="AH387" s="3"/>
    </row>
    <row r="388" spans="1:34" x14ac:dyDescent="0.25">
      <c r="B388" s="3">
        <f t="shared" ref="B388:AF388" si="391">$C40*EXP(-B$363/$A40/EXP(-$H$126))</f>
        <v>3.0334619433978663E-4</v>
      </c>
      <c r="C388" s="3">
        <f t="shared" si="391"/>
        <v>3.0334619433978663E-4</v>
      </c>
      <c r="D388" s="3">
        <f t="shared" si="391"/>
        <v>3.0334619433978663E-4</v>
      </c>
      <c r="E388" s="3">
        <f t="shared" si="391"/>
        <v>3.0334619433978663E-4</v>
      </c>
      <c r="F388" s="3">
        <f t="shared" si="391"/>
        <v>3.0334619433978663E-4</v>
      </c>
      <c r="G388" s="3">
        <f t="shared" si="391"/>
        <v>3.0334619433978663E-4</v>
      </c>
      <c r="H388" s="3">
        <f t="shared" si="391"/>
        <v>3.0334619433978663E-4</v>
      </c>
      <c r="I388" s="3">
        <f t="shared" si="391"/>
        <v>3.0334619433978658E-4</v>
      </c>
      <c r="J388" s="3">
        <f t="shared" si="391"/>
        <v>3.0334619433978631E-4</v>
      </c>
      <c r="K388" s="3">
        <f t="shared" si="391"/>
        <v>3.033461943397836E-4</v>
      </c>
      <c r="L388" s="3">
        <f t="shared" si="391"/>
        <v>3.0334619433975628E-4</v>
      </c>
      <c r="M388" s="3">
        <f t="shared" si="391"/>
        <v>3.0334619433948327E-4</v>
      </c>
      <c r="N388" s="3">
        <f t="shared" si="391"/>
        <v>3.0334619433675309E-4</v>
      </c>
      <c r="O388" s="3">
        <f t="shared" si="391"/>
        <v>3.0334619430945109E-4</v>
      </c>
      <c r="P388" s="3">
        <f t="shared" si="391"/>
        <v>3.0334619403643136E-4</v>
      </c>
      <c r="Q388" s="3">
        <f t="shared" si="391"/>
        <v>3.0334619130623389E-4</v>
      </c>
      <c r="R388" s="3">
        <f t="shared" si="391"/>
        <v>3.0334616400426087E-4</v>
      </c>
      <c r="S388" s="3">
        <f t="shared" si="391"/>
        <v>3.0334589098466539E-4</v>
      </c>
      <c r="T388" s="3">
        <f t="shared" si="391"/>
        <v>3.0334316080222573E-4</v>
      </c>
      <c r="U388" s="3">
        <f t="shared" si="391"/>
        <v>3.0331586032926689E-4</v>
      </c>
      <c r="V388" s="3">
        <f t="shared" si="391"/>
        <v>3.0304299069850333E-4</v>
      </c>
      <c r="W388" s="3">
        <f t="shared" si="391"/>
        <v>3.0032775939219705E-4</v>
      </c>
      <c r="X388" s="3">
        <f t="shared" si="391"/>
        <v>2.7447816579571292E-4</v>
      </c>
      <c r="Y388" s="3">
        <f t="shared" si="391"/>
        <v>1.1159148868600637E-4</v>
      </c>
      <c r="Z388" s="3">
        <f t="shared" si="391"/>
        <v>1.3767774869148955E-8</v>
      </c>
      <c r="AA388" s="3">
        <f t="shared" si="391"/>
        <v>1.1250986418128783E-47</v>
      </c>
      <c r="AB388" s="3">
        <f t="shared" si="391"/>
        <v>0</v>
      </c>
      <c r="AC388" s="3">
        <f t="shared" si="391"/>
        <v>0</v>
      </c>
      <c r="AD388" s="3">
        <f t="shared" si="391"/>
        <v>0</v>
      </c>
      <c r="AE388" s="3">
        <f t="shared" si="391"/>
        <v>0</v>
      </c>
      <c r="AF388" s="3">
        <f t="shared" si="391"/>
        <v>0</v>
      </c>
      <c r="AG388" s="3"/>
      <c r="AH388" s="3"/>
    </row>
    <row r="389" spans="1:34" x14ac:dyDescent="0.25">
      <c r="B389" s="3">
        <f t="shared" ref="B389:AF389" si="392">$C41*EXP(-B$363/$A41/EXP(-$H$126))</f>
        <v>0</v>
      </c>
      <c r="C389" s="3">
        <f t="shared" si="392"/>
        <v>0</v>
      </c>
      <c r="D389" s="3">
        <f t="shared" si="392"/>
        <v>0</v>
      </c>
      <c r="E389" s="3">
        <f t="shared" si="392"/>
        <v>0</v>
      </c>
      <c r="F389" s="3">
        <f t="shared" si="392"/>
        <v>0</v>
      </c>
      <c r="G389" s="3">
        <f t="shared" si="392"/>
        <v>0</v>
      </c>
      <c r="H389" s="3">
        <f t="shared" si="392"/>
        <v>0</v>
      </c>
      <c r="I389" s="3">
        <f t="shared" si="392"/>
        <v>0</v>
      </c>
      <c r="J389" s="3">
        <f t="shared" si="392"/>
        <v>0</v>
      </c>
      <c r="K389" s="3">
        <f t="shared" si="392"/>
        <v>0</v>
      </c>
      <c r="L389" s="3">
        <f t="shared" si="392"/>
        <v>0</v>
      </c>
      <c r="M389" s="3">
        <f t="shared" si="392"/>
        <v>0</v>
      </c>
      <c r="N389" s="3">
        <f t="shared" si="392"/>
        <v>0</v>
      </c>
      <c r="O389" s="3">
        <f t="shared" si="392"/>
        <v>0</v>
      </c>
      <c r="P389" s="3">
        <f t="shared" si="392"/>
        <v>0</v>
      </c>
      <c r="Q389" s="3">
        <f t="shared" si="392"/>
        <v>0</v>
      </c>
      <c r="R389" s="3">
        <f t="shared" si="392"/>
        <v>0</v>
      </c>
      <c r="S389" s="3">
        <f t="shared" si="392"/>
        <v>0</v>
      </c>
      <c r="T389" s="3">
        <f t="shared" si="392"/>
        <v>0</v>
      </c>
      <c r="U389" s="3">
        <f t="shared" si="392"/>
        <v>0</v>
      </c>
      <c r="V389" s="3">
        <f t="shared" si="392"/>
        <v>0</v>
      </c>
      <c r="W389" s="3">
        <f t="shared" si="392"/>
        <v>0</v>
      </c>
      <c r="X389" s="3">
        <f t="shared" si="392"/>
        <v>0</v>
      </c>
      <c r="Y389" s="3">
        <f t="shared" si="392"/>
        <v>0</v>
      </c>
      <c r="Z389" s="3">
        <f t="shared" si="392"/>
        <v>0</v>
      </c>
      <c r="AA389" s="3">
        <f t="shared" si="392"/>
        <v>0</v>
      </c>
      <c r="AB389" s="3">
        <f t="shared" si="392"/>
        <v>0</v>
      </c>
      <c r="AC389" s="3">
        <f t="shared" si="392"/>
        <v>0</v>
      </c>
      <c r="AD389" s="3">
        <f t="shared" si="392"/>
        <v>0</v>
      </c>
      <c r="AE389" s="3">
        <f t="shared" si="392"/>
        <v>0</v>
      </c>
      <c r="AF389" s="3">
        <f t="shared" si="392"/>
        <v>0</v>
      </c>
      <c r="AG389" s="3"/>
      <c r="AH389" s="3"/>
    </row>
    <row r="390" spans="1:34" x14ac:dyDescent="0.25">
      <c r="B390" s="3">
        <f t="shared" ref="B390:AF390" si="393">$C42*EXP(-B$363/$A42/EXP(-$H$126))</f>
        <v>0</v>
      </c>
      <c r="C390" s="3">
        <f t="shared" si="393"/>
        <v>0</v>
      </c>
      <c r="D390" s="3">
        <f t="shared" si="393"/>
        <v>0</v>
      </c>
      <c r="E390" s="3">
        <f t="shared" si="393"/>
        <v>0</v>
      </c>
      <c r="F390" s="3">
        <f t="shared" si="393"/>
        <v>0</v>
      </c>
      <c r="G390" s="3">
        <f t="shared" si="393"/>
        <v>0</v>
      </c>
      <c r="H390" s="3">
        <f t="shared" si="393"/>
        <v>0</v>
      </c>
      <c r="I390" s="3">
        <f t="shared" si="393"/>
        <v>0</v>
      </c>
      <c r="J390" s="3">
        <f t="shared" si="393"/>
        <v>0</v>
      </c>
      <c r="K390" s="3">
        <f t="shared" si="393"/>
        <v>0</v>
      </c>
      <c r="L390" s="3">
        <f t="shared" si="393"/>
        <v>0</v>
      </c>
      <c r="M390" s="3">
        <f t="shared" si="393"/>
        <v>0</v>
      </c>
      <c r="N390" s="3">
        <f t="shared" si="393"/>
        <v>0</v>
      </c>
      <c r="O390" s="3">
        <f t="shared" si="393"/>
        <v>0</v>
      </c>
      <c r="P390" s="3">
        <f t="shared" si="393"/>
        <v>0</v>
      </c>
      <c r="Q390" s="3">
        <f t="shared" si="393"/>
        <v>0</v>
      </c>
      <c r="R390" s="3">
        <f t="shared" si="393"/>
        <v>0</v>
      </c>
      <c r="S390" s="3">
        <f t="shared" si="393"/>
        <v>0</v>
      </c>
      <c r="T390" s="3">
        <f t="shared" si="393"/>
        <v>0</v>
      </c>
      <c r="U390" s="3">
        <f t="shared" si="393"/>
        <v>0</v>
      </c>
      <c r="V390" s="3">
        <f t="shared" si="393"/>
        <v>0</v>
      </c>
      <c r="W390" s="3">
        <f t="shared" si="393"/>
        <v>0</v>
      </c>
      <c r="X390" s="3">
        <f t="shared" si="393"/>
        <v>0</v>
      </c>
      <c r="Y390" s="3">
        <f t="shared" si="393"/>
        <v>0</v>
      </c>
      <c r="Z390" s="3">
        <f t="shared" si="393"/>
        <v>0</v>
      </c>
      <c r="AA390" s="3">
        <f t="shared" si="393"/>
        <v>0</v>
      </c>
      <c r="AB390" s="3">
        <f t="shared" si="393"/>
        <v>0</v>
      </c>
      <c r="AC390" s="3">
        <f t="shared" si="393"/>
        <v>0</v>
      </c>
      <c r="AD390" s="3">
        <f t="shared" si="393"/>
        <v>0</v>
      </c>
      <c r="AE390" s="3">
        <f t="shared" si="393"/>
        <v>0</v>
      </c>
      <c r="AF390" s="3">
        <f t="shared" si="393"/>
        <v>0</v>
      </c>
      <c r="AG390" s="3"/>
      <c r="AH390" s="3"/>
    </row>
    <row r="391" spans="1:34" x14ac:dyDescent="0.25">
      <c r="B391" s="3">
        <f t="shared" ref="B391:AF391" si="394">$C43*EXP(-B$363/$A43/EXP(-$H$126))</f>
        <v>7.7330920795246901E-5</v>
      </c>
      <c r="C391" s="3">
        <f t="shared" si="394"/>
        <v>7.7330920795246901E-5</v>
      </c>
      <c r="D391" s="3">
        <f t="shared" si="394"/>
        <v>7.7330920795246901E-5</v>
      </c>
      <c r="E391" s="3">
        <f t="shared" si="394"/>
        <v>7.7330920795246901E-5</v>
      </c>
      <c r="F391" s="3">
        <f t="shared" si="394"/>
        <v>7.7330920795246901E-5</v>
      </c>
      <c r="G391" s="3">
        <f t="shared" si="394"/>
        <v>7.7330920795246901E-5</v>
      </c>
      <c r="H391" s="3">
        <f t="shared" si="394"/>
        <v>7.7330920795246901E-5</v>
      </c>
      <c r="I391" s="3">
        <f t="shared" si="394"/>
        <v>7.7330920795246901E-5</v>
      </c>
      <c r="J391" s="3">
        <f t="shared" si="394"/>
        <v>7.7330920795246901E-5</v>
      </c>
      <c r="K391" s="3">
        <f t="shared" si="394"/>
        <v>7.7330920795246901E-5</v>
      </c>
      <c r="L391" s="3">
        <f t="shared" si="394"/>
        <v>7.7330920795246888E-5</v>
      </c>
      <c r="M391" s="3">
        <f t="shared" si="394"/>
        <v>7.733092079524682E-5</v>
      </c>
      <c r="N391" s="3">
        <f t="shared" si="394"/>
        <v>7.7330920795246129E-5</v>
      </c>
      <c r="O391" s="3">
        <f t="shared" si="394"/>
        <v>7.7330920795239163E-5</v>
      </c>
      <c r="P391" s="3">
        <f t="shared" si="394"/>
        <v>7.733092079516957E-5</v>
      </c>
      <c r="Q391" s="3">
        <f t="shared" si="394"/>
        <v>7.7330920794473567E-5</v>
      </c>
      <c r="R391" s="3">
        <f t="shared" si="394"/>
        <v>7.7330920787513572E-5</v>
      </c>
      <c r="S391" s="3">
        <f t="shared" si="394"/>
        <v>7.733092071791366E-5</v>
      </c>
      <c r="T391" s="3">
        <f t="shared" si="394"/>
        <v>7.7330920021914548E-5</v>
      </c>
      <c r="U391" s="3">
        <f t="shared" si="394"/>
        <v>7.7330913061923778E-5</v>
      </c>
      <c r="V391" s="3">
        <f t="shared" si="394"/>
        <v>7.7330843462050414E-5</v>
      </c>
      <c r="W391" s="3">
        <f t="shared" si="394"/>
        <v>7.7330147466762048E-5</v>
      </c>
      <c r="X391" s="3">
        <f t="shared" si="394"/>
        <v>7.7323187858395619E-5</v>
      </c>
      <c r="Y391" s="3">
        <f t="shared" si="394"/>
        <v>7.7253626214973892E-5</v>
      </c>
      <c r="Z391" s="3">
        <f t="shared" si="394"/>
        <v>7.6561442363629601E-5</v>
      </c>
      <c r="AA391" s="3">
        <f t="shared" si="394"/>
        <v>6.9971701294519863E-5</v>
      </c>
      <c r="AB391" s="3">
        <f t="shared" si="394"/>
        <v>2.8447604532447617E-5</v>
      </c>
      <c r="AC391" s="3">
        <f t="shared" si="394"/>
        <v>3.50976780918628E-9</v>
      </c>
      <c r="AD391" s="3">
        <f t="shared" si="394"/>
        <v>2.8681722592970751E-48</v>
      </c>
      <c r="AE391" s="3">
        <f t="shared" si="394"/>
        <v>0</v>
      </c>
      <c r="AF391" s="3">
        <f t="shared" si="394"/>
        <v>0</v>
      </c>
      <c r="AG391" s="3"/>
      <c r="AH391" s="3"/>
    </row>
    <row r="392" spans="1:34" x14ac:dyDescent="0.25">
      <c r="B392" s="3">
        <f t="shared" ref="B392:AF392" si="395">$C44*EXP(-B$363/$A44/EXP(-$H$126))</f>
        <v>1.3850961695873314E-4</v>
      </c>
      <c r="C392" s="3">
        <f t="shared" si="395"/>
        <v>1.3850961695873314E-4</v>
      </c>
      <c r="D392" s="3">
        <f t="shared" si="395"/>
        <v>1.3850961695873314E-4</v>
      </c>
      <c r="E392" s="3">
        <f t="shared" si="395"/>
        <v>1.3850961695873314E-4</v>
      </c>
      <c r="F392" s="3">
        <f t="shared" si="395"/>
        <v>1.3850961695873314E-4</v>
      </c>
      <c r="G392" s="3">
        <f t="shared" si="395"/>
        <v>1.3850961695873314E-4</v>
      </c>
      <c r="H392" s="3">
        <f t="shared" si="395"/>
        <v>1.3850961695873314E-4</v>
      </c>
      <c r="I392" s="3">
        <f t="shared" si="395"/>
        <v>1.3850961695873314E-4</v>
      </c>
      <c r="J392" s="3">
        <f t="shared" si="395"/>
        <v>1.3850961695873314E-4</v>
      </c>
      <c r="K392" s="3">
        <f t="shared" si="395"/>
        <v>1.3850961695873314E-4</v>
      </c>
      <c r="L392" s="3">
        <f t="shared" si="395"/>
        <v>1.3850961695873314E-4</v>
      </c>
      <c r="M392" s="3">
        <f t="shared" si="395"/>
        <v>1.3850961695873311E-4</v>
      </c>
      <c r="N392" s="3">
        <f t="shared" si="395"/>
        <v>1.38509616958733E-4</v>
      </c>
      <c r="O392" s="3">
        <f t="shared" si="395"/>
        <v>1.3850961695873175E-4</v>
      </c>
      <c r="P392" s="3">
        <f t="shared" si="395"/>
        <v>1.3850961695871929E-4</v>
      </c>
      <c r="Q392" s="3">
        <f t="shared" si="395"/>
        <v>1.3850961695859463E-4</v>
      </c>
      <c r="R392" s="3">
        <f t="shared" si="395"/>
        <v>1.3850961695734799E-4</v>
      </c>
      <c r="S392" s="3">
        <f t="shared" si="395"/>
        <v>1.3850961694488175E-4</v>
      </c>
      <c r="T392" s="3">
        <f t="shared" si="395"/>
        <v>1.3850961682021937E-4</v>
      </c>
      <c r="U392" s="3">
        <f t="shared" si="395"/>
        <v>1.3850961557359553E-4</v>
      </c>
      <c r="V392" s="3">
        <f t="shared" si="395"/>
        <v>1.3850960310735761E-4</v>
      </c>
      <c r="W392" s="3">
        <f t="shared" si="395"/>
        <v>1.3850947844504011E-4</v>
      </c>
      <c r="X392" s="3">
        <f t="shared" si="395"/>
        <v>1.3850823182803615E-4</v>
      </c>
      <c r="Y392" s="3">
        <f t="shared" si="395"/>
        <v>1.3849576627507099E-4</v>
      </c>
      <c r="Z392" s="3">
        <f t="shared" si="395"/>
        <v>1.3837117243231987E-4</v>
      </c>
      <c r="AA392" s="3">
        <f t="shared" si="395"/>
        <v>1.3713138220185605E-4</v>
      </c>
      <c r="AB392" s="3">
        <f t="shared" si="395"/>
        <v>1.2532830909793764E-4</v>
      </c>
      <c r="AC392" s="3">
        <f t="shared" si="395"/>
        <v>5.0953315525825551E-5</v>
      </c>
      <c r="AD392" s="3">
        <f t="shared" si="395"/>
        <v>6.2864451873223235E-9</v>
      </c>
      <c r="AE392" s="3">
        <f t="shared" si="395"/>
        <v>5.137265105878838E-48</v>
      </c>
      <c r="AF392" s="3">
        <f t="shared" si="395"/>
        <v>0</v>
      </c>
      <c r="AG392" s="3"/>
      <c r="AH392" s="3"/>
    </row>
    <row r="393" spans="1:34" x14ac:dyDescent="0.25">
      <c r="B393" s="3">
        <f t="shared" ref="B393:AF393" si="396">$C45*EXP(-B$363/$A45/EXP(-$H$126))</f>
        <v>0</v>
      </c>
      <c r="C393" s="3">
        <f t="shared" si="396"/>
        <v>0</v>
      </c>
      <c r="D393" s="3">
        <f t="shared" si="396"/>
        <v>0</v>
      </c>
      <c r="E393" s="3">
        <f t="shared" si="396"/>
        <v>0</v>
      </c>
      <c r="F393" s="3">
        <f t="shared" si="396"/>
        <v>0</v>
      </c>
      <c r="G393" s="3">
        <f t="shared" si="396"/>
        <v>0</v>
      </c>
      <c r="H393" s="3">
        <f t="shared" si="396"/>
        <v>0</v>
      </c>
      <c r="I393" s="3">
        <f t="shared" si="396"/>
        <v>0</v>
      </c>
      <c r="J393" s="3">
        <f t="shared" si="396"/>
        <v>0</v>
      </c>
      <c r="K393" s="3">
        <f t="shared" si="396"/>
        <v>0</v>
      </c>
      <c r="L393" s="3">
        <f t="shared" si="396"/>
        <v>0</v>
      </c>
      <c r="M393" s="3">
        <f t="shared" si="396"/>
        <v>0</v>
      </c>
      <c r="N393" s="3">
        <f t="shared" si="396"/>
        <v>0</v>
      </c>
      <c r="O393" s="3">
        <f t="shared" si="396"/>
        <v>0</v>
      </c>
      <c r="P393" s="3">
        <f t="shared" si="396"/>
        <v>0</v>
      </c>
      <c r="Q393" s="3">
        <f t="shared" si="396"/>
        <v>0</v>
      </c>
      <c r="R393" s="3">
        <f t="shared" si="396"/>
        <v>0</v>
      </c>
      <c r="S393" s="3">
        <f t="shared" si="396"/>
        <v>0</v>
      </c>
      <c r="T393" s="3">
        <f t="shared" si="396"/>
        <v>0</v>
      </c>
      <c r="U393" s="3">
        <f t="shared" si="396"/>
        <v>0</v>
      </c>
      <c r="V393" s="3">
        <f t="shared" si="396"/>
        <v>0</v>
      </c>
      <c r="W393" s="3">
        <f t="shared" si="396"/>
        <v>0</v>
      </c>
      <c r="X393" s="3">
        <f t="shared" si="396"/>
        <v>0</v>
      </c>
      <c r="Y393" s="3">
        <f t="shared" si="396"/>
        <v>0</v>
      </c>
      <c r="Z393" s="3">
        <f t="shared" si="396"/>
        <v>0</v>
      </c>
      <c r="AA393" s="3">
        <f t="shared" si="396"/>
        <v>0</v>
      </c>
      <c r="AB393" s="3">
        <f t="shared" si="396"/>
        <v>0</v>
      </c>
      <c r="AC393" s="3">
        <f t="shared" si="396"/>
        <v>0</v>
      </c>
      <c r="AD393" s="3">
        <f t="shared" si="396"/>
        <v>0</v>
      </c>
      <c r="AE393" s="3">
        <f t="shared" si="396"/>
        <v>0</v>
      </c>
      <c r="AF393" s="3">
        <f t="shared" si="396"/>
        <v>0</v>
      </c>
      <c r="AG393" s="3"/>
      <c r="AH393" s="3"/>
    </row>
    <row r="394" spans="1:34" x14ac:dyDescent="0.25">
      <c r="B394" s="3">
        <f t="shared" ref="B394:AF394" si="397">$C46*EXP(-B$363/$A46/EXP(-$H$126))</f>
        <v>0</v>
      </c>
      <c r="C394" s="3">
        <f t="shared" si="397"/>
        <v>0</v>
      </c>
      <c r="D394" s="3">
        <f t="shared" si="397"/>
        <v>0</v>
      </c>
      <c r="E394" s="3">
        <f t="shared" si="397"/>
        <v>0</v>
      </c>
      <c r="F394" s="3">
        <f t="shared" si="397"/>
        <v>0</v>
      </c>
      <c r="G394" s="3">
        <f t="shared" si="397"/>
        <v>0</v>
      </c>
      <c r="H394" s="3">
        <f t="shared" si="397"/>
        <v>0</v>
      </c>
      <c r="I394" s="3">
        <f t="shared" si="397"/>
        <v>0</v>
      </c>
      <c r="J394" s="3">
        <f t="shared" si="397"/>
        <v>0</v>
      </c>
      <c r="K394" s="3">
        <f t="shared" si="397"/>
        <v>0</v>
      </c>
      <c r="L394" s="3">
        <f t="shared" si="397"/>
        <v>0</v>
      </c>
      <c r="M394" s="3">
        <f t="shared" si="397"/>
        <v>0</v>
      </c>
      <c r="N394" s="3">
        <f t="shared" si="397"/>
        <v>0</v>
      </c>
      <c r="O394" s="3">
        <f t="shared" si="397"/>
        <v>0</v>
      </c>
      <c r="P394" s="3">
        <f t="shared" si="397"/>
        <v>0</v>
      </c>
      <c r="Q394" s="3">
        <f t="shared" si="397"/>
        <v>0</v>
      </c>
      <c r="R394" s="3">
        <f t="shared" si="397"/>
        <v>0</v>
      </c>
      <c r="S394" s="3">
        <f t="shared" si="397"/>
        <v>0</v>
      </c>
      <c r="T394" s="3">
        <f t="shared" si="397"/>
        <v>0</v>
      </c>
      <c r="U394" s="3">
        <f t="shared" si="397"/>
        <v>0</v>
      </c>
      <c r="V394" s="3">
        <f t="shared" si="397"/>
        <v>0</v>
      </c>
      <c r="W394" s="3">
        <f t="shared" si="397"/>
        <v>0</v>
      </c>
      <c r="X394" s="3">
        <f t="shared" si="397"/>
        <v>0</v>
      </c>
      <c r="Y394" s="3">
        <f t="shared" si="397"/>
        <v>0</v>
      </c>
      <c r="Z394" s="3">
        <f t="shared" si="397"/>
        <v>0</v>
      </c>
      <c r="AA394" s="3">
        <f t="shared" si="397"/>
        <v>0</v>
      </c>
      <c r="AB394" s="3">
        <f t="shared" si="397"/>
        <v>0</v>
      </c>
      <c r="AC394" s="3">
        <f t="shared" si="397"/>
        <v>0</v>
      </c>
      <c r="AD394" s="3">
        <f t="shared" si="397"/>
        <v>0</v>
      </c>
      <c r="AE394" s="3">
        <f t="shared" si="397"/>
        <v>0</v>
      </c>
      <c r="AF394" s="3">
        <f t="shared" si="397"/>
        <v>0</v>
      </c>
      <c r="AG394" s="3"/>
      <c r="AH394" s="3"/>
    </row>
    <row r="395" spans="1:34" x14ac:dyDescent="0.25">
      <c r="B395" s="3">
        <f t="shared" ref="B395:AF395" si="398">$C47*EXP(-B$363/$A47/EXP(-$H$126))</f>
        <v>0</v>
      </c>
      <c r="C395" s="3">
        <f t="shared" si="398"/>
        <v>0</v>
      </c>
      <c r="D395" s="3">
        <f t="shared" si="398"/>
        <v>0</v>
      </c>
      <c r="E395" s="3">
        <f t="shared" si="398"/>
        <v>0</v>
      </c>
      <c r="F395" s="3">
        <f t="shared" si="398"/>
        <v>0</v>
      </c>
      <c r="G395" s="3">
        <f t="shared" si="398"/>
        <v>0</v>
      </c>
      <c r="H395" s="3">
        <f t="shared" si="398"/>
        <v>0</v>
      </c>
      <c r="I395" s="3">
        <f t="shared" si="398"/>
        <v>0</v>
      </c>
      <c r="J395" s="3">
        <f t="shared" si="398"/>
        <v>0</v>
      </c>
      <c r="K395" s="3">
        <f t="shared" si="398"/>
        <v>0</v>
      </c>
      <c r="L395" s="3">
        <f t="shared" si="398"/>
        <v>0</v>
      </c>
      <c r="M395" s="3">
        <f t="shared" si="398"/>
        <v>0</v>
      </c>
      <c r="N395" s="3">
        <f t="shared" si="398"/>
        <v>0</v>
      </c>
      <c r="O395" s="3">
        <f t="shared" si="398"/>
        <v>0</v>
      </c>
      <c r="P395" s="3">
        <f t="shared" si="398"/>
        <v>0</v>
      </c>
      <c r="Q395" s="3">
        <f t="shared" si="398"/>
        <v>0</v>
      </c>
      <c r="R395" s="3">
        <f t="shared" si="398"/>
        <v>0</v>
      </c>
      <c r="S395" s="3">
        <f t="shared" si="398"/>
        <v>0</v>
      </c>
      <c r="T395" s="3">
        <f t="shared" si="398"/>
        <v>0</v>
      </c>
      <c r="U395" s="3">
        <f t="shared" si="398"/>
        <v>0</v>
      </c>
      <c r="V395" s="3">
        <f t="shared" si="398"/>
        <v>0</v>
      </c>
      <c r="W395" s="3">
        <f t="shared" si="398"/>
        <v>0</v>
      </c>
      <c r="X395" s="3">
        <f t="shared" si="398"/>
        <v>0</v>
      </c>
      <c r="Y395" s="3">
        <f t="shared" si="398"/>
        <v>0</v>
      </c>
      <c r="Z395" s="3">
        <f t="shared" si="398"/>
        <v>0</v>
      </c>
      <c r="AA395" s="3">
        <f t="shared" si="398"/>
        <v>0</v>
      </c>
      <c r="AB395" s="3">
        <f t="shared" si="398"/>
        <v>0</v>
      </c>
      <c r="AC395" s="3">
        <f t="shared" si="398"/>
        <v>0</v>
      </c>
      <c r="AD395" s="3">
        <f t="shared" si="398"/>
        <v>0</v>
      </c>
      <c r="AE395" s="3">
        <f t="shared" si="398"/>
        <v>0</v>
      </c>
      <c r="AF395" s="3">
        <f t="shared" si="398"/>
        <v>0</v>
      </c>
      <c r="AG395" s="3"/>
      <c r="AH395" s="3"/>
    </row>
    <row r="396" spans="1:34" x14ac:dyDescent="0.25">
      <c r="B396" s="3">
        <f t="shared" ref="B396:AF396" si="399">$C48*EXP(-B$363/$A48/EXP(-$H$126))</f>
        <v>3.8158806353945737E-4</v>
      </c>
      <c r="C396" s="3">
        <f t="shared" si="399"/>
        <v>3.8158806353945737E-4</v>
      </c>
      <c r="D396" s="3">
        <f t="shared" si="399"/>
        <v>3.8158806353945737E-4</v>
      </c>
      <c r="E396" s="3">
        <f t="shared" si="399"/>
        <v>3.8158806353945737E-4</v>
      </c>
      <c r="F396" s="3">
        <f t="shared" si="399"/>
        <v>3.8158806353945737E-4</v>
      </c>
      <c r="G396" s="3">
        <f t="shared" si="399"/>
        <v>3.8158806353945737E-4</v>
      </c>
      <c r="H396" s="3">
        <f t="shared" si="399"/>
        <v>3.8158806353945737E-4</v>
      </c>
      <c r="I396" s="3">
        <f t="shared" si="399"/>
        <v>3.8158806353945737E-4</v>
      </c>
      <c r="J396" s="3">
        <f t="shared" si="399"/>
        <v>3.8158806353945737E-4</v>
      </c>
      <c r="K396" s="3">
        <f t="shared" si="399"/>
        <v>3.8158806353945737E-4</v>
      </c>
      <c r="L396" s="3">
        <f t="shared" si="399"/>
        <v>3.8158806353945737E-4</v>
      </c>
      <c r="M396" s="3">
        <f t="shared" si="399"/>
        <v>3.8158806353945737E-4</v>
      </c>
      <c r="N396" s="3">
        <f t="shared" si="399"/>
        <v>3.8158806353945737E-4</v>
      </c>
      <c r="O396" s="3">
        <f t="shared" si="399"/>
        <v>3.8158806353945737E-4</v>
      </c>
      <c r="P396" s="3">
        <f t="shared" si="399"/>
        <v>3.8158806353945737E-4</v>
      </c>
      <c r="Q396" s="3">
        <f t="shared" si="399"/>
        <v>3.8158806353945731E-4</v>
      </c>
      <c r="R396" s="3">
        <f t="shared" si="399"/>
        <v>3.8158806353945699E-4</v>
      </c>
      <c r="S396" s="3">
        <f t="shared" si="399"/>
        <v>3.8158806353945357E-4</v>
      </c>
      <c r="T396" s="3">
        <f t="shared" si="399"/>
        <v>3.815880635394192E-4</v>
      </c>
      <c r="U396" s="3">
        <f t="shared" si="399"/>
        <v>3.8158806353907578E-4</v>
      </c>
      <c r="V396" s="3">
        <f t="shared" si="399"/>
        <v>3.8158806353564135E-4</v>
      </c>
      <c r="W396" s="3">
        <f t="shared" si="399"/>
        <v>3.8158806350129741E-4</v>
      </c>
      <c r="X396" s="3">
        <f t="shared" si="399"/>
        <v>3.8158806315785788E-4</v>
      </c>
      <c r="Y396" s="3">
        <f t="shared" si="399"/>
        <v>3.8158805972346254E-4</v>
      </c>
      <c r="Z396" s="3">
        <f t="shared" si="399"/>
        <v>3.8158802537951092E-4</v>
      </c>
      <c r="AA396" s="3">
        <f t="shared" si="399"/>
        <v>3.8158768194016446E-4</v>
      </c>
      <c r="AB396" s="3">
        <f t="shared" si="399"/>
        <v>3.8158424756370047E-4</v>
      </c>
      <c r="AC396" s="3">
        <f t="shared" si="399"/>
        <v>3.8154990549907445E-4</v>
      </c>
      <c r="AD396" s="3">
        <f t="shared" si="399"/>
        <v>3.8120665479758338E-4</v>
      </c>
      <c r="AE396" s="3">
        <f t="shared" si="399"/>
        <v>3.7779108580226394E-4</v>
      </c>
      <c r="AF396" s="3">
        <f t="shared" si="399"/>
        <v>3.4527412482560663E-4</v>
      </c>
      <c r="AG396" s="3"/>
      <c r="AH396" s="3"/>
    </row>
    <row r="397" spans="1:34" x14ac:dyDescent="0.25">
      <c r="A397" s="79">
        <f>AVERAGE(B397:AF397)</f>
        <v>2.9423010858078291E-5</v>
      </c>
      <c r="B397" s="80">
        <f>IF($A$64&lt;=B363,IF($B$64&gt;=B363,ABS((B365-B364)/B364),0),0)</f>
        <v>0</v>
      </c>
      <c r="C397" s="80">
        <f t="shared" ref="C397:AF397" si="400">IF($A$64&lt;=C363,IF($B$64&gt;=C363,ABS((C365-C364)/C364),0),0)</f>
        <v>0</v>
      </c>
      <c r="D397" s="80">
        <f t="shared" si="400"/>
        <v>0</v>
      </c>
      <c r="E397" s="80">
        <f t="shared" si="400"/>
        <v>0</v>
      </c>
      <c r="F397" s="80">
        <f t="shared" si="400"/>
        <v>0</v>
      </c>
      <c r="G397" s="80">
        <f t="shared" si="400"/>
        <v>0</v>
      </c>
      <c r="H397" s="80">
        <f t="shared" si="400"/>
        <v>0</v>
      </c>
      <c r="I397" s="80">
        <f t="shared" si="400"/>
        <v>0</v>
      </c>
      <c r="J397" s="80">
        <f t="shared" si="400"/>
        <v>0</v>
      </c>
      <c r="K397" s="80">
        <f t="shared" si="400"/>
        <v>0</v>
      </c>
      <c r="L397" s="80">
        <f t="shared" si="400"/>
        <v>1.0107624098458327E-5</v>
      </c>
      <c r="M397" s="80">
        <f t="shared" si="400"/>
        <v>4.9471342501277937E-5</v>
      </c>
      <c r="N397" s="80">
        <f t="shared" si="400"/>
        <v>8.0927752687030263E-5</v>
      </c>
      <c r="O397" s="80">
        <f t="shared" si="400"/>
        <v>1.5433028692242771E-4</v>
      </c>
      <c r="P397" s="80">
        <f t="shared" si="400"/>
        <v>1.7395708215877547E-4</v>
      </c>
      <c r="Q397" s="80">
        <f t="shared" si="400"/>
        <v>1.6313201397135158E-4</v>
      </c>
      <c r="R397" s="80">
        <f t="shared" si="400"/>
        <v>1.2489651562120433E-4</v>
      </c>
      <c r="S397" s="80">
        <f t="shared" si="400"/>
        <v>8.6675876767611603E-5</v>
      </c>
      <c r="T397" s="80">
        <f t="shared" si="400"/>
        <v>4.3020399602094698E-5</v>
      </c>
      <c r="U397" s="80">
        <f t="shared" si="400"/>
        <v>1.0797255985335964E-5</v>
      </c>
      <c r="V397" s="80">
        <f t="shared" si="400"/>
        <v>1.4797186284859009E-5</v>
      </c>
      <c r="W397" s="80">
        <f t="shared" si="400"/>
        <v>0</v>
      </c>
      <c r="X397" s="80">
        <f t="shared" si="400"/>
        <v>0</v>
      </c>
      <c r="Y397" s="80">
        <f t="shared" si="400"/>
        <v>0</v>
      </c>
      <c r="Z397" s="80">
        <f t="shared" si="400"/>
        <v>0</v>
      </c>
      <c r="AA397" s="80">
        <f t="shared" si="400"/>
        <v>0</v>
      </c>
      <c r="AB397" s="80">
        <f t="shared" si="400"/>
        <v>0</v>
      </c>
      <c r="AC397" s="80">
        <f t="shared" si="400"/>
        <v>0</v>
      </c>
      <c r="AD397" s="80">
        <f t="shared" si="400"/>
        <v>0</v>
      </c>
      <c r="AE397" s="80">
        <f t="shared" si="400"/>
        <v>0</v>
      </c>
      <c r="AF397" s="80">
        <f t="shared" si="400"/>
        <v>0</v>
      </c>
    </row>
    <row r="398" spans="1:34" x14ac:dyDescent="0.25">
      <c r="B398" s="21">
        <f>(B365-B364)^2</f>
        <v>8195.3298002116535</v>
      </c>
      <c r="C398" s="21">
        <f t="shared" ref="C398:AF398" si="401">(C365-C364)^2</f>
        <v>13709.701909724996</v>
      </c>
      <c r="D398" s="21">
        <f t="shared" si="401"/>
        <v>961.12060852546983</v>
      </c>
      <c r="E398" s="21">
        <f t="shared" si="401"/>
        <v>25.565821774380023</v>
      </c>
      <c r="F398" s="21">
        <f t="shared" si="401"/>
        <v>0.50309940973040301</v>
      </c>
      <c r="G398" s="21">
        <f t="shared" si="401"/>
        <v>6.5321666389029746E-3</v>
      </c>
      <c r="H398" s="21">
        <f t="shared" si="401"/>
        <v>1.56019135936318E-4</v>
      </c>
      <c r="I398" s="21">
        <f t="shared" si="401"/>
        <v>2.3967685455863702E-4</v>
      </c>
      <c r="J398" s="21">
        <f t="shared" si="401"/>
        <v>1.6408997283369437E-6</v>
      </c>
      <c r="K398" s="21">
        <f t="shared" si="401"/>
        <v>6.6237251286465097E-4</v>
      </c>
      <c r="L398" s="21">
        <f t="shared" si="401"/>
        <v>9.01987930826508E-5</v>
      </c>
      <c r="M398" s="21">
        <f t="shared" si="401"/>
        <v>6.932620768188984E-4</v>
      </c>
      <c r="N398" s="21">
        <f t="shared" si="401"/>
        <v>5.6846298290230668E-4</v>
      </c>
      <c r="O398" s="21">
        <f t="shared" si="401"/>
        <v>8.7670674145768517E-4</v>
      </c>
      <c r="P398" s="21">
        <f t="shared" si="401"/>
        <v>7.969037450319598E-4</v>
      </c>
      <c r="Q398" s="21">
        <f t="shared" si="401"/>
        <v>5.7748485582628968E-4</v>
      </c>
      <c r="R398" s="21">
        <f t="shared" si="401"/>
        <v>3.1483314611481229E-4</v>
      </c>
      <c r="S398" s="21">
        <f t="shared" si="401"/>
        <v>1.4775529843356642E-4</v>
      </c>
      <c r="T398" s="21">
        <f t="shared" si="401"/>
        <v>3.4803627283826213E-5</v>
      </c>
      <c r="U398" s="21">
        <f t="shared" si="401"/>
        <v>2.0805787820516702E-6</v>
      </c>
      <c r="V398" s="21">
        <f t="shared" si="401"/>
        <v>3.7349461825652734E-6</v>
      </c>
      <c r="W398" s="21">
        <f t="shared" si="401"/>
        <v>5.615803635560742E-6</v>
      </c>
      <c r="X398" s="21">
        <f t="shared" si="401"/>
        <v>3.5518092391454152E-4</v>
      </c>
      <c r="Y398" s="21">
        <f t="shared" si="401"/>
        <v>2.3496635267563374E-3</v>
      </c>
      <c r="Z398" s="21">
        <f t="shared" si="401"/>
        <v>1.9220134042280374E-4</v>
      </c>
      <c r="AA398" s="21">
        <f t="shared" si="401"/>
        <v>5.7972641411752537E-3</v>
      </c>
      <c r="AB398" s="21">
        <f t="shared" si="401"/>
        <v>5.3327203648621058E-3</v>
      </c>
      <c r="AC398" s="21">
        <f t="shared" si="401"/>
        <v>8.2612922645757588E-3</v>
      </c>
      <c r="AD398" s="21">
        <f t="shared" si="401"/>
        <v>5.3114380796290356E-2</v>
      </c>
      <c r="AE398" s="21">
        <f t="shared" si="401"/>
        <v>3.6092397139588082E-2</v>
      </c>
      <c r="AF398" s="21">
        <f t="shared" si="401"/>
        <v>1.1513493335652834E-4</v>
      </c>
      <c r="AG398" s="3"/>
      <c r="AH398" s="3"/>
    </row>
    <row r="399" spans="1:34" x14ac:dyDescent="0.25">
      <c r="A399" s="71">
        <f>SUM(B399:AF399)</f>
        <v>4.1062267919166132E-3</v>
      </c>
      <c r="B399" s="60">
        <f>IF($A$64&lt;=B363,IF($B$64&gt;=B363,ABS(B398),0),0)</f>
        <v>0</v>
      </c>
      <c r="C399" s="60">
        <f t="shared" ref="C399" si="402">IF($A$64&lt;=C363,IF($B$64&gt;=C363,ABS(C398),0),0)</f>
        <v>0</v>
      </c>
      <c r="D399" s="60">
        <f t="shared" ref="D399" si="403">IF($A$64&lt;=D363,IF($B$64&gt;=D363,ABS(D398),0),0)</f>
        <v>0</v>
      </c>
      <c r="E399" s="60">
        <f t="shared" ref="E399" si="404">IF($A$64&lt;=E363,IF($B$64&gt;=E363,ABS(E398),0),0)</f>
        <v>0</v>
      </c>
      <c r="F399" s="60">
        <f t="shared" ref="F399" si="405">IF($A$64&lt;=F363,IF($B$64&gt;=F363,ABS(F398),0),0)</f>
        <v>0</v>
      </c>
      <c r="G399" s="60">
        <f t="shared" ref="G399" si="406">IF($A$64&lt;=G363,IF($B$64&gt;=G363,ABS(G398),0),0)</f>
        <v>0</v>
      </c>
      <c r="H399" s="60">
        <f t="shared" ref="H399" si="407">IF($A$64&lt;=H363,IF($B$64&gt;=H363,ABS(H398),0),0)</f>
        <v>0</v>
      </c>
      <c r="I399" s="60">
        <f t="shared" ref="I399" si="408">IF($A$64&lt;=I363,IF($B$64&gt;=I363,ABS(I398),0),0)</f>
        <v>0</v>
      </c>
      <c r="J399" s="60">
        <f t="shared" ref="J399" si="409">IF($A$64&lt;=J363,IF($B$64&gt;=J363,ABS(J398),0),0)</f>
        <v>0</v>
      </c>
      <c r="K399" s="60">
        <f t="shared" ref="K399" si="410">IF($A$64&lt;=K363,IF($B$64&gt;=K363,ABS(K398),0),0)</f>
        <v>0</v>
      </c>
      <c r="L399" s="60">
        <f t="shared" ref="L399" si="411">IF($A$64&lt;=L363,IF($B$64&gt;=L363,ABS(L398),0),0)</f>
        <v>9.01987930826508E-5</v>
      </c>
      <c r="M399" s="60">
        <f t="shared" ref="M399" si="412">IF($A$64&lt;=M363,IF($B$64&gt;=M363,ABS(M398),0),0)</f>
        <v>6.932620768188984E-4</v>
      </c>
      <c r="N399" s="60">
        <f t="shared" ref="N399" si="413">IF($A$64&lt;=N363,IF($B$64&gt;=N363,ABS(N398),0),0)</f>
        <v>5.6846298290230668E-4</v>
      </c>
      <c r="O399" s="60">
        <f t="shared" ref="O399" si="414">IF($A$64&lt;=O363,IF($B$64&gt;=O363,ABS(O398),0),0)</f>
        <v>8.7670674145768517E-4</v>
      </c>
      <c r="P399" s="60">
        <f t="shared" ref="P399" si="415">IF($A$64&lt;=P363,IF($B$64&gt;=P363,ABS(P398),0),0)</f>
        <v>7.969037450319598E-4</v>
      </c>
      <c r="Q399" s="60">
        <f t="shared" ref="Q399" si="416">IF($A$64&lt;=Q363,IF($B$64&gt;=Q363,ABS(Q398),0),0)</f>
        <v>5.7748485582628968E-4</v>
      </c>
      <c r="R399" s="60">
        <f t="shared" ref="R399" si="417">IF($A$64&lt;=R363,IF($B$64&gt;=R363,ABS(R398),0),0)</f>
        <v>3.1483314611481229E-4</v>
      </c>
      <c r="S399" s="60">
        <f t="shared" ref="S399" si="418">IF($A$64&lt;=S363,IF($B$64&gt;=S363,ABS(S398),0),0)</f>
        <v>1.4775529843356642E-4</v>
      </c>
      <c r="T399" s="60">
        <f t="shared" ref="T399" si="419">IF($A$64&lt;=T363,IF($B$64&gt;=T363,ABS(T398),0),0)</f>
        <v>3.4803627283826213E-5</v>
      </c>
      <c r="U399" s="60">
        <f t="shared" ref="U399" si="420">IF($A$64&lt;=U363,IF($B$64&gt;=U363,ABS(U398),0),0)</f>
        <v>2.0805787820516702E-6</v>
      </c>
      <c r="V399" s="60">
        <f t="shared" ref="V399" si="421">IF($A$64&lt;=V363,IF($B$64&gt;=V363,ABS(V398),0),0)</f>
        <v>3.7349461825652734E-6</v>
      </c>
      <c r="W399" s="60">
        <f t="shared" ref="W399" si="422">IF($A$64&lt;=W363,IF($B$64&gt;=W363,ABS(W398),0),0)</f>
        <v>0</v>
      </c>
      <c r="X399" s="60">
        <f t="shared" ref="X399" si="423">IF($A$64&lt;=X363,IF($B$64&gt;=X363,ABS(X398),0),0)</f>
        <v>0</v>
      </c>
      <c r="Y399" s="60">
        <f t="shared" ref="Y399" si="424">IF($A$64&lt;=Y363,IF($B$64&gt;=Y363,ABS(Y398),0),0)</f>
        <v>0</v>
      </c>
      <c r="Z399" s="60">
        <f t="shared" ref="Z399" si="425">IF($A$64&lt;=Z363,IF($B$64&gt;=Z363,ABS(Z398),0),0)</f>
        <v>0</v>
      </c>
      <c r="AA399" s="60">
        <f t="shared" ref="AA399" si="426">IF($A$64&lt;=AA363,IF($B$64&gt;=AA363,ABS(AA398),0),0)</f>
        <v>0</v>
      </c>
      <c r="AB399" s="60">
        <f t="shared" ref="AB399" si="427">IF($A$64&lt;=AB363,IF($B$64&gt;=AB363,ABS(AB398),0),0)</f>
        <v>0</v>
      </c>
      <c r="AC399" s="60">
        <f t="shared" ref="AC399" si="428">IF($A$64&lt;=AC363,IF($B$64&gt;=AC363,ABS(AC398),0),0)</f>
        <v>0</v>
      </c>
      <c r="AD399" s="60">
        <f t="shared" ref="AD399" si="429">IF($A$64&lt;=AD363,IF($B$64&gt;=AD363,ABS(AD398),0),0)</f>
        <v>0</v>
      </c>
      <c r="AE399" s="60">
        <f t="shared" ref="AE399" si="430">IF($A$64&lt;=AE363,IF($B$64&gt;=AE363,ABS(AE398),0),0)</f>
        <v>0</v>
      </c>
      <c r="AF399" s="60">
        <f t="shared" ref="AF399" si="431">IF($A$64&lt;=AF363,IF($B$64&gt;=AF363,ABS(AF398),0),0)</f>
        <v>0</v>
      </c>
      <c r="AG399" s="3"/>
      <c r="AH399" s="3"/>
    </row>
    <row r="400" spans="1:34" x14ac:dyDescent="0.25">
      <c r="B400" s="38"/>
      <c r="C400" s="38"/>
      <c r="D400" s="38"/>
      <c r="E400" s="38"/>
      <c r="F400" s="38"/>
      <c r="G400" s="38"/>
      <c r="H400" s="38"/>
      <c r="I400" s="38"/>
      <c r="J400" s="38"/>
      <c r="K400" s="38"/>
      <c r="L400" s="38"/>
      <c r="M400" s="38"/>
      <c r="N400" s="38"/>
      <c r="O400" s="38"/>
      <c r="P400" s="38"/>
      <c r="Q400" s="38"/>
      <c r="R400" s="38"/>
      <c r="S400" s="38"/>
      <c r="T400" s="38"/>
      <c r="U400" s="38"/>
      <c r="V400" s="38"/>
      <c r="W400" s="38"/>
      <c r="X400" s="38"/>
      <c r="Y400" s="38"/>
      <c r="Z400" s="38"/>
      <c r="AA400" s="38"/>
      <c r="AB400" s="38"/>
      <c r="AC400" s="38"/>
      <c r="AD400" s="38"/>
      <c r="AE400" s="38"/>
      <c r="AF400" s="38"/>
      <c r="AG400" s="38"/>
      <c r="AH400" s="38"/>
    </row>
    <row r="401" spans="1:34" x14ac:dyDescent="0.25">
      <c r="A401" s="87"/>
      <c r="B401" s="15"/>
      <c r="C401" s="15"/>
      <c r="D401" s="15"/>
      <c r="E401" s="15"/>
      <c r="F401" s="15"/>
      <c r="G401" s="15"/>
      <c r="H401" s="15"/>
      <c r="I401" s="15"/>
      <c r="J401" s="15"/>
      <c r="K401" s="15"/>
      <c r="L401" s="15"/>
      <c r="M401" s="15"/>
      <c r="N401" s="15"/>
      <c r="O401" s="15"/>
      <c r="P401" s="15"/>
      <c r="Q401" s="15"/>
      <c r="R401" s="15"/>
      <c r="S401" s="15"/>
      <c r="T401" s="15"/>
      <c r="U401" s="15"/>
      <c r="V401" s="15"/>
      <c r="W401" s="15"/>
      <c r="X401" s="15"/>
      <c r="Y401" s="15"/>
      <c r="Z401" s="15"/>
      <c r="AA401" s="15"/>
      <c r="AB401" s="15"/>
      <c r="AC401" s="15"/>
      <c r="AD401" s="15"/>
      <c r="AE401" s="15"/>
      <c r="AF401" s="15"/>
    </row>
    <row r="402" spans="1:34" x14ac:dyDescent="0.25">
      <c r="A402" s="87"/>
      <c r="B402" s="22"/>
      <c r="C402" s="22"/>
      <c r="D402" s="22"/>
      <c r="E402" s="22"/>
      <c r="F402" s="22"/>
      <c r="G402" s="22"/>
      <c r="H402" s="22"/>
      <c r="I402" s="22"/>
      <c r="J402" s="117" t="s">
        <v>163</v>
      </c>
      <c r="K402" s="117"/>
      <c r="L402" s="117"/>
      <c r="M402" s="117"/>
      <c r="N402" s="117"/>
      <c r="O402" s="117"/>
      <c r="P402" s="117"/>
      <c r="Q402" s="22"/>
      <c r="R402" s="22"/>
      <c r="S402" s="22"/>
      <c r="T402" s="22"/>
      <c r="U402" s="22"/>
      <c r="V402" s="22"/>
      <c r="W402" s="22"/>
      <c r="X402" s="22"/>
      <c r="Y402" s="22"/>
      <c r="Z402" s="22"/>
      <c r="AA402" s="22"/>
      <c r="AB402" s="22"/>
      <c r="AC402" s="22"/>
      <c r="AD402" s="22"/>
      <c r="AE402" s="22"/>
      <c r="AF402" s="22"/>
      <c r="AG402" s="22"/>
      <c r="AH402" s="22"/>
    </row>
    <row r="403" spans="1:34" x14ac:dyDescent="0.25">
      <c r="A403" s="108" t="s">
        <v>0</v>
      </c>
      <c r="B403" s="107">
        <f>IF(B125=$B$2,0,B126)</f>
        <v>-48.643117255443507</v>
      </c>
      <c r="C403" s="107">
        <f t="shared" ref="C403:H403" si="432">IF(C125=$B$2,0,C126)</f>
        <v>-45.746106961724465</v>
      </c>
      <c r="D403" s="107">
        <f t="shared" si="432"/>
        <v>-41.385537711587737</v>
      </c>
      <c r="E403" s="107">
        <f t="shared" si="432"/>
        <v>-34.839448068372903</v>
      </c>
      <c r="F403" s="107">
        <f t="shared" si="432"/>
        <v>-23.526325185329309</v>
      </c>
      <c r="G403" s="107">
        <f t="shared" si="432"/>
        <v>-4.1757477535683645</v>
      </c>
      <c r="H403" s="107">
        <f t="shared" si="432"/>
        <v>0</v>
      </c>
      <c r="I403" s="109" t="str">
        <f>Comparison!AL2</f>
        <v>Time</v>
      </c>
      <c r="J403" s="110">
        <f>Comparison!AM2</f>
        <v>-40</v>
      </c>
      <c r="K403" s="110">
        <f>Comparison!AN2</f>
        <v>0</v>
      </c>
      <c r="L403" s="110">
        <f>Comparison!AO2</f>
        <v>25</v>
      </c>
      <c r="M403" s="110">
        <f>Comparison!AP2</f>
        <v>50</v>
      </c>
      <c r="N403" s="110">
        <f>Comparison!AQ2</f>
        <v>80</v>
      </c>
      <c r="O403" s="110">
        <f>Comparison!AR2</f>
        <v>125</v>
      </c>
      <c r="P403" s="110">
        <f>Comparison!AS2</f>
        <v>160</v>
      </c>
      <c r="Q403" s="3"/>
      <c r="R403" s="22"/>
      <c r="S403" s="22"/>
      <c r="T403" s="22"/>
      <c r="U403" s="22"/>
      <c r="V403" s="22"/>
      <c r="W403" s="22"/>
      <c r="X403" s="22"/>
      <c r="Y403" s="22"/>
      <c r="Z403" s="22"/>
      <c r="AA403" s="22"/>
      <c r="AB403" s="22"/>
      <c r="AC403" s="22"/>
      <c r="AD403" s="22"/>
      <c r="AE403" s="22"/>
      <c r="AF403" s="22"/>
      <c r="AG403" s="26"/>
      <c r="AH403" s="26"/>
    </row>
    <row r="404" spans="1:34" x14ac:dyDescent="0.25">
      <c r="A404" s="109">
        <v>1.0000000000000001E-15</v>
      </c>
      <c r="B404" s="3">
        <f>$A404/EXP(-B$403)</f>
        <v>7.4913932163539707E-37</v>
      </c>
      <c r="C404" s="3">
        <f t="shared" ref="C404:H419" si="433">$A404/EXP(-C$403)</f>
        <v>1.3574322968244987E-35</v>
      </c>
      <c r="D404" s="3">
        <f t="shared" si="433"/>
        <v>1.0628924967471992E-33</v>
      </c>
      <c r="E404" s="3">
        <f t="shared" si="433"/>
        <v>7.4032079981345783E-31</v>
      </c>
      <c r="F404" s="3">
        <f t="shared" si="433"/>
        <v>6.0624307747786309E-26</v>
      </c>
      <c r="G404" s="3">
        <f t="shared" si="433"/>
        <v>1.5363699097932881E-17</v>
      </c>
      <c r="H404" s="3">
        <f t="shared" si="433"/>
        <v>1.0000000000000001E-15</v>
      </c>
      <c r="I404" s="109">
        <f>Comparison!AL3</f>
        <v>1.0000000000000001E-15</v>
      </c>
      <c r="J404" s="3">
        <f>Comparison!AM3</f>
        <v>6574.1423129756067</v>
      </c>
      <c r="K404" s="3">
        <f>Comparison!AN3</f>
        <v>6543.7252261807771</v>
      </c>
      <c r="L404" s="3">
        <f>Comparison!AO3</f>
        <v>6524.0904126194901</v>
      </c>
      <c r="M404" s="3">
        <f>Comparison!AP3</f>
        <v>6503.9509699618966</v>
      </c>
      <c r="N404" s="3">
        <f>Comparison!AQ3</f>
        <v>6479.0859474371819</v>
      </c>
      <c r="O404" s="3">
        <f>Comparison!AR3</f>
        <v>5863.6829549380891</v>
      </c>
      <c r="P404" s="3">
        <f>Comparison!AS3</f>
        <v>5469.0375175567433</v>
      </c>
      <c r="Q404" s="22"/>
      <c r="R404" s="22"/>
      <c r="S404" s="22"/>
      <c r="T404" s="22"/>
      <c r="U404" s="22"/>
      <c r="V404" s="22"/>
      <c r="W404" s="22"/>
      <c r="X404" s="22"/>
      <c r="Y404" s="22"/>
      <c r="Z404" s="22"/>
      <c r="AA404" s="22"/>
      <c r="AB404" s="22"/>
      <c r="AC404" s="22"/>
      <c r="AD404" s="22"/>
      <c r="AE404" s="22"/>
      <c r="AF404" s="22"/>
      <c r="AG404" s="27"/>
      <c r="AH404" s="27"/>
    </row>
    <row r="405" spans="1:34" x14ac:dyDescent="0.25">
      <c r="A405" s="109">
        <v>1E-14</v>
      </c>
      <c r="B405" s="3">
        <f t="shared" ref="B405:H434" si="434">$A405/EXP(-B$403)</f>
        <v>7.4913932163539707E-36</v>
      </c>
      <c r="C405" s="3">
        <f t="shared" si="433"/>
        <v>1.3574322968244985E-34</v>
      </c>
      <c r="D405" s="3">
        <f t="shared" si="433"/>
        <v>1.062892496747199E-32</v>
      </c>
      <c r="E405" s="3">
        <f t="shared" si="433"/>
        <v>7.4032079981345776E-30</v>
      </c>
      <c r="F405" s="3">
        <f t="shared" si="433"/>
        <v>6.0624307747786307E-25</v>
      </c>
      <c r="G405" s="3">
        <f t="shared" si="433"/>
        <v>1.536369909793288E-16</v>
      </c>
      <c r="H405" s="3">
        <f t="shared" si="433"/>
        <v>1E-14</v>
      </c>
      <c r="I405" s="109">
        <f>Comparison!AL4</f>
        <v>1E-14</v>
      </c>
      <c r="J405" s="3">
        <f>Comparison!AM4</f>
        <v>6574.1983504239388</v>
      </c>
      <c r="K405" s="3">
        <f>Comparison!AN4</f>
        <v>6543.7799387981568</v>
      </c>
      <c r="L405" s="3">
        <f>Comparison!AO4</f>
        <v>6524.1443595856636</v>
      </c>
      <c r="M405" s="3">
        <f>Comparison!AP4</f>
        <v>6504.0043184804708</v>
      </c>
      <c r="N405" s="3">
        <f>Comparison!AQ4</f>
        <v>6479.1324839978006</v>
      </c>
      <c r="O405" s="3">
        <f>Comparison!AR4</f>
        <v>5609.1927579282792</v>
      </c>
      <c r="P405" s="3">
        <f>Comparison!AS4</f>
        <v>5144.4254375399241</v>
      </c>
      <c r="Q405" s="42"/>
      <c r="R405" s="42"/>
      <c r="S405" s="42"/>
      <c r="T405" s="42"/>
      <c r="U405" s="42"/>
      <c r="V405" s="42"/>
      <c r="W405" s="42"/>
      <c r="X405" s="42"/>
      <c r="Y405" s="42"/>
      <c r="Z405" s="42"/>
      <c r="AA405" s="42"/>
      <c r="AB405" s="42"/>
      <c r="AC405" s="42"/>
      <c r="AD405" s="42"/>
      <c r="AE405" s="42"/>
      <c r="AF405" s="42"/>
      <c r="AG405" s="3"/>
      <c r="AH405" s="3"/>
    </row>
    <row r="406" spans="1:34" x14ac:dyDescent="0.25">
      <c r="A406" s="109">
        <v>1E-13</v>
      </c>
      <c r="B406" s="3">
        <f t="shared" si="434"/>
        <v>7.4913932163539705E-35</v>
      </c>
      <c r="C406" s="3">
        <f t="shared" si="433"/>
        <v>1.3574322968244987E-33</v>
      </c>
      <c r="D406" s="3">
        <f t="shared" si="433"/>
        <v>1.0628924967471991E-31</v>
      </c>
      <c r="E406" s="3">
        <f t="shared" si="433"/>
        <v>7.4032079981345781E-29</v>
      </c>
      <c r="F406" s="3">
        <f t="shared" si="433"/>
        <v>6.0624307747786307E-24</v>
      </c>
      <c r="G406" s="3">
        <f t="shared" si="433"/>
        <v>1.536369909793288E-15</v>
      </c>
      <c r="H406" s="3">
        <f t="shared" si="433"/>
        <v>1E-13</v>
      </c>
      <c r="I406" s="109">
        <f>Comparison!AL5</f>
        <v>1E-13</v>
      </c>
      <c r="J406" s="3">
        <f>Comparison!AM5</f>
        <v>6574.1641202956771</v>
      </c>
      <c r="K406" s="3">
        <f>Comparison!AN5</f>
        <v>6543.7462938558028</v>
      </c>
      <c r="L406" s="3">
        <f>Comparison!AO5</f>
        <v>6524.1111351538066</v>
      </c>
      <c r="M406" s="3">
        <f>Comparison!AP5</f>
        <v>6503.9713230315656</v>
      </c>
      <c r="N406" s="3">
        <f>Comparison!AQ5</f>
        <v>6479.041978197979</v>
      </c>
      <c r="O406" s="3">
        <f>Comparison!AR5</f>
        <v>5370.7345311781783</v>
      </c>
      <c r="P406" s="3">
        <f>Comparison!AS5</f>
        <v>4859.4796757955091</v>
      </c>
      <c r="Q406" s="42"/>
      <c r="R406" s="42"/>
      <c r="S406" s="42"/>
      <c r="T406" s="42"/>
      <c r="U406" s="42"/>
      <c r="V406" s="42"/>
      <c r="W406" s="42"/>
      <c r="X406" s="42"/>
      <c r="Y406" s="42"/>
      <c r="Z406" s="42"/>
      <c r="AA406" s="42"/>
      <c r="AB406" s="42"/>
      <c r="AC406" s="42"/>
      <c r="AD406" s="42"/>
      <c r="AE406" s="42"/>
      <c r="AF406" s="42"/>
      <c r="AG406" s="3"/>
      <c r="AH406" s="3"/>
    </row>
    <row r="407" spans="1:34" x14ac:dyDescent="0.25">
      <c r="A407" s="109">
        <v>9.9999999999999998E-13</v>
      </c>
      <c r="B407" s="3">
        <f t="shared" si="434"/>
        <v>7.49139321635397E-34</v>
      </c>
      <c r="C407" s="3">
        <f t="shared" si="433"/>
        <v>1.3574322968244985E-32</v>
      </c>
      <c r="D407" s="3">
        <f t="shared" si="433"/>
        <v>1.062892496747199E-30</v>
      </c>
      <c r="E407" s="3">
        <f t="shared" si="433"/>
        <v>7.4032079981345781E-28</v>
      </c>
      <c r="F407" s="3">
        <f t="shared" si="433"/>
        <v>6.0624307747786305E-23</v>
      </c>
      <c r="G407" s="3">
        <f t="shared" si="433"/>
        <v>1.5363699097932878E-14</v>
      </c>
      <c r="H407" s="3">
        <f t="shared" si="433"/>
        <v>9.9999999999999998E-13</v>
      </c>
      <c r="I407" s="109">
        <f>Comparison!AL6</f>
        <v>9.9999999999999998E-13</v>
      </c>
      <c r="J407" s="3">
        <f>Comparison!AM6</f>
        <v>6574.1538463873376</v>
      </c>
      <c r="K407" s="3">
        <f>Comparison!AN6</f>
        <v>6543.7363350192272</v>
      </c>
      <c r="L407" s="3">
        <f>Comparison!AO6</f>
        <v>6524.1012603146964</v>
      </c>
      <c r="M407" s="3">
        <f>Comparison!AP6</f>
        <v>6503.9615090652051</v>
      </c>
      <c r="N407" s="3">
        <f>Comparison!AQ6</f>
        <v>6478.4539559822069</v>
      </c>
      <c r="O407" s="3">
        <f>Comparison!AR6</f>
        <v>5097.9534912421213</v>
      </c>
      <c r="P407" s="3">
        <f>Comparison!AS6</f>
        <v>4579.0872874253573</v>
      </c>
      <c r="Q407" s="42"/>
      <c r="R407" s="42"/>
      <c r="S407" s="42"/>
      <c r="T407" s="42"/>
      <c r="U407" s="42"/>
      <c r="V407" s="42"/>
      <c r="W407" s="42"/>
      <c r="X407" s="42"/>
      <c r="Y407" s="42"/>
      <c r="Z407" s="42"/>
      <c r="AA407" s="42"/>
      <c r="AB407" s="42"/>
      <c r="AC407" s="42"/>
      <c r="AD407" s="42"/>
      <c r="AE407" s="42"/>
      <c r="AF407" s="42"/>
      <c r="AG407" s="3"/>
      <c r="AH407" s="3"/>
    </row>
    <row r="408" spans="1:34" x14ac:dyDescent="0.25">
      <c r="A408" s="109">
        <v>9.9999999999999994E-12</v>
      </c>
      <c r="B408" s="3">
        <f t="shared" si="434"/>
        <v>7.4913932163539699E-33</v>
      </c>
      <c r="C408" s="3">
        <f t="shared" si="433"/>
        <v>1.3574322968244985E-31</v>
      </c>
      <c r="D408" s="3">
        <f t="shared" si="433"/>
        <v>1.062892496747199E-29</v>
      </c>
      <c r="E408" s="3">
        <f t="shared" si="433"/>
        <v>7.4032079981345781E-27</v>
      </c>
      <c r="F408" s="3">
        <f t="shared" si="433"/>
        <v>6.0624307747786305E-22</v>
      </c>
      <c r="G408" s="3">
        <f t="shared" si="433"/>
        <v>1.5363699097932877E-13</v>
      </c>
      <c r="H408" s="3">
        <f t="shared" si="433"/>
        <v>9.9999999999999994E-12</v>
      </c>
      <c r="I408" s="109">
        <f>Comparison!AL7</f>
        <v>9.9999999999999994E-12</v>
      </c>
      <c r="J408" s="3">
        <f>Comparison!AM7</f>
        <v>6574.1506604943988</v>
      </c>
      <c r="K408" s="3">
        <f>Comparison!AN7</f>
        <v>6543.7332030080934</v>
      </c>
      <c r="L408" s="3">
        <f>Comparison!AO7</f>
        <v>6524.0981470711258</v>
      </c>
      <c r="M408" s="3">
        <f>Comparison!AP7</f>
        <v>6503.9584150129849</v>
      </c>
      <c r="N408" s="3">
        <f>Comparison!AQ7</f>
        <v>6472.7726535549082</v>
      </c>
      <c r="O408" s="3">
        <f>Comparison!AR7</f>
        <v>4821.046341164677</v>
      </c>
      <c r="P408" s="3">
        <f>Comparison!AS7</f>
        <v>4274.6287252900811</v>
      </c>
      <c r="Q408" s="42"/>
      <c r="R408" s="42"/>
      <c r="S408" s="42"/>
      <c r="T408" s="42"/>
      <c r="U408" s="42"/>
      <c r="V408" s="42"/>
      <c r="W408" s="42"/>
      <c r="X408" s="42"/>
      <c r="Y408" s="42"/>
      <c r="Z408" s="42"/>
      <c r="AA408" s="42"/>
      <c r="AB408" s="42"/>
      <c r="AC408" s="42"/>
      <c r="AD408" s="42"/>
      <c r="AE408" s="42"/>
      <c r="AF408" s="42"/>
      <c r="AG408" s="3"/>
      <c r="AH408" s="3"/>
    </row>
    <row r="409" spans="1:34" x14ac:dyDescent="0.25">
      <c r="A409" s="109">
        <v>1E-10</v>
      </c>
      <c r="B409" s="3">
        <f t="shared" si="434"/>
        <v>7.4913932163539707E-32</v>
      </c>
      <c r="C409" s="3">
        <f t="shared" si="433"/>
        <v>1.3574322968244986E-30</v>
      </c>
      <c r="D409" s="3">
        <f t="shared" si="433"/>
        <v>1.062892496747199E-28</v>
      </c>
      <c r="E409" s="3">
        <f t="shared" si="433"/>
        <v>7.4032079981345787E-26</v>
      </c>
      <c r="F409" s="3">
        <f t="shared" si="433"/>
        <v>6.0624307747786307E-21</v>
      </c>
      <c r="G409" s="3">
        <f t="shared" si="433"/>
        <v>1.5363699097932879E-12</v>
      </c>
      <c r="H409" s="3">
        <f t="shared" si="433"/>
        <v>1E-10</v>
      </c>
      <c r="I409" s="109">
        <f>Comparison!AL8</f>
        <v>1E-10</v>
      </c>
      <c r="J409" s="3">
        <f>Comparison!AM8</f>
        <v>6574.149598530772</v>
      </c>
      <c r="K409" s="3">
        <f>Comparison!AN8</f>
        <v>6543.7321508487757</v>
      </c>
      <c r="L409" s="3">
        <f>Comparison!AO8</f>
        <v>6524.0971012165301</v>
      </c>
      <c r="M409" s="3">
        <f>Comparison!AP8</f>
        <v>6503.9573030886877</v>
      </c>
      <c r="N409" s="3">
        <f>Comparison!AQ8</f>
        <v>6425.3224026678754</v>
      </c>
      <c r="O409" s="3">
        <f>Comparison!AR8</f>
        <v>4535.3452020984814</v>
      </c>
      <c r="P409" s="3">
        <f>Comparison!AS8</f>
        <v>3938.1560081824523</v>
      </c>
      <c r="Q409" s="42"/>
      <c r="R409" s="42"/>
      <c r="S409" s="42"/>
      <c r="T409" s="42"/>
      <c r="U409" s="42"/>
      <c r="V409" s="42"/>
      <c r="W409" s="42"/>
      <c r="X409" s="42"/>
      <c r="Y409" s="42"/>
      <c r="Z409" s="42"/>
      <c r="AA409" s="42"/>
      <c r="AB409" s="42"/>
      <c r="AC409" s="42"/>
      <c r="AD409" s="42"/>
      <c r="AE409" s="42"/>
      <c r="AF409" s="42"/>
      <c r="AG409" s="3"/>
      <c r="AH409" s="3"/>
    </row>
    <row r="410" spans="1:34" x14ac:dyDescent="0.25">
      <c r="A410" s="109">
        <v>1.0000000000000001E-9</v>
      </c>
      <c r="B410" s="3">
        <f t="shared" si="434"/>
        <v>7.4913932163539702E-31</v>
      </c>
      <c r="C410" s="3">
        <f t="shared" si="433"/>
        <v>1.3574322968244985E-29</v>
      </c>
      <c r="D410" s="3">
        <f t="shared" si="433"/>
        <v>1.0628924967471992E-27</v>
      </c>
      <c r="E410" s="3">
        <f t="shared" si="433"/>
        <v>7.4032079981345783E-25</v>
      </c>
      <c r="F410" s="3">
        <f t="shared" si="433"/>
        <v>6.0624307747786304E-20</v>
      </c>
      <c r="G410" s="3">
        <f t="shared" si="433"/>
        <v>1.5363699097932881E-11</v>
      </c>
      <c r="H410" s="3">
        <f t="shared" si="433"/>
        <v>1.0000000000000001E-9</v>
      </c>
      <c r="I410" s="109">
        <f>Comparison!AL9</f>
        <v>1.0000000000000001E-9</v>
      </c>
      <c r="J410" s="3">
        <f>Comparison!AM9</f>
        <v>6574.1492527752453</v>
      </c>
      <c r="K410" s="3">
        <f>Comparison!AN9</f>
        <v>6543.7318082853499</v>
      </c>
      <c r="L410" s="3">
        <f>Comparison!AO9</f>
        <v>6524.0967607058046</v>
      </c>
      <c r="M410" s="3">
        <f>Comparison!AP9</f>
        <v>6503.9546441408229</v>
      </c>
      <c r="N410" s="3">
        <f>Comparison!AQ9</f>
        <v>6280.1372572444334</v>
      </c>
      <c r="O410" s="3">
        <f>Comparison!AR9</f>
        <v>4228.4929725950406</v>
      </c>
      <c r="P410" s="3">
        <f>Comparison!AS9</f>
        <v>3491.5925245283374</v>
      </c>
      <c r="Q410" s="42"/>
      <c r="R410" s="42"/>
      <c r="S410" s="42"/>
      <c r="T410" s="42"/>
      <c r="U410" s="42"/>
      <c r="V410" s="42"/>
      <c r="W410" s="42"/>
      <c r="X410" s="42"/>
      <c r="Y410" s="42"/>
      <c r="Z410" s="42"/>
      <c r="AA410" s="42"/>
      <c r="AB410" s="42"/>
      <c r="AC410" s="42"/>
      <c r="AD410" s="42"/>
      <c r="AE410" s="42"/>
      <c r="AF410" s="42"/>
      <c r="AG410" s="3"/>
      <c r="AH410" s="3"/>
    </row>
    <row r="411" spans="1:34" x14ac:dyDescent="0.25">
      <c r="A411" s="109">
        <v>1E-8</v>
      </c>
      <c r="B411" s="3">
        <f t="shared" si="434"/>
        <v>7.4913932163539704E-30</v>
      </c>
      <c r="C411" s="3">
        <f t="shared" si="433"/>
        <v>1.3574322968244987E-28</v>
      </c>
      <c r="D411" s="3">
        <f t="shared" si="433"/>
        <v>1.062892496747199E-26</v>
      </c>
      <c r="E411" s="3">
        <f t="shared" si="433"/>
        <v>7.4032079981345786E-24</v>
      </c>
      <c r="F411" s="3">
        <f t="shared" si="433"/>
        <v>6.0624307747786306E-19</v>
      </c>
      <c r="G411" s="3">
        <f t="shared" si="433"/>
        <v>1.5363699097932878E-10</v>
      </c>
      <c r="H411" s="3">
        <f t="shared" si="433"/>
        <v>1E-8</v>
      </c>
      <c r="I411" s="109">
        <f>Comparison!AL10</f>
        <v>1E-8</v>
      </c>
      <c r="J411" s="3">
        <f>Comparison!AM10</f>
        <v>6574.149203381603</v>
      </c>
      <c r="K411" s="3">
        <f>Comparison!AN10</f>
        <v>6543.7317593477201</v>
      </c>
      <c r="L411" s="3">
        <f>Comparison!AO10</f>
        <v>6524.0967120614177</v>
      </c>
      <c r="M411" s="3">
        <f>Comparison!AP10</f>
        <v>6503.932647473689</v>
      </c>
      <c r="N411" s="3">
        <f>Comparison!AQ10</f>
        <v>6130.7451181848783</v>
      </c>
      <c r="O411" s="3">
        <f>Comparison!AR10</f>
        <v>3871.0057883923755</v>
      </c>
      <c r="P411" s="3">
        <f>Comparison!AS10</f>
        <v>2939.5473684961994</v>
      </c>
      <c r="Q411" s="42"/>
      <c r="R411" s="42"/>
      <c r="S411" s="42"/>
      <c r="T411" s="42"/>
      <c r="U411" s="42"/>
      <c r="V411" s="42"/>
      <c r="W411" s="42"/>
      <c r="X411" s="42"/>
      <c r="Y411" s="42"/>
      <c r="Z411" s="42"/>
      <c r="AA411" s="42"/>
      <c r="AB411" s="42"/>
      <c r="AC411" s="42"/>
      <c r="AD411" s="42"/>
      <c r="AE411" s="42"/>
      <c r="AF411" s="42"/>
      <c r="AG411" s="3"/>
      <c r="AH411" s="3"/>
    </row>
    <row r="412" spans="1:34" x14ac:dyDescent="0.25">
      <c r="A412" s="109">
        <v>9.9999999999999995E-8</v>
      </c>
      <c r="B412" s="3">
        <f t="shared" si="434"/>
        <v>7.4913932163539699E-29</v>
      </c>
      <c r="C412" s="3">
        <f t="shared" si="433"/>
        <v>1.3574322968244986E-27</v>
      </c>
      <c r="D412" s="3">
        <f t="shared" si="433"/>
        <v>1.0628924967471989E-25</v>
      </c>
      <c r="E412" s="3">
        <f t="shared" si="433"/>
        <v>7.403207998134578E-23</v>
      </c>
      <c r="F412" s="3">
        <f t="shared" si="433"/>
        <v>6.0624307747786304E-18</v>
      </c>
      <c r="G412" s="3">
        <f t="shared" si="433"/>
        <v>1.5363699097932879E-9</v>
      </c>
      <c r="H412" s="3">
        <f t="shared" si="433"/>
        <v>9.9999999999999995E-8</v>
      </c>
      <c r="I412" s="109">
        <f>Comparison!AL11</f>
        <v>9.9999999999999995E-8</v>
      </c>
      <c r="J412" s="3">
        <f>Comparison!AM11</f>
        <v>6574.149203381603</v>
      </c>
      <c r="K412" s="3">
        <f>Comparison!AN11</f>
        <v>6543.7315146595847</v>
      </c>
      <c r="L412" s="3">
        <f>Comparison!AO11</f>
        <v>6524.0963715507314</v>
      </c>
      <c r="M412" s="3">
        <f>Comparison!AP11</f>
        <v>6503.7133657579243</v>
      </c>
      <c r="N412" s="3">
        <f>Comparison!AQ11</f>
        <v>5959.459898848826</v>
      </c>
      <c r="O412" s="3">
        <f>Comparison!AR11</f>
        <v>3401.7561264704505</v>
      </c>
      <c r="P412" s="3">
        <f>Comparison!AS11</f>
        <v>2290.3210430692648</v>
      </c>
      <c r="Q412" s="42"/>
      <c r="R412" s="42"/>
      <c r="S412" s="42"/>
      <c r="T412" s="42"/>
      <c r="U412" s="42"/>
      <c r="V412" s="42"/>
      <c r="W412" s="42"/>
      <c r="X412" s="42"/>
      <c r="Y412" s="42"/>
      <c r="Z412" s="42"/>
      <c r="AA412" s="42"/>
      <c r="AB412" s="42"/>
      <c r="AC412" s="42"/>
      <c r="AD412" s="42"/>
      <c r="AE412" s="42"/>
      <c r="AF412" s="42"/>
      <c r="AG412" s="3"/>
      <c r="AH412" s="3"/>
    </row>
    <row r="413" spans="1:34" x14ac:dyDescent="0.25">
      <c r="A413" s="109">
        <v>9.9999999999999995E-7</v>
      </c>
      <c r="B413" s="3">
        <f t="shared" si="434"/>
        <v>7.4913932163539701E-28</v>
      </c>
      <c r="C413" s="3">
        <f t="shared" si="433"/>
        <v>1.3574322968244984E-26</v>
      </c>
      <c r="D413" s="3">
        <f t="shared" si="433"/>
        <v>1.062892496747199E-24</v>
      </c>
      <c r="E413" s="3">
        <f t="shared" si="433"/>
        <v>7.4032079981345776E-22</v>
      </c>
      <c r="F413" s="3">
        <f t="shared" si="433"/>
        <v>6.0624307747786301E-17</v>
      </c>
      <c r="G413" s="3">
        <f t="shared" si="433"/>
        <v>1.5363699097932878E-8</v>
      </c>
      <c r="H413" s="3">
        <f t="shared" si="433"/>
        <v>9.9999999999999995E-7</v>
      </c>
      <c r="I413" s="109">
        <f>Comparison!AL12</f>
        <v>9.9999999999999995E-7</v>
      </c>
      <c r="J413" s="3">
        <f>Comparison!AM12</f>
        <v>6574.149203381603</v>
      </c>
      <c r="K413" s="3">
        <f>Comparison!AN12</f>
        <v>6543.731490190773</v>
      </c>
      <c r="L413" s="3">
        <f>Comparison!AO12</f>
        <v>6524.0939393325853</v>
      </c>
      <c r="M413" s="3">
        <f>Comparison!AP12</f>
        <v>6501.5374241274303</v>
      </c>
      <c r="N413" s="3">
        <f>Comparison!AQ12</f>
        <v>5758.6320512376351</v>
      </c>
      <c r="O413" s="3">
        <f>Comparison!AR12</f>
        <v>2827.0529060658037</v>
      </c>
      <c r="P413" s="3">
        <f>Comparison!AS12</f>
        <v>1556.8723374202477</v>
      </c>
      <c r="Q413" s="42"/>
      <c r="R413" s="42"/>
      <c r="S413" s="42"/>
      <c r="T413" s="42"/>
      <c r="U413" s="42"/>
      <c r="V413" s="42"/>
      <c r="W413" s="42"/>
      <c r="X413" s="42"/>
      <c r="Y413" s="42"/>
      <c r="Z413" s="42"/>
      <c r="AA413" s="42"/>
      <c r="AB413" s="42"/>
      <c r="AC413" s="42"/>
      <c r="AD413" s="42"/>
      <c r="AE413" s="42"/>
      <c r="AF413" s="42"/>
      <c r="AG413" s="3"/>
      <c r="AH413" s="3"/>
    </row>
    <row r="414" spans="1:34" x14ac:dyDescent="0.25">
      <c r="A414" s="109">
        <v>1.0000000000000001E-5</v>
      </c>
      <c r="B414" s="3">
        <f t="shared" si="434"/>
        <v>7.4913932163539704E-27</v>
      </c>
      <c r="C414" s="3">
        <f t="shared" si="433"/>
        <v>1.3574322968244987E-25</v>
      </c>
      <c r="D414" s="3">
        <f t="shared" si="433"/>
        <v>1.0628924967471991E-23</v>
      </c>
      <c r="E414" s="3">
        <f t="shared" si="433"/>
        <v>7.4032079981345793E-21</v>
      </c>
      <c r="F414" s="3">
        <f t="shared" si="433"/>
        <v>6.0624307747786309E-16</v>
      </c>
      <c r="G414" s="3">
        <f t="shared" si="433"/>
        <v>1.536369909793288E-7</v>
      </c>
      <c r="H414" s="3">
        <f t="shared" si="433"/>
        <v>1.0000000000000001E-5</v>
      </c>
      <c r="I414" s="109">
        <f>Comparison!AL13</f>
        <v>1.0000000000000001E-5</v>
      </c>
      <c r="J414" s="3">
        <f>Comparison!AM13</f>
        <v>6574.1491786847801</v>
      </c>
      <c r="K414" s="3">
        <f>Comparison!AN13</f>
        <v>6543.7313923155243</v>
      </c>
      <c r="L414" s="3">
        <f>Comparison!AO13</f>
        <v>6524.06939835293</v>
      </c>
      <c r="M414" s="3">
        <f>Comparison!AP13</f>
        <v>6481.233154233405</v>
      </c>
      <c r="N414" s="3">
        <f>Comparison!AQ13</f>
        <v>5553.7107715147085</v>
      </c>
      <c r="O414" s="3">
        <f>Comparison!AR13</f>
        <v>2150.7951483518323</v>
      </c>
      <c r="P414" s="3">
        <f>Comparison!AS13</f>
        <v>939.61789874376836</v>
      </c>
      <c r="Q414" s="42"/>
      <c r="R414" s="42"/>
      <c r="S414" s="42"/>
      <c r="T414" s="42"/>
      <c r="U414" s="42"/>
      <c r="V414" s="42"/>
      <c r="W414" s="42"/>
      <c r="X414" s="42"/>
      <c r="Y414" s="42"/>
      <c r="Z414" s="42"/>
      <c r="AA414" s="42"/>
      <c r="AB414" s="42"/>
      <c r="AC414" s="42"/>
      <c r="AD414" s="42"/>
      <c r="AE414" s="42"/>
      <c r="AF414" s="42"/>
      <c r="AG414" s="3"/>
      <c r="AH414" s="3"/>
    </row>
    <row r="415" spans="1:34" x14ac:dyDescent="0.25">
      <c r="A415" s="109">
        <v>1E-4</v>
      </c>
      <c r="B415" s="3">
        <f t="shared" si="434"/>
        <v>7.4913932163539702E-26</v>
      </c>
      <c r="C415" s="3">
        <f t="shared" si="433"/>
        <v>1.3574322968244987E-24</v>
      </c>
      <c r="D415" s="3">
        <f t="shared" si="433"/>
        <v>1.0628924967471991E-22</v>
      </c>
      <c r="E415" s="3">
        <f t="shared" si="433"/>
        <v>7.4032079981345784E-20</v>
      </c>
      <c r="F415" s="3">
        <f t="shared" si="433"/>
        <v>6.0624307747786307E-15</v>
      </c>
      <c r="G415" s="3">
        <f t="shared" si="433"/>
        <v>1.5363699097932879E-6</v>
      </c>
      <c r="H415" s="3">
        <f t="shared" si="433"/>
        <v>1E-4</v>
      </c>
      <c r="I415" s="109">
        <f>Comparison!AL14</f>
        <v>1E-4</v>
      </c>
      <c r="J415" s="3">
        <f>Comparison!AM14</f>
        <v>6574.1489070197567</v>
      </c>
      <c r="K415" s="3">
        <f>Comparison!AN14</f>
        <v>6543.7286518097571</v>
      </c>
      <c r="L415" s="3">
        <f>Comparison!AO14</f>
        <v>6523.8242419120506</v>
      </c>
      <c r="M415" s="3">
        <f>Comparison!AP14</f>
        <v>6364.7007036045688</v>
      </c>
      <c r="N415" s="3">
        <f>Comparison!AQ14</f>
        <v>5296.2160470219478</v>
      </c>
      <c r="O415" s="3">
        <f>Comparison!AR14</f>
        <v>1410.5199057082755</v>
      </c>
      <c r="P415" s="3">
        <f>Comparison!AS14</f>
        <v>532.22470015904992</v>
      </c>
      <c r="Q415" s="42"/>
      <c r="R415" s="42"/>
      <c r="S415" s="42"/>
      <c r="T415" s="42"/>
      <c r="U415" s="42"/>
      <c r="V415" s="42"/>
      <c r="W415" s="42"/>
      <c r="X415" s="42"/>
      <c r="Y415" s="42"/>
      <c r="Z415" s="42"/>
      <c r="AA415" s="42"/>
      <c r="AB415" s="42"/>
      <c r="AC415" s="42"/>
      <c r="AD415" s="42"/>
      <c r="AE415" s="42"/>
      <c r="AF415" s="42"/>
      <c r="AG415" s="3"/>
      <c r="AH415" s="3"/>
    </row>
    <row r="416" spans="1:34" x14ac:dyDescent="0.25">
      <c r="A416" s="109">
        <v>1E-3</v>
      </c>
      <c r="B416" s="3">
        <f t="shared" si="434"/>
        <v>7.4913932163539699E-25</v>
      </c>
      <c r="C416" s="3">
        <f t="shared" si="433"/>
        <v>1.3574322968244986E-23</v>
      </c>
      <c r="D416" s="3">
        <f t="shared" si="433"/>
        <v>1.062892496747199E-21</v>
      </c>
      <c r="E416" s="3">
        <f t="shared" si="433"/>
        <v>7.4032079981345781E-19</v>
      </c>
      <c r="F416" s="3">
        <f t="shared" si="433"/>
        <v>6.0624307747786305E-14</v>
      </c>
      <c r="G416" s="3">
        <f t="shared" si="433"/>
        <v>1.5363699097932879E-5</v>
      </c>
      <c r="H416" s="3">
        <f t="shared" si="433"/>
        <v>1E-3</v>
      </c>
      <c r="I416" s="109">
        <f>Comparison!AL15</f>
        <v>1E-3</v>
      </c>
      <c r="J416" s="3">
        <f>Comparison!AM15</f>
        <v>6574.1483883865922</v>
      </c>
      <c r="K416" s="3">
        <f>Comparison!AN15</f>
        <v>6543.7023234963144</v>
      </c>
      <c r="L416" s="3">
        <f>Comparison!AO15</f>
        <v>6521.3925487999713</v>
      </c>
      <c r="M416" s="3">
        <f>Comparison!AP15</f>
        <v>6219.55344224686</v>
      </c>
      <c r="N416" s="3">
        <f>Comparison!AQ15</f>
        <v>5014.3504980568096</v>
      </c>
      <c r="O416" s="3">
        <f>Comparison!AR15</f>
        <v>826.67973456797017</v>
      </c>
      <c r="P416" s="3">
        <f>Comparison!AS15</f>
        <v>294.61415856723238</v>
      </c>
      <c r="Q416" s="42"/>
      <c r="R416" s="42"/>
      <c r="S416" s="42"/>
      <c r="T416" s="42"/>
      <c r="U416" s="42"/>
      <c r="V416" s="42"/>
      <c r="W416" s="42"/>
      <c r="X416" s="42"/>
      <c r="Y416" s="42"/>
      <c r="Z416" s="42"/>
      <c r="AA416" s="42"/>
      <c r="AB416" s="42"/>
      <c r="AC416" s="42"/>
      <c r="AD416" s="42"/>
      <c r="AE416" s="42"/>
      <c r="AF416" s="42"/>
      <c r="AG416" s="3"/>
      <c r="AH416" s="3"/>
    </row>
    <row r="417" spans="1:34" x14ac:dyDescent="0.25">
      <c r="A417" s="109">
        <v>0.01</v>
      </c>
      <c r="B417" s="3">
        <f t="shared" si="434"/>
        <v>7.4913932163539701E-24</v>
      </c>
      <c r="C417" s="3">
        <f t="shared" si="433"/>
        <v>1.3574322968244987E-22</v>
      </c>
      <c r="D417" s="3">
        <f t="shared" si="433"/>
        <v>1.062892496747199E-20</v>
      </c>
      <c r="E417" s="3">
        <f t="shared" si="433"/>
        <v>7.4032079981345781E-18</v>
      </c>
      <c r="F417" s="3">
        <f t="shared" si="433"/>
        <v>6.0624307747786305E-13</v>
      </c>
      <c r="G417" s="3">
        <f t="shared" si="433"/>
        <v>1.5363699097932881E-4</v>
      </c>
      <c r="H417" s="3">
        <f t="shared" si="433"/>
        <v>0.01</v>
      </c>
      <c r="I417" s="109">
        <f>Comparison!AL16</f>
        <v>0.01</v>
      </c>
      <c r="J417" s="3">
        <f>Comparison!AM16</f>
        <v>6574.141102834109</v>
      </c>
      <c r="K417" s="3">
        <f>Comparison!AN16</f>
        <v>6543.4393456132884</v>
      </c>
      <c r="L417" s="3">
        <f>Comparison!AO16</f>
        <v>6498.8766153292054</v>
      </c>
      <c r="M417" s="3">
        <f>Comparison!AP16</f>
        <v>6059.9785511387736</v>
      </c>
      <c r="N417" s="3">
        <f>Comparison!AQ16</f>
        <v>4737.7084148388376</v>
      </c>
      <c r="O417" s="3">
        <f>Comparison!AR16</f>
        <v>463.10914863390207</v>
      </c>
      <c r="P417" s="3">
        <f>Comparison!AS16</f>
        <v>191.85627557437303</v>
      </c>
      <c r="Q417" s="42"/>
      <c r="R417" s="42"/>
      <c r="S417" s="42"/>
      <c r="T417" s="42"/>
      <c r="U417" s="42"/>
      <c r="V417" s="42"/>
      <c r="W417" s="42"/>
      <c r="X417" s="42"/>
      <c r="Y417" s="42"/>
      <c r="Z417" s="42"/>
      <c r="AA417" s="42"/>
      <c r="AB417" s="42"/>
      <c r="AC417" s="42"/>
      <c r="AD417" s="42"/>
      <c r="AE417" s="42"/>
      <c r="AF417" s="42"/>
      <c r="AG417" s="3"/>
      <c r="AH417" s="3"/>
    </row>
    <row r="418" spans="1:34" x14ac:dyDescent="0.25">
      <c r="A418" s="109">
        <v>0.1</v>
      </c>
      <c r="B418" s="3">
        <f t="shared" si="434"/>
        <v>7.4913932163539707E-23</v>
      </c>
      <c r="C418" s="3">
        <f t="shared" si="433"/>
        <v>1.3574322968244986E-21</v>
      </c>
      <c r="D418" s="3">
        <f t="shared" si="433"/>
        <v>1.0628924967471991E-19</v>
      </c>
      <c r="E418" s="3">
        <f t="shared" si="433"/>
        <v>7.4032079981345781E-17</v>
      </c>
      <c r="F418" s="3">
        <f t="shared" si="433"/>
        <v>6.0624307747786311E-12</v>
      </c>
      <c r="G418" s="3">
        <f t="shared" si="433"/>
        <v>1.5363699097932879E-3</v>
      </c>
      <c r="H418" s="3">
        <f t="shared" si="433"/>
        <v>0.1</v>
      </c>
      <c r="I418" s="109">
        <f>Comparison!AL17</f>
        <v>0.1</v>
      </c>
      <c r="J418" s="3">
        <f>Comparison!AM17</f>
        <v>6574.0681741087647</v>
      </c>
      <c r="K418" s="3">
        <f>Comparison!AN17</f>
        <v>6540.8297975507394</v>
      </c>
      <c r="L418" s="3">
        <f>Comparison!AO17</f>
        <v>6376.7108933957061</v>
      </c>
      <c r="M418" s="3">
        <f>Comparison!AP17</f>
        <v>5870.6317266704709</v>
      </c>
      <c r="N418" s="3">
        <f>Comparison!AQ17</f>
        <v>4438.626264954587</v>
      </c>
      <c r="O418" s="3">
        <f>Comparison!AR17</f>
        <v>257.27368574751409</v>
      </c>
      <c r="P418" s="3">
        <f>Comparison!AS17</f>
        <v>162.27843823453597</v>
      </c>
      <c r="Q418" s="42"/>
      <c r="R418" s="42"/>
      <c r="S418" s="42"/>
      <c r="T418" s="42"/>
      <c r="U418" s="42"/>
      <c r="V418" s="42"/>
      <c r="W418" s="42"/>
      <c r="X418" s="42"/>
      <c r="Y418" s="42"/>
      <c r="Z418" s="42"/>
      <c r="AA418" s="42"/>
      <c r="AB418" s="42"/>
      <c r="AC418" s="42"/>
      <c r="AD418" s="42"/>
      <c r="AE418" s="42"/>
      <c r="AF418" s="42"/>
      <c r="AG418" s="3"/>
      <c r="AH418" s="3"/>
    </row>
    <row r="419" spans="1:34" x14ac:dyDescent="0.25">
      <c r="A419" s="109">
        <v>1</v>
      </c>
      <c r="B419" s="3">
        <f t="shared" si="434"/>
        <v>7.4913932163539702E-22</v>
      </c>
      <c r="C419" s="3">
        <f t="shared" si="433"/>
        <v>1.3574322968244985E-20</v>
      </c>
      <c r="D419" s="3">
        <f t="shared" si="433"/>
        <v>1.062892496747199E-18</v>
      </c>
      <c r="E419" s="3">
        <f t="shared" si="433"/>
        <v>7.4032079981345779E-16</v>
      </c>
      <c r="F419" s="3">
        <f t="shared" si="433"/>
        <v>6.062430774778631E-11</v>
      </c>
      <c r="G419" s="3">
        <f t="shared" si="433"/>
        <v>1.5363699097932879E-2</v>
      </c>
      <c r="H419" s="3">
        <f t="shared" si="433"/>
        <v>1</v>
      </c>
      <c r="I419" s="109">
        <f>Comparison!AL18</f>
        <v>1</v>
      </c>
      <c r="J419" s="3">
        <f>Comparison!AM18</f>
        <v>6573.3425313051102</v>
      </c>
      <c r="K419" s="3">
        <f>Comparison!AN18</f>
        <v>6516.7915822655277</v>
      </c>
      <c r="L419" s="3">
        <f>Comparison!AO18</f>
        <v>6230.3639399807598</v>
      </c>
      <c r="M419" s="3">
        <f>Comparison!AP18</f>
        <v>5669.1325406322439</v>
      </c>
      <c r="N419" s="3">
        <f>Comparison!AQ18</f>
        <v>4115.3629839514006</v>
      </c>
      <c r="O419" s="3">
        <f>Comparison!AR18</f>
        <v>179.98076982609024</v>
      </c>
      <c r="P419" s="3">
        <f>Comparison!AS18</f>
        <v>147.30961753431595</v>
      </c>
      <c r="Q419" s="42"/>
      <c r="R419" s="42"/>
      <c r="S419" s="42"/>
      <c r="T419" s="42"/>
      <c r="U419" s="42"/>
      <c r="V419" s="42"/>
      <c r="W419" s="42"/>
      <c r="X419" s="42"/>
      <c r="Y419" s="42"/>
      <c r="Z419" s="42"/>
      <c r="AA419" s="42"/>
      <c r="AB419" s="42"/>
      <c r="AC419" s="42"/>
      <c r="AD419" s="42"/>
      <c r="AE419" s="42"/>
      <c r="AF419" s="42"/>
      <c r="AG419" s="3"/>
      <c r="AH419" s="3"/>
    </row>
    <row r="420" spans="1:34" x14ac:dyDescent="0.25">
      <c r="A420" s="109">
        <v>10</v>
      </c>
      <c r="B420" s="3">
        <f t="shared" si="434"/>
        <v>7.4913932163539699E-21</v>
      </c>
      <c r="C420" s="3">
        <f t="shared" si="434"/>
        <v>1.3574322968244986E-19</v>
      </c>
      <c r="D420" s="3">
        <f t="shared" si="434"/>
        <v>1.062892496747199E-17</v>
      </c>
      <c r="E420" s="3">
        <f t="shared" si="434"/>
        <v>7.4032079981345777E-15</v>
      </c>
      <c r="F420" s="3">
        <f t="shared" si="434"/>
        <v>6.0624307747786307E-10</v>
      </c>
      <c r="G420" s="3">
        <f t="shared" si="434"/>
        <v>0.15363699097932879</v>
      </c>
      <c r="H420" s="3">
        <f t="shared" si="434"/>
        <v>10</v>
      </c>
      <c r="I420" s="109">
        <f>Comparison!AL19</f>
        <v>10</v>
      </c>
      <c r="J420" s="3">
        <f>Comparison!AM19</f>
        <v>6566.2492544539882</v>
      </c>
      <c r="K420" s="3">
        <f>Comparison!AN19</f>
        <v>6390.814079024768</v>
      </c>
      <c r="L420" s="3">
        <f>Comparison!AO19</f>
        <v>6066.3152248046426</v>
      </c>
      <c r="M420" s="3">
        <f>Comparison!AP19</f>
        <v>5423.4324257349326</v>
      </c>
      <c r="N420" s="3">
        <f>Comparison!AQ19</f>
        <v>3662.5886079597385</v>
      </c>
      <c r="O420" s="3">
        <f>Comparison!AR19</f>
        <v>157.55849658546879</v>
      </c>
      <c r="P420" s="3">
        <f>Comparison!AS19</f>
        <v>142.06591803394016</v>
      </c>
      <c r="Q420" s="42"/>
      <c r="R420" s="42"/>
      <c r="S420" s="42"/>
      <c r="T420" s="42"/>
      <c r="U420" s="42"/>
      <c r="V420" s="42"/>
      <c r="W420" s="42"/>
      <c r="X420" s="42"/>
      <c r="Y420" s="42"/>
      <c r="Z420" s="42"/>
      <c r="AA420" s="42"/>
      <c r="AB420" s="42"/>
      <c r="AC420" s="42"/>
      <c r="AD420" s="42"/>
      <c r="AE420" s="42"/>
      <c r="AF420" s="42"/>
      <c r="AG420" s="3"/>
      <c r="AH420" s="3"/>
    </row>
    <row r="421" spans="1:34" x14ac:dyDescent="0.25">
      <c r="A421" s="109">
        <v>100</v>
      </c>
      <c r="B421" s="3">
        <f t="shared" si="434"/>
        <v>7.4913932163539702E-20</v>
      </c>
      <c r="C421" s="3">
        <f t="shared" si="434"/>
        <v>1.3574322968244986E-18</v>
      </c>
      <c r="D421" s="3">
        <f t="shared" si="434"/>
        <v>1.0628924967471991E-16</v>
      </c>
      <c r="E421" s="3">
        <f t="shared" si="434"/>
        <v>7.403207998134578E-14</v>
      </c>
      <c r="F421" s="3">
        <f t="shared" si="434"/>
        <v>6.0624307747786303E-9</v>
      </c>
      <c r="G421" s="3">
        <f t="shared" si="434"/>
        <v>1.5363699097932879</v>
      </c>
      <c r="H421" s="3">
        <f t="shared" si="434"/>
        <v>100</v>
      </c>
      <c r="I421" s="109">
        <f>Comparison!AL20</f>
        <v>100</v>
      </c>
      <c r="J421" s="3">
        <f>Comparison!AM20</f>
        <v>6509.2168204054406</v>
      </c>
      <c r="K421" s="3">
        <f>Comparison!AN20</f>
        <v>6240.1474757230608</v>
      </c>
      <c r="L421" s="3">
        <f>Comparison!AO20</f>
        <v>5850.8000974148181</v>
      </c>
      <c r="M421" s="3">
        <f>Comparison!AP20</f>
        <v>5064.9009314494624</v>
      </c>
      <c r="N421" s="3">
        <f>Comparison!AQ20</f>
        <v>3039.7716426269371</v>
      </c>
      <c r="O421" s="3">
        <f>Comparison!AR20</f>
        <v>143.13037816485394</v>
      </c>
      <c r="P421" s="3">
        <f>Comparison!AS20</f>
        <v>140.2404472955443</v>
      </c>
      <c r="Q421" s="42"/>
      <c r="R421" s="42"/>
      <c r="S421" s="42"/>
      <c r="T421" s="42"/>
      <c r="U421" s="42"/>
      <c r="V421" s="42"/>
      <c r="W421" s="42"/>
      <c r="X421" s="42"/>
      <c r="Y421" s="42"/>
      <c r="Z421" s="42"/>
      <c r="AA421" s="42"/>
      <c r="AB421" s="42"/>
      <c r="AC421" s="42"/>
      <c r="AD421" s="42"/>
      <c r="AE421" s="42"/>
      <c r="AF421" s="42"/>
      <c r="AG421" s="3"/>
      <c r="AH421" s="3"/>
    </row>
    <row r="422" spans="1:34" x14ac:dyDescent="0.25">
      <c r="A422" s="109">
        <v>1000</v>
      </c>
      <c r="B422" s="3">
        <f t="shared" si="434"/>
        <v>7.4913932163539697E-19</v>
      </c>
      <c r="C422" s="3">
        <f t="shared" si="434"/>
        <v>1.3574322968244986E-17</v>
      </c>
      <c r="D422" s="3">
        <f t="shared" si="434"/>
        <v>1.0628924967471991E-15</v>
      </c>
      <c r="E422" s="3">
        <f t="shared" si="434"/>
        <v>7.4032079981345782E-13</v>
      </c>
      <c r="F422" s="3">
        <f t="shared" si="434"/>
        <v>6.0624307747786311E-8</v>
      </c>
      <c r="G422" s="3">
        <f t="shared" si="434"/>
        <v>15.36369909793288</v>
      </c>
      <c r="H422" s="3">
        <f t="shared" si="434"/>
        <v>1000</v>
      </c>
      <c r="I422" s="109">
        <f>Comparison!AL21</f>
        <v>1000</v>
      </c>
      <c r="J422" s="3">
        <f>Comparison!AM21</f>
        <v>6358.877795711509</v>
      </c>
      <c r="K422" s="3">
        <f>Comparison!AN21</f>
        <v>6044.4265071962272</v>
      </c>
      <c r="L422" s="3">
        <f>Comparison!AO21</f>
        <v>5524.1383776461034</v>
      </c>
      <c r="M422" s="3">
        <f>Comparison!AP21</f>
        <v>4580.1850776889687</v>
      </c>
      <c r="N422" s="3">
        <f>Comparison!AQ21</f>
        <v>2356.5178874385392</v>
      </c>
      <c r="O422" s="3">
        <f>Comparison!AR21</f>
        <v>139.03929298884987</v>
      </c>
      <c r="P422" s="3">
        <f>Comparison!AS21</f>
        <v>137.13168564571805</v>
      </c>
      <c r="Q422" s="42"/>
      <c r="R422" s="42"/>
      <c r="S422" s="42"/>
      <c r="T422" s="42"/>
      <c r="U422" s="42"/>
      <c r="V422" s="42"/>
      <c r="W422" s="42"/>
      <c r="X422" s="42"/>
      <c r="Y422" s="42"/>
      <c r="Z422" s="42"/>
      <c r="AA422" s="42"/>
      <c r="AB422" s="42"/>
      <c r="AC422" s="42"/>
      <c r="AD422" s="42"/>
      <c r="AE422" s="42"/>
      <c r="AF422" s="42"/>
      <c r="AG422" s="3"/>
      <c r="AH422" s="3"/>
    </row>
    <row r="423" spans="1:34" x14ac:dyDescent="0.25">
      <c r="A423" s="109">
        <v>10000</v>
      </c>
      <c r="B423" s="3">
        <f t="shared" si="434"/>
        <v>7.4913932163539706E-18</v>
      </c>
      <c r="C423" s="3">
        <f t="shared" si="434"/>
        <v>1.3574322968244986E-16</v>
      </c>
      <c r="D423" s="3">
        <f t="shared" si="434"/>
        <v>1.062892496747199E-14</v>
      </c>
      <c r="E423" s="3">
        <f t="shared" si="434"/>
        <v>7.4032079981345772E-12</v>
      </c>
      <c r="F423" s="3">
        <f t="shared" si="434"/>
        <v>6.0624307747786306E-7</v>
      </c>
      <c r="G423" s="3">
        <f t="shared" si="434"/>
        <v>153.6369909793288</v>
      </c>
      <c r="H423" s="3">
        <f t="shared" si="434"/>
        <v>10000</v>
      </c>
      <c r="I423" s="109">
        <f>Comparison!AL22</f>
        <v>10000</v>
      </c>
      <c r="J423" s="3">
        <f>Comparison!AM22</f>
        <v>6198.1657141301985</v>
      </c>
      <c r="K423" s="3">
        <f>Comparison!AN22</f>
        <v>5697.9764219559002</v>
      </c>
      <c r="L423" s="3">
        <f>Comparison!AO22</f>
        <v>5037.8540321693981</v>
      </c>
      <c r="M423" s="3">
        <f>Comparison!AP22</f>
        <v>4085.8663253030418</v>
      </c>
      <c r="N423" s="3">
        <f>Comparison!AQ22</f>
        <v>1664.6092730189016</v>
      </c>
      <c r="O423" s="3">
        <f>Comparison!AR22</f>
        <v>135.60631839895524</v>
      </c>
      <c r="P423" s="3">
        <f>Comparison!AS22</f>
        <v>133.5914564553571</v>
      </c>
      <c r="Q423" s="42"/>
      <c r="R423" s="42"/>
      <c r="S423" s="42"/>
      <c r="T423" s="42"/>
      <c r="U423" s="42"/>
      <c r="V423" s="42"/>
      <c r="W423" s="42"/>
      <c r="X423" s="42"/>
      <c r="Y423" s="42"/>
      <c r="Z423" s="42"/>
      <c r="AA423" s="42"/>
      <c r="AB423" s="42"/>
      <c r="AC423" s="42"/>
      <c r="AD423" s="42"/>
      <c r="AE423" s="42"/>
      <c r="AF423" s="42"/>
      <c r="AG423" s="3"/>
      <c r="AH423" s="3"/>
    </row>
    <row r="424" spans="1:34" x14ac:dyDescent="0.25">
      <c r="A424" s="109">
        <v>100000</v>
      </c>
      <c r="B424" s="3">
        <f t="shared" si="434"/>
        <v>7.4913932163539706E-17</v>
      </c>
      <c r="C424" s="3">
        <f t="shared" si="434"/>
        <v>1.3574322968244986E-15</v>
      </c>
      <c r="D424" s="3">
        <f t="shared" si="434"/>
        <v>1.062892496747199E-13</v>
      </c>
      <c r="E424" s="3">
        <f t="shared" si="434"/>
        <v>7.4032079981345785E-11</v>
      </c>
      <c r="F424" s="3">
        <f t="shared" si="434"/>
        <v>6.0624307747786306E-6</v>
      </c>
      <c r="G424" s="3">
        <f t="shared" si="434"/>
        <v>1536.3699097932879</v>
      </c>
      <c r="H424" s="3">
        <f t="shared" si="434"/>
        <v>100000</v>
      </c>
      <c r="I424" s="109">
        <f>Comparison!AL23</f>
        <v>100000</v>
      </c>
      <c r="J424" s="3">
        <f>Comparison!AM23</f>
        <v>5965.2165970487267</v>
      </c>
      <c r="K424" s="3">
        <f>Comparison!AN23</f>
        <v>5222.1642197271249</v>
      </c>
      <c r="L424" s="3">
        <f>Comparison!AO23</f>
        <v>4531.1485912762591</v>
      </c>
      <c r="M424" s="3">
        <f>Comparison!AP23</f>
        <v>3641.7022773125063</v>
      </c>
      <c r="N424" s="3">
        <f>Comparison!AQ23</f>
        <v>1039.9214556238178</v>
      </c>
      <c r="O424" s="3">
        <f>Comparison!AR23</f>
        <v>132.22937471479068</v>
      </c>
      <c r="P424" s="3">
        <f>Comparison!AS23</f>
        <v>130.60597118111332</v>
      </c>
      <c r="Q424" s="42"/>
      <c r="R424" s="42"/>
      <c r="S424" s="42"/>
      <c r="T424" s="42"/>
      <c r="U424" s="42"/>
      <c r="V424" s="42"/>
      <c r="W424" s="42"/>
      <c r="X424" s="42"/>
      <c r="Y424" s="42"/>
      <c r="Z424" s="42"/>
      <c r="AA424" s="42"/>
      <c r="AB424" s="42"/>
      <c r="AC424" s="42"/>
      <c r="AD424" s="42"/>
      <c r="AE424" s="42"/>
      <c r="AF424" s="42"/>
      <c r="AG424" s="3"/>
      <c r="AH424" s="3"/>
    </row>
    <row r="425" spans="1:34" x14ac:dyDescent="0.25">
      <c r="A425" s="109">
        <v>1000000</v>
      </c>
      <c r="B425" s="3">
        <f t="shared" si="434"/>
        <v>7.4913932163539701E-16</v>
      </c>
      <c r="C425" s="3">
        <f t="shared" si="434"/>
        <v>1.3574322968244985E-14</v>
      </c>
      <c r="D425" s="3">
        <f t="shared" si="434"/>
        <v>1.062892496747199E-12</v>
      </c>
      <c r="E425" s="3">
        <f t="shared" si="434"/>
        <v>7.4032079981345777E-10</v>
      </c>
      <c r="F425" s="3">
        <f t="shared" si="434"/>
        <v>6.0624307747786308E-5</v>
      </c>
      <c r="G425" s="3">
        <f t="shared" si="434"/>
        <v>15363.699097932878</v>
      </c>
      <c r="H425" s="3">
        <f t="shared" si="434"/>
        <v>1000000</v>
      </c>
      <c r="I425" s="109">
        <f>Comparison!AL24</f>
        <v>1000000</v>
      </c>
      <c r="J425" s="3">
        <f>Comparison!AM24</f>
        <v>5562.9083959530062</v>
      </c>
      <c r="K425" s="3">
        <f>Comparison!AN24</f>
        <v>4741.2273341563377</v>
      </c>
      <c r="L425" s="3">
        <f>Comparison!AO24</f>
        <v>4100.3073895013431</v>
      </c>
      <c r="M425" s="3">
        <f>Comparison!AP24</f>
        <v>3231.6591203117327</v>
      </c>
      <c r="N425" s="3">
        <f>Comparison!AQ24</f>
        <v>595.89522173414423</v>
      </c>
      <c r="O425" s="3">
        <f>Comparison!AR24</f>
        <v>129.58780540541244</v>
      </c>
      <c r="P425" s="3">
        <f>Comparison!AS24</f>
        <v>128.42317853149575</v>
      </c>
      <c r="Q425" s="42"/>
      <c r="R425" s="42"/>
      <c r="S425" s="42"/>
      <c r="T425" s="42"/>
      <c r="U425" s="42"/>
      <c r="V425" s="42"/>
      <c r="W425" s="42"/>
      <c r="X425" s="42"/>
      <c r="Y425" s="42"/>
      <c r="Z425" s="42"/>
      <c r="AA425" s="42"/>
      <c r="AB425" s="42"/>
      <c r="AC425" s="42"/>
      <c r="AD425" s="42"/>
      <c r="AE425" s="42"/>
      <c r="AF425" s="42"/>
      <c r="AG425" s="3"/>
      <c r="AH425" s="3"/>
    </row>
    <row r="426" spans="1:34" x14ac:dyDescent="0.25">
      <c r="A426" s="109">
        <v>10000000</v>
      </c>
      <c r="B426" s="3">
        <f t="shared" si="434"/>
        <v>7.4913932163539699E-15</v>
      </c>
      <c r="C426" s="3">
        <f t="shared" si="434"/>
        <v>1.3574322968244986E-13</v>
      </c>
      <c r="D426" s="3">
        <f t="shared" si="434"/>
        <v>1.0628924967471991E-11</v>
      </c>
      <c r="E426" s="3">
        <f t="shared" si="434"/>
        <v>7.4032079981345782E-9</v>
      </c>
      <c r="F426" s="3">
        <f t="shared" si="434"/>
        <v>6.0624307747786301E-4</v>
      </c>
      <c r="G426" s="3">
        <f t="shared" si="434"/>
        <v>153636.99097932878</v>
      </c>
      <c r="H426" s="3">
        <f t="shared" si="434"/>
        <v>10000000</v>
      </c>
      <c r="I426" s="109">
        <f>Comparison!AL25</f>
        <v>10000000</v>
      </c>
      <c r="J426" s="3">
        <f>Comparison!AM25</f>
        <v>5068.6144859756578</v>
      </c>
      <c r="K426" s="3">
        <f>Comparison!AN25</f>
        <v>4311.1706397553053</v>
      </c>
      <c r="L426" s="3">
        <f>Comparison!AO25</f>
        <v>3736.9018653482362</v>
      </c>
      <c r="M426" s="3">
        <f>Comparison!AP25</f>
        <v>2785.7203085552951</v>
      </c>
      <c r="N426" s="3">
        <f>Comparison!AQ25</f>
        <v>331.71701217899948</v>
      </c>
      <c r="O426" s="3">
        <f>Comparison!AR25</f>
        <v>127.7135675720335</v>
      </c>
      <c r="P426" s="3">
        <f>Comparison!AS25</f>
        <v>126.92571513683149</v>
      </c>
      <c r="Q426" s="42"/>
      <c r="R426" s="42"/>
      <c r="S426" s="42"/>
      <c r="T426" s="42"/>
      <c r="U426" s="42"/>
      <c r="V426" s="42"/>
      <c r="W426" s="42"/>
      <c r="X426" s="42"/>
      <c r="Y426" s="42"/>
      <c r="Z426" s="42"/>
      <c r="AA426" s="42"/>
      <c r="AB426" s="42"/>
      <c r="AC426" s="42"/>
      <c r="AD426" s="42"/>
      <c r="AE426" s="42"/>
      <c r="AF426" s="42"/>
      <c r="AG426" s="3"/>
      <c r="AH426" s="3"/>
    </row>
    <row r="427" spans="1:34" x14ac:dyDescent="0.25">
      <c r="A427" s="109">
        <v>100000000</v>
      </c>
      <c r="B427" s="3">
        <f t="shared" si="434"/>
        <v>7.4913932163539706E-14</v>
      </c>
      <c r="C427" s="3">
        <f t="shared" si="434"/>
        <v>1.3574322968244986E-12</v>
      </c>
      <c r="D427" s="3">
        <f t="shared" si="434"/>
        <v>1.0628924967471991E-10</v>
      </c>
      <c r="E427" s="3">
        <f t="shared" si="434"/>
        <v>7.4032079981345777E-8</v>
      </c>
      <c r="F427" s="3">
        <f t="shared" si="434"/>
        <v>6.0624307747786307E-3</v>
      </c>
      <c r="G427" s="3">
        <f t="shared" si="434"/>
        <v>1536369.909793288</v>
      </c>
      <c r="H427" s="3">
        <f t="shared" si="434"/>
        <v>100000000</v>
      </c>
      <c r="I427" s="109">
        <f>Comparison!AL26</f>
        <v>100000000</v>
      </c>
      <c r="J427" s="3">
        <f>Comparison!AM26</f>
        <v>4583.1082918040429</v>
      </c>
      <c r="K427" s="3">
        <f>Comparison!AN26</f>
        <v>3952.2593271118144</v>
      </c>
      <c r="L427" s="3">
        <f>Comparison!AO26</f>
        <v>3408.8002756648089</v>
      </c>
      <c r="M427" s="3">
        <f>Comparison!AP26</f>
        <v>2295.1533050928924</v>
      </c>
      <c r="N427" s="3">
        <f>Comparison!AQ26</f>
        <v>192.72704730170403</v>
      </c>
      <c r="O427" s="3">
        <f>Comparison!AR26</f>
        <v>126.4367312836393</v>
      </c>
      <c r="P427" s="3">
        <f>Comparison!AS26</f>
        <v>125.87891264299097</v>
      </c>
      <c r="Q427" s="42"/>
      <c r="R427" s="42"/>
      <c r="S427" s="42"/>
      <c r="T427" s="42"/>
      <c r="U427" s="42"/>
      <c r="V427" s="42"/>
      <c r="W427" s="42"/>
      <c r="X427" s="42"/>
      <c r="Y427" s="42"/>
      <c r="Z427" s="42"/>
      <c r="AA427" s="42"/>
      <c r="AB427" s="42"/>
      <c r="AC427" s="42"/>
      <c r="AD427" s="42"/>
      <c r="AE427" s="42"/>
      <c r="AF427" s="42"/>
      <c r="AG427" s="3"/>
      <c r="AH427" s="3"/>
    </row>
    <row r="428" spans="1:34" x14ac:dyDescent="0.25">
      <c r="A428" s="109">
        <v>1000000000</v>
      </c>
      <c r="B428" s="3">
        <f t="shared" si="434"/>
        <v>7.4913932163539701E-13</v>
      </c>
      <c r="C428" s="3">
        <f t="shared" si="434"/>
        <v>1.3574322968244986E-11</v>
      </c>
      <c r="D428" s="3">
        <f t="shared" si="434"/>
        <v>1.0628924967471991E-9</v>
      </c>
      <c r="E428" s="3">
        <f t="shared" si="434"/>
        <v>7.4032079981345782E-7</v>
      </c>
      <c r="F428" s="3">
        <f t="shared" si="434"/>
        <v>6.0624307747786307E-2</v>
      </c>
      <c r="G428" s="3">
        <f t="shared" si="434"/>
        <v>15363699.097932879</v>
      </c>
      <c r="H428" s="3">
        <f t="shared" si="434"/>
        <v>1000000000</v>
      </c>
      <c r="I428" s="109">
        <f>Comparison!AL27</f>
        <v>1000000000</v>
      </c>
      <c r="J428" s="3">
        <f>Comparison!AM27</f>
        <v>4165.9762057055259</v>
      </c>
      <c r="K428" s="3">
        <f>Comparison!AN27</f>
        <v>3639.2172363975619</v>
      </c>
      <c r="L428" s="3">
        <f>Comparison!AO27</f>
        <v>3078.2308446927527</v>
      </c>
      <c r="M428" s="3">
        <f>Comparison!AP27</f>
        <v>1754.5150163075152</v>
      </c>
      <c r="N428" s="3">
        <f>Comparison!AQ27</f>
        <v>148.89299884614732</v>
      </c>
      <c r="O428" s="3">
        <f>Comparison!AR27</f>
        <v>125.52960401951817</v>
      </c>
      <c r="P428" s="3">
        <f>Comparison!AS27</f>
        <v>125.11103067782525</v>
      </c>
      <c r="Q428" s="42"/>
      <c r="R428" s="42"/>
      <c r="S428" s="42"/>
      <c r="T428" s="42"/>
      <c r="U428" s="42"/>
      <c r="V428" s="42"/>
      <c r="W428" s="42"/>
      <c r="X428" s="42"/>
      <c r="Y428" s="42"/>
      <c r="Z428" s="42"/>
      <c r="AA428" s="42"/>
      <c r="AB428" s="42"/>
      <c r="AC428" s="42"/>
      <c r="AD428" s="42"/>
      <c r="AE428" s="42"/>
      <c r="AF428" s="42"/>
      <c r="AG428" s="3"/>
      <c r="AH428" s="3"/>
    </row>
    <row r="429" spans="1:34" x14ac:dyDescent="0.25">
      <c r="A429" s="109">
        <v>10000000000</v>
      </c>
      <c r="B429" s="3">
        <f t="shared" si="434"/>
        <v>7.4913932163539709E-12</v>
      </c>
      <c r="C429" s="3">
        <f t="shared" si="434"/>
        <v>1.3574322968244987E-10</v>
      </c>
      <c r="D429" s="3">
        <f t="shared" si="434"/>
        <v>1.0628924967471991E-8</v>
      </c>
      <c r="E429" s="3">
        <f t="shared" si="434"/>
        <v>7.4032079981345776E-6</v>
      </c>
      <c r="F429" s="3">
        <f t="shared" si="434"/>
        <v>0.6062430774778631</v>
      </c>
      <c r="G429" s="3">
        <f t="shared" si="434"/>
        <v>153636990.97932878</v>
      </c>
      <c r="H429" s="3">
        <f t="shared" si="434"/>
        <v>10000000000</v>
      </c>
      <c r="I429" s="109">
        <f>Comparison!AL28</f>
        <v>10000000000</v>
      </c>
      <c r="J429" s="3">
        <f>Comparison!AM28</f>
        <v>3823.5689905233821</v>
      </c>
      <c r="K429" s="3">
        <f>Comparison!AN28</f>
        <v>3344.7021990881808</v>
      </c>
      <c r="L429" s="3">
        <f>Comparison!AO28</f>
        <v>2685.2498641877337</v>
      </c>
      <c r="M429" s="3">
        <f>Comparison!AP28</f>
        <v>1171.8757952014325</v>
      </c>
      <c r="N429" s="3">
        <f>Comparison!AQ28</f>
        <v>134.12130031566326</v>
      </c>
      <c r="O429" s="3">
        <f>Comparison!AR28</f>
        <v>124.83927834622055</v>
      </c>
      <c r="P429" s="3">
        <f>Comparison!AS28</f>
        <v>124.96985459314666</v>
      </c>
      <c r="Q429" s="42"/>
      <c r="R429" s="42"/>
      <c r="S429" s="42"/>
      <c r="T429" s="42"/>
      <c r="U429" s="42"/>
      <c r="V429" s="42"/>
      <c r="W429" s="42"/>
      <c r="X429" s="42"/>
      <c r="Y429" s="42"/>
      <c r="Z429" s="42"/>
      <c r="AA429" s="42"/>
      <c r="AB429" s="42"/>
      <c r="AC429" s="42"/>
      <c r="AD429" s="42"/>
      <c r="AE429" s="42"/>
      <c r="AF429" s="42"/>
      <c r="AG429" s="3"/>
      <c r="AH429" s="3"/>
    </row>
    <row r="430" spans="1:34" x14ac:dyDescent="0.25">
      <c r="A430" s="109">
        <v>100000000000</v>
      </c>
      <c r="B430" s="3">
        <f t="shared" si="434"/>
        <v>7.4913932163539706E-11</v>
      </c>
      <c r="C430" s="3">
        <f t="shared" si="434"/>
        <v>1.3574322968244985E-9</v>
      </c>
      <c r="D430" s="3">
        <f t="shared" si="434"/>
        <v>1.0628924967471991E-7</v>
      </c>
      <c r="E430" s="3">
        <f t="shared" si="434"/>
        <v>7.4032079981345777E-5</v>
      </c>
      <c r="F430" s="3">
        <f t="shared" si="434"/>
        <v>6.0624307747786306</v>
      </c>
      <c r="G430" s="3">
        <f t="shared" si="434"/>
        <v>1536369909.793288</v>
      </c>
      <c r="H430" s="3">
        <f t="shared" si="434"/>
        <v>100000000000</v>
      </c>
      <c r="I430" s="109">
        <f>Comparison!AL29</f>
        <v>100000000000</v>
      </c>
      <c r="J430" s="3">
        <f>Comparison!AM29</f>
        <v>3510.558848270296</v>
      </c>
      <c r="K430" s="3">
        <f>Comparison!AN29</f>
        <v>3034.0126163953428</v>
      </c>
      <c r="L430" s="3">
        <f>Comparison!AO29</f>
        <v>2228.0957655931211</v>
      </c>
      <c r="M430" s="3">
        <f>Comparison!AP29</f>
        <v>704.46209389908893</v>
      </c>
      <c r="N430" s="3">
        <f>Comparison!AQ29</f>
        <v>124.90206072555479</v>
      </c>
      <c r="O430" s="3">
        <f>Comparison!AR29</f>
        <v>124.70417941781746</v>
      </c>
      <c r="P430" s="3">
        <f>Comparison!AS29</f>
        <v>124.77108605330615</v>
      </c>
      <c r="Q430" s="42"/>
      <c r="R430" s="42"/>
      <c r="S430" s="42"/>
      <c r="T430" s="42"/>
      <c r="U430" s="42"/>
      <c r="V430" s="42"/>
      <c r="W430" s="42"/>
      <c r="X430" s="42"/>
      <c r="Y430" s="42"/>
      <c r="Z430" s="42"/>
      <c r="AA430" s="42"/>
      <c r="AB430" s="42"/>
      <c r="AC430" s="42"/>
      <c r="AD430" s="42"/>
      <c r="AE430" s="42"/>
      <c r="AF430" s="42"/>
      <c r="AG430" s="3"/>
      <c r="AH430" s="3"/>
    </row>
    <row r="431" spans="1:34" x14ac:dyDescent="0.25">
      <c r="A431" s="109">
        <v>1000000000000</v>
      </c>
      <c r="B431" s="3">
        <f t="shared" si="434"/>
        <v>7.49139321635397E-10</v>
      </c>
      <c r="C431" s="3">
        <f t="shared" si="434"/>
        <v>1.3574322968244986E-8</v>
      </c>
      <c r="D431" s="3">
        <f t="shared" si="434"/>
        <v>1.062892496747199E-6</v>
      </c>
      <c r="E431" s="3">
        <f t="shared" si="434"/>
        <v>7.403207998134578E-4</v>
      </c>
      <c r="F431" s="3">
        <f t="shared" si="434"/>
        <v>60.624307747786304</v>
      </c>
      <c r="G431" s="3">
        <f t="shared" si="434"/>
        <v>15363699097.932878</v>
      </c>
      <c r="H431" s="3">
        <f t="shared" si="434"/>
        <v>1000000000000</v>
      </c>
      <c r="I431" s="109">
        <f>Comparison!AL30</f>
        <v>1000000000000</v>
      </c>
      <c r="J431" s="3">
        <f>Comparison!AM30</f>
        <v>3215.4703591878829</v>
      </c>
      <c r="K431" s="3">
        <f>Comparison!AN30</f>
        <v>2653.5608861364908</v>
      </c>
      <c r="L431" s="3">
        <f>Comparison!AO30</f>
        <v>1704.9584752004923</v>
      </c>
      <c r="M431" s="3">
        <f>Comparison!AP30</f>
        <v>403.25761176970258</v>
      </c>
      <c r="N431" s="3">
        <f>Comparison!AQ30</f>
        <v>124.64007063602084</v>
      </c>
      <c r="O431" s="3">
        <f>Comparison!AR30</f>
        <v>123.9260383626436</v>
      </c>
      <c r="P431" s="3">
        <f>Comparison!AS30</f>
        <v>123.93614365125383</v>
      </c>
      <c r="Q431" s="42"/>
      <c r="R431" s="42"/>
      <c r="S431" s="42"/>
      <c r="T431" s="42"/>
      <c r="U431" s="42"/>
      <c r="V431" s="42"/>
      <c r="W431" s="42"/>
      <c r="X431" s="42"/>
      <c r="Y431" s="42"/>
      <c r="Z431" s="42"/>
      <c r="AA431" s="42"/>
      <c r="AB431" s="42"/>
      <c r="AC431" s="42"/>
      <c r="AD431" s="42"/>
      <c r="AE431" s="42"/>
      <c r="AF431" s="42"/>
      <c r="AG431" s="3"/>
      <c r="AH431" s="3"/>
    </row>
    <row r="432" spans="1:34" x14ac:dyDescent="0.25">
      <c r="A432" s="109">
        <v>10000000000000</v>
      </c>
      <c r="B432" s="3">
        <f t="shared" si="434"/>
        <v>7.4913932163539698E-9</v>
      </c>
      <c r="C432" s="3">
        <f t="shared" si="434"/>
        <v>1.3574322968244985E-7</v>
      </c>
      <c r="D432" s="3">
        <f t="shared" si="434"/>
        <v>1.0628924967471991E-5</v>
      </c>
      <c r="E432" s="3">
        <f t="shared" si="434"/>
        <v>7.4032079981345778E-3</v>
      </c>
      <c r="F432" s="3">
        <f t="shared" si="434"/>
        <v>606.24307747786304</v>
      </c>
      <c r="G432" s="3">
        <f t="shared" si="434"/>
        <v>153636990979.3288</v>
      </c>
      <c r="H432" s="3">
        <f t="shared" si="434"/>
        <v>10000000000000</v>
      </c>
      <c r="I432" s="109">
        <f>Comparison!AL31</f>
        <v>10000000000000</v>
      </c>
      <c r="J432" s="3">
        <f>Comparison!AM31</f>
        <v>2870.194204228324</v>
      </c>
      <c r="K432" s="3">
        <f>Comparison!AN31</f>
        <v>2203.3378680125074</v>
      </c>
      <c r="L432" s="3">
        <f>Comparison!AO31</f>
        <v>1135.4901421385146</v>
      </c>
      <c r="M432" s="3">
        <f>Comparison!AP31</f>
        <v>227.19076746573165</v>
      </c>
      <c r="N432" s="3">
        <f>Comparison!AQ31</f>
        <v>123.89500698166064</v>
      </c>
      <c r="O432" s="3">
        <f>Comparison!AR31</f>
        <v>123.91358498832378</v>
      </c>
      <c r="P432" s="3">
        <f>Comparison!AS31</f>
        <v>123.92285545904397</v>
      </c>
      <c r="Q432" s="42"/>
      <c r="R432" s="42"/>
      <c r="S432" s="42"/>
      <c r="T432" s="42"/>
      <c r="U432" s="42"/>
      <c r="V432" s="42"/>
      <c r="W432" s="42"/>
      <c r="X432" s="42"/>
      <c r="Y432" s="42"/>
      <c r="Z432" s="42"/>
      <c r="AA432" s="42"/>
      <c r="AB432" s="42"/>
      <c r="AC432" s="42"/>
      <c r="AD432" s="42"/>
      <c r="AE432" s="42"/>
      <c r="AF432" s="42"/>
      <c r="AG432" s="3"/>
      <c r="AH432" s="3"/>
    </row>
    <row r="433" spans="1:34" x14ac:dyDescent="0.25">
      <c r="A433" s="109">
        <v>100000000000000</v>
      </c>
      <c r="B433" s="3">
        <f t="shared" si="434"/>
        <v>7.4913932163539705E-8</v>
      </c>
      <c r="C433" s="3">
        <f t="shared" si="434"/>
        <v>1.3574322968244987E-6</v>
      </c>
      <c r="D433" s="3">
        <f t="shared" si="434"/>
        <v>1.062892496747199E-4</v>
      </c>
      <c r="E433" s="3">
        <f t="shared" si="434"/>
        <v>7.4032079981345783E-2</v>
      </c>
      <c r="F433" s="3">
        <f t="shared" si="434"/>
        <v>6062.4307747786306</v>
      </c>
      <c r="G433" s="3">
        <f t="shared" si="434"/>
        <v>1536369909793.2878</v>
      </c>
      <c r="H433" s="3">
        <f t="shared" si="434"/>
        <v>100000000000000</v>
      </c>
      <c r="I433" s="109">
        <f>Comparison!AL32</f>
        <v>100000000000000</v>
      </c>
      <c r="J433" s="3">
        <f>Comparison!AM32</f>
        <v>2458.5183678646754</v>
      </c>
      <c r="K433" s="3">
        <f>Comparison!AN32</f>
        <v>1683.4592204898881</v>
      </c>
      <c r="L433" s="3">
        <f>Comparison!AO32</f>
        <v>680.51042901870051</v>
      </c>
      <c r="M433" s="3">
        <f>Comparison!AP32</f>
        <v>157.01371189082064</v>
      </c>
      <c r="N433" s="3">
        <f>Comparison!AQ32</f>
        <v>123.88320178471095</v>
      </c>
      <c r="O433" s="3">
        <f>Comparison!AR32</f>
        <v>123.65466987195585</v>
      </c>
      <c r="P433" s="3">
        <f>Comparison!AS32</f>
        <v>123.48008539289999</v>
      </c>
      <c r="Q433" s="42"/>
      <c r="R433" s="42"/>
      <c r="S433" s="42"/>
      <c r="T433" s="42"/>
      <c r="U433" s="42"/>
      <c r="V433" s="42"/>
      <c r="W433" s="42"/>
      <c r="X433" s="42"/>
      <c r="Y433" s="42"/>
      <c r="Z433" s="42"/>
      <c r="AA433" s="42"/>
      <c r="AB433" s="42"/>
      <c r="AC433" s="42"/>
      <c r="AD433" s="42"/>
      <c r="AE433" s="42"/>
      <c r="AF433" s="42"/>
      <c r="AG433" s="3"/>
      <c r="AH433" s="3"/>
    </row>
    <row r="434" spans="1:34" x14ac:dyDescent="0.25">
      <c r="A434" s="109">
        <v>1000000000000000</v>
      </c>
      <c r="B434" s="3">
        <f t="shared" si="434"/>
        <v>7.4913932163539697E-7</v>
      </c>
      <c r="C434" s="3">
        <f t="shared" si="434"/>
        <v>1.3574322968244985E-5</v>
      </c>
      <c r="D434" s="3">
        <f t="shared" si="434"/>
        <v>1.0628924967471991E-3</v>
      </c>
      <c r="E434" s="3">
        <f t="shared" si="434"/>
        <v>0.74032079981345777</v>
      </c>
      <c r="F434" s="3">
        <f t="shared" si="434"/>
        <v>60624.307747786304</v>
      </c>
      <c r="G434" s="3">
        <f t="shared" si="434"/>
        <v>15363699097932.879</v>
      </c>
      <c r="H434" s="3">
        <f t="shared" si="434"/>
        <v>1000000000000000</v>
      </c>
      <c r="I434" s="109">
        <f>Comparison!AL33</f>
        <v>1000000000000000</v>
      </c>
      <c r="J434" s="3">
        <f>Comparison!AM33</f>
        <v>1982.6966326072995</v>
      </c>
      <c r="K434" s="3">
        <f>Comparison!AN33</f>
        <v>1118.1414735463829</v>
      </c>
      <c r="L434" s="3">
        <f>Comparison!AO33</f>
        <v>389.33964903055204</v>
      </c>
      <c r="M434" s="3">
        <f>Comparison!AP33</f>
        <v>136.97082983111966</v>
      </c>
      <c r="N434" s="3">
        <f>Comparison!AQ33</f>
        <v>123.47472292148701</v>
      </c>
      <c r="O434" s="3">
        <f>Comparison!AR33</f>
        <v>123.64094316844046</v>
      </c>
      <c r="P434" s="3">
        <f>Comparison!AS33</f>
        <v>123.46865182434244</v>
      </c>
      <c r="Q434" s="42"/>
      <c r="R434" s="42"/>
      <c r="S434" s="42"/>
      <c r="T434" s="42"/>
      <c r="U434" s="42"/>
      <c r="V434" s="42"/>
      <c r="W434" s="42"/>
      <c r="X434" s="42"/>
      <c r="Y434" s="42"/>
      <c r="Z434" s="42"/>
      <c r="AA434" s="42"/>
      <c r="AB434" s="42"/>
      <c r="AC434" s="42"/>
      <c r="AD434" s="42"/>
      <c r="AE434" s="42"/>
      <c r="AF434" s="42"/>
      <c r="AG434" s="3"/>
      <c r="AH434" s="3"/>
    </row>
    <row r="435" spans="1:34" x14ac:dyDescent="0.25">
      <c r="A435" s="15"/>
      <c r="B435" s="42"/>
      <c r="C435" s="42"/>
      <c r="D435" s="42"/>
      <c r="E435" s="42"/>
      <c r="F435" s="42"/>
      <c r="G435" s="42"/>
      <c r="H435" s="42"/>
      <c r="I435" s="42"/>
      <c r="J435" s="42"/>
      <c r="K435" s="42"/>
      <c r="L435" s="42"/>
      <c r="M435" s="42"/>
      <c r="N435" s="42"/>
      <c r="O435" s="42"/>
      <c r="P435" s="42"/>
      <c r="Q435" s="42"/>
      <c r="R435" s="42"/>
      <c r="S435" s="42"/>
      <c r="T435" s="42"/>
      <c r="U435" s="42"/>
      <c r="V435" s="42"/>
      <c r="W435" s="42"/>
      <c r="X435" s="42"/>
      <c r="Y435" s="42"/>
      <c r="Z435" s="42"/>
      <c r="AA435" s="42"/>
      <c r="AB435" s="42"/>
      <c r="AC435" s="42"/>
      <c r="AD435" s="42"/>
      <c r="AE435" s="42"/>
      <c r="AF435" s="42"/>
      <c r="AG435" s="3"/>
      <c r="AH435" s="3"/>
    </row>
    <row r="436" spans="1:34" x14ac:dyDescent="0.25">
      <c r="A436" s="90"/>
      <c r="B436" s="73"/>
      <c r="C436" s="73"/>
      <c r="D436" s="73"/>
      <c r="E436" s="73"/>
      <c r="F436" s="73"/>
      <c r="G436" s="73"/>
      <c r="H436" s="73"/>
      <c r="I436" s="73"/>
      <c r="J436" s="73"/>
      <c r="K436" s="73"/>
      <c r="L436" s="73"/>
      <c r="M436" s="73"/>
      <c r="N436" s="73"/>
      <c r="O436" s="73"/>
      <c r="P436" s="73"/>
      <c r="Q436" s="73"/>
      <c r="R436" s="73"/>
      <c r="S436" s="73"/>
      <c r="T436" s="73"/>
      <c r="U436" s="73"/>
      <c r="V436" s="73"/>
      <c r="W436" s="73"/>
      <c r="X436" s="73"/>
      <c r="Y436" s="73"/>
      <c r="Z436" s="73"/>
      <c r="AA436" s="73"/>
      <c r="AB436" s="73"/>
      <c r="AC436" s="73"/>
      <c r="AD436" s="73"/>
      <c r="AE436" s="73"/>
      <c r="AF436" s="73"/>
    </row>
    <row r="437" spans="1:34" x14ac:dyDescent="0.25">
      <c r="A437" s="15"/>
      <c r="B437" s="91"/>
      <c r="C437" s="91"/>
      <c r="D437" s="91"/>
      <c r="E437" s="91"/>
      <c r="F437" s="91"/>
      <c r="G437" s="91"/>
      <c r="H437" s="91"/>
      <c r="I437" s="91"/>
      <c r="J437" s="91"/>
      <c r="K437" s="91"/>
      <c r="L437" s="91"/>
      <c r="M437" s="91"/>
      <c r="N437" s="91"/>
      <c r="O437" s="91"/>
      <c r="P437" s="91"/>
      <c r="Q437" s="91"/>
      <c r="R437" s="91"/>
      <c r="S437" s="91"/>
      <c r="T437" s="91"/>
      <c r="U437" s="91"/>
      <c r="V437" s="91"/>
      <c r="W437" s="91"/>
      <c r="X437" s="91"/>
      <c r="Y437" s="91"/>
      <c r="Z437" s="91"/>
      <c r="AA437" s="91"/>
      <c r="AB437" s="91"/>
      <c r="AC437" s="91"/>
      <c r="AD437" s="91"/>
      <c r="AE437" s="91"/>
      <c r="AF437" s="91"/>
      <c r="AG437" s="3"/>
      <c r="AH437" s="3"/>
    </row>
    <row r="438" spans="1:34" x14ac:dyDescent="0.25">
      <c r="A438" s="92"/>
      <c r="B438" s="72"/>
      <c r="C438" s="72"/>
      <c r="D438" s="72"/>
      <c r="E438" s="72"/>
      <c r="F438" s="72"/>
      <c r="G438" s="72"/>
      <c r="H438" s="72"/>
      <c r="I438" s="72"/>
      <c r="J438" s="72"/>
      <c r="K438" s="72"/>
      <c r="L438" s="72"/>
      <c r="M438" s="72"/>
      <c r="N438" s="72"/>
      <c r="O438" s="72"/>
      <c r="P438" s="72"/>
      <c r="Q438" s="72"/>
      <c r="R438" s="72"/>
      <c r="S438" s="72"/>
      <c r="T438" s="72"/>
      <c r="U438" s="72"/>
      <c r="V438" s="72"/>
      <c r="W438" s="72"/>
      <c r="X438" s="72"/>
      <c r="Y438" s="72"/>
      <c r="Z438" s="72"/>
      <c r="AA438" s="72"/>
      <c r="AB438" s="72"/>
      <c r="AC438" s="72"/>
      <c r="AD438" s="72"/>
      <c r="AE438" s="72"/>
      <c r="AF438" s="72"/>
      <c r="AG438" s="3"/>
      <c r="AH438" s="3"/>
    </row>
    <row r="439" spans="1:34" x14ac:dyDescent="0.25">
      <c r="A439" s="15"/>
      <c r="B439" s="15"/>
      <c r="C439" s="15"/>
      <c r="D439" s="15"/>
      <c r="E439" s="15"/>
      <c r="F439" s="15"/>
      <c r="G439" s="15"/>
      <c r="H439" s="15"/>
      <c r="I439" s="15"/>
      <c r="J439" s="15"/>
      <c r="K439" s="15"/>
      <c r="L439" s="15"/>
      <c r="M439" s="15"/>
      <c r="N439" s="15"/>
      <c r="O439" s="15"/>
      <c r="P439" s="15"/>
      <c r="Q439" s="15"/>
      <c r="R439" s="15"/>
      <c r="S439" s="15"/>
      <c r="T439" s="15"/>
      <c r="U439" s="15"/>
      <c r="V439" s="15"/>
      <c r="W439" s="15"/>
      <c r="X439" s="15"/>
      <c r="Y439" s="15"/>
      <c r="Z439" s="15"/>
      <c r="AA439" s="15"/>
      <c r="AB439" s="15"/>
      <c r="AC439" s="15"/>
      <c r="AD439" s="15"/>
      <c r="AE439" s="15"/>
      <c r="AF439" s="15"/>
      <c r="AG439" s="38"/>
      <c r="AH439" s="38"/>
    </row>
    <row r="440" spans="1:34" x14ac:dyDescent="0.25">
      <c r="A440" s="87"/>
      <c r="B440" s="15"/>
      <c r="C440" s="15"/>
      <c r="D440" s="15"/>
      <c r="E440" s="15"/>
      <c r="F440" s="15"/>
      <c r="G440" s="15"/>
      <c r="H440" s="15"/>
      <c r="I440" s="15"/>
      <c r="J440" s="15"/>
      <c r="K440" s="15"/>
      <c r="L440" s="15"/>
      <c r="M440" s="15"/>
      <c r="N440" s="15"/>
      <c r="O440" s="15"/>
      <c r="P440" s="15"/>
      <c r="Q440" s="15"/>
      <c r="R440" s="15"/>
      <c r="S440" s="15"/>
      <c r="T440" s="15"/>
      <c r="U440" s="15"/>
      <c r="V440" s="15"/>
      <c r="W440" s="15"/>
      <c r="X440" s="15"/>
      <c r="Y440" s="15"/>
      <c r="Z440" s="15"/>
      <c r="AA440" s="15"/>
      <c r="AB440" s="15"/>
      <c r="AC440" s="15"/>
      <c r="AD440" s="15"/>
      <c r="AE440" s="15"/>
      <c r="AF440" s="15"/>
    </row>
    <row r="441" spans="1:34" x14ac:dyDescent="0.25">
      <c r="A441" s="87"/>
      <c r="B441" s="22"/>
      <c r="C441" s="22"/>
      <c r="D441" s="22"/>
      <c r="E441" s="22"/>
      <c r="F441" s="22"/>
      <c r="G441" s="22"/>
      <c r="H441" s="22"/>
      <c r="I441" s="22"/>
      <c r="J441" s="22"/>
      <c r="K441" s="22"/>
      <c r="L441" s="22"/>
      <c r="M441" s="22"/>
      <c r="N441" s="22"/>
      <c r="O441" s="22"/>
      <c r="P441" s="22"/>
      <c r="Q441" s="22"/>
      <c r="R441" s="22"/>
      <c r="S441" s="22"/>
      <c r="T441" s="22"/>
      <c r="U441" s="22"/>
      <c r="V441" s="22"/>
      <c r="W441" s="22"/>
      <c r="X441" s="22"/>
      <c r="Y441" s="22"/>
      <c r="Z441" s="22"/>
      <c r="AA441" s="22"/>
      <c r="AB441" s="22"/>
      <c r="AC441" s="22"/>
      <c r="AD441" s="22"/>
      <c r="AE441" s="22"/>
      <c r="AF441" s="22"/>
      <c r="AG441" s="22"/>
      <c r="AH441" s="22"/>
    </row>
    <row r="442" spans="1:34" x14ac:dyDescent="0.25">
      <c r="A442" s="87"/>
      <c r="B442" s="22"/>
      <c r="C442" s="22"/>
      <c r="D442" s="22"/>
      <c r="E442" s="22"/>
      <c r="F442" s="22"/>
      <c r="G442" s="22"/>
      <c r="H442" s="22"/>
      <c r="I442" s="22"/>
      <c r="J442" s="22"/>
      <c r="K442" s="22"/>
      <c r="L442" s="22"/>
      <c r="M442" s="22"/>
      <c r="N442" s="22"/>
      <c r="O442" s="22"/>
      <c r="P442" s="22"/>
      <c r="Q442" s="22"/>
      <c r="R442" s="22"/>
      <c r="S442" s="22"/>
      <c r="T442" s="22"/>
      <c r="U442" s="22"/>
      <c r="V442" s="22"/>
      <c r="W442" s="22"/>
      <c r="X442" s="22"/>
      <c r="Y442" s="22"/>
      <c r="Z442" s="22"/>
      <c r="AA442" s="22"/>
      <c r="AB442" s="22"/>
      <c r="AC442" s="22"/>
      <c r="AD442" s="22"/>
      <c r="AE442" s="22"/>
      <c r="AF442" s="22"/>
      <c r="AG442" s="26"/>
      <c r="AH442" s="26"/>
    </row>
    <row r="443" spans="1:34" x14ac:dyDescent="0.25">
      <c r="A443" s="87"/>
      <c r="B443" s="22"/>
      <c r="C443" s="22"/>
      <c r="D443" s="22"/>
      <c r="E443" s="22"/>
      <c r="F443" s="22"/>
      <c r="G443" s="22"/>
      <c r="H443" s="22"/>
      <c r="I443" s="22"/>
      <c r="J443" s="22"/>
      <c r="K443" s="22"/>
      <c r="L443" s="22"/>
      <c r="M443" s="22"/>
      <c r="N443" s="22"/>
      <c r="O443" s="22"/>
      <c r="P443" s="22"/>
      <c r="Q443" s="22"/>
      <c r="R443" s="22"/>
      <c r="S443" s="22"/>
      <c r="T443" s="22"/>
      <c r="U443" s="22"/>
      <c r="V443" s="22"/>
      <c r="W443" s="22"/>
      <c r="X443" s="22"/>
      <c r="Y443" s="22"/>
      <c r="Z443" s="22"/>
      <c r="AA443" s="22"/>
      <c r="AB443" s="22"/>
      <c r="AC443" s="22"/>
      <c r="AD443" s="22"/>
      <c r="AE443" s="22"/>
      <c r="AF443" s="22"/>
      <c r="AG443" s="27"/>
      <c r="AH443" s="27"/>
    </row>
    <row r="444" spans="1:34" x14ac:dyDescent="0.25">
      <c r="A444" s="15"/>
      <c r="B444" s="42"/>
      <c r="C444" s="42"/>
      <c r="D444" s="42"/>
      <c r="E444" s="42"/>
      <c r="F444" s="42"/>
      <c r="G444" s="42"/>
      <c r="H444" s="42"/>
      <c r="I444" s="42"/>
      <c r="J444" s="42"/>
      <c r="K444" s="42"/>
      <c r="L444" s="42"/>
      <c r="M444" s="42"/>
      <c r="N444" s="42"/>
      <c r="O444" s="42"/>
      <c r="P444" s="42"/>
      <c r="Q444" s="42"/>
      <c r="R444" s="42"/>
      <c r="S444" s="42"/>
      <c r="T444" s="42"/>
      <c r="U444" s="42"/>
      <c r="V444" s="42"/>
      <c r="W444" s="42"/>
      <c r="X444" s="42"/>
      <c r="Y444" s="42"/>
      <c r="Z444" s="42"/>
      <c r="AA444" s="42"/>
      <c r="AB444" s="42"/>
      <c r="AC444" s="42"/>
      <c r="AD444" s="42"/>
      <c r="AE444" s="42"/>
      <c r="AF444" s="42"/>
      <c r="AG444" s="3"/>
      <c r="AH444" s="3"/>
    </row>
    <row r="445" spans="1:34" x14ac:dyDescent="0.25">
      <c r="A445" s="15"/>
      <c r="B445" s="42"/>
      <c r="C445" s="42"/>
      <c r="D445" s="42"/>
      <c r="E445" s="42"/>
      <c r="F445" s="42"/>
      <c r="G445" s="42"/>
      <c r="H445" s="42"/>
      <c r="I445" s="42"/>
      <c r="J445" s="42"/>
      <c r="K445" s="42"/>
      <c r="L445" s="42"/>
      <c r="M445" s="42"/>
      <c r="N445" s="42"/>
      <c r="O445" s="42"/>
      <c r="P445" s="42"/>
      <c r="Q445" s="42"/>
      <c r="R445" s="42"/>
      <c r="S445" s="42"/>
      <c r="T445" s="42"/>
      <c r="U445" s="42"/>
      <c r="V445" s="42"/>
      <c r="W445" s="42"/>
      <c r="X445" s="42"/>
      <c r="Y445" s="42"/>
      <c r="Z445" s="42"/>
      <c r="AA445" s="42"/>
      <c r="AB445" s="42"/>
      <c r="AC445" s="42"/>
      <c r="AD445" s="42"/>
      <c r="AE445" s="42"/>
      <c r="AF445" s="42"/>
      <c r="AG445" s="3"/>
      <c r="AH445" s="3"/>
    </row>
    <row r="446" spans="1:34" x14ac:dyDescent="0.25">
      <c r="A446" s="15"/>
      <c r="B446" s="42"/>
      <c r="C446" s="42"/>
      <c r="D446" s="42"/>
      <c r="E446" s="42"/>
      <c r="F446" s="42"/>
      <c r="G446" s="42"/>
      <c r="H446" s="42"/>
      <c r="I446" s="42"/>
      <c r="J446" s="42"/>
      <c r="K446" s="42"/>
      <c r="L446" s="42"/>
      <c r="M446" s="42"/>
      <c r="N446" s="42"/>
      <c r="O446" s="42"/>
      <c r="P446" s="42"/>
      <c r="Q446" s="42"/>
      <c r="R446" s="42"/>
      <c r="S446" s="42"/>
      <c r="T446" s="42"/>
      <c r="U446" s="42"/>
      <c r="V446" s="42"/>
      <c r="W446" s="42"/>
      <c r="X446" s="42"/>
      <c r="Y446" s="42"/>
      <c r="Z446" s="42"/>
      <c r="AA446" s="42"/>
      <c r="AB446" s="42"/>
      <c r="AC446" s="42"/>
      <c r="AD446" s="42"/>
      <c r="AE446" s="42"/>
      <c r="AF446" s="42"/>
      <c r="AG446" s="3"/>
      <c r="AH446" s="3"/>
    </row>
    <row r="447" spans="1:34" x14ac:dyDescent="0.25">
      <c r="A447" s="15"/>
      <c r="B447" s="42"/>
      <c r="C447" s="42"/>
      <c r="D447" s="42"/>
      <c r="E447" s="42"/>
      <c r="F447" s="42"/>
      <c r="G447" s="42"/>
      <c r="H447" s="42"/>
      <c r="I447" s="42"/>
      <c r="J447" s="42"/>
      <c r="K447" s="42"/>
      <c r="L447" s="42"/>
      <c r="M447" s="42"/>
      <c r="N447" s="42"/>
      <c r="O447" s="42"/>
      <c r="P447" s="42"/>
      <c r="Q447" s="42"/>
      <c r="R447" s="42"/>
      <c r="S447" s="42"/>
      <c r="T447" s="42"/>
      <c r="U447" s="42"/>
      <c r="V447" s="42"/>
      <c r="W447" s="42"/>
      <c r="X447" s="42"/>
      <c r="Y447" s="42"/>
      <c r="Z447" s="42"/>
      <c r="AA447" s="42"/>
      <c r="AB447" s="42"/>
      <c r="AC447" s="42"/>
      <c r="AD447" s="42"/>
      <c r="AE447" s="42"/>
      <c r="AF447" s="42"/>
      <c r="AG447" s="3"/>
      <c r="AH447" s="3"/>
    </row>
    <row r="448" spans="1:34" x14ac:dyDescent="0.25">
      <c r="A448" s="15"/>
      <c r="B448" s="42"/>
      <c r="C448" s="42"/>
      <c r="D448" s="42"/>
      <c r="E448" s="42"/>
      <c r="F448" s="42"/>
      <c r="G448" s="42"/>
      <c r="H448" s="42"/>
      <c r="I448" s="42"/>
      <c r="J448" s="42"/>
      <c r="K448" s="42"/>
      <c r="L448" s="42"/>
      <c r="M448" s="42"/>
      <c r="N448" s="42"/>
      <c r="O448" s="42"/>
      <c r="P448" s="42"/>
      <c r="Q448" s="42"/>
      <c r="R448" s="42"/>
      <c r="S448" s="42"/>
      <c r="T448" s="42"/>
      <c r="U448" s="42"/>
      <c r="V448" s="42"/>
      <c r="W448" s="42"/>
      <c r="X448" s="42"/>
      <c r="Y448" s="42"/>
      <c r="Z448" s="42"/>
      <c r="AA448" s="42"/>
      <c r="AB448" s="42"/>
      <c r="AC448" s="42"/>
      <c r="AD448" s="42"/>
      <c r="AE448" s="42"/>
      <c r="AF448" s="42"/>
      <c r="AG448" s="3"/>
      <c r="AH448" s="3"/>
    </row>
    <row r="449" spans="1:34" x14ac:dyDescent="0.25">
      <c r="A449" s="15"/>
      <c r="B449" s="42"/>
      <c r="C449" s="42"/>
      <c r="D449" s="42"/>
      <c r="E449" s="42"/>
      <c r="F449" s="42"/>
      <c r="G449" s="42"/>
      <c r="H449" s="42"/>
      <c r="I449" s="42"/>
      <c r="J449" s="42"/>
      <c r="K449" s="42"/>
      <c r="L449" s="42"/>
      <c r="M449" s="42"/>
      <c r="N449" s="42"/>
      <c r="O449" s="42"/>
      <c r="P449" s="42"/>
      <c r="Q449" s="42"/>
      <c r="R449" s="42"/>
      <c r="S449" s="42"/>
      <c r="T449" s="42"/>
      <c r="U449" s="42"/>
      <c r="V449" s="42"/>
      <c r="W449" s="42"/>
      <c r="X449" s="42"/>
      <c r="Y449" s="42"/>
      <c r="Z449" s="42"/>
      <c r="AA449" s="42"/>
      <c r="AB449" s="42"/>
      <c r="AC449" s="42"/>
      <c r="AD449" s="42"/>
      <c r="AE449" s="42"/>
      <c r="AF449" s="42"/>
      <c r="AG449" s="3"/>
      <c r="AH449" s="3"/>
    </row>
    <row r="450" spans="1:34" x14ac:dyDescent="0.25">
      <c r="A450" s="15"/>
      <c r="B450" s="42"/>
      <c r="C450" s="42"/>
      <c r="D450" s="42"/>
      <c r="E450" s="42"/>
      <c r="F450" s="42"/>
      <c r="G450" s="42"/>
      <c r="H450" s="42"/>
      <c r="I450" s="42"/>
      <c r="J450" s="42"/>
      <c r="K450" s="42"/>
      <c r="L450" s="42"/>
      <c r="M450" s="42"/>
      <c r="N450" s="42"/>
      <c r="O450" s="42"/>
      <c r="P450" s="42"/>
      <c r="Q450" s="42"/>
      <c r="R450" s="42"/>
      <c r="S450" s="42"/>
      <c r="T450" s="42"/>
      <c r="U450" s="42"/>
      <c r="V450" s="42"/>
      <c r="W450" s="42"/>
      <c r="X450" s="42"/>
      <c r="Y450" s="42"/>
      <c r="Z450" s="42"/>
      <c r="AA450" s="42"/>
      <c r="AB450" s="42"/>
      <c r="AC450" s="42"/>
      <c r="AD450" s="42"/>
      <c r="AE450" s="42"/>
      <c r="AF450" s="42"/>
      <c r="AG450" s="3"/>
      <c r="AH450" s="3"/>
    </row>
    <row r="451" spans="1:34" x14ac:dyDescent="0.25">
      <c r="A451" s="15"/>
      <c r="B451" s="42"/>
      <c r="C451" s="42"/>
      <c r="D451" s="42"/>
      <c r="E451" s="42"/>
      <c r="F451" s="42"/>
      <c r="G451" s="42"/>
      <c r="H451" s="42"/>
      <c r="I451" s="42"/>
      <c r="J451" s="42"/>
      <c r="K451" s="42"/>
      <c r="L451" s="42"/>
      <c r="M451" s="42"/>
      <c r="N451" s="42"/>
      <c r="O451" s="42"/>
      <c r="P451" s="42"/>
      <c r="Q451" s="42"/>
      <c r="R451" s="42"/>
      <c r="S451" s="42"/>
      <c r="T451" s="42"/>
      <c r="U451" s="42"/>
      <c r="V451" s="42"/>
      <c r="W451" s="42"/>
      <c r="X451" s="42"/>
      <c r="Y451" s="42"/>
      <c r="Z451" s="42"/>
      <c r="AA451" s="42"/>
      <c r="AB451" s="42"/>
      <c r="AC451" s="42"/>
      <c r="AD451" s="42"/>
      <c r="AE451" s="42"/>
      <c r="AF451" s="42"/>
      <c r="AG451" s="3"/>
      <c r="AH451" s="3"/>
    </row>
    <row r="452" spans="1:34" x14ac:dyDescent="0.25">
      <c r="A452" s="15"/>
      <c r="B452" s="42"/>
      <c r="C452" s="42"/>
      <c r="D452" s="42"/>
      <c r="E452" s="42"/>
      <c r="F452" s="42"/>
      <c r="G452" s="42"/>
      <c r="H452" s="42"/>
      <c r="I452" s="42"/>
      <c r="J452" s="42"/>
      <c r="K452" s="42"/>
      <c r="L452" s="42"/>
      <c r="M452" s="42"/>
      <c r="N452" s="42"/>
      <c r="O452" s="42"/>
      <c r="P452" s="42"/>
      <c r="Q452" s="42"/>
      <c r="R452" s="42"/>
      <c r="S452" s="42"/>
      <c r="T452" s="42"/>
      <c r="U452" s="42"/>
      <c r="V452" s="42"/>
      <c r="W452" s="42"/>
      <c r="X452" s="42"/>
      <c r="Y452" s="42"/>
      <c r="Z452" s="42"/>
      <c r="AA452" s="42"/>
      <c r="AB452" s="42"/>
      <c r="AC452" s="42"/>
      <c r="AD452" s="42"/>
      <c r="AE452" s="42"/>
      <c r="AF452" s="42"/>
      <c r="AG452" s="3"/>
      <c r="AH452" s="3"/>
    </row>
    <row r="453" spans="1:34" x14ac:dyDescent="0.25">
      <c r="A453" s="15"/>
      <c r="B453" s="42"/>
      <c r="C453" s="42"/>
      <c r="D453" s="42"/>
      <c r="E453" s="42"/>
      <c r="F453" s="42"/>
      <c r="G453" s="42"/>
      <c r="H453" s="42"/>
      <c r="I453" s="42"/>
      <c r="J453" s="42"/>
      <c r="K453" s="42"/>
      <c r="L453" s="42"/>
      <c r="M453" s="42"/>
      <c r="N453" s="42"/>
      <c r="O453" s="42"/>
      <c r="P453" s="42"/>
      <c r="Q453" s="42"/>
      <c r="R453" s="42"/>
      <c r="S453" s="42"/>
      <c r="T453" s="42"/>
      <c r="U453" s="42"/>
      <c r="V453" s="42"/>
      <c r="W453" s="42"/>
      <c r="X453" s="42"/>
      <c r="Y453" s="42"/>
      <c r="Z453" s="42"/>
      <c r="AA453" s="42"/>
      <c r="AB453" s="42"/>
      <c r="AC453" s="42"/>
      <c r="AD453" s="42"/>
      <c r="AE453" s="42"/>
      <c r="AF453" s="42"/>
      <c r="AG453" s="3"/>
      <c r="AH453" s="3"/>
    </row>
    <row r="454" spans="1:34" x14ac:dyDescent="0.25">
      <c r="A454" s="15"/>
      <c r="B454" s="42"/>
      <c r="C454" s="42"/>
      <c r="D454" s="42"/>
      <c r="E454" s="42"/>
      <c r="F454" s="42"/>
      <c r="G454" s="42"/>
      <c r="H454" s="42"/>
      <c r="I454" s="42"/>
      <c r="J454" s="42"/>
      <c r="K454" s="42"/>
      <c r="L454" s="42"/>
      <c r="M454" s="42"/>
      <c r="N454" s="42"/>
      <c r="O454" s="42"/>
      <c r="P454" s="42"/>
      <c r="Q454" s="42"/>
      <c r="R454" s="42"/>
      <c r="S454" s="42"/>
      <c r="T454" s="42"/>
      <c r="U454" s="42"/>
      <c r="V454" s="42"/>
      <c r="W454" s="42"/>
      <c r="X454" s="42"/>
      <c r="Y454" s="42"/>
      <c r="Z454" s="42"/>
      <c r="AA454" s="42"/>
      <c r="AB454" s="42"/>
      <c r="AC454" s="42"/>
      <c r="AD454" s="42"/>
      <c r="AE454" s="42"/>
      <c r="AF454" s="42"/>
      <c r="AG454" s="3"/>
      <c r="AH454" s="3"/>
    </row>
    <row r="455" spans="1:34" x14ac:dyDescent="0.25">
      <c r="A455" s="15"/>
      <c r="B455" s="42"/>
      <c r="C455" s="42"/>
      <c r="D455" s="42"/>
      <c r="E455" s="42"/>
      <c r="F455" s="42"/>
      <c r="G455" s="42"/>
      <c r="H455" s="42"/>
      <c r="I455" s="42"/>
      <c r="J455" s="42"/>
      <c r="K455" s="42"/>
      <c r="L455" s="42"/>
      <c r="M455" s="42"/>
      <c r="N455" s="42"/>
      <c r="O455" s="42"/>
      <c r="P455" s="42"/>
      <c r="Q455" s="42"/>
      <c r="R455" s="42"/>
      <c r="S455" s="42"/>
      <c r="T455" s="42"/>
      <c r="U455" s="42"/>
      <c r="V455" s="42"/>
      <c r="W455" s="42"/>
      <c r="X455" s="42"/>
      <c r="Y455" s="42"/>
      <c r="Z455" s="42"/>
      <c r="AA455" s="42"/>
      <c r="AB455" s="42"/>
      <c r="AC455" s="42"/>
      <c r="AD455" s="42"/>
      <c r="AE455" s="42"/>
      <c r="AF455" s="42"/>
      <c r="AG455" s="3"/>
      <c r="AH455" s="3"/>
    </row>
    <row r="456" spans="1:34" x14ac:dyDescent="0.25">
      <c r="A456" s="15"/>
      <c r="B456" s="42"/>
      <c r="C456" s="42"/>
      <c r="D456" s="42"/>
      <c r="E456" s="42"/>
      <c r="F456" s="42"/>
      <c r="G456" s="42"/>
      <c r="H456" s="42"/>
      <c r="I456" s="42"/>
      <c r="J456" s="42"/>
      <c r="K456" s="42"/>
      <c r="L456" s="42"/>
      <c r="M456" s="42"/>
      <c r="N456" s="42"/>
      <c r="O456" s="42"/>
      <c r="P456" s="42"/>
      <c r="Q456" s="42"/>
      <c r="R456" s="42"/>
      <c r="S456" s="42"/>
      <c r="T456" s="42"/>
      <c r="U456" s="42"/>
      <c r="V456" s="42"/>
      <c r="W456" s="42"/>
      <c r="X456" s="42"/>
      <c r="Y456" s="42"/>
      <c r="Z456" s="42"/>
      <c r="AA456" s="42"/>
      <c r="AB456" s="42"/>
      <c r="AC456" s="42"/>
      <c r="AD456" s="42"/>
      <c r="AE456" s="42"/>
      <c r="AF456" s="42"/>
      <c r="AG456" s="3"/>
      <c r="AH456" s="3"/>
    </row>
    <row r="457" spans="1:34" x14ac:dyDescent="0.25">
      <c r="A457" s="15"/>
      <c r="B457" s="42"/>
      <c r="C457" s="42"/>
      <c r="D457" s="42"/>
      <c r="E457" s="42"/>
      <c r="F457" s="42"/>
      <c r="G457" s="42"/>
      <c r="H457" s="42"/>
      <c r="I457" s="42"/>
      <c r="J457" s="42"/>
      <c r="K457" s="42"/>
      <c r="L457" s="42"/>
      <c r="M457" s="42"/>
      <c r="N457" s="42"/>
      <c r="O457" s="42"/>
      <c r="P457" s="42"/>
      <c r="Q457" s="42"/>
      <c r="R457" s="42"/>
      <c r="S457" s="42"/>
      <c r="T457" s="42"/>
      <c r="U457" s="42"/>
      <c r="V457" s="42"/>
      <c r="W457" s="42"/>
      <c r="X457" s="42"/>
      <c r="Y457" s="42"/>
      <c r="Z457" s="42"/>
      <c r="AA457" s="42"/>
      <c r="AB457" s="42"/>
      <c r="AC457" s="42"/>
      <c r="AD457" s="42"/>
      <c r="AE457" s="42"/>
      <c r="AF457" s="42"/>
      <c r="AG457" s="3"/>
      <c r="AH457" s="3"/>
    </row>
    <row r="458" spans="1:34" x14ac:dyDescent="0.25">
      <c r="A458" s="15"/>
      <c r="B458" s="42"/>
      <c r="C458" s="42"/>
      <c r="D458" s="42"/>
      <c r="E458" s="42"/>
      <c r="F458" s="42"/>
      <c r="G458" s="42"/>
      <c r="H458" s="42"/>
      <c r="I458" s="42"/>
      <c r="J458" s="42"/>
      <c r="K458" s="42"/>
      <c r="L458" s="42"/>
      <c r="M458" s="42"/>
      <c r="N458" s="42"/>
      <c r="O458" s="42"/>
      <c r="P458" s="42"/>
      <c r="Q458" s="42"/>
      <c r="R458" s="42"/>
      <c r="S458" s="42"/>
      <c r="T458" s="42"/>
      <c r="U458" s="42"/>
      <c r="V458" s="42"/>
      <c r="W458" s="42"/>
      <c r="X458" s="42"/>
      <c r="Y458" s="42"/>
      <c r="Z458" s="42"/>
      <c r="AA458" s="42"/>
      <c r="AB458" s="42"/>
      <c r="AC458" s="42"/>
      <c r="AD458" s="42"/>
      <c r="AE458" s="42"/>
      <c r="AF458" s="42"/>
      <c r="AG458" s="3"/>
      <c r="AH458" s="3"/>
    </row>
    <row r="459" spans="1:34" x14ac:dyDescent="0.25">
      <c r="A459" s="15"/>
      <c r="B459" s="42"/>
      <c r="C459" s="42"/>
      <c r="D459" s="42"/>
      <c r="E459" s="42"/>
      <c r="F459" s="42"/>
      <c r="G459" s="42"/>
      <c r="H459" s="42"/>
      <c r="I459" s="42"/>
      <c r="J459" s="42"/>
      <c r="K459" s="42"/>
      <c r="L459" s="42"/>
      <c r="M459" s="42"/>
      <c r="N459" s="42"/>
      <c r="O459" s="42"/>
      <c r="P459" s="42"/>
      <c r="Q459" s="42"/>
      <c r="R459" s="42"/>
      <c r="S459" s="42"/>
      <c r="T459" s="42"/>
      <c r="U459" s="42"/>
      <c r="V459" s="42"/>
      <c r="W459" s="42"/>
      <c r="X459" s="42"/>
      <c r="Y459" s="42"/>
      <c r="Z459" s="42"/>
      <c r="AA459" s="42"/>
      <c r="AB459" s="42"/>
      <c r="AC459" s="42"/>
      <c r="AD459" s="42"/>
      <c r="AE459" s="42"/>
      <c r="AF459" s="42"/>
      <c r="AG459" s="3"/>
      <c r="AH459" s="3"/>
    </row>
    <row r="460" spans="1:34" x14ac:dyDescent="0.25">
      <c r="A460" s="15"/>
      <c r="B460" s="42"/>
      <c r="C460" s="42"/>
      <c r="D460" s="42"/>
      <c r="E460" s="42"/>
      <c r="F460" s="42"/>
      <c r="G460" s="42"/>
      <c r="H460" s="42"/>
      <c r="I460" s="42"/>
      <c r="J460" s="42"/>
      <c r="K460" s="42"/>
      <c r="L460" s="42"/>
      <c r="M460" s="42"/>
      <c r="N460" s="42"/>
      <c r="O460" s="42"/>
      <c r="P460" s="42"/>
      <c r="Q460" s="42"/>
      <c r="R460" s="42"/>
      <c r="S460" s="42"/>
      <c r="T460" s="42"/>
      <c r="U460" s="42"/>
      <c r="V460" s="42"/>
      <c r="W460" s="42"/>
      <c r="X460" s="42"/>
      <c r="Y460" s="42"/>
      <c r="Z460" s="42"/>
      <c r="AA460" s="42"/>
      <c r="AB460" s="42"/>
      <c r="AC460" s="42"/>
      <c r="AD460" s="42"/>
      <c r="AE460" s="42"/>
      <c r="AF460" s="42"/>
      <c r="AG460" s="3"/>
      <c r="AH460" s="3"/>
    </row>
    <row r="461" spans="1:34" x14ac:dyDescent="0.25">
      <c r="A461" s="15"/>
      <c r="B461" s="42"/>
      <c r="C461" s="42"/>
      <c r="D461" s="42"/>
      <c r="E461" s="42"/>
      <c r="F461" s="42"/>
      <c r="G461" s="42"/>
      <c r="H461" s="42"/>
      <c r="I461" s="42"/>
      <c r="J461" s="42"/>
      <c r="K461" s="42"/>
      <c r="L461" s="42"/>
      <c r="M461" s="42"/>
      <c r="N461" s="42"/>
      <c r="O461" s="42"/>
      <c r="P461" s="42"/>
      <c r="Q461" s="42"/>
      <c r="R461" s="42"/>
      <c r="S461" s="42"/>
      <c r="T461" s="42"/>
      <c r="U461" s="42"/>
      <c r="V461" s="42"/>
      <c r="W461" s="42"/>
      <c r="X461" s="42"/>
      <c r="Y461" s="42"/>
      <c r="Z461" s="42"/>
      <c r="AA461" s="42"/>
      <c r="AB461" s="42"/>
      <c r="AC461" s="42"/>
      <c r="AD461" s="42"/>
      <c r="AE461" s="42"/>
      <c r="AF461" s="42"/>
      <c r="AG461" s="3"/>
      <c r="AH461" s="3"/>
    </row>
    <row r="462" spans="1:34" x14ac:dyDescent="0.25">
      <c r="A462" s="15"/>
      <c r="B462" s="42"/>
      <c r="C462" s="42"/>
      <c r="D462" s="42"/>
      <c r="E462" s="42"/>
      <c r="F462" s="42"/>
      <c r="G462" s="42"/>
      <c r="H462" s="42"/>
      <c r="I462" s="42"/>
      <c r="J462" s="42"/>
      <c r="K462" s="42"/>
      <c r="L462" s="42"/>
      <c r="M462" s="42"/>
      <c r="N462" s="42"/>
      <c r="O462" s="42"/>
      <c r="P462" s="42"/>
      <c r="Q462" s="42"/>
      <c r="R462" s="42"/>
      <c r="S462" s="42"/>
      <c r="T462" s="42"/>
      <c r="U462" s="42"/>
      <c r="V462" s="42"/>
      <c r="W462" s="42"/>
      <c r="X462" s="42"/>
      <c r="Y462" s="42"/>
      <c r="Z462" s="42"/>
      <c r="AA462" s="42"/>
      <c r="AB462" s="42"/>
      <c r="AC462" s="42"/>
      <c r="AD462" s="42"/>
      <c r="AE462" s="42"/>
      <c r="AF462" s="42"/>
      <c r="AG462" s="3"/>
      <c r="AH462" s="3"/>
    </row>
    <row r="463" spans="1:34" x14ac:dyDescent="0.25">
      <c r="A463" s="15"/>
      <c r="B463" s="42"/>
      <c r="C463" s="42"/>
      <c r="D463" s="42"/>
      <c r="E463" s="42"/>
      <c r="F463" s="42"/>
      <c r="G463" s="42"/>
      <c r="H463" s="42"/>
      <c r="I463" s="42"/>
      <c r="J463" s="42"/>
      <c r="K463" s="42"/>
      <c r="L463" s="42"/>
      <c r="M463" s="42"/>
      <c r="N463" s="42"/>
      <c r="O463" s="42"/>
      <c r="P463" s="42"/>
      <c r="Q463" s="42"/>
      <c r="R463" s="42"/>
      <c r="S463" s="42"/>
      <c r="T463" s="42"/>
      <c r="U463" s="42"/>
      <c r="V463" s="42"/>
      <c r="W463" s="42"/>
      <c r="X463" s="42"/>
      <c r="Y463" s="42"/>
      <c r="Z463" s="42"/>
      <c r="AA463" s="42"/>
      <c r="AB463" s="42"/>
      <c r="AC463" s="42"/>
      <c r="AD463" s="42"/>
      <c r="AE463" s="42"/>
      <c r="AF463" s="42"/>
      <c r="AG463" s="3"/>
      <c r="AH463" s="3"/>
    </row>
    <row r="464" spans="1:34" x14ac:dyDescent="0.25">
      <c r="A464" s="15"/>
      <c r="B464" s="42"/>
      <c r="C464" s="42"/>
      <c r="D464" s="42"/>
      <c r="E464" s="42"/>
      <c r="F464" s="42"/>
      <c r="G464" s="42"/>
      <c r="H464" s="42"/>
      <c r="I464" s="42"/>
      <c r="J464" s="42"/>
      <c r="K464" s="42"/>
      <c r="L464" s="42"/>
      <c r="M464" s="42"/>
      <c r="N464" s="42"/>
      <c r="O464" s="42"/>
      <c r="P464" s="42"/>
      <c r="Q464" s="42"/>
      <c r="R464" s="42"/>
      <c r="S464" s="42"/>
      <c r="T464" s="42"/>
      <c r="U464" s="42"/>
      <c r="V464" s="42"/>
      <c r="W464" s="42"/>
      <c r="X464" s="42"/>
      <c r="Y464" s="42"/>
      <c r="Z464" s="42"/>
      <c r="AA464" s="42"/>
      <c r="AB464" s="42"/>
      <c r="AC464" s="42"/>
      <c r="AD464" s="42"/>
      <c r="AE464" s="42"/>
      <c r="AF464" s="42"/>
      <c r="AG464" s="3"/>
      <c r="AH464" s="3"/>
    </row>
    <row r="465" spans="1:34" x14ac:dyDescent="0.25">
      <c r="A465" s="15"/>
      <c r="B465" s="42"/>
      <c r="C465" s="42"/>
      <c r="D465" s="42"/>
      <c r="E465" s="42"/>
      <c r="F465" s="42"/>
      <c r="G465" s="42"/>
      <c r="H465" s="42"/>
      <c r="I465" s="42"/>
      <c r="J465" s="42"/>
      <c r="K465" s="42"/>
      <c r="L465" s="42"/>
      <c r="M465" s="42"/>
      <c r="N465" s="42"/>
      <c r="O465" s="42"/>
      <c r="P465" s="42"/>
      <c r="Q465" s="42"/>
      <c r="R465" s="42"/>
      <c r="S465" s="42"/>
      <c r="T465" s="42"/>
      <c r="U465" s="42"/>
      <c r="V465" s="42"/>
      <c r="W465" s="42"/>
      <c r="X465" s="42"/>
      <c r="Y465" s="42"/>
      <c r="Z465" s="42"/>
      <c r="AA465" s="42"/>
      <c r="AB465" s="42"/>
      <c r="AC465" s="42"/>
      <c r="AD465" s="42"/>
      <c r="AE465" s="42"/>
      <c r="AF465" s="42"/>
      <c r="AG465" s="3"/>
      <c r="AH465" s="3"/>
    </row>
    <row r="466" spans="1:34" x14ac:dyDescent="0.25">
      <c r="A466" s="15"/>
      <c r="B466" s="42"/>
      <c r="C466" s="42"/>
      <c r="D466" s="42"/>
      <c r="E466" s="42"/>
      <c r="F466" s="42"/>
      <c r="G466" s="42"/>
      <c r="H466" s="42"/>
      <c r="I466" s="42"/>
      <c r="J466" s="42"/>
      <c r="K466" s="42"/>
      <c r="L466" s="42"/>
      <c r="M466" s="42"/>
      <c r="N466" s="42"/>
      <c r="O466" s="42"/>
      <c r="P466" s="42"/>
      <c r="Q466" s="42"/>
      <c r="R466" s="42"/>
      <c r="S466" s="42"/>
      <c r="T466" s="42"/>
      <c r="U466" s="42"/>
      <c r="V466" s="42"/>
      <c r="W466" s="42"/>
      <c r="X466" s="42"/>
      <c r="Y466" s="42"/>
      <c r="Z466" s="42"/>
      <c r="AA466" s="42"/>
      <c r="AB466" s="42"/>
      <c r="AC466" s="42"/>
      <c r="AD466" s="42"/>
      <c r="AE466" s="42"/>
      <c r="AF466" s="42"/>
      <c r="AG466" s="3"/>
      <c r="AH466" s="3"/>
    </row>
    <row r="467" spans="1:34" x14ac:dyDescent="0.25">
      <c r="A467" s="15"/>
      <c r="B467" s="42"/>
      <c r="C467" s="42"/>
      <c r="D467" s="42"/>
      <c r="E467" s="42"/>
      <c r="F467" s="42"/>
      <c r="G467" s="42"/>
      <c r="H467" s="42"/>
      <c r="I467" s="42"/>
      <c r="J467" s="42"/>
      <c r="K467" s="42"/>
      <c r="L467" s="42"/>
      <c r="M467" s="42"/>
      <c r="N467" s="42"/>
      <c r="O467" s="42"/>
      <c r="P467" s="42"/>
      <c r="Q467" s="42"/>
      <c r="R467" s="42"/>
      <c r="S467" s="42"/>
      <c r="T467" s="42"/>
      <c r="U467" s="42"/>
      <c r="V467" s="42"/>
      <c r="W467" s="42"/>
      <c r="X467" s="42"/>
      <c r="Y467" s="42"/>
      <c r="Z467" s="42"/>
      <c r="AA467" s="42"/>
      <c r="AB467" s="42"/>
      <c r="AC467" s="42"/>
      <c r="AD467" s="42"/>
      <c r="AE467" s="42"/>
      <c r="AF467" s="42"/>
      <c r="AG467" s="3"/>
      <c r="AH467" s="3"/>
    </row>
    <row r="468" spans="1:34" x14ac:dyDescent="0.25">
      <c r="A468" s="15"/>
      <c r="B468" s="42"/>
      <c r="C468" s="42"/>
      <c r="D468" s="42"/>
      <c r="E468" s="42"/>
      <c r="F468" s="42"/>
      <c r="G468" s="42"/>
      <c r="H468" s="42"/>
      <c r="I468" s="42"/>
      <c r="J468" s="42"/>
      <c r="K468" s="42"/>
      <c r="L468" s="42"/>
      <c r="M468" s="42"/>
      <c r="N468" s="42"/>
      <c r="O468" s="42"/>
      <c r="P468" s="42"/>
      <c r="Q468" s="42"/>
      <c r="R468" s="42"/>
      <c r="S468" s="42"/>
      <c r="T468" s="42"/>
      <c r="U468" s="42"/>
      <c r="V468" s="42"/>
      <c r="W468" s="42"/>
      <c r="X468" s="42"/>
      <c r="Y468" s="42"/>
      <c r="Z468" s="42"/>
      <c r="AA468" s="42"/>
      <c r="AB468" s="42"/>
      <c r="AC468" s="42"/>
      <c r="AD468" s="42"/>
      <c r="AE468" s="42"/>
      <c r="AF468" s="42"/>
      <c r="AG468" s="3"/>
      <c r="AH468" s="3"/>
    </row>
    <row r="469" spans="1:34" x14ac:dyDescent="0.25">
      <c r="A469" s="15"/>
      <c r="B469" s="42"/>
      <c r="C469" s="42"/>
      <c r="D469" s="42"/>
      <c r="E469" s="42"/>
      <c r="F469" s="42"/>
      <c r="G469" s="42"/>
      <c r="H469" s="42"/>
      <c r="I469" s="42"/>
      <c r="J469" s="42"/>
      <c r="K469" s="42"/>
      <c r="L469" s="42"/>
      <c r="M469" s="42"/>
      <c r="N469" s="42"/>
      <c r="O469" s="42"/>
      <c r="P469" s="42"/>
      <c r="Q469" s="42"/>
      <c r="R469" s="42"/>
      <c r="S469" s="42"/>
      <c r="T469" s="42"/>
      <c r="U469" s="42"/>
      <c r="V469" s="42"/>
      <c r="W469" s="42"/>
      <c r="X469" s="42"/>
      <c r="Y469" s="42"/>
      <c r="Z469" s="42"/>
      <c r="AA469" s="42"/>
      <c r="AB469" s="42"/>
      <c r="AC469" s="42"/>
      <c r="AD469" s="42"/>
      <c r="AE469" s="42"/>
      <c r="AF469" s="42"/>
      <c r="AG469" s="3"/>
      <c r="AH469" s="3"/>
    </row>
    <row r="470" spans="1:34" x14ac:dyDescent="0.25">
      <c r="A470" s="15"/>
      <c r="B470" s="42"/>
      <c r="C470" s="42"/>
      <c r="D470" s="42"/>
      <c r="E470" s="42"/>
      <c r="F470" s="42"/>
      <c r="G470" s="42"/>
      <c r="H470" s="42"/>
      <c r="I470" s="42"/>
      <c r="J470" s="42"/>
      <c r="K470" s="42"/>
      <c r="L470" s="42"/>
      <c r="M470" s="42"/>
      <c r="N470" s="42"/>
      <c r="O470" s="42"/>
      <c r="P470" s="42"/>
      <c r="Q470" s="42"/>
      <c r="R470" s="42"/>
      <c r="S470" s="42"/>
      <c r="T470" s="42"/>
      <c r="U470" s="42"/>
      <c r="V470" s="42"/>
      <c r="W470" s="42"/>
      <c r="X470" s="42"/>
      <c r="Y470" s="42"/>
      <c r="Z470" s="42"/>
      <c r="AA470" s="42"/>
      <c r="AB470" s="42"/>
      <c r="AC470" s="42"/>
      <c r="AD470" s="42"/>
      <c r="AE470" s="42"/>
      <c r="AF470" s="42"/>
      <c r="AG470" s="3"/>
      <c r="AH470" s="3"/>
    </row>
    <row r="471" spans="1:34" x14ac:dyDescent="0.25">
      <c r="A471" s="15"/>
      <c r="B471" s="42"/>
      <c r="C471" s="42"/>
      <c r="D471" s="42"/>
      <c r="E471" s="42"/>
      <c r="F471" s="42"/>
      <c r="G471" s="42"/>
      <c r="H471" s="42"/>
      <c r="I471" s="42"/>
      <c r="J471" s="42"/>
      <c r="K471" s="42"/>
      <c r="L471" s="42"/>
      <c r="M471" s="42"/>
      <c r="N471" s="42"/>
      <c r="O471" s="42"/>
      <c r="P471" s="42"/>
      <c r="Q471" s="42"/>
      <c r="R471" s="42"/>
      <c r="S471" s="42"/>
      <c r="T471" s="42"/>
      <c r="U471" s="42"/>
      <c r="V471" s="42"/>
      <c r="W471" s="42"/>
      <c r="X471" s="42"/>
      <c r="Y471" s="42"/>
      <c r="Z471" s="42"/>
      <c r="AA471" s="42"/>
      <c r="AB471" s="42"/>
      <c r="AC471" s="42"/>
      <c r="AD471" s="42"/>
      <c r="AE471" s="42"/>
      <c r="AF471" s="42"/>
      <c r="AG471" s="3"/>
      <c r="AH471" s="3"/>
    </row>
    <row r="472" spans="1:34" x14ac:dyDescent="0.25">
      <c r="A472" s="15"/>
      <c r="B472" s="42"/>
      <c r="C472" s="42"/>
      <c r="D472" s="42"/>
      <c r="E472" s="42"/>
      <c r="F472" s="42"/>
      <c r="G472" s="42"/>
      <c r="H472" s="42"/>
      <c r="I472" s="42"/>
      <c r="J472" s="42"/>
      <c r="K472" s="42"/>
      <c r="L472" s="42"/>
      <c r="M472" s="42"/>
      <c r="N472" s="42"/>
      <c r="O472" s="42"/>
      <c r="P472" s="42"/>
      <c r="Q472" s="42"/>
      <c r="R472" s="42"/>
      <c r="S472" s="42"/>
      <c r="T472" s="42"/>
      <c r="U472" s="42"/>
      <c r="V472" s="42"/>
      <c r="W472" s="42"/>
      <c r="X472" s="42"/>
      <c r="Y472" s="42"/>
      <c r="Z472" s="42"/>
      <c r="AA472" s="42"/>
      <c r="AB472" s="42"/>
      <c r="AC472" s="42"/>
      <c r="AD472" s="42"/>
      <c r="AE472" s="42"/>
      <c r="AF472" s="42"/>
      <c r="AG472" s="3"/>
      <c r="AH472" s="3"/>
    </row>
    <row r="473" spans="1:34" x14ac:dyDescent="0.25">
      <c r="A473" s="15"/>
      <c r="B473" s="42"/>
      <c r="C473" s="42"/>
      <c r="D473" s="42"/>
      <c r="E473" s="42"/>
      <c r="F473" s="42"/>
      <c r="G473" s="42"/>
      <c r="H473" s="42"/>
      <c r="I473" s="42"/>
      <c r="J473" s="42"/>
      <c r="K473" s="42"/>
      <c r="L473" s="42"/>
      <c r="M473" s="42"/>
      <c r="N473" s="42"/>
      <c r="O473" s="42"/>
      <c r="P473" s="42"/>
      <c r="Q473" s="42"/>
      <c r="R473" s="42"/>
      <c r="S473" s="42"/>
      <c r="T473" s="42"/>
      <c r="U473" s="42"/>
      <c r="V473" s="42"/>
      <c r="W473" s="42"/>
      <c r="X473" s="42"/>
      <c r="Y473" s="42"/>
      <c r="Z473" s="42"/>
      <c r="AA473" s="42"/>
      <c r="AB473" s="42"/>
      <c r="AC473" s="42"/>
      <c r="AD473" s="42"/>
      <c r="AE473" s="42"/>
      <c r="AF473" s="42"/>
      <c r="AG473" s="3"/>
      <c r="AH473" s="3"/>
    </row>
    <row r="474" spans="1:34" x14ac:dyDescent="0.25">
      <c r="A474" s="15"/>
      <c r="B474" s="42"/>
      <c r="C474" s="42"/>
      <c r="D474" s="42"/>
      <c r="E474" s="42"/>
      <c r="F474" s="42"/>
      <c r="G474" s="42"/>
      <c r="H474" s="42"/>
      <c r="I474" s="42"/>
      <c r="J474" s="42"/>
      <c r="K474" s="42"/>
      <c r="L474" s="42"/>
      <c r="M474" s="42"/>
      <c r="N474" s="42"/>
      <c r="O474" s="42"/>
      <c r="P474" s="42"/>
      <c r="Q474" s="42"/>
      <c r="R474" s="42"/>
      <c r="S474" s="42"/>
      <c r="T474" s="42"/>
      <c r="U474" s="42"/>
      <c r="V474" s="42"/>
      <c r="W474" s="42"/>
      <c r="X474" s="42"/>
      <c r="Y474" s="42"/>
      <c r="Z474" s="42"/>
      <c r="AA474" s="42"/>
      <c r="AB474" s="42"/>
      <c r="AC474" s="42"/>
      <c r="AD474" s="42"/>
      <c r="AE474" s="42"/>
      <c r="AF474" s="42"/>
      <c r="AG474" s="3"/>
      <c r="AH474" s="3"/>
    </row>
    <row r="475" spans="1:34" x14ac:dyDescent="0.25">
      <c r="A475" s="90"/>
      <c r="B475" s="73"/>
      <c r="C475" s="73"/>
      <c r="D475" s="73"/>
      <c r="E475" s="73"/>
      <c r="F475" s="73"/>
      <c r="G475" s="73"/>
      <c r="H475" s="73"/>
      <c r="I475" s="73"/>
      <c r="J475" s="73"/>
      <c r="K475" s="73"/>
      <c r="L475" s="73"/>
      <c r="M475" s="73"/>
      <c r="N475" s="73"/>
      <c r="O475" s="73"/>
      <c r="P475" s="73"/>
      <c r="Q475" s="73"/>
      <c r="R475" s="73"/>
      <c r="S475" s="73"/>
      <c r="T475" s="73"/>
      <c r="U475" s="73"/>
      <c r="V475" s="73"/>
      <c r="W475" s="73"/>
      <c r="X475" s="73"/>
      <c r="Y475" s="73"/>
      <c r="Z475" s="73"/>
      <c r="AA475" s="73"/>
      <c r="AB475" s="73"/>
      <c r="AC475" s="73"/>
      <c r="AD475" s="73"/>
      <c r="AE475" s="73"/>
      <c r="AF475" s="73"/>
    </row>
    <row r="476" spans="1:34" x14ac:dyDescent="0.25">
      <c r="A476" s="15"/>
      <c r="B476" s="91"/>
      <c r="C476" s="91"/>
      <c r="D476" s="91"/>
      <c r="E476" s="91"/>
      <c r="F476" s="91"/>
      <c r="G476" s="91"/>
      <c r="H476" s="91"/>
      <c r="I476" s="91"/>
      <c r="J476" s="91"/>
      <c r="K476" s="91"/>
      <c r="L476" s="91"/>
      <c r="M476" s="91"/>
      <c r="N476" s="91"/>
      <c r="O476" s="91"/>
      <c r="P476" s="91"/>
      <c r="Q476" s="91"/>
      <c r="R476" s="91"/>
      <c r="S476" s="91"/>
      <c r="T476" s="91"/>
      <c r="U476" s="91"/>
      <c r="V476" s="91"/>
      <c r="W476" s="91"/>
      <c r="X476" s="91"/>
      <c r="Y476" s="91"/>
      <c r="Z476" s="91"/>
      <c r="AA476" s="91"/>
      <c r="AB476" s="91"/>
      <c r="AC476" s="91"/>
      <c r="AD476" s="91"/>
      <c r="AE476" s="91"/>
      <c r="AF476" s="91"/>
      <c r="AG476" s="3"/>
      <c r="AH476" s="3"/>
    </row>
    <row r="477" spans="1:34" x14ac:dyDescent="0.25">
      <c r="A477" s="92"/>
      <c r="B477" s="72"/>
      <c r="C477" s="72"/>
      <c r="D477" s="72"/>
      <c r="E477" s="72"/>
      <c r="F477" s="72"/>
      <c r="G477" s="72"/>
      <c r="H477" s="72"/>
      <c r="I477" s="72"/>
      <c r="J477" s="72"/>
      <c r="K477" s="72"/>
      <c r="L477" s="72"/>
      <c r="M477" s="72"/>
      <c r="N477" s="72"/>
      <c r="O477" s="72"/>
      <c r="P477" s="72"/>
      <c r="Q477" s="72"/>
      <c r="R477" s="72"/>
      <c r="S477" s="72"/>
      <c r="T477" s="72"/>
      <c r="U477" s="72"/>
      <c r="V477" s="72"/>
      <c r="W477" s="72"/>
      <c r="X477" s="72"/>
      <c r="Y477" s="72"/>
      <c r="Z477" s="72"/>
      <c r="AA477" s="72"/>
      <c r="AB477" s="72"/>
      <c r="AC477" s="72"/>
      <c r="AD477" s="72"/>
      <c r="AE477" s="72"/>
      <c r="AF477" s="72"/>
      <c r="AG477" s="3"/>
      <c r="AH477" s="3"/>
    </row>
    <row r="478" spans="1:34" x14ac:dyDescent="0.25">
      <c r="A478" s="15"/>
      <c r="B478" s="15"/>
      <c r="C478" s="15"/>
      <c r="D478" s="15"/>
      <c r="E478" s="15"/>
      <c r="F478" s="15"/>
      <c r="G478" s="15"/>
      <c r="H478" s="15"/>
      <c r="I478" s="15"/>
      <c r="J478" s="15"/>
      <c r="K478" s="15"/>
      <c r="L478" s="15"/>
      <c r="M478" s="15"/>
      <c r="N478" s="15"/>
      <c r="O478" s="15"/>
      <c r="P478" s="15"/>
      <c r="Q478" s="15"/>
      <c r="R478" s="15"/>
      <c r="S478" s="15"/>
      <c r="T478" s="15"/>
      <c r="U478" s="15"/>
      <c r="V478" s="15"/>
      <c r="W478" s="15"/>
      <c r="X478" s="15"/>
      <c r="Y478" s="15"/>
      <c r="Z478" s="15"/>
      <c r="AA478" s="15"/>
      <c r="AB478" s="15"/>
      <c r="AC478" s="15"/>
      <c r="AD478" s="15"/>
      <c r="AE478" s="15"/>
      <c r="AF478" s="15"/>
      <c r="AG478" s="38"/>
      <c r="AH478" s="38"/>
    </row>
    <row r="479" spans="1:34" x14ac:dyDescent="0.25">
      <c r="A479" s="87"/>
      <c r="B479" s="15"/>
      <c r="C479" s="15"/>
      <c r="D479" s="15"/>
      <c r="E479" s="15"/>
      <c r="F479" s="15"/>
      <c r="G479" s="15"/>
      <c r="H479" s="15"/>
      <c r="I479" s="15"/>
      <c r="J479" s="15"/>
      <c r="K479" s="15"/>
      <c r="L479" s="15"/>
      <c r="M479" s="15"/>
      <c r="N479" s="15"/>
      <c r="O479" s="15"/>
      <c r="P479" s="15"/>
      <c r="Q479" s="15"/>
      <c r="R479" s="15"/>
      <c r="S479" s="15"/>
      <c r="T479" s="15"/>
      <c r="U479" s="15"/>
      <c r="V479" s="15"/>
      <c r="W479" s="15"/>
      <c r="X479" s="15"/>
      <c r="Y479" s="15"/>
      <c r="Z479" s="15"/>
      <c r="AA479" s="15"/>
      <c r="AB479" s="15"/>
      <c r="AC479" s="15"/>
      <c r="AD479" s="15"/>
      <c r="AE479" s="15"/>
      <c r="AF479" s="15"/>
    </row>
    <row r="480" spans="1:34" x14ac:dyDescent="0.25">
      <c r="A480" s="87"/>
      <c r="B480" s="22"/>
      <c r="C480" s="22"/>
      <c r="D480" s="22"/>
      <c r="E480" s="22"/>
      <c r="F480" s="22"/>
      <c r="G480" s="22"/>
      <c r="H480" s="22"/>
      <c r="I480" s="22"/>
      <c r="J480" s="22"/>
      <c r="K480" s="22"/>
      <c r="L480" s="22"/>
      <c r="M480" s="22"/>
      <c r="N480" s="22"/>
      <c r="O480" s="22"/>
      <c r="P480" s="22"/>
      <c r="Q480" s="22"/>
      <c r="R480" s="22"/>
      <c r="S480" s="22"/>
      <c r="T480" s="22"/>
      <c r="U480" s="22"/>
      <c r="V480" s="22"/>
      <c r="W480" s="22"/>
      <c r="X480" s="22"/>
      <c r="Y480" s="22"/>
      <c r="Z480" s="22"/>
      <c r="AA480" s="22"/>
      <c r="AB480" s="22"/>
      <c r="AC480" s="22"/>
      <c r="AD480" s="22"/>
      <c r="AE480" s="22"/>
      <c r="AF480" s="22"/>
      <c r="AG480" s="22"/>
      <c r="AH480" s="22"/>
    </row>
    <row r="481" spans="1:34" x14ac:dyDescent="0.25">
      <c r="A481" s="87"/>
      <c r="B481" s="22"/>
      <c r="C481" s="22"/>
      <c r="D481" s="22"/>
      <c r="E481" s="22"/>
      <c r="F481" s="22"/>
      <c r="G481" s="22"/>
      <c r="H481" s="22"/>
      <c r="I481" s="22"/>
      <c r="J481" s="22"/>
      <c r="K481" s="22"/>
      <c r="L481" s="22"/>
      <c r="M481" s="22"/>
      <c r="N481" s="22"/>
      <c r="O481" s="22"/>
      <c r="P481" s="22"/>
      <c r="Q481" s="22"/>
      <c r="R481" s="22"/>
      <c r="S481" s="22"/>
      <c r="T481" s="22"/>
      <c r="U481" s="22"/>
      <c r="V481" s="22"/>
      <c r="W481" s="22"/>
      <c r="X481" s="22"/>
      <c r="Y481" s="22"/>
      <c r="Z481" s="22"/>
      <c r="AA481" s="22"/>
      <c r="AB481" s="22"/>
      <c r="AC481" s="22"/>
      <c r="AD481" s="22"/>
      <c r="AE481" s="22"/>
      <c r="AF481" s="22"/>
      <c r="AG481" s="26"/>
      <c r="AH481" s="26"/>
    </row>
    <row r="482" spans="1:34" x14ac:dyDescent="0.25">
      <c r="A482" s="87"/>
      <c r="B482" s="22"/>
      <c r="C482" s="22"/>
      <c r="D482" s="22"/>
      <c r="E482" s="22"/>
      <c r="F482" s="22"/>
      <c r="G482" s="22"/>
      <c r="H482" s="22"/>
      <c r="I482" s="22"/>
      <c r="J482" s="22"/>
      <c r="K482" s="22"/>
      <c r="L482" s="22"/>
      <c r="M482" s="22"/>
      <c r="N482" s="22"/>
      <c r="O482" s="22"/>
      <c r="P482" s="22"/>
      <c r="Q482" s="22"/>
      <c r="R482" s="22"/>
      <c r="S482" s="22"/>
      <c r="T482" s="22"/>
      <c r="U482" s="22"/>
      <c r="V482" s="22"/>
      <c r="W482" s="22"/>
      <c r="X482" s="22"/>
      <c r="Y482" s="22"/>
      <c r="Z482" s="22"/>
      <c r="AA482" s="22"/>
      <c r="AB482" s="22"/>
      <c r="AC482" s="22"/>
      <c r="AD482" s="22"/>
      <c r="AE482" s="22"/>
      <c r="AF482" s="22"/>
      <c r="AG482" s="27"/>
      <c r="AH482" s="27"/>
    </row>
    <row r="483" spans="1:34" x14ac:dyDescent="0.25">
      <c r="A483" s="15"/>
      <c r="B483" s="42"/>
      <c r="C483" s="42"/>
      <c r="D483" s="42"/>
      <c r="E483" s="42"/>
      <c r="F483" s="42"/>
      <c r="G483" s="42"/>
      <c r="H483" s="42"/>
      <c r="I483" s="42"/>
      <c r="J483" s="42"/>
      <c r="K483" s="42"/>
      <c r="L483" s="42"/>
      <c r="M483" s="42"/>
      <c r="N483" s="42"/>
      <c r="O483" s="42"/>
      <c r="P483" s="42"/>
      <c r="Q483" s="42"/>
      <c r="R483" s="42"/>
      <c r="S483" s="42"/>
      <c r="T483" s="42"/>
      <c r="U483" s="42"/>
      <c r="V483" s="42"/>
      <c r="W483" s="42"/>
      <c r="X483" s="42"/>
      <c r="Y483" s="42"/>
      <c r="Z483" s="42"/>
      <c r="AA483" s="42"/>
      <c r="AB483" s="42"/>
      <c r="AC483" s="42"/>
      <c r="AD483" s="42"/>
      <c r="AE483" s="42"/>
      <c r="AF483" s="42"/>
      <c r="AG483" s="3"/>
      <c r="AH483" s="3"/>
    </row>
    <row r="484" spans="1:34" x14ac:dyDescent="0.25">
      <c r="A484" s="15"/>
      <c r="B484" s="42"/>
      <c r="C484" s="42"/>
      <c r="D484" s="42"/>
      <c r="E484" s="42"/>
      <c r="F484" s="42"/>
      <c r="G484" s="42"/>
      <c r="H484" s="42"/>
      <c r="I484" s="42"/>
      <c r="J484" s="42"/>
      <c r="K484" s="42"/>
      <c r="L484" s="42"/>
      <c r="M484" s="42"/>
      <c r="N484" s="42"/>
      <c r="O484" s="42"/>
      <c r="P484" s="42"/>
      <c r="Q484" s="42"/>
      <c r="R484" s="42"/>
      <c r="S484" s="42"/>
      <c r="T484" s="42"/>
      <c r="U484" s="42"/>
      <c r="V484" s="42"/>
      <c r="W484" s="42"/>
      <c r="X484" s="42"/>
      <c r="Y484" s="42"/>
      <c r="Z484" s="42"/>
      <c r="AA484" s="42"/>
      <c r="AB484" s="42"/>
      <c r="AC484" s="42"/>
      <c r="AD484" s="42"/>
      <c r="AE484" s="42"/>
      <c r="AF484" s="42"/>
      <c r="AG484" s="3"/>
      <c r="AH484" s="3"/>
    </row>
    <row r="485" spans="1:34" x14ac:dyDescent="0.25">
      <c r="A485" s="15"/>
      <c r="B485" s="42"/>
      <c r="C485" s="42"/>
      <c r="D485" s="42"/>
      <c r="E485" s="42"/>
      <c r="F485" s="42"/>
      <c r="G485" s="42"/>
      <c r="H485" s="42"/>
      <c r="I485" s="42"/>
      <c r="J485" s="42"/>
      <c r="K485" s="42"/>
      <c r="L485" s="42"/>
      <c r="M485" s="42"/>
      <c r="N485" s="42"/>
      <c r="O485" s="42"/>
      <c r="P485" s="42"/>
      <c r="Q485" s="42"/>
      <c r="R485" s="42"/>
      <c r="S485" s="42"/>
      <c r="T485" s="42"/>
      <c r="U485" s="42"/>
      <c r="V485" s="42"/>
      <c r="W485" s="42"/>
      <c r="X485" s="42"/>
      <c r="Y485" s="42"/>
      <c r="Z485" s="42"/>
      <c r="AA485" s="42"/>
      <c r="AB485" s="42"/>
      <c r="AC485" s="42"/>
      <c r="AD485" s="42"/>
      <c r="AE485" s="42"/>
      <c r="AF485" s="42"/>
      <c r="AG485" s="3"/>
      <c r="AH485" s="3"/>
    </row>
    <row r="486" spans="1:34" x14ac:dyDescent="0.25">
      <c r="A486" s="15"/>
      <c r="B486" s="42"/>
      <c r="C486" s="42"/>
      <c r="D486" s="42"/>
      <c r="E486" s="42"/>
      <c r="F486" s="42"/>
      <c r="G486" s="42"/>
      <c r="H486" s="42"/>
      <c r="I486" s="42"/>
      <c r="J486" s="42"/>
      <c r="K486" s="42"/>
      <c r="L486" s="42"/>
      <c r="M486" s="42"/>
      <c r="N486" s="42"/>
      <c r="O486" s="42"/>
      <c r="P486" s="42"/>
      <c r="Q486" s="42"/>
      <c r="R486" s="42"/>
      <c r="S486" s="42"/>
      <c r="T486" s="42"/>
      <c r="U486" s="42"/>
      <c r="V486" s="42"/>
      <c r="W486" s="42"/>
      <c r="X486" s="42"/>
      <c r="Y486" s="42"/>
      <c r="Z486" s="42"/>
      <c r="AA486" s="42"/>
      <c r="AB486" s="42"/>
      <c r="AC486" s="42"/>
      <c r="AD486" s="42"/>
      <c r="AE486" s="42"/>
      <c r="AF486" s="42"/>
      <c r="AG486" s="3"/>
      <c r="AH486" s="3"/>
    </row>
    <row r="487" spans="1:34" x14ac:dyDescent="0.25">
      <c r="A487" s="15"/>
      <c r="B487" s="42"/>
      <c r="C487" s="42"/>
      <c r="D487" s="42"/>
      <c r="E487" s="42"/>
      <c r="F487" s="42"/>
      <c r="G487" s="42"/>
      <c r="H487" s="42"/>
      <c r="I487" s="42"/>
      <c r="J487" s="42"/>
      <c r="K487" s="42"/>
      <c r="L487" s="42"/>
      <c r="M487" s="42"/>
      <c r="N487" s="42"/>
      <c r="O487" s="42"/>
      <c r="P487" s="42"/>
      <c r="Q487" s="42"/>
      <c r="R487" s="42"/>
      <c r="S487" s="42"/>
      <c r="T487" s="42"/>
      <c r="U487" s="42"/>
      <c r="V487" s="42"/>
      <c r="W487" s="42"/>
      <c r="X487" s="42"/>
      <c r="Y487" s="42"/>
      <c r="Z487" s="42"/>
      <c r="AA487" s="42"/>
      <c r="AB487" s="42"/>
      <c r="AC487" s="42"/>
      <c r="AD487" s="42"/>
      <c r="AE487" s="42"/>
      <c r="AF487" s="42"/>
      <c r="AG487" s="3"/>
      <c r="AH487" s="3"/>
    </row>
    <row r="488" spans="1:34" x14ac:dyDescent="0.25">
      <c r="A488" s="15"/>
      <c r="B488" s="42"/>
      <c r="C488" s="42"/>
      <c r="D488" s="42"/>
      <c r="E488" s="42"/>
      <c r="F488" s="42"/>
      <c r="G488" s="42"/>
      <c r="H488" s="42"/>
      <c r="I488" s="42"/>
      <c r="J488" s="42"/>
      <c r="K488" s="42"/>
      <c r="L488" s="42"/>
      <c r="M488" s="42"/>
      <c r="N488" s="42"/>
      <c r="O488" s="42"/>
      <c r="P488" s="42"/>
      <c r="Q488" s="42"/>
      <c r="R488" s="42"/>
      <c r="S488" s="42"/>
      <c r="T488" s="42"/>
      <c r="U488" s="42"/>
      <c r="V488" s="42"/>
      <c r="W488" s="42"/>
      <c r="X488" s="42"/>
      <c r="Y488" s="42"/>
      <c r="Z488" s="42"/>
      <c r="AA488" s="42"/>
      <c r="AB488" s="42"/>
      <c r="AC488" s="42"/>
      <c r="AD488" s="42"/>
      <c r="AE488" s="42"/>
      <c r="AF488" s="42"/>
      <c r="AG488" s="3"/>
      <c r="AH488" s="3"/>
    </row>
    <row r="489" spans="1:34" x14ac:dyDescent="0.25">
      <c r="A489" s="15"/>
      <c r="B489" s="42"/>
      <c r="C489" s="42"/>
      <c r="D489" s="42"/>
      <c r="E489" s="42"/>
      <c r="F489" s="42"/>
      <c r="G489" s="42"/>
      <c r="H489" s="42"/>
      <c r="I489" s="42"/>
      <c r="J489" s="42"/>
      <c r="K489" s="42"/>
      <c r="L489" s="42"/>
      <c r="M489" s="42"/>
      <c r="N489" s="42"/>
      <c r="O489" s="42"/>
      <c r="P489" s="42"/>
      <c r="Q489" s="42"/>
      <c r="R489" s="42"/>
      <c r="S489" s="42"/>
      <c r="T489" s="42"/>
      <c r="U489" s="42"/>
      <c r="V489" s="42"/>
      <c r="W489" s="42"/>
      <c r="X489" s="42"/>
      <c r="Y489" s="42"/>
      <c r="Z489" s="42"/>
      <c r="AA489" s="42"/>
      <c r="AB489" s="42"/>
      <c r="AC489" s="42"/>
      <c r="AD489" s="42"/>
      <c r="AE489" s="42"/>
      <c r="AF489" s="42"/>
      <c r="AG489" s="3"/>
      <c r="AH489" s="3"/>
    </row>
    <row r="490" spans="1:34" x14ac:dyDescent="0.25">
      <c r="A490" s="15"/>
      <c r="B490" s="42"/>
      <c r="C490" s="42"/>
      <c r="D490" s="42"/>
      <c r="E490" s="42"/>
      <c r="F490" s="42"/>
      <c r="G490" s="42"/>
      <c r="H490" s="42"/>
      <c r="I490" s="42"/>
      <c r="J490" s="42"/>
      <c r="K490" s="42"/>
      <c r="L490" s="42"/>
      <c r="M490" s="42"/>
      <c r="N490" s="42"/>
      <c r="O490" s="42"/>
      <c r="P490" s="42"/>
      <c r="Q490" s="42"/>
      <c r="R490" s="42"/>
      <c r="S490" s="42"/>
      <c r="T490" s="42"/>
      <c r="U490" s="42"/>
      <c r="V490" s="42"/>
      <c r="W490" s="42"/>
      <c r="X490" s="42"/>
      <c r="Y490" s="42"/>
      <c r="Z490" s="42"/>
      <c r="AA490" s="42"/>
      <c r="AB490" s="42"/>
      <c r="AC490" s="42"/>
      <c r="AD490" s="42"/>
      <c r="AE490" s="42"/>
      <c r="AF490" s="42"/>
      <c r="AG490" s="3"/>
      <c r="AH490" s="3"/>
    </row>
    <row r="491" spans="1:34" x14ac:dyDescent="0.25">
      <c r="A491" s="15"/>
      <c r="B491" s="42"/>
      <c r="C491" s="42"/>
      <c r="D491" s="42"/>
      <c r="E491" s="42"/>
      <c r="F491" s="42"/>
      <c r="G491" s="42"/>
      <c r="H491" s="42"/>
      <c r="I491" s="42"/>
      <c r="J491" s="42"/>
      <c r="K491" s="42"/>
      <c r="L491" s="42"/>
      <c r="M491" s="42"/>
      <c r="N491" s="42"/>
      <c r="O491" s="42"/>
      <c r="P491" s="42"/>
      <c r="Q491" s="42"/>
      <c r="R491" s="42"/>
      <c r="S491" s="42"/>
      <c r="T491" s="42"/>
      <c r="U491" s="42"/>
      <c r="V491" s="42"/>
      <c r="W491" s="42"/>
      <c r="X491" s="42"/>
      <c r="Y491" s="42"/>
      <c r="Z491" s="42"/>
      <c r="AA491" s="42"/>
      <c r="AB491" s="42"/>
      <c r="AC491" s="42"/>
      <c r="AD491" s="42"/>
      <c r="AE491" s="42"/>
      <c r="AF491" s="42"/>
      <c r="AG491" s="3"/>
      <c r="AH491" s="3"/>
    </row>
    <row r="492" spans="1:34" x14ac:dyDescent="0.25">
      <c r="A492" s="15"/>
      <c r="B492" s="42"/>
      <c r="C492" s="42"/>
      <c r="D492" s="42"/>
      <c r="E492" s="42"/>
      <c r="F492" s="42"/>
      <c r="G492" s="42"/>
      <c r="H492" s="42"/>
      <c r="I492" s="42"/>
      <c r="J492" s="42"/>
      <c r="K492" s="42"/>
      <c r="L492" s="42"/>
      <c r="M492" s="42"/>
      <c r="N492" s="42"/>
      <c r="O492" s="42"/>
      <c r="P492" s="42"/>
      <c r="Q492" s="42"/>
      <c r="R492" s="42"/>
      <c r="S492" s="42"/>
      <c r="T492" s="42"/>
      <c r="U492" s="42"/>
      <c r="V492" s="42"/>
      <c r="W492" s="42"/>
      <c r="X492" s="42"/>
      <c r="Y492" s="42"/>
      <c r="Z492" s="42"/>
      <c r="AA492" s="42"/>
      <c r="AB492" s="42"/>
      <c r="AC492" s="42"/>
      <c r="AD492" s="42"/>
      <c r="AE492" s="42"/>
      <c r="AF492" s="42"/>
      <c r="AG492" s="3"/>
      <c r="AH492" s="3"/>
    </row>
    <row r="493" spans="1:34" x14ac:dyDescent="0.25">
      <c r="A493" s="15"/>
      <c r="B493" s="42"/>
      <c r="C493" s="42"/>
      <c r="D493" s="42"/>
      <c r="E493" s="42"/>
      <c r="F493" s="42"/>
      <c r="G493" s="42"/>
      <c r="H493" s="42"/>
      <c r="I493" s="42"/>
      <c r="J493" s="42"/>
      <c r="K493" s="42"/>
      <c r="L493" s="42"/>
      <c r="M493" s="42"/>
      <c r="N493" s="42"/>
      <c r="O493" s="42"/>
      <c r="P493" s="42"/>
      <c r="Q493" s="42"/>
      <c r="R493" s="42"/>
      <c r="S493" s="42"/>
      <c r="T493" s="42"/>
      <c r="U493" s="42"/>
      <c r="V493" s="42"/>
      <c r="W493" s="42"/>
      <c r="X493" s="42"/>
      <c r="Y493" s="42"/>
      <c r="Z493" s="42"/>
      <c r="AA493" s="42"/>
      <c r="AB493" s="42"/>
      <c r="AC493" s="42"/>
      <c r="AD493" s="42"/>
      <c r="AE493" s="42"/>
      <c r="AF493" s="42"/>
      <c r="AG493" s="3"/>
      <c r="AH493" s="3"/>
    </row>
    <row r="494" spans="1:34" x14ac:dyDescent="0.25">
      <c r="A494" s="15"/>
      <c r="B494" s="42"/>
      <c r="C494" s="42"/>
      <c r="D494" s="42"/>
      <c r="E494" s="42"/>
      <c r="F494" s="42"/>
      <c r="G494" s="42"/>
      <c r="H494" s="42"/>
      <c r="I494" s="42"/>
      <c r="J494" s="42"/>
      <c r="K494" s="42"/>
      <c r="L494" s="42"/>
      <c r="M494" s="42"/>
      <c r="N494" s="42"/>
      <c r="O494" s="42"/>
      <c r="P494" s="42"/>
      <c r="Q494" s="42"/>
      <c r="R494" s="42"/>
      <c r="S494" s="42"/>
      <c r="T494" s="42"/>
      <c r="U494" s="42"/>
      <c r="V494" s="42"/>
      <c r="W494" s="42"/>
      <c r="X494" s="42"/>
      <c r="Y494" s="42"/>
      <c r="Z494" s="42"/>
      <c r="AA494" s="42"/>
      <c r="AB494" s="42"/>
      <c r="AC494" s="42"/>
      <c r="AD494" s="42"/>
      <c r="AE494" s="42"/>
      <c r="AF494" s="42"/>
      <c r="AG494" s="3"/>
      <c r="AH494" s="3"/>
    </row>
    <row r="495" spans="1:34" x14ac:dyDescent="0.25">
      <c r="A495" s="15"/>
      <c r="B495" s="42"/>
      <c r="C495" s="42"/>
      <c r="D495" s="42"/>
      <c r="E495" s="42"/>
      <c r="F495" s="42"/>
      <c r="G495" s="42"/>
      <c r="H495" s="42"/>
      <c r="I495" s="42"/>
      <c r="J495" s="42"/>
      <c r="K495" s="42"/>
      <c r="L495" s="42"/>
      <c r="M495" s="42"/>
      <c r="N495" s="42"/>
      <c r="O495" s="42"/>
      <c r="P495" s="42"/>
      <c r="Q495" s="42"/>
      <c r="R495" s="42"/>
      <c r="S495" s="42"/>
      <c r="T495" s="42"/>
      <c r="U495" s="42"/>
      <c r="V495" s="42"/>
      <c r="W495" s="42"/>
      <c r="X495" s="42"/>
      <c r="Y495" s="42"/>
      <c r="Z495" s="42"/>
      <c r="AA495" s="42"/>
      <c r="AB495" s="42"/>
      <c r="AC495" s="42"/>
      <c r="AD495" s="42"/>
      <c r="AE495" s="42"/>
      <c r="AF495" s="42"/>
      <c r="AG495" s="3"/>
      <c r="AH495" s="3"/>
    </row>
    <row r="496" spans="1:34" x14ac:dyDescent="0.25">
      <c r="A496" s="15"/>
      <c r="B496" s="42"/>
      <c r="C496" s="42"/>
      <c r="D496" s="42"/>
      <c r="E496" s="42"/>
      <c r="F496" s="42"/>
      <c r="G496" s="42"/>
      <c r="H496" s="42"/>
      <c r="I496" s="42"/>
      <c r="J496" s="42"/>
      <c r="K496" s="42"/>
      <c r="L496" s="42"/>
      <c r="M496" s="42"/>
      <c r="N496" s="42"/>
      <c r="O496" s="42"/>
      <c r="P496" s="42"/>
      <c r="Q496" s="42"/>
      <c r="R496" s="42"/>
      <c r="S496" s="42"/>
      <c r="T496" s="42"/>
      <c r="U496" s="42"/>
      <c r="V496" s="42"/>
      <c r="W496" s="42"/>
      <c r="X496" s="42"/>
      <c r="Y496" s="42"/>
      <c r="Z496" s="42"/>
      <c r="AA496" s="42"/>
      <c r="AB496" s="42"/>
      <c r="AC496" s="42"/>
      <c r="AD496" s="42"/>
      <c r="AE496" s="42"/>
      <c r="AF496" s="42"/>
      <c r="AG496" s="3"/>
      <c r="AH496" s="3"/>
    </row>
    <row r="497" spans="1:34" x14ac:dyDescent="0.25">
      <c r="A497" s="15"/>
      <c r="B497" s="42"/>
      <c r="C497" s="42"/>
      <c r="D497" s="42"/>
      <c r="E497" s="42"/>
      <c r="F497" s="42"/>
      <c r="G497" s="42"/>
      <c r="H497" s="42"/>
      <c r="I497" s="42"/>
      <c r="J497" s="42"/>
      <c r="K497" s="42"/>
      <c r="L497" s="42"/>
      <c r="M497" s="42"/>
      <c r="N497" s="42"/>
      <c r="O497" s="42"/>
      <c r="P497" s="42"/>
      <c r="Q497" s="42"/>
      <c r="R497" s="42"/>
      <c r="S497" s="42"/>
      <c r="T497" s="42"/>
      <c r="U497" s="42"/>
      <c r="V497" s="42"/>
      <c r="W497" s="42"/>
      <c r="X497" s="42"/>
      <c r="Y497" s="42"/>
      <c r="Z497" s="42"/>
      <c r="AA497" s="42"/>
      <c r="AB497" s="42"/>
      <c r="AC497" s="42"/>
      <c r="AD497" s="42"/>
      <c r="AE497" s="42"/>
      <c r="AF497" s="42"/>
      <c r="AG497" s="3"/>
      <c r="AH497" s="3"/>
    </row>
    <row r="498" spans="1:34" x14ac:dyDescent="0.25">
      <c r="A498" s="15"/>
      <c r="B498" s="42"/>
      <c r="C498" s="42"/>
      <c r="D498" s="42"/>
      <c r="E498" s="42"/>
      <c r="F498" s="42"/>
      <c r="G498" s="42"/>
      <c r="H498" s="42"/>
      <c r="I498" s="42"/>
      <c r="J498" s="42"/>
      <c r="K498" s="42"/>
      <c r="L498" s="42"/>
      <c r="M498" s="42"/>
      <c r="N498" s="42"/>
      <c r="O498" s="42"/>
      <c r="P498" s="42"/>
      <c r="Q498" s="42"/>
      <c r="R498" s="42"/>
      <c r="S498" s="42"/>
      <c r="T498" s="42"/>
      <c r="U498" s="42"/>
      <c r="V498" s="42"/>
      <c r="W498" s="42"/>
      <c r="X498" s="42"/>
      <c r="Y498" s="42"/>
      <c r="Z498" s="42"/>
      <c r="AA498" s="42"/>
      <c r="AB498" s="42"/>
      <c r="AC498" s="42"/>
      <c r="AD498" s="42"/>
      <c r="AE498" s="42"/>
      <c r="AF498" s="42"/>
      <c r="AG498" s="3"/>
      <c r="AH498" s="3"/>
    </row>
    <row r="499" spans="1:34" x14ac:dyDescent="0.25">
      <c r="A499" s="15"/>
      <c r="B499" s="42"/>
      <c r="C499" s="42"/>
      <c r="D499" s="42"/>
      <c r="E499" s="42"/>
      <c r="F499" s="42"/>
      <c r="G499" s="42"/>
      <c r="H499" s="42"/>
      <c r="I499" s="42"/>
      <c r="J499" s="42"/>
      <c r="K499" s="42"/>
      <c r="L499" s="42"/>
      <c r="M499" s="42"/>
      <c r="N499" s="42"/>
      <c r="O499" s="42"/>
      <c r="P499" s="42"/>
      <c r="Q499" s="42"/>
      <c r="R499" s="42"/>
      <c r="S499" s="42"/>
      <c r="T499" s="42"/>
      <c r="U499" s="42"/>
      <c r="V499" s="42"/>
      <c r="W499" s="42"/>
      <c r="X499" s="42"/>
      <c r="Y499" s="42"/>
      <c r="Z499" s="42"/>
      <c r="AA499" s="42"/>
      <c r="AB499" s="42"/>
      <c r="AC499" s="42"/>
      <c r="AD499" s="42"/>
      <c r="AE499" s="42"/>
      <c r="AF499" s="42"/>
      <c r="AG499" s="3"/>
      <c r="AH499" s="3"/>
    </row>
    <row r="500" spans="1:34" x14ac:dyDescent="0.25">
      <c r="A500" s="15"/>
      <c r="B500" s="42"/>
      <c r="C500" s="42"/>
      <c r="D500" s="42"/>
      <c r="E500" s="42"/>
      <c r="F500" s="42"/>
      <c r="G500" s="42"/>
      <c r="H500" s="42"/>
      <c r="I500" s="42"/>
      <c r="J500" s="42"/>
      <c r="K500" s="42"/>
      <c r="L500" s="42"/>
      <c r="M500" s="42"/>
      <c r="N500" s="42"/>
      <c r="O500" s="42"/>
      <c r="P500" s="42"/>
      <c r="Q500" s="42"/>
      <c r="R500" s="42"/>
      <c r="S500" s="42"/>
      <c r="T500" s="42"/>
      <c r="U500" s="42"/>
      <c r="V500" s="42"/>
      <c r="W500" s="42"/>
      <c r="X500" s="42"/>
      <c r="Y500" s="42"/>
      <c r="Z500" s="42"/>
      <c r="AA500" s="42"/>
      <c r="AB500" s="42"/>
      <c r="AC500" s="42"/>
      <c r="AD500" s="42"/>
      <c r="AE500" s="42"/>
      <c r="AF500" s="42"/>
      <c r="AG500" s="3"/>
      <c r="AH500" s="3"/>
    </row>
    <row r="501" spans="1:34" x14ac:dyDescent="0.25">
      <c r="A501" s="15"/>
      <c r="B501" s="42"/>
      <c r="C501" s="42"/>
      <c r="D501" s="42"/>
      <c r="E501" s="42"/>
      <c r="F501" s="42"/>
      <c r="G501" s="42"/>
      <c r="H501" s="42"/>
      <c r="I501" s="42"/>
      <c r="J501" s="42"/>
      <c r="K501" s="42"/>
      <c r="L501" s="42"/>
      <c r="M501" s="42"/>
      <c r="N501" s="42"/>
      <c r="O501" s="42"/>
      <c r="P501" s="42"/>
      <c r="Q501" s="42"/>
      <c r="R501" s="42"/>
      <c r="S501" s="42"/>
      <c r="T501" s="42"/>
      <c r="U501" s="42"/>
      <c r="V501" s="42"/>
      <c r="W501" s="42"/>
      <c r="X501" s="42"/>
      <c r="Y501" s="42"/>
      <c r="Z501" s="42"/>
      <c r="AA501" s="42"/>
      <c r="AB501" s="42"/>
      <c r="AC501" s="42"/>
      <c r="AD501" s="42"/>
      <c r="AE501" s="42"/>
      <c r="AF501" s="42"/>
      <c r="AG501" s="3"/>
      <c r="AH501" s="3"/>
    </row>
    <row r="502" spans="1:34" x14ac:dyDescent="0.25">
      <c r="A502" s="15"/>
      <c r="B502" s="42"/>
      <c r="C502" s="42"/>
      <c r="D502" s="42"/>
      <c r="E502" s="42"/>
      <c r="F502" s="42"/>
      <c r="G502" s="42"/>
      <c r="H502" s="42"/>
      <c r="I502" s="42"/>
      <c r="J502" s="42"/>
      <c r="K502" s="42"/>
      <c r="L502" s="42"/>
      <c r="M502" s="42"/>
      <c r="N502" s="42"/>
      <c r="O502" s="42"/>
      <c r="P502" s="42"/>
      <c r="Q502" s="42"/>
      <c r="R502" s="42"/>
      <c r="S502" s="42"/>
      <c r="T502" s="42"/>
      <c r="U502" s="42"/>
      <c r="V502" s="42"/>
      <c r="W502" s="42"/>
      <c r="X502" s="42"/>
      <c r="Y502" s="42"/>
      <c r="Z502" s="42"/>
      <c r="AA502" s="42"/>
      <c r="AB502" s="42"/>
      <c r="AC502" s="42"/>
      <c r="AD502" s="42"/>
      <c r="AE502" s="42"/>
      <c r="AF502" s="42"/>
      <c r="AG502" s="3"/>
      <c r="AH502" s="3"/>
    </row>
    <row r="503" spans="1:34" x14ac:dyDescent="0.25">
      <c r="A503" s="15"/>
      <c r="B503" s="42"/>
      <c r="C503" s="42"/>
      <c r="D503" s="42"/>
      <c r="E503" s="42"/>
      <c r="F503" s="42"/>
      <c r="G503" s="42"/>
      <c r="H503" s="42"/>
      <c r="I503" s="42"/>
      <c r="J503" s="42"/>
      <c r="K503" s="42"/>
      <c r="L503" s="42"/>
      <c r="M503" s="42"/>
      <c r="N503" s="42"/>
      <c r="O503" s="42"/>
      <c r="P503" s="42"/>
      <c r="Q503" s="42"/>
      <c r="R503" s="42"/>
      <c r="S503" s="42"/>
      <c r="T503" s="42"/>
      <c r="U503" s="42"/>
      <c r="V503" s="42"/>
      <c r="W503" s="42"/>
      <c r="X503" s="42"/>
      <c r="Y503" s="42"/>
      <c r="Z503" s="42"/>
      <c r="AA503" s="42"/>
      <c r="AB503" s="42"/>
      <c r="AC503" s="42"/>
      <c r="AD503" s="42"/>
      <c r="AE503" s="42"/>
      <c r="AF503" s="42"/>
      <c r="AG503" s="3"/>
      <c r="AH503" s="3"/>
    </row>
    <row r="504" spans="1:34" x14ac:dyDescent="0.25">
      <c r="A504" s="15"/>
      <c r="B504" s="42"/>
      <c r="C504" s="42"/>
      <c r="D504" s="42"/>
      <c r="E504" s="42"/>
      <c r="F504" s="42"/>
      <c r="G504" s="42"/>
      <c r="H504" s="42"/>
      <c r="I504" s="42"/>
      <c r="J504" s="42"/>
      <c r="K504" s="42"/>
      <c r="L504" s="42"/>
      <c r="M504" s="42"/>
      <c r="N504" s="42"/>
      <c r="O504" s="42"/>
      <c r="P504" s="42"/>
      <c r="Q504" s="42"/>
      <c r="R504" s="42"/>
      <c r="S504" s="42"/>
      <c r="T504" s="42"/>
      <c r="U504" s="42"/>
      <c r="V504" s="42"/>
      <c r="W504" s="42"/>
      <c r="X504" s="42"/>
      <c r="Y504" s="42"/>
      <c r="Z504" s="42"/>
      <c r="AA504" s="42"/>
      <c r="AB504" s="42"/>
      <c r="AC504" s="42"/>
      <c r="AD504" s="42"/>
      <c r="AE504" s="42"/>
      <c r="AF504" s="42"/>
      <c r="AG504" s="3"/>
      <c r="AH504" s="3"/>
    </row>
    <row r="505" spans="1:34" x14ac:dyDescent="0.25">
      <c r="A505" s="15"/>
      <c r="B505" s="42"/>
      <c r="C505" s="42"/>
      <c r="D505" s="42"/>
      <c r="E505" s="42"/>
      <c r="F505" s="42"/>
      <c r="G505" s="42"/>
      <c r="H505" s="42"/>
      <c r="I505" s="42"/>
      <c r="J505" s="42"/>
      <c r="K505" s="42"/>
      <c r="L505" s="42"/>
      <c r="M505" s="42"/>
      <c r="N505" s="42"/>
      <c r="O505" s="42"/>
      <c r="P505" s="42"/>
      <c r="Q505" s="42"/>
      <c r="R505" s="42"/>
      <c r="S505" s="42"/>
      <c r="T505" s="42"/>
      <c r="U505" s="42"/>
      <c r="V505" s="42"/>
      <c r="W505" s="42"/>
      <c r="X505" s="42"/>
      <c r="Y505" s="42"/>
      <c r="Z505" s="42"/>
      <c r="AA505" s="42"/>
      <c r="AB505" s="42"/>
      <c r="AC505" s="42"/>
      <c r="AD505" s="42"/>
      <c r="AE505" s="42"/>
      <c r="AF505" s="42"/>
      <c r="AG505" s="3"/>
      <c r="AH505" s="3"/>
    </row>
    <row r="506" spans="1:34" x14ac:dyDescent="0.25">
      <c r="A506" s="15"/>
      <c r="B506" s="42"/>
      <c r="C506" s="42"/>
      <c r="D506" s="42"/>
      <c r="E506" s="42"/>
      <c r="F506" s="42"/>
      <c r="G506" s="42"/>
      <c r="H506" s="42"/>
      <c r="I506" s="42"/>
      <c r="J506" s="42"/>
      <c r="K506" s="42"/>
      <c r="L506" s="42"/>
      <c r="M506" s="42"/>
      <c r="N506" s="42"/>
      <c r="O506" s="42"/>
      <c r="P506" s="42"/>
      <c r="Q506" s="42"/>
      <c r="R506" s="42"/>
      <c r="S506" s="42"/>
      <c r="T506" s="42"/>
      <c r="U506" s="42"/>
      <c r="V506" s="42"/>
      <c r="W506" s="42"/>
      <c r="X506" s="42"/>
      <c r="Y506" s="42"/>
      <c r="Z506" s="42"/>
      <c r="AA506" s="42"/>
      <c r="AB506" s="42"/>
      <c r="AC506" s="42"/>
      <c r="AD506" s="42"/>
      <c r="AE506" s="42"/>
      <c r="AF506" s="42"/>
      <c r="AG506" s="3"/>
      <c r="AH506" s="3"/>
    </row>
    <row r="507" spans="1:34" x14ac:dyDescent="0.25">
      <c r="A507" s="15"/>
      <c r="B507" s="42"/>
      <c r="C507" s="42"/>
      <c r="D507" s="42"/>
      <c r="E507" s="42"/>
      <c r="F507" s="42"/>
      <c r="G507" s="42"/>
      <c r="H507" s="42"/>
      <c r="I507" s="42"/>
      <c r="J507" s="42"/>
      <c r="K507" s="42"/>
      <c r="L507" s="42"/>
      <c r="M507" s="42"/>
      <c r="N507" s="42"/>
      <c r="O507" s="42"/>
      <c r="P507" s="42"/>
      <c r="Q507" s="42"/>
      <c r="R507" s="42"/>
      <c r="S507" s="42"/>
      <c r="T507" s="42"/>
      <c r="U507" s="42"/>
      <c r="V507" s="42"/>
      <c r="W507" s="42"/>
      <c r="X507" s="42"/>
      <c r="Y507" s="42"/>
      <c r="Z507" s="42"/>
      <c r="AA507" s="42"/>
      <c r="AB507" s="42"/>
      <c r="AC507" s="42"/>
      <c r="AD507" s="42"/>
      <c r="AE507" s="42"/>
      <c r="AF507" s="42"/>
      <c r="AG507" s="3"/>
      <c r="AH507" s="3"/>
    </row>
    <row r="508" spans="1:34" x14ac:dyDescent="0.25">
      <c r="A508" s="15"/>
      <c r="B508" s="42"/>
      <c r="C508" s="42"/>
      <c r="D508" s="42"/>
      <c r="E508" s="42"/>
      <c r="F508" s="42"/>
      <c r="G508" s="42"/>
      <c r="H508" s="42"/>
      <c r="I508" s="42"/>
      <c r="J508" s="42"/>
      <c r="K508" s="42"/>
      <c r="L508" s="42"/>
      <c r="M508" s="42"/>
      <c r="N508" s="42"/>
      <c r="O508" s="42"/>
      <c r="P508" s="42"/>
      <c r="Q508" s="42"/>
      <c r="R508" s="42"/>
      <c r="S508" s="42"/>
      <c r="T508" s="42"/>
      <c r="U508" s="42"/>
      <c r="V508" s="42"/>
      <c r="W508" s="42"/>
      <c r="X508" s="42"/>
      <c r="Y508" s="42"/>
      <c r="Z508" s="42"/>
      <c r="AA508" s="42"/>
      <c r="AB508" s="42"/>
      <c r="AC508" s="42"/>
      <c r="AD508" s="42"/>
      <c r="AE508" s="42"/>
      <c r="AF508" s="42"/>
      <c r="AG508" s="3"/>
      <c r="AH508" s="3"/>
    </row>
    <row r="509" spans="1:34" x14ac:dyDescent="0.25">
      <c r="A509" s="15"/>
      <c r="B509" s="42"/>
      <c r="C509" s="42"/>
      <c r="D509" s="42"/>
      <c r="E509" s="42"/>
      <c r="F509" s="42"/>
      <c r="G509" s="42"/>
      <c r="H509" s="42"/>
      <c r="I509" s="42"/>
      <c r="J509" s="42"/>
      <c r="K509" s="42"/>
      <c r="L509" s="42"/>
      <c r="M509" s="42"/>
      <c r="N509" s="42"/>
      <c r="O509" s="42"/>
      <c r="P509" s="42"/>
      <c r="Q509" s="42"/>
      <c r="R509" s="42"/>
      <c r="S509" s="42"/>
      <c r="T509" s="42"/>
      <c r="U509" s="42"/>
      <c r="V509" s="42"/>
      <c r="W509" s="42"/>
      <c r="X509" s="42"/>
      <c r="Y509" s="42"/>
      <c r="Z509" s="42"/>
      <c r="AA509" s="42"/>
      <c r="AB509" s="42"/>
      <c r="AC509" s="42"/>
      <c r="AD509" s="42"/>
      <c r="AE509" s="42"/>
      <c r="AF509" s="42"/>
      <c r="AG509" s="3"/>
      <c r="AH509" s="3"/>
    </row>
    <row r="510" spans="1:34" x14ac:dyDescent="0.25">
      <c r="A510" s="15"/>
      <c r="B510" s="42"/>
      <c r="C510" s="42"/>
      <c r="D510" s="42"/>
      <c r="E510" s="42"/>
      <c r="F510" s="42"/>
      <c r="G510" s="42"/>
      <c r="H510" s="42"/>
      <c r="I510" s="42"/>
      <c r="J510" s="42"/>
      <c r="K510" s="42"/>
      <c r="L510" s="42"/>
      <c r="M510" s="42"/>
      <c r="N510" s="42"/>
      <c r="O510" s="42"/>
      <c r="P510" s="42"/>
      <c r="Q510" s="42"/>
      <c r="R510" s="42"/>
      <c r="S510" s="42"/>
      <c r="T510" s="42"/>
      <c r="U510" s="42"/>
      <c r="V510" s="42"/>
      <c r="W510" s="42"/>
      <c r="X510" s="42"/>
      <c r="Y510" s="42"/>
      <c r="Z510" s="42"/>
      <c r="AA510" s="42"/>
      <c r="AB510" s="42"/>
      <c r="AC510" s="42"/>
      <c r="AD510" s="42"/>
      <c r="AE510" s="42"/>
      <c r="AF510" s="42"/>
      <c r="AG510" s="3"/>
      <c r="AH510" s="3"/>
    </row>
    <row r="511" spans="1:34" x14ac:dyDescent="0.25">
      <c r="A511" s="15"/>
      <c r="B511" s="42"/>
      <c r="C511" s="42"/>
      <c r="D511" s="42"/>
      <c r="E511" s="42"/>
      <c r="F511" s="42"/>
      <c r="G511" s="42"/>
      <c r="H511" s="42"/>
      <c r="I511" s="42"/>
      <c r="J511" s="42"/>
      <c r="K511" s="42"/>
      <c r="L511" s="42"/>
      <c r="M511" s="42"/>
      <c r="N511" s="42"/>
      <c r="O511" s="42"/>
      <c r="P511" s="42"/>
      <c r="Q511" s="42"/>
      <c r="R511" s="42"/>
      <c r="S511" s="42"/>
      <c r="T511" s="42"/>
      <c r="U511" s="42"/>
      <c r="V511" s="42"/>
      <c r="W511" s="42"/>
      <c r="X511" s="42"/>
      <c r="Y511" s="42"/>
      <c r="Z511" s="42"/>
      <c r="AA511" s="42"/>
      <c r="AB511" s="42"/>
      <c r="AC511" s="42"/>
      <c r="AD511" s="42"/>
      <c r="AE511" s="42"/>
      <c r="AF511" s="42"/>
      <c r="AG511" s="3"/>
      <c r="AH511" s="3"/>
    </row>
    <row r="512" spans="1:34" x14ac:dyDescent="0.25">
      <c r="A512" s="15"/>
      <c r="B512" s="42"/>
      <c r="C512" s="42"/>
      <c r="D512" s="42"/>
      <c r="E512" s="42"/>
      <c r="F512" s="42"/>
      <c r="G512" s="42"/>
      <c r="H512" s="42"/>
      <c r="I512" s="42"/>
      <c r="J512" s="42"/>
      <c r="K512" s="42"/>
      <c r="L512" s="42"/>
      <c r="M512" s="42"/>
      <c r="N512" s="42"/>
      <c r="O512" s="42"/>
      <c r="P512" s="42"/>
      <c r="Q512" s="42"/>
      <c r="R512" s="42"/>
      <c r="S512" s="42"/>
      <c r="T512" s="42"/>
      <c r="U512" s="42"/>
      <c r="V512" s="42"/>
      <c r="W512" s="42"/>
      <c r="X512" s="42"/>
      <c r="Y512" s="42"/>
      <c r="Z512" s="42"/>
      <c r="AA512" s="42"/>
      <c r="AB512" s="42"/>
      <c r="AC512" s="42"/>
      <c r="AD512" s="42"/>
      <c r="AE512" s="42"/>
      <c r="AF512" s="42"/>
      <c r="AG512" s="3"/>
      <c r="AH512" s="3"/>
    </row>
    <row r="513" spans="1:34" x14ac:dyDescent="0.25">
      <c r="A513" s="15"/>
      <c r="B513" s="42"/>
      <c r="C513" s="42"/>
      <c r="D513" s="42"/>
      <c r="E513" s="42"/>
      <c r="F513" s="42"/>
      <c r="G513" s="42"/>
      <c r="H513" s="42"/>
      <c r="I513" s="42"/>
      <c r="J513" s="42"/>
      <c r="K513" s="42"/>
      <c r="L513" s="42"/>
      <c r="M513" s="42"/>
      <c r="N513" s="42"/>
      <c r="O513" s="42"/>
      <c r="P513" s="42"/>
      <c r="Q513" s="42"/>
      <c r="R513" s="42"/>
      <c r="S513" s="42"/>
      <c r="T513" s="42"/>
      <c r="U513" s="42"/>
      <c r="V513" s="42"/>
      <c r="W513" s="42"/>
      <c r="X513" s="42"/>
      <c r="Y513" s="42"/>
      <c r="Z513" s="42"/>
      <c r="AA513" s="42"/>
      <c r="AB513" s="42"/>
      <c r="AC513" s="42"/>
      <c r="AD513" s="42"/>
      <c r="AE513" s="42"/>
      <c r="AF513" s="42"/>
      <c r="AG513" s="3"/>
      <c r="AH513" s="3"/>
    </row>
    <row r="514" spans="1:34" x14ac:dyDescent="0.25">
      <c r="A514" s="90"/>
      <c r="B514" s="73"/>
      <c r="C514" s="73"/>
      <c r="D514" s="73"/>
      <c r="E514" s="73"/>
      <c r="F514" s="73"/>
      <c r="G514" s="73"/>
      <c r="H514" s="73"/>
      <c r="I514" s="73"/>
      <c r="J514" s="73"/>
      <c r="K514" s="73"/>
      <c r="L514" s="73"/>
      <c r="M514" s="73"/>
      <c r="N514" s="73"/>
      <c r="O514" s="73"/>
      <c r="P514" s="73"/>
      <c r="Q514" s="73"/>
      <c r="R514" s="73"/>
      <c r="S514" s="73"/>
      <c r="T514" s="73"/>
      <c r="U514" s="73"/>
      <c r="V514" s="73"/>
      <c r="W514" s="73"/>
      <c r="X514" s="73"/>
      <c r="Y514" s="73"/>
      <c r="Z514" s="73"/>
      <c r="AA514" s="73"/>
      <c r="AB514" s="73"/>
      <c r="AC514" s="73"/>
      <c r="AD514" s="73"/>
      <c r="AE514" s="73"/>
      <c r="AF514" s="73"/>
    </row>
    <row r="515" spans="1:34" x14ac:dyDescent="0.25">
      <c r="A515" s="15"/>
      <c r="B515" s="91"/>
      <c r="C515" s="91"/>
      <c r="D515" s="91"/>
      <c r="E515" s="91"/>
      <c r="F515" s="91"/>
      <c r="G515" s="91"/>
      <c r="H515" s="91"/>
      <c r="I515" s="91"/>
      <c r="J515" s="91"/>
      <c r="K515" s="91"/>
      <c r="L515" s="91"/>
      <c r="M515" s="91"/>
      <c r="N515" s="91"/>
      <c r="O515" s="91"/>
      <c r="P515" s="91"/>
      <c r="Q515" s="91"/>
      <c r="R515" s="91"/>
      <c r="S515" s="91"/>
      <c r="T515" s="91"/>
      <c r="U515" s="91"/>
      <c r="V515" s="91"/>
      <c r="W515" s="91"/>
      <c r="X515" s="91"/>
      <c r="Y515" s="91"/>
      <c r="Z515" s="91"/>
      <c r="AA515" s="91"/>
      <c r="AB515" s="91"/>
      <c r="AC515" s="91"/>
      <c r="AD515" s="91"/>
      <c r="AE515" s="91"/>
      <c r="AF515" s="91"/>
      <c r="AG515" s="3"/>
      <c r="AH515" s="3"/>
    </row>
    <row r="516" spans="1:34" x14ac:dyDescent="0.25">
      <c r="A516" s="92"/>
      <c r="B516" s="72"/>
      <c r="C516" s="72"/>
      <c r="D516" s="72"/>
      <c r="E516" s="72"/>
      <c r="F516" s="72"/>
      <c r="G516" s="72"/>
      <c r="H516" s="72"/>
      <c r="I516" s="72"/>
      <c r="J516" s="72"/>
      <c r="K516" s="72"/>
      <c r="L516" s="72"/>
      <c r="M516" s="72"/>
      <c r="N516" s="72"/>
      <c r="O516" s="72"/>
      <c r="P516" s="72"/>
      <c r="Q516" s="72"/>
      <c r="R516" s="72"/>
      <c r="S516" s="72"/>
      <c r="T516" s="72"/>
      <c r="U516" s="72"/>
      <c r="V516" s="72"/>
      <c r="W516" s="72"/>
      <c r="X516" s="72"/>
      <c r="Y516" s="72"/>
      <c r="Z516" s="72"/>
      <c r="AA516" s="72"/>
      <c r="AB516" s="72"/>
      <c r="AC516" s="72"/>
      <c r="AD516" s="72"/>
      <c r="AE516" s="72"/>
      <c r="AF516" s="72"/>
      <c r="AG516" s="3"/>
      <c r="AH516" s="3"/>
    </row>
    <row r="517" spans="1:34" x14ac:dyDescent="0.25">
      <c r="A517" s="15"/>
      <c r="B517" s="15"/>
      <c r="C517" s="15"/>
      <c r="D517" s="15"/>
      <c r="E517" s="15"/>
      <c r="F517" s="15"/>
      <c r="G517" s="15"/>
      <c r="H517" s="15"/>
      <c r="I517" s="15"/>
      <c r="J517" s="15"/>
      <c r="K517" s="15"/>
      <c r="L517" s="15"/>
      <c r="M517" s="15"/>
      <c r="N517" s="15"/>
      <c r="O517" s="15"/>
      <c r="P517" s="15"/>
      <c r="Q517" s="15"/>
      <c r="R517" s="15"/>
      <c r="S517" s="15"/>
      <c r="T517" s="15"/>
      <c r="U517" s="15"/>
      <c r="V517" s="15"/>
      <c r="W517" s="15"/>
      <c r="X517" s="15"/>
      <c r="Y517" s="15"/>
      <c r="Z517" s="15"/>
      <c r="AA517" s="15"/>
      <c r="AB517" s="15"/>
      <c r="AC517" s="15"/>
      <c r="AD517" s="15"/>
      <c r="AE517" s="15"/>
      <c r="AF517" s="15"/>
      <c r="AG517" s="38"/>
      <c r="AH517" s="38"/>
    </row>
    <row r="518" spans="1:34" x14ac:dyDescent="0.25">
      <c r="A518" s="15"/>
      <c r="B518" s="15"/>
      <c r="C518" s="15"/>
      <c r="D518" s="15"/>
      <c r="E518" s="15"/>
      <c r="F518" s="15"/>
      <c r="G518" s="15"/>
      <c r="H518" s="15"/>
      <c r="I518" s="15"/>
      <c r="J518" s="15"/>
      <c r="K518" s="15"/>
      <c r="L518" s="15"/>
      <c r="M518" s="15"/>
      <c r="N518" s="15"/>
      <c r="O518" s="15"/>
      <c r="P518" s="15"/>
      <c r="Q518" s="15"/>
      <c r="R518" s="15"/>
      <c r="S518" s="15"/>
      <c r="T518" s="15"/>
      <c r="U518" s="15"/>
      <c r="V518" s="15"/>
      <c r="W518" s="15"/>
      <c r="X518" s="15"/>
      <c r="Y518" s="15"/>
      <c r="Z518" s="15"/>
      <c r="AA518" s="15"/>
      <c r="AB518" s="15"/>
      <c r="AC518" s="15"/>
      <c r="AD518" s="15"/>
      <c r="AE518" s="15"/>
      <c r="AF518" s="15"/>
    </row>
    <row r="519" spans="1:34" x14ac:dyDescent="0.25">
      <c r="A519" s="15"/>
      <c r="B519" s="15"/>
      <c r="C519" s="15"/>
      <c r="D519" s="15"/>
      <c r="E519" s="15"/>
      <c r="F519" s="15"/>
      <c r="G519" s="15"/>
      <c r="H519" s="15"/>
      <c r="I519" s="15"/>
      <c r="J519" s="15"/>
      <c r="K519" s="15"/>
      <c r="L519" s="15"/>
      <c r="M519" s="15"/>
      <c r="N519" s="15"/>
      <c r="O519" s="15"/>
      <c r="P519" s="15"/>
      <c r="Q519" s="15"/>
      <c r="R519" s="15"/>
      <c r="S519" s="15"/>
      <c r="T519" s="15"/>
      <c r="U519" s="15"/>
      <c r="V519" s="15"/>
      <c r="W519" s="15"/>
      <c r="X519" s="15"/>
      <c r="Y519" s="15"/>
      <c r="Z519" s="15"/>
      <c r="AA519" s="15"/>
      <c r="AB519" s="15"/>
      <c r="AC519" s="15"/>
      <c r="AD519" s="15"/>
      <c r="AE519" s="15"/>
      <c r="AF519" s="15"/>
    </row>
    <row r="520" spans="1:34" x14ac:dyDescent="0.25">
      <c r="A520" s="15"/>
      <c r="B520" s="15"/>
      <c r="C520" s="15"/>
      <c r="D520" s="15"/>
      <c r="E520" s="15"/>
      <c r="F520" s="15"/>
      <c r="G520" s="15"/>
      <c r="H520" s="15"/>
      <c r="I520" s="15"/>
      <c r="J520" s="15"/>
      <c r="K520" s="15"/>
      <c r="L520" s="15"/>
      <c r="M520" s="15"/>
      <c r="N520" s="15"/>
      <c r="O520" s="15"/>
      <c r="P520" s="15"/>
      <c r="Q520" s="15"/>
      <c r="R520" s="15"/>
      <c r="S520" s="15"/>
      <c r="T520" s="15"/>
      <c r="U520" s="15"/>
      <c r="V520" s="15"/>
      <c r="W520" s="15"/>
      <c r="X520" s="15"/>
      <c r="Y520" s="15"/>
      <c r="Z520" s="15"/>
      <c r="AA520" s="15"/>
      <c r="AB520" s="15"/>
      <c r="AC520" s="15"/>
      <c r="AD520" s="15"/>
      <c r="AE520" s="15"/>
      <c r="AF520" s="15"/>
    </row>
    <row r="521" spans="1:34" x14ac:dyDescent="0.25">
      <c r="A521" s="15"/>
      <c r="B521" s="15"/>
      <c r="C521" s="15"/>
      <c r="D521" s="15"/>
      <c r="E521" s="15"/>
      <c r="F521" s="15"/>
      <c r="G521" s="15"/>
      <c r="H521" s="15"/>
      <c r="I521" s="15"/>
      <c r="J521" s="15"/>
      <c r="K521" s="15"/>
      <c r="L521" s="15"/>
      <c r="M521" s="15"/>
      <c r="N521" s="15"/>
      <c r="O521" s="15"/>
      <c r="P521" s="15"/>
      <c r="Q521" s="15"/>
      <c r="R521" s="15"/>
      <c r="S521" s="15"/>
      <c r="T521" s="15"/>
      <c r="U521" s="15"/>
      <c r="V521" s="15"/>
      <c r="W521" s="15"/>
      <c r="X521" s="15"/>
      <c r="Y521" s="15"/>
      <c r="Z521" s="15"/>
      <c r="AA521" s="15"/>
      <c r="AB521" s="15"/>
      <c r="AC521" s="15"/>
      <c r="AD521" s="15"/>
      <c r="AE521" s="15"/>
      <c r="AF521" s="15"/>
    </row>
    <row r="522" spans="1:34" x14ac:dyDescent="0.25">
      <c r="A522" s="58"/>
      <c r="B522" s="58"/>
      <c r="C522" s="58"/>
      <c r="D522" s="58"/>
      <c r="E522" s="58"/>
      <c r="F522" s="58"/>
      <c r="G522" s="58"/>
      <c r="H522" s="58"/>
      <c r="I522" s="58"/>
      <c r="J522" s="58"/>
      <c r="K522" s="58"/>
      <c r="L522" s="58"/>
      <c r="M522" s="15"/>
      <c r="N522" s="15"/>
      <c r="O522" s="15"/>
      <c r="P522" s="15"/>
      <c r="Q522" s="15"/>
      <c r="R522" s="15"/>
      <c r="S522" s="15"/>
      <c r="T522" s="15"/>
      <c r="U522" s="15"/>
      <c r="V522" s="15"/>
      <c r="W522" s="15"/>
      <c r="X522" s="15"/>
      <c r="Y522" s="15"/>
      <c r="Z522" s="15"/>
      <c r="AA522" s="15"/>
      <c r="AB522" s="15"/>
      <c r="AC522" s="15"/>
      <c r="AD522" s="15"/>
      <c r="AE522" s="15"/>
      <c r="AF522" s="15"/>
    </row>
    <row r="523" spans="1:34" x14ac:dyDescent="0.25">
      <c r="A523" s="58"/>
      <c r="B523" s="59"/>
      <c r="C523" s="59"/>
      <c r="D523" s="59"/>
      <c r="E523" s="59"/>
      <c r="F523" s="59"/>
      <c r="G523" s="59"/>
      <c r="H523" s="59"/>
      <c r="I523" s="59"/>
      <c r="J523" s="59"/>
      <c r="K523" s="59"/>
      <c r="L523" s="59"/>
      <c r="M523" s="15"/>
      <c r="N523" s="15"/>
      <c r="O523" s="15"/>
      <c r="P523" s="15"/>
      <c r="Q523" s="15"/>
      <c r="R523" s="15"/>
      <c r="S523" s="15"/>
      <c r="T523" s="15"/>
      <c r="U523" s="15"/>
      <c r="V523" s="15"/>
      <c r="W523" s="15"/>
      <c r="X523" s="15"/>
      <c r="Y523" s="15"/>
      <c r="Z523" s="15"/>
      <c r="AA523" s="15"/>
      <c r="AB523" s="15"/>
      <c r="AC523" s="15"/>
      <c r="AD523" s="15"/>
      <c r="AE523" s="15"/>
      <c r="AF523" s="15"/>
    </row>
    <row r="524" spans="1:34" x14ac:dyDescent="0.25">
      <c r="A524" s="58"/>
      <c r="B524" s="59"/>
      <c r="C524" s="59"/>
      <c r="D524" s="59"/>
      <c r="E524" s="59"/>
      <c r="F524" s="59"/>
      <c r="G524" s="59"/>
      <c r="H524" s="59"/>
      <c r="I524" s="59"/>
      <c r="J524" s="59"/>
      <c r="K524" s="59"/>
      <c r="L524" s="59"/>
      <c r="M524" s="15"/>
      <c r="N524" s="15"/>
      <c r="O524" s="15"/>
      <c r="P524" s="15"/>
      <c r="Q524" s="15"/>
      <c r="R524" s="15"/>
      <c r="S524" s="15"/>
      <c r="T524" s="15"/>
      <c r="U524" s="15"/>
      <c r="V524" s="15"/>
      <c r="W524" s="15"/>
      <c r="X524" s="15"/>
      <c r="Y524" s="15"/>
      <c r="Z524" s="15"/>
      <c r="AA524" s="15"/>
      <c r="AB524" s="15"/>
      <c r="AC524" s="15"/>
      <c r="AD524" s="15"/>
      <c r="AE524" s="15"/>
      <c r="AF524" s="15"/>
    </row>
    <row r="525" spans="1:34" x14ac:dyDescent="0.25">
      <c r="A525" s="58"/>
      <c r="B525" s="59"/>
      <c r="C525" s="59"/>
      <c r="D525" s="59"/>
      <c r="E525" s="59"/>
      <c r="F525" s="59"/>
      <c r="G525" s="59"/>
      <c r="H525" s="59"/>
      <c r="I525" s="59"/>
      <c r="J525" s="59"/>
      <c r="K525" s="59"/>
      <c r="L525" s="59"/>
      <c r="M525" s="15"/>
      <c r="N525" s="15"/>
      <c r="O525" s="15"/>
      <c r="P525" s="15"/>
      <c r="Q525" s="15"/>
      <c r="R525" s="15"/>
      <c r="S525" s="15"/>
      <c r="T525" s="15"/>
      <c r="U525" s="15"/>
      <c r="V525" s="15"/>
      <c r="W525" s="15"/>
      <c r="X525" s="15"/>
      <c r="Y525" s="15"/>
      <c r="Z525" s="15"/>
      <c r="AA525" s="15"/>
      <c r="AB525" s="15"/>
      <c r="AC525" s="15"/>
      <c r="AD525" s="15"/>
      <c r="AE525" s="15"/>
      <c r="AF525" s="15"/>
    </row>
    <row r="526" spans="1:34" x14ac:dyDescent="0.25">
      <c r="A526" s="58"/>
      <c r="B526" s="59"/>
      <c r="C526" s="59"/>
      <c r="D526" s="59"/>
      <c r="E526" s="59"/>
      <c r="F526" s="59"/>
      <c r="G526" s="59"/>
      <c r="H526" s="59"/>
      <c r="I526" s="59"/>
      <c r="J526" s="59"/>
      <c r="K526" s="59"/>
      <c r="L526" s="59"/>
      <c r="M526" s="15"/>
      <c r="N526" s="15"/>
      <c r="O526" s="15"/>
      <c r="P526" s="15"/>
      <c r="Q526" s="15"/>
      <c r="R526" s="15"/>
      <c r="S526" s="15"/>
      <c r="T526" s="15"/>
      <c r="U526" s="15"/>
      <c r="V526" s="15"/>
      <c r="W526" s="15"/>
      <c r="X526" s="15"/>
      <c r="Y526" s="15"/>
      <c r="Z526" s="15"/>
      <c r="AA526" s="15"/>
      <c r="AB526" s="15"/>
      <c r="AC526" s="15"/>
      <c r="AD526" s="15"/>
      <c r="AE526" s="15"/>
      <c r="AF526" s="15"/>
    </row>
    <row r="527" spans="1:34" x14ac:dyDescent="0.25">
      <c r="A527" s="58"/>
      <c r="B527" s="59"/>
      <c r="C527" s="59"/>
      <c r="D527" s="59"/>
      <c r="E527" s="59"/>
      <c r="F527" s="59"/>
      <c r="G527" s="59"/>
      <c r="H527" s="59"/>
      <c r="I527" s="59"/>
      <c r="J527" s="59"/>
      <c r="K527" s="59"/>
      <c r="L527" s="59"/>
      <c r="M527" s="15"/>
      <c r="N527" s="15"/>
      <c r="O527" s="15"/>
      <c r="P527" s="15"/>
      <c r="Q527" s="15"/>
      <c r="R527" s="15"/>
      <c r="S527" s="15"/>
      <c r="T527" s="15"/>
      <c r="U527" s="15"/>
      <c r="V527" s="15"/>
      <c r="W527" s="15"/>
      <c r="X527" s="15"/>
      <c r="Y527" s="15"/>
      <c r="Z527" s="15"/>
      <c r="AA527" s="15"/>
      <c r="AB527" s="15"/>
      <c r="AC527" s="15"/>
      <c r="AD527" s="15"/>
      <c r="AE527" s="15"/>
      <c r="AF527" s="15"/>
    </row>
    <row r="528" spans="1:34" x14ac:dyDescent="0.25">
      <c r="A528" s="58"/>
      <c r="B528" s="59"/>
      <c r="C528" s="59"/>
      <c r="D528" s="59"/>
      <c r="E528" s="59"/>
      <c r="F528" s="59"/>
      <c r="G528" s="59"/>
      <c r="H528" s="59"/>
      <c r="I528" s="59"/>
      <c r="J528" s="59"/>
      <c r="K528" s="59"/>
      <c r="L528" s="59"/>
      <c r="M528" s="15"/>
      <c r="N528" s="15"/>
      <c r="O528" s="15"/>
      <c r="P528" s="15"/>
      <c r="Q528" s="15"/>
      <c r="R528" s="15"/>
      <c r="S528" s="15"/>
      <c r="T528" s="15"/>
      <c r="U528" s="15"/>
      <c r="V528" s="15"/>
      <c r="W528" s="15"/>
      <c r="X528" s="15"/>
      <c r="Y528" s="15"/>
      <c r="Z528" s="15"/>
      <c r="AA528" s="15"/>
      <c r="AB528" s="15"/>
      <c r="AC528" s="15"/>
      <c r="AD528" s="15"/>
      <c r="AE528" s="15"/>
      <c r="AF528" s="15"/>
    </row>
    <row r="529" spans="1:32" x14ac:dyDescent="0.25">
      <c r="A529" s="58"/>
      <c r="B529" s="59"/>
      <c r="C529" s="59"/>
      <c r="D529" s="59"/>
      <c r="E529" s="59"/>
      <c r="F529" s="59"/>
      <c r="G529" s="59"/>
      <c r="H529" s="59"/>
      <c r="I529" s="59"/>
      <c r="J529" s="59"/>
      <c r="K529" s="59"/>
      <c r="L529" s="59"/>
      <c r="M529" s="15"/>
      <c r="N529" s="15"/>
      <c r="O529" s="15"/>
      <c r="P529" s="15"/>
      <c r="Q529" s="15"/>
      <c r="R529" s="15"/>
      <c r="S529" s="15"/>
      <c r="T529" s="15"/>
      <c r="U529" s="15"/>
      <c r="V529" s="15"/>
      <c r="W529" s="15"/>
      <c r="X529" s="15"/>
      <c r="Y529" s="15"/>
      <c r="Z529" s="15"/>
      <c r="AA529" s="15"/>
      <c r="AB529" s="15"/>
      <c r="AC529" s="15"/>
      <c r="AD529" s="15"/>
      <c r="AE529" s="15"/>
      <c r="AF529" s="15"/>
    </row>
    <row r="530" spans="1:32" x14ac:dyDescent="0.25">
      <c r="A530" s="58"/>
      <c r="B530" s="59"/>
      <c r="C530" s="59"/>
      <c r="D530" s="59"/>
      <c r="E530" s="59"/>
      <c r="F530" s="59"/>
      <c r="G530" s="59"/>
      <c r="H530" s="59"/>
      <c r="I530" s="59"/>
      <c r="J530" s="59"/>
      <c r="K530" s="59"/>
      <c r="L530" s="59"/>
      <c r="M530" s="15"/>
      <c r="N530" s="15"/>
      <c r="O530" s="15"/>
      <c r="P530" s="15"/>
      <c r="Q530" s="15"/>
      <c r="R530" s="15"/>
      <c r="S530" s="15"/>
      <c r="T530" s="15"/>
      <c r="U530" s="15"/>
      <c r="V530" s="15"/>
      <c r="W530" s="15"/>
      <c r="X530" s="15"/>
      <c r="Y530" s="15"/>
      <c r="Z530" s="15"/>
      <c r="AA530" s="15"/>
      <c r="AB530" s="15"/>
      <c r="AC530" s="15"/>
      <c r="AD530" s="15"/>
      <c r="AE530" s="15"/>
      <c r="AF530" s="15"/>
    </row>
    <row r="531" spans="1:32" x14ac:dyDescent="0.25">
      <c r="A531" s="58"/>
      <c r="B531" s="59"/>
      <c r="C531" s="59"/>
      <c r="D531" s="59"/>
      <c r="E531" s="59"/>
      <c r="F531" s="59"/>
      <c r="G531" s="59"/>
      <c r="H531" s="59"/>
      <c r="I531" s="59"/>
      <c r="J531" s="59"/>
      <c r="K531" s="59"/>
      <c r="L531" s="59"/>
      <c r="M531" s="15"/>
      <c r="N531" s="15"/>
      <c r="O531" s="15"/>
      <c r="P531" s="15"/>
      <c r="Q531" s="15"/>
      <c r="R531" s="15"/>
      <c r="S531" s="15"/>
      <c r="T531" s="15"/>
      <c r="U531" s="15"/>
      <c r="V531" s="15"/>
      <c r="W531" s="15"/>
      <c r="X531" s="15"/>
      <c r="Y531" s="15"/>
      <c r="Z531" s="15"/>
      <c r="AA531" s="15"/>
      <c r="AB531" s="15"/>
      <c r="AC531" s="15"/>
      <c r="AD531" s="15"/>
      <c r="AE531" s="15"/>
      <c r="AF531" s="15"/>
    </row>
    <row r="532" spans="1:32" x14ac:dyDescent="0.25">
      <c r="A532" s="115"/>
      <c r="B532" s="115"/>
      <c r="C532" s="59"/>
      <c r="D532" s="59"/>
      <c r="E532" s="59"/>
      <c r="F532" s="59"/>
      <c r="G532" s="59"/>
      <c r="H532" s="59"/>
      <c r="I532" s="59"/>
      <c r="J532" s="59"/>
      <c r="K532" s="59"/>
      <c r="L532" s="59"/>
      <c r="M532" s="15"/>
      <c r="N532" s="15"/>
      <c r="O532" s="15"/>
      <c r="P532" s="15"/>
      <c r="Q532" s="15"/>
      <c r="R532" s="15"/>
      <c r="S532" s="15"/>
      <c r="T532" s="15"/>
      <c r="U532" s="15"/>
      <c r="V532" s="15"/>
      <c r="W532" s="15"/>
      <c r="X532" s="15"/>
      <c r="Y532" s="15"/>
      <c r="Z532" s="15"/>
      <c r="AA532" s="15"/>
      <c r="AB532" s="15"/>
      <c r="AC532" s="15"/>
      <c r="AD532" s="15"/>
      <c r="AE532" s="15"/>
      <c r="AF532" s="15"/>
    </row>
    <row r="533" spans="1:32" x14ac:dyDescent="0.25">
      <c r="A533" s="15"/>
      <c r="B533" s="15"/>
      <c r="C533" s="15"/>
      <c r="D533" s="15"/>
      <c r="E533" s="15"/>
      <c r="F533" s="15"/>
      <c r="G533" s="15"/>
      <c r="H533" s="15"/>
      <c r="I533" s="15"/>
      <c r="J533" s="15"/>
      <c r="K533" s="15"/>
      <c r="L533" s="15"/>
      <c r="M533" s="15"/>
      <c r="N533" s="15"/>
      <c r="O533" s="15"/>
      <c r="P533" s="15"/>
      <c r="Q533" s="15"/>
      <c r="R533" s="15"/>
      <c r="S533" s="15"/>
      <c r="T533" s="15"/>
      <c r="U533" s="15"/>
      <c r="V533" s="15"/>
      <c r="W533" s="15"/>
      <c r="X533" s="15"/>
      <c r="Y533" s="15"/>
      <c r="Z533" s="15"/>
      <c r="AA533" s="15"/>
      <c r="AB533" s="15"/>
      <c r="AC533" s="15"/>
      <c r="AD533" s="15"/>
      <c r="AE533" s="15"/>
      <c r="AF533" s="15"/>
    </row>
    <row r="534" spans="1:32" x14ac:dyDescent="0.25">
      <c r="A534" s="116"/>
      <c r="B534" s="116"/>
      <c r="C534" s="59"/>
      <c r="D534" s="59"/>
      <c r="E534" s="59"/>
      <c r="F534" s="59"/>
      <c r="G534" s="59"/>
      <c r="H534" s="59"/>
      <c r="I534" s="59"/>
      <c r="J534" s="59"/>
      <c r="K534" s="59"/>
      <c r="L534" s="59"/>
      <c r="M534" s="15"/>
      <c r="N534" s="15"/>
      <c r="O534" s="15"/>
      <c r="P534" s="15"/>
      <c r="Q534" s="15"/>
      <c r="R534" s="15"/>
      <c r="S534" s="15"/>
      <c r="T534" s="15"/>
      <c r="U534" s="15"/>
      <c r="V534" s="15"/>
      <c r="W534" s="15"/>
      <c r="X534" s="15"/>
      <c r="Y534" s="15"/>
      <c r="Z534" s="15"/>
      <c r="AA534" s="15"/>
      <c r="AB534" s="15"/>
      <c r="AC534" s="15"/>
      <c r="AD534" s="15"/>
      <c r="AE534" s="15"/>
      <c r="AF534" s="15"/>
    </row>
    <row r="535" spans="1:32" x14ac:dyDescent="0.25">
      <c r="A535" s="15"/>
      <c r="B535" s="15"/>
      <c r="C535" s="15"/>
      <c r="D535" s="15"/>
      <c r="E535" s="15"/>
      <c r="F535" s="15"/>
      <c r="G535" s="15"/>
      <c r="H535" s="15"/>
      <c r="I535" s="15"/>
      <c r="J535" s="15"/>
      <c r="K535" s="15"/>
      <c r="L535" s="15"/>
      <c r="M535" s="15"/>
      <c r="N535" s="15"/>
      <c r="O535" s="15"/>
      <c r="P535" s="15"/>
      <c r="Q535" s="15"/>
      <c r="R535" s="15"/>
      <c r="S535" s="15"/>
      <c r="T535" s="15"/>
      <c r="U535" s="15"/>
      <c r="V535" s="15"/>
      <c r="W535" s="15"/>
      <c r="X535" s="15"/>
      <c r="Y535" s="15"/>
      <c r="Z535" s="15"/>
      <c r="AA535" s="15"/>
      <c r="AB535" s="15"/>
      <c r="AC535" s="15"/>
      <c r="AD535" s="15"/>
      <c r="AE535" s="15"/>
      <c r="AF535" s="15"/>
    </row>
    <row r="536" spans="1:32" x14ac:dyDescent="0.25">
      <c r="A536" s="15"/>
      <c r="B536" s="15"/>
      <c r="C536" s="15"/>
      <c r="D536" s="15"/>
      <c r="E536" s="15"/>
      <c r="F536" s="15"/>
      <c r="G536" s="15"/>
      <c r="H536" s="15"/>
      <c r="I536" s="15"/>
      <c r="J536" s="15"/>
      <c r="K536" s="15"/>
      <c r="L536" s="15"/>
      <c r="M536" s="15"/>
      <c r="N536" s="15"/>
      <c r="O536" s="15"/>
      <c r="P536" s="15"/>
      <c r="Q536" s="15"/>
      <c r="R536" s="15"/>
      <c r="S536" s="15"/>
      <c r="T536" s="15"/>
      <c r="U536" s="15"/>
      <c r="V536" s="15"/>
      <c r="W536" s="15"/>
      <c r="X536" s="15"/>
      <c r="Y536" s="15"/>
      <c r="Z536" s="15"/>
      <c r="AA536" s="15"/>
      <c r="AB536" s="15"/>
      <c r="AC536" s="15"/>
      <c r="AD536" s="15"/>
      <c r="AE536" s="15"/>
      <c r="AF536" s="15"/>
    </row>
    <row r="537" spans="1:32" x14ac:dyDescent="0.25">
      <c r="A537" s="15"/>
      <c r="B537" s="15"/>
      <c r="C537" s="15"/>
      <c r="D537" s="15"/>
      <c r="E537" s="15"/>
      <c r="F537" s="15"/>
      <c r="G537" s="15"/>
      <c r="H537" s="15"/>
      <c r="I537" s="15"/>
      <c r="J537" s="15"/>
      <c r="K537" s="15"/>
      <c r="L537" s="15"/>
      <c r="M537" s="15"/>
      <c r="N537" s="15"/>
      <c r="O537" s="15"/>
      <c r="P537" s="15"/>
      <c r="Q537" s="15"/>
      <c r="R537" s="15"/>
      <c r="S537" s="15"/>
      <c r="T537" s="15"/>
      <c r="U537" s="15"/>
      <c r="V537" s="15"/>
      <c r="W537" s="15"/>
      <c r="X537" s="15"/>
      <c r="Y537" s="15"/>
      <c r="Z537" s="15"/>
      <c r="AA537" s="15"/>
      <c r="AB537" s="15"/>
      <c r="AC537" s="15"/>
      <c r="AD537" s="15"/>
      <c r="AE537" s="15"/>
      <c r="AF537" s="15"/>
    </row>
    <row r="538" spans="1:32" x14ac:dyDescent="0.25">
      <c r="A538" s="15"/>
      <c r="B538" s="15"/>
      <c r="C538" s="15"/>
      <c r="D538" s="15"/>
      <c r="E538" s="15"/>
      <c r="F538" s="15"/>
      <c r="G538" s="15"/>
      <c r="H538" s="15"/>
      <c r="I538" s="15"/>
      <c r="J538" s="15"/>
      <c r="K538" s="15"/>
      <c r="L538" s="15"/>
      <c r="M538" s="15"/>
      <c r="N538" s="15"/>
      <c r="O538" s="15"/>
      <c r="P538" s="15"/>
      <c r="Q538" s="15"/>
      <c r="R538" s="15"/>
      <c r="S538" s="15"/>
      <c r="T538" s="15"/>
      <c r="U538" s="15"/>
      <c r="V538" s="15"/>
      <c r="W538" s="15"/>
      <c r="X538" s="15"/>
      <c r="Y538" s="15"/>
      <c r="Z538" s="15"/>
      <c r="AA538" s="15"/>
      <c r="AB538" s="15"/>
      <c r="AC538" s="15"/>
      <c r="AD538" s="15"/>
      <c r="AE538" s="15"/>
      <c r="AF538" s="15"/>
    </row>
    <row r="539" spans="1:32" x14ac:dyDescent="0.25">
      <c r="A539" s="15"/>
      <c r="B539" s="87"/>
      <c r="C539" s="15"/>
      <c r="D539" s="87"/>
      <c r="E539" s="87"/>
      <c r="F539" s="87"/>
      <c r="G539" s="87"/>
      <c r="H539" s="87"/>
      <c r="I539" s="87"/>
      <c r="J539" s="87"/>
      <c r="K539" s="87"/>
      <c r="L539" s="87"/>
      <c r="M539" s="15"/>
      <c r="N539" s="15"/>
      <c r="O539" s="15"/>
      <c r="P539" s="15"/>
      <c r="Q539" s="15"/>
      <c r="R539" s="15"/>
      <c r="S539" s="15"/>
      <c r="T539" s="15"/>
      <c r="U539" s="15"/>
      <c r="V539" s="15"/>
      <c r="W539" s="15"/>
      <c r="X539" s="15"/>
      <c r="Y539" s="15"/>
      <c r="Z539" s="15"/>
      <c r="AA539" s="15"/>
      <c r="AB539" s="15"/>
      <c r="AC539" s="15"/>
      <c r="AD539" s="15"/>
      <c r="AE539" s="15"/>
      <c r="AF539" s="15"/>
    </row>
    <row r="540" spans="1:32" x14ac:dyDescent="0.25">
      <c r="A540" s="15"/>
      <c r="B540" s="42"/>
      <c r="C540" s="15"/>
      <c r="D540" s="15"/>
      <c r="E540" s="15"/>
      <c r="F540" s="15"/>
      <c r="G540" s="15"/>
      <c r="H540" s="15"/>
      <c r="I540" s="15"/>
      <c r="J540" s="15"/>
      <c r="K540" s="15"/>
      <c r="L540" s="15"/>
      <c r="M540" s="15"/>
      <c r="N540" s="15"/>
      <c r="O540" s="15"/>
      <c r="P540" s="15"/>
      <c r="Q540" s="15"/>
      <c r="R540" s="15"/>
      <c r="S540" s="15"/>
      <c r="T540" s="15"/>
      <c r="U540" s="15"/>
      <c r="V540" s="15"/>
      <c r="W540" s="15"/>
      <c r="X540" s="15"/>
      <c r="Y540" s="15"/>
      <c r="Z540" s="15"/>
      <c r="AA540" s="15"/>
      <c r="AB540" s="15"/>
      <c r="AC540" s="15"/>
      <c r="AD540" s="15"/>
      <c r="AE540" s="15"/>
      <c r="AF540" s="15"/>
    </row>
    <row r="541" spans="1:32" x14ac:dyDescent="0.25">
      <c r="A541" s="15"/>
      <c r="B541" s="42"/>
      <c r="C541" s="15"/>
      <c r="D541" s="15"/>
      <c r="E541" s="15"/>
      <c r="F541" s="15"/>
      <c r="G541" s="15"/>
      <c r="H541" s="15"/>
      <c r="I541" s="15"/>
      <c r="J541" s="15"/>
      <c r="K541" s="15"/>
      <c r="L541" s="15"/>
      <c r="M541" s="15"/>
      <c r="N541" s="15"/>
      <c r="O541" s="15"/>
      <c r="P541" s="15"/>
      <c r="Q541" s="15"/>
      <c r="R541" s="15"/>
      <c r="S541" s="15"/>
      <c r="T541" s="15"/>
      <c r="U541" s="15"/>
      <c r="V541" s="15"/>
      <c r="W541" s="15"/>
      <c r="X541" s="15"/>
      <c r="Y541" s="15"/>
      <c r="Z541" s="15"/>
      <c r="AA541" s="15"/>
      <c r="AB541" s="15"/>
      <c r="AC541" s="15"/>
      <c r="AD541" s="15"/>
      <c r="AE541" s="15"/>
      <c r="AF541" s="15"/>
    </row>
    <row r="542" spans="1:32" x14ac:dyDescent="0.25">
      <c r="A542" s="15"/>
      <c r="B542" s="42"/>
      <c r="C542" s="15"/>
      <c r="D542" s="15"/>
      <c r="E542" s="15"/>
      <c r="F542" s="15"/>
      <c r="G542" s="15"/>
      <c r="H542" s="15"/>
      <c r="I542" s="15"/>
      <c r="J542" s="15"/>
      <c r="K542" s="15"/>
      <c r="L542" s="15"/>
      <c r="M542" s="15"/>
      <c r="N542" s="15"/>
      <c r="O542" s="15"/>
      <c r="P542" s="15"/>
      <c r="Q542" s="15"/>
      <c r="R542" s="15"/>
      <c r="S542" s="15"/>
      <c r="T542" s="15"/>
      <c r="U542" s="15"/>
      <c r="V542" s="15"/>
      <c r="W542" s="15"/>
      <c r="X542" s="15"/>
      <c r="Y542" s="15"/>
      <c r="Z542" s="15"/>
      <c r="AA542" s="15"/>
      <c r="AB542" s="15"/>
      <c r="AC542" s="15"/>
      <c r="AD542" s="15"/>
      <c r="AE542" s="15"/>
      <c r="AF542" s="15"/>
    </row>
    <row r="543" spans="1:32" x14ac:dyDescent="0.25">
      <c r="A543" s="15"/>
      <c r="B543" s="42"/>
      <c r="C543" s="15"/>
      <c r="D543" s="15"/>
      <c r="E543" s="15"/>
      <c r="F543" s="15"/>
      <c r="G543" s="15"/>
      <c r="H543" s="15"/>
      <c r="I543" s="15"/>
      <c r="J543" s="15"/>
      <c r="K543" s="15"/>
      <c r="L543" s="15"/>
      <c r="M543" s="15"/>
      <c r="N543" s="15"/>
      <c r="O543" s="15"/>
      <c r="P543" s="15"/>
      <c r="Q543" s="15"/>
      <c r="R543" s="15"/>
      <c r="S543" s="15"/>
      <c r="T543" s="15"/>
      <c r="U543" s="15"/>
      <c r="V543" s="15"/>
      <c r="W543" s="15"/>
      <c r="X543" s="15"/>
      <c r="Y543" s="15"/>
      <c r="Z543" s="15"/>
      <c r="AA543" s="15"/>
      <c r="AB543" s="15"/>
      <c r="AC543" s="15"/>
      <c r="AD543" s="15"/>
      <c r="AE543" s="15"/>
      <c r="AF543" s="15"/>
    </row>
    <row r="544" spans="1:32" x14ac:dyDescent="0.25">
      <c r="A544" s="15"/>
      <c r="B544" s="42"/>
      <c r="C544" s="15"/>
      <c r="D544" s="15"/>
      <c r="E544" s="15"/>
      <c r="F544" s="15"/>
      <c r="G544" s="15"/>
      <c r="H544" s="15"/>
      <c r="I544" s="15"/>
      <c r="J544" s="15"/>
      <c r="K544" s="15"/>
      <c r="L544" s="15"/>
      <c r="M544" s="15"/>
      <c r="N544" s="15"/>
      <c r="O544" s="15"/>
      <c r="P544" s="15"/>
      <c r="Q544" s="15"/>
      <c r="R544" s="15"/>
      <c r="S544" s="15"/>
      <c r="T544" s="15"/>
      <c r="U544" s="15"/>
      <c r="V544" s="15"/>
      <c r="W544" s="15"/>
      <c r="X544" s="15"/>
      <c r="Y544" s="15"/>
      <c r="Z544" s="15"/>
      <c r="AA544" s="15"/>
      <c r="AB544" s="15"/>
      <c r="AC544" s="15"/>
      <c r="AD544" s="15"/>
      <c r="AE544" s="15"/>
      <c r="AF544" s="15"/>
    </row>
    <row r="545" spans="1:32" x14ac:dyDescent="0.25">
      <c r="A545" s="15"/>
      <c r="B545" s="42"/>
      <c r="C545" s="15"/>
      <c r="D545" s="15"/>
      <c r="E545" s="15"/>
      <c r="F545" s="15"/>
      <c r="G545" s="15"/>
      <c r="H545" s="15"/>
      <c r="I545" s="15"/>
      <c r="J545" s="15"/>
      <c r="K545" s="15"/>
      <c r="L545" s="15"/>
      <c r="M545" s="15"/>
      <c r="N545" s="15"/>
      <c r="O545" s="15"/>
      <c r="P545" s="15"/>
      <c r="Q545" s="15"/>
      <c r="R545" s="15"/>
      <c r="S545" s="15"/>
      <c r="T545" s="15"/>
      <c r="U545" s="15"/>
      <c r="V545" s="15"/>
      <c r="W545" s="15"/>
      <c r="X545" s="15"/>
      <c r="Y545" s="15"/>
      <c r="Z545" s="15"/>
      <c r="AA545" s="15"/>
      <c r="AB545" s="15"/>
      <c r="AC545" s="15"/>
      <c r="AD545" s="15"/>
      <c r="AE545" s="15"/>
      <c r="AF545" s="15"/>
    </row>
    <row r="546" spans="1:32" x14ac:dyDescent="0.25">
      <c r="A546" s="15"/>
      <c r="B546" s="42"/>
      <c r="C546" s="15"/>
      <c r="D546" s="15"/>
      <c r="E546" s="15"/>
      <c r="F546" s="15"/>
      <c r="G546" s="15"/>
      <c r="H546" s="15"/>
      <c r="I546" s="15"/>
      <c r="J546" s="15"/>
      <c r="K546" s="15"/>
      <c r="L546" s="15"/>
      <c r="M546" s="15"/>
      <c r="N546" s="15"/>
      <c r="O546" s="15"/>
      <c r="P546" s="15"/>
      <c r="Q546" s="15"/>
      <c r="R546" s="15"/>
      <c r="S546" s="15"/>
      <c r="T546" s="15"/>
      <c r="U546" s="15"/>
      <c r="V546" s="15"/>
      <c r="W546" s="15"/>
      <c r="X546" s="15"/>
      <c r="Y546" s="15"/>
      <c r="Z546" s="15"/>
      <c r="AA546" s="15"/>
      <c r="AB546" s="15"/>
      <c r="AC546" s="15"/>
      <c r="AD546" s="15"/>
      <c r="AE546" s="15"/>
      <c r="AF546" s="15"/>
    </row>
    <row r="547" spans="1:32" x14ac:dyDescent="0.25">
      <c r="A547" s="15"/>
      <c r="B547" s="42"/>
      <c r="C547" s="15"/>
      <c r="D547" s="15"/>
      <c r="E547" s="15"/>
      <c r="F547" s="15"/>
      <c r="G547" s="15"/>
      <c r="H547" s="15"/>
      <c r="I547" s="15"/>
      <c r="J547" s="15"/>
      <c r="K547" s="15"/>
      <c r="L547" s="15"/>
      <c r="M547" s="15"/>
      <c r="N547" s="15"/>
      <c r="O547" s="15"/>
      <c r="P547" s="15"/>
      <c r="Q547" s="15"/>
      <c r="R547" s="15"/>
      <c r="S547" s="15"/>
      <c r="T547" s="15"/>
      <c r="U547" s="15"/>
      <c r="V547" s="15"/>
      <c r="W547" s="15"/>
      <c r="X547" s="15"/>
      <c r="Y547" s="15"/>
      <c r="Z547" s="15"/>
      <c r="AA547" s="15"/>
      <c r="AB547" s="15"/>
      <c r="AC547" s="15"/>
      <c r="AD547" s="15"/>
      <c r="AE547" s="15"/>
      <c r="AF547" s="15"/>
    </row>
    <row r="548" spans="1:32" x14ac:dyDescent="0.25">
      <c r="A548" s="15"/>
      <c r="B548" s="42"/>
      <c r="C548" s="15"/>
      <c r="D548" s="15"/>
      <c r="E548" s="15"/>
      <c r="F548" s="15"/>
      <c r="G548" s="15"/>
      <c r="H548" s="15"/>
      <c r="I548" s="15"/>
      <c r="J548" s="15"/>
      <c r="K548" s="15"/>
      <c r="L548" s="15"/>
      <c r="M548" s="15"/>
      <c r="N548" s="15"/>
      <c r="O548" s="15"/>
      <c r="P548" s="15"/>
      <c r="Q548" s="15"/>
      <c r="R548" s="15"/>
      <c r="S548" s="15"/>
      <c r="T548" s="15"/>
      <c r="U548" s="15"/>
      <c r="V548" s="15"/>
      <c r="W548" s="15"/>
      <c r="X548" s="15"/>
      <c r="Y548" s="15"/>
      <c r="Z548" s="15"/>
      <c r="AA548" s="15"/>
      <c r="AB548" s="15"/>
      <c r="AC548" s="15"/>
      <c r="AD548" s="15"/>
      <c r="AE548" s="15"/>
      <c r="AF548" s="15"/>
    </row>
    <row r="549" spans="1:32" x14ac:dyDescent="0.25">
      <c r="A549" s="15"/>
      <c r="B549" s="15"/>
      <c r="C549" s="15"/>
      <c r="D549" s="15"/>
      <c r="E549" s="15"/>
      <c r="F549" s="15"/>
      <c r="G549" s="15"/>
      <c r="H549" s="15"/>
      <c r="I549" s="15"/>
      <c r="J549" s="15"/>
      <c r="K549" s="15"/>
      <c r="L549" s="15"/>
      <c r="M549" s="15"/>
      <c r="N549" s="15"/>
      <c r="O549" s="15"/>
      <c r="P549" s="15"/>
      <c r="Q549" s="15"/>
      <c r="R549" s="15"/>
      <c r="S549" s="15"/>
      <c r="T549" s="15"/>
      <c r="U549" s="15"/>
      <c r="V549" s="15"/>
      <c r="W549" s="15"/>
      <c r="X549" s="15"/>
      <c r="Y549" s="15"/>
      <c r="Z549" s="15"/>
      <c r="AA549" s="15"/>
      <c r="AB549" s="15"/>
      <c r="AC549" s="15"/>
      <c r="AD549" s="15"/>
      <c r="AE549" s="15"/>
      <c r="AF549" s="15"/>
    </row>
    <row r="550" spans="1:32" x14ac:dyDescent="0.25">
      <c r="A550" s="15"/>
      <c r="B550" s="15"/>
      <c r="C550" s="86"/>
      <c r="D550" s="15"/>
      <c r="E550" s="93"/>
      <c r="F550" s="93"/>
      <c r="G550" s="93"/>
      <c r="H550" s="93"/>
      <c r="I550" s="93"/>
      <c r="J550" s="93"/>
      <c r="K550" s="93"/>
      <c r="L550" s="93"/>
      <c r="M550" s="15"/>
      <c r="N550" s="15"/>
      <c r="O550" s="15"/>
      <c r="P550" s="15"/>
      <c r="Q550" s="15"/>
      <c r="R550" s="15"/>
      <c r="S550" s="15"/>
      <c r="T550" s="15"/>
      <c r="U550" s="15"/>
      <c r="V550" s="15"/>
      <c r="W550" s="15"/>
      <c r="X550" s="15"/>
      <c r="Y550" s="15"/>
      <c r="Z550" s="15"/>
      <c r="AA550" s="15"/>
      <c r="AB550" s="15"/>
      <c r="AC550" s="15"/>
      <c r="AD550" s="15"/>
      <c r="AE550" s="15"/>
      <c r="AF550" s="15"/>
    </row>
    <row r="551" spans="1:32" x14ac:dyDescent="0.25">
      <c r="A551" s="15"/>
      <c r="B551" s="15"/>
      <c r="C551" s="15"/>
      <c r="D551" s="15"/>
      <c r="E551" s="15"/>
      <c r="F551" s="15"/>
      <c r="G551" s="15"/>
      <c r="H551" s="15"/>
      <c r="I551" s="15"/>
      <c r="J551" s="15"/>
      <c r="K551" s="15"/>
      <c r="L551" s="15"/>
      <c r="M551" s="15"/>
      <c r="N551" s="15"/>
      <c r="O551" s="15"/>
      <c r="P551" s="15"/>
      <c r="Q551" s="15"/>
      <c r="R551" s="15"/>
      <c r="S551" s="15"/>
      <c r="T551" s="15"/>
      <c r="U551" s="15"/>
      <c r="V551" s="15"/>
      <c r="W551" s="15"/>
      <c r="X551" s="15"/>
      <c r="Y551" s="15"/>
      <c r="Z551" s="15"/>
      <c r="AA551" s="15"/>
      <c r="AB551" s="15"/>
      <c r="AC551" s="15"/>
      <c r="AD551" s="15"/>
      <c r="AE551" s="15"/>
      <c r="AF551" s="15"/>
    </row>
    <row r="552" spans="1:32" x14ac:dyDescent="0.25">
      <c r="A552" s="15"/>
      <c r="B552" s="15"/>
      <c r="C552" s="15"/>
      <c r="D552" s="15"/>
      <c r="E552" s="15"/>
      <c r="F552" s="15"/>
      <c r="G552" s="15"/>
      <c r="H552" s="15"/>
      <c r="I552" s="15"/>
      <c r="J552" s="15"/>
      <c r="K552" s="15"/>
      <c r="L552" s="15"/>
      <c r="M552" s="15"/>
      <c r="N552" s="15"/>
      <c r="O552" s="15"/>
      <c r="P552" s="15"/>
      <c r="Q552" s="15"/>
      <c r="R552" s="15"/>
      <c r="S552" s="15"/>
      <c r="T552" s="15"/>
      <c r="U552" s="15"/>
      <c r="V552" s="15"/>
      <c r="W552" s="15"/>
      <c r="X552" s="15"/>
      <c r="Y552" s="15"/>
      <c r="Z552" s="15"/>
      <c r="AA552" s="15"/>
      <c r="AB552" s="15"/>
      <c r="AC552" s="15"/>
      <c r="AD552" s="15"/>
      <c r="AE552" s="15"/>
      <c r="AF552" s="15"/>
    </row>
    <row r="553" spans="1:32" x14ac:dyDescent="0.25">
      <c r="A553" s="15"/>
      <c r="B553" s="15"/>
      <c r="C553" s="15"/>
      <c r="D553" s="15"/>
      <c r="E553" s="15"/>
      <c r="F553" s="15"/>
      <c r="G553" s="15"/>
      <c r="H553" s="15"/>
      <c r="I553" s="15"/>
      <c r="J553" s="15"/>
      <c r="K553" s="15"/>
      <c r="L553" s="15"/>
      <c r="M553" s="15"/>
      <c r="N553" s="15"/>
      <c r="O553" s="15"/>
      <c r="P553" s="15"/>
      <c r="Q553" s="15"/>
      <c r="R553" s="15"/>
      <c r="S553" s="15"/>
      <c r="T553" s="15"/>
      <c r="U553" s="15"/>
      <c r="V553" s="15"/>
      <c r="W553" s="15"/>
      <c r="X553" s="15"/>
      <c r="Y553" s="15"/>
      <c r="Z553" s="15"/>
      <c r="AA553" s="15"/>
      <c r="AB553" s="15"/>
      <c r="AC553" s="15"/>
      <c r="AD553" s="15"/>
      <c r="AE553" s="15"/>
      <c r="AF553" s="15"/>
    </row>
    <row r="554" spans="1:32" x14ac:dyDescent="0.25">
      <c r="A554" s="15"/>
      <c r="B554" s="42"/>
      <c r="C554" s="15"/>
      <c r="D554" s="15"/>
      <c r="E554" s="15"/>
      <c r="F554" s="15"/>
      <c r="G554" s="15"/>
      <c r="H554" s="15"/>
      <c r="I554" s="15"/>
      <c r="J554" s="15"/>
      <c r="K554" s="15"/>
      <c r="L554" s="15"/>
      <c r="M554" s="15"/>
      <c r="N554" s="15"/>
      <c r="O554" s="15"/>
      <c r="P554" s="15"/>
      <c r="Q554" s="15"/>
      <c r="R554" s="15"/>
      <c r="S554" s="15"/>
      <c r="T554" s="15"/>
      <c r="U554" s="15"/>
      <c r="V554" s="15"/>
      <c r="W554" s="15"/>
      <c r="X554" s="15"/>
      <c r="Y554" s="15"/>
      <c r="Z554" s="15"/>
      <c r="AA554" s="15"/>
      <c r="AB554" s="15"/>
      <c r="AC554" s="15"/>
      <c r="AD554" s="15"/>
      <c r="AE554" s="15"/>
      <c r="AF554" s="15"/>
    </row>
    <row r="555" spans="1:32" x14ac:dyDescent="0.25">
      <c r="A555" s="15"/>
      <c r="B555" s="42"/>
      <c r="C555" s="15"/>
      <c r="D555" s="15"/>
      <c r="E555" s="15"/>
      <c r="F555" s="15"/>
      <c r="G555" s="15"/>
      <c r="H555" s="15"/>
      <c r="I555" s="15"/>
      <c r="J555" s="15"/>
      <c r="K555" s="15"/>
      <c r="L555" s="15"/>
      <c r="M555" s="15"/>
      <c r="N555" s="15"/>
      <c r="O555" s="15"/>
      <c r="P555" s="15"/>
      <c r="Q555" s="15"/>
      <c r="R555" s="15"/>
      <c r="S555" s="15"/>
      <c r="T555" s="15"/>
      <c r="U555" s="15"/>
      <c r="V555" s="15"/>
      <c r="W555" s="15"/>
      <c r="X555" s="15"/>
      <c r="Y555" s="15"/>
      <c r="Z555" s="15"/>
      <c r="AA555" s="15"/>
      <c r="AB555" s="15"/>
      <c r="AC555" s="15"/>
      <c r="AD555" s="15"/>
      <c r="AE555" s="15"/>
      <c r="AF555" s="15"/>
    </row>
    <row r="556" spans="1:32" x14ac:dyDescent="0.25">
      <c r="A556" s="15"/>
      <c r="B556" s="42"/>
      <c r="C556" s="15"/>
      <c r="D556" s="15"/>
      <c r="E556" s="15"/>
      <c r="F556" s="15"/>
      <c r="G556" s="15"/>
      <c r="H556" s="15"/>
      <c r="I556" s="15"/>
      <c r="J556" s="15"/>
      <c r="K556" s="15"/>
      <c r="L556" s="15"/>
      <c r="M556" s="15"/>
      <c r="N556" s="15"/>
      <c r="O556" s="15"/>
      <c r="P556" s="15"/>
      <c r="Q556" s="15"/>
      <c r="R556" s="15"/>
      <c r="S556" s="15"/>
      <c r="T556" s="15"/>
      <c r="U556" s="15"/>
      <c r="V556" s="15"/>
      <c r="W556" s="15"/>
      <c r="X556" s="15"/>
      <c r="Y556" s="15"/>
      <c r="Z556" s="15"/>
      <c r="AA556" s="15"/>
      <c r="AB556" s="15"/>
      <c r="AC556" s="15"/>
      <c r="AD556" s="15"/>
      <c r="AE556" s="15"/>
      <c r="AF556" s="15"/>
    </row>
    <row r="557" spans="1:32" x14ac:dyDescent="0.25">
      <c r="A557" s="15"/>
      <c r="B557" s="42"/>
      <c r="C557" s="15"/>
      <c r="D557" s="15"/>
      <c r="E557" s="15"/>
      <c r="F557" s="15"/>
      <c r="G557" s="15"/>
      <c r="H557" s="15"/>
      <c r="I557" s="15"/>
      <c r="J557" s="15"/>
      <c r="K557" s="15"/>
      <c r="L557" s="15"/>
      <c r="M557" s="15"/>
      <c r="N557" s="15"/>
      <c r="O557" s="15"/>
      <c r="P557" s="15"/>
      <c r="Q557" s="15"/>
      <c r="R557" s="15"/>
      <c r="S557" s="15"/>
      <c r="T557" s="15"/>
      <c r="U557" s="15"/>
      <c r="V557" s="15"/>
      <c r="W557" s="15"/>
      <c r="X557" s="15"/>
      <c r="Y557" s="15"/>
      <c r="Z557" s="15"/>
      <c r="AA557" s="15"/>
      <c r="AB557" s="15"/>
      <c r="AC557" s="15"/>
      <c r="AD557" s="15"/>
      <c r="AE557" s="15"/>
      <c r="AF557" s="15"/>
    </row>
    <row r="558" spans="1:32" x14ac:dyDescent="0.25">
      <c r="A558" s="15"/>
      <c r="B558" s="42"/>
      <c r="C558" s="15"/>
      <c r="D558" s="15"/>
      <c r="E558" s="15"/>
      <c r="F558" s="15"/>
      <c r="G558" s="15"/>
      <c r="H558" s="15"/>
      <c r="I558" s="15"/>
      <c r="J558" s="15"/>
      <c r="K558" s="15"/>
      <c r="L558" s="15"/>
      <c r="M558" s="15"/>
      <c r="N558" s="15"/>
      <c r="O558" s="15"/>
      <c r="P558" s="15"/>
      <c r="Q558" s="15"/>
      <c r="R558" s="15"/>
      <c r="S558" s="15"/>
      <c r="T558" s="15"/>
      <c r="U558" s="15"/>
      <c r="V558" s="15"/>
      <c r="W558" s="15"/>
      <c r="X558" s="15"/>
      <c r="Y558" s="15"/>
      <c r="Z558" s="15"/>
      <c r="AA558" s="15"/>
      <c r="AB558" s="15"/>
      <c r="AC558" s="15"/>
      <c r="AD558" s="15"/>
      <c r="AE558" s="15"/>
      <c r="AF558" s="15"/>
    </row>
    <row r="559" spans="1:32" x14ac:dyDescent="0.25">
      <c r="A559" s="15"/>
      <c r="B559" s="42"/>
      <c r="C559" s="15"/>
      <c r="D559" s="15"/>
      <c r="E559" s="15"/>
      <c r="F559" s="15"/>
      <c r="G559" s="15"/>
      <c r="H559" s="15"/>
      <c r="I559" s="15"/>
      <c r="J559" s="15"/>
      <c r="K559" s="15"/>
      <c r="L559" s="15"/>
      <c r="M559" s="15"/>
      <c r="N559" s="15"/>
      <c r="O559" s="15"/>
      <c r="P559" s="15"/>
      <c r="Q559" s="15"/>
      <c r="R559" s="15"/>
      <c r="S559" s="15"/>
      <c r="T559" s="15"/>
      <c r="U559" s="15"/>
      <c r="V559" s="15"/>
      <c r="W559" s="15"/>
      <c r="X559" s="15"/>
      <c r="Y559" s="15"/>
      <c r="Z559" s="15"/>
      <c r="AA559" s="15"/>
      <c r="AB559" s="15"/>
      <c r="AC559" s="15"/>
      <c r="AD559" s="15"/>
      <c r="AE559" s="15"/>
      <c r="AF559" s="15"/>
    </row>
    <row r="560" spans="1:32" x14ac:dyDescent="0.25">
      <c r="A560" s="15"/>
      <c r="B560" s="42"/>
      <c r="C560" s="15"/>
      <c r="D560" s="15"/>
      <c r="E560" s="15"/>
      <c r="F560" s="15"/>
      <c r="G560" s="15"/>
      <c r="H560" s="15"/>
      <c r="I560" s="15"/>
      <c r="J560" s="15"/>
      <c r="K560" s="15"/>
      <c r="L560" s="15"/>
      <c r="M560" s="15"/>
      <c r="N560" s="15"/>
      <c r="O560" s="15"/>
      <c r="P560" s="15"/>
      <c r="Q560" s="15"/>
      <c r="R560" s="15"/>
      <c r="S560" s="15"/>
      <c r="T560" s="15"/>
      <c r="U560" s="15"/>
      <c r="V560" s="15"/>
      <c r="W560" s="15"/>
      <c r="X560" s="15"/>
      <c r="Y560" s="15"/>
      <c r="Z560" s="15"/>
      <c r="AA560" s="15"/>
      <c r="AB560" s="15"/>
      <c r="AC560" s="15"/>
      <c r="AD560" s="15"/>
      <c r="AE560" s="15"/>
      <c r="AF560" s="15"/>
    </row>
    <row r="561" spans="1:47" x14ac:dyDescent="0.25">
      <c r="A561" s="15"/>
      <c r="B561" s="42"/>
      <c r="C561" s="15"/>
      <c r="D561" s="15"/>
      <c r="E561" s="15"/>
      <c r="F561" s="15"/>
      <c r="G561" s="15"/>
      <c r="H561" s="15"/>
      <c r="I561" s="15"/>
      <c r="J561" s="15"/>
      <c r="K561" s="15"/>
      <c r="L561" s="15"/>
      <c r="M561" s="15"/>
      <c r="N561" s="15"/>
      <c r="O561" s="15"/>
      <c r="P561" s="15"/>
      <c r="Q561" s="15"/>
      <c r="R561" s="15"/>
      <c r="S561" s="15"/>
      <c r="T561" s="15"/>
      <c r="U561" s="15"/>
      <c r="V561" s="15"/>
      <c r="W561" s="15"/>
      <c r="X561" s="15"/>
      <c r="Y561" s="15"/>
      <c r="Z561" s="15"/>
      <c r="AA561" s="15"/>
      <c r="AB561" s="15"/>
      <c r="AC561" s="15"/>
      <c r="AD561" s="15"/>
      <c r="AE561" s="15"/>
      <c r="AF561" s="15"/>
    </row>
    <row r="562" spans="1:47" x14ac:dyDescent="0.25">
      <c r="A562" s="15"/>
      <c r="B562" s="42"/>
      <c r="C562" s="15"/>
      <c r="D562" s="15"/>
      <c r="E562" s="15"/>
      <c r="F562" s="15"/>
      <c r="G562" s="15"/>
      <c r="H562" s="15"/>
      <c r="I562" s="15"/>
      <c r="J562" s="15"/>
      <c r="K562" s="15"/>
      <c r="L562" s="15"/>
      <c r="M562" s="15"/>
      <c r="N562" s="15"/>
      <c r="O562" s="15"/>
      <c r="P562" s="15"/>
      <c r="Q562" s="15"/>
      <c r="R562" s="15"/>
      <c r="S562" s="15"/>
      <c r="T562" s="15"/>
      <c r="U562" s="15"/>
      <c r="V562" s="15"/>
      <c r="W562" s="15"/>
      <c r="X562" s="15"/>
      <c r="Y562" s="15"/>
      <c r="Z562" s="15"/>
      <c r="AA562" s="15"/>
      <c r="AB562" s="15"/>
      <c r="AC562" s="15"/>
      <c r="AD562" s="15"/>
      <c r="AE562" s="15"/>
      <c r="AF562" s="15"/>
    </row>
    <row r="563" spans="1:47" x14ac:dyDescent="0.25">
      <c r="A563" s="15"/>
      <c r="B563" s="42"/>
      <c r="C563" s="15"/>
      <c r="D563" s="15"/>
      <c r="E563" s="15"/>
      <c r="F563" s="15"/>
      <c r="G563" s="15"/>
      <c r="H563" s="15"/>
      <c r="I563" s="15"/>
      <c r="J563" s="15"/>
      <c r="K563" s="15"/>
      <c r="L563" s="15"/>
      <c r="M563" s="15"/>
      <c r="N563" s="15"/>
      <c r="O563" s="15"/>
      <c r="P563" s="15"/>
      <c r="Q563" s="15"/>
      <c r="R563" s="15"/>
      <c r="S563" s="15"/>
      <c r="T563" s="15"/>
      <c r="U563" s="15"/>
      <c r="V563" s="15"/>
      <c r="W563" s="15"/>
      <c r="X563" s="15"/>
      <c r="Y563" s="15"/>
      <c r="Z563" s="15"/>
      <c r="AA563" s="15"/>
      <c r="AB563" s="15"/>
      <c r="AC563" s="15"/>
      <c r="AD563" s="15"/>
      <c r="AE563" s="15"/>
      <c r="AF563" s="15"/>
    </row>
    <row r="564" spans="1:47" x14ac:dyDescent="0.25">
      <c r="A564" s="15"/>
      <c r="B564" s="42"/>
      <c r="C564" s="15"/>
      <c r="D564" s="15"/>
      <c r="E564" s="15"/>
      <c r="F564" s="15"/>
      <c r="G564" s="15"/>
      <c r="H564" s="15"/>
      <c r="I564" s="15"/>
      <c r="J564" s="15"/>
      <c r="K564" s="15"/>
      <c r="L564" s="15"/>
      <c r="M564" s="15"/>
      <c r="N564" s="15"/>
      <c r="O564" s="15"/>
      <c r="P564" s="15"/>
      <c r="Q564" s="15"/>
      <c r="R564" s="15"/>
      <c r="S564" s="15"/>
      <c r="T564" s="15"/>
      <c r="U564" s="15"/>
      <c r="V564" s="15"/>
      <c r="W564" s="15"/>
      <c r="X564" s="15"/>
      <c r="Y564" s="15"/>
      <c r="Z564" s="15"/>
      <c r="AA564" s="15"/>
      <c r="AB564" s="15"/>
      <c r="AC564" s="15"/>
      <c r="AD564" s="15"/>
      <c r="AE564" s="15"/>
      <c r="AF564" s="15"/>
    </row>
    <row r="565" spans="1:47" x14ac:dyDescent="0.25">
      <c r="A565" s="15"/>
      <c r="B565" s="42"/>
      <c r="C565" s="15"/>
      <c r="D565" s="15"/>
      <c r="E565" s="15"/>
      <c r="F565" s="15"/>
      <c r="G565" s="15"/>
      <c r="H565" s="15"/>
      <c r="I565" s="15"/>
      <c r="J565" s="15"/>
      <c r="K565" s="15"/>
      <c r="L565" s="15"/>
      <c r="M565" s="15"/>
      <c r="N565" s="15"/>
      <c r="O565" s="15"/>
      <c r="P565" s="15"/>
      <c r="Q565" s="15"/>
      <c r="R565" s="15"/>
      <c r="S565" s="15"/>
      <c r="T565" s="15"/>
      <c r="U565" s="15"/>
      <c r="V565" s="15"/>
      <c r="W565" s="15"/>
      <c r="X565" s="15"/>
      <c r="Y565" s="15"/>
      <c r="Z565" s="15"/>
      <c r="AA565" s="15"/>
      <c r="AB565" s="15"/>
      <c r="AC565" s="15"/>
      <c r="AD565" s="15"/>
      <c r="AE565" s="15"/>
      <c r="AF565" s="15"/>
    </row>
    <row r="566" spans="1:47" x14ac:dyDescent="0.25">
      <c r="A566" s="15"/>
      <c r="B566" s="15"/>
      <c r="C566" s="15"/>
      <c r="D566" s="15"/>
      <c r="E566" s="15"/>
      <c r="F566" s="15"/>
      <c r="G566" s="15"/>
      <c r="H566" s="15"/>
      <c r="I566" s="15"/>
      <c r="J566" s="15"/>
      <c r="K566" s="15"/>
      <c r="L566" s="15"/>
      <c r="M566" s="15"/>
      <c r="N566" s="15"/>
      <c r="O566" s="15"/>
      <c r="P566" s="15"/>
      <c r="Q566" s="15"/>
      <c r="R566" s="15"/>
      <c r="S566" s="15"/>
      <c r="T566" s="15"/>
      <c r="U566" s="15"/>
      <c r="V566" s="15"/>
      <c r="W566" s="15"/>
      <c r="X566" s="15"/>
      <c r="Y566" s="15"/>
      <c r="Z566" s="15"/>
      <c r="AA566" s="15"/>
      <c r="AB566" s="15"/>
      <c r="AC566" s="15"/>
      <c r="AD566" s="15"/>
      <c r="AE566" s="15"/>
      <c r="AF566" s="15"/>
    </row>
    <row r="567" spans="1:47" x14ac:dyDescent="0.25">
      <c r="A567" s="15"/>
      <c r="B567" s="15"/>
      <c r="C567" s="15"/>
      <c r="D567" s="15"/>
      <c r="E567" s="15"/>
      <c r="F567" s="15"/>
      <c r="G567" s="15"/>
      <c r="H567" s="15"/>
      <c r="I567" s="15"/>
      <c r="J567" s="15"/>
      <c r="K567" s="15"/>
      <c r="L567" s="15"/>
      <c r="M567" s="15"/>
      <c r="N567" s="15"/>
      <c r="O567" s="15"/>
      <c r="P567" s="15"/>
      <c r="Q567" s="15"/>
      <c r="R567" s="15"/>
      <c r="S567" s="15"/>
      <c r="T567" s="15"/>
      <c r="U567" s="15"/>
      <c r="V567" s="15"/>
      <c r="W567" s="15"/>
      <c r="X567" s="15"/>
      <c r="Y567" s="15"/>
      <c r="Z567" s="15"/>
      <c r="AA567" s="15"/>
      <c r="AB567" s="15"/>
      <c r="AC567" s="15"/>
      <c r="AD567" s="15"/>
      <c r="AE567" s="15"/>
      <c r="AF567" s="15"/>
    </row>
    <row r="568" spans="1:47" x14ac:dyDescent="0.25">
      <c r="A568" s="15"/>
      <c r="B568" s="15"/>
      <c r="C568" s="15"/>
      <c r="D568" s="15"/>
      <c r="E568" s="15"/>
      <c r="F568" s="15"/>
      <c r="G568" s="15"/>
      <c r="H568" s="15"/>
      <c r="I568" s="15"/>
      <c r="J568" s="15"/>
      <c r="K568" s="15"/>
      <c r="L568" s="15"/>
      <c r="M568" s="15"/>
      <c r="N568" s="15"/>
      <c r="O568" s="15"/>
      <c r="P568" s="15"/>
      <c r="Q568" s="15"/>
      <c r="R568" s="15"/>
      <c r="S568" s="15"/>
      <c r="T568" s="15"/>
      <c r="U568" s="15"/>
      <c r="V568" s="15"/>
      <c r="W568" s="15"/>
      <c r="X568" s="15"/>
      <c r="Y568" s="15"/>
      <c r="Z568" s="15"/>
      <c r="AA568" s="15"/>
      <c r="AB568" s="15"/>
      <c r="AC568" s="15"/>
      <c r="AD568" s="15"/>
      <c r="AE568" s="15"/>
      <c r="AF568" s="15"/>
    </row>
    <row r="569" spans="1:47" x14ac:dyDescent="0.25">
      <c r="A569" s="15"/>
      <c r="B569" s="15"/>
      <c r="C569" s="15"/>
      <c r="D569" s="15"/>
      <c r="E569" s="15"/>
      <c r="F569" s="15"/>
      <c r="G569" s="15"/>
      <c r="H569" s="15"/>
      <c r="I569" s="15"/>
      <c r="J569" s="15"/>
      <c r="K569" s="15"/>
      <c r="L569" s="15"/>
      <c r="M569" s="15"/>
      <c r="N569" s="15"/>
      <c r="O569" s="15"/>
      <c r="P569" s="15"/>
      <c r="Q569" s="15"/>
      <c r="R569" s="15"/>
      <c r="S569" s="15"/>
      <c r="T569" s="15"/>
      <c r="U569" s="15"/>
      <c r="V569" s="15"/>
      <c r="W569" s="15"/>
      <c r="X569" s="15"/>
      <c r="Y569" s="15"/>
      <c r="Z569" s="15"/>
      <c r="AA569" s="15"/>
      <c r="AB569" s="15"/>
      <c r="AC569" s="15"/>
      <c r="AD569" s="15"/>
      <c r="AE569" s="15"/>
      <c r="AF569" s="15"/>
    </row>
    <row r="570" spans="1:47" x14ac:dyDescent="0.25">
      <c r="A570" s="15"/>
      <c r="B570" s="15"/>
      <c r="C570" s="15"/>
      <c r="D570" s="15"/>
      <c r="E570" s="15"/>
      <c r="F570" s="15"/>
      <c r="G570" s="15"/>
      <c r="H570" s="15"/>
      <c r="I570" s="15"/>
      <c r="J570" s="15"/>
      <c r="K570" s="15"/>
      <c r="L570" s="15"/>
      <c r="M570" s="15"/>
      <c r="N570" s="15"/>
      <c r="O570" s="15"/>
      <c r="P570" s="15"/>
      <c r="Q570" s="15"/>
      <c r="R570" s="15"/>
      <c r="S570" s="15"/>
      <c r="T570" s="15"/>
      <c r="U570" s="15"/>
      <c r="V570" s="15"/>
      <c r="W570" s="15"/>
      <c r="X570" s="15"/>
      <c r="Y570" s="15"/>
      <c r="Z570" s="15"/>
      <c r="AA570" s="15"/>
      <c r="AB570" s="15"/>
      <c r="AC570" s="15"/>
      <c r="AD570" s="15"/>
      <c r="AE570" s="15"/>
      <c r="AF570" s="15"/>
      <c r="AG570" s="11">
        <f t="shared" ref="AG570:AQ570" si="435">AF570+10</f>
        <v>10</v>
      </c>
      <c r="AH570" s="11">
        <f t="shared" si="435"/>
        <v>20</v>
      </c>
      <c r="AI570" s="11">
        <f t="shared" si="435"/>
        <v>30</v>
      </c>
      <c r="AJ570" s="11">
        <f t="shared" si="435"/>
        <v>40</v>
      </c>
      <c r="AK570" s="11">
        <f t="shared" si="435"/>
        <v>50</v>
      </c>
      <c r="AL570" s="11">
        <f t="shared" si="435"/>
        <v>60</v>
      </c>
      <c r="AM570" s="11">
        <f t="shared" si="435"/>
        <v>70</v>
      </c>
      <c r="AN570" s="11">
        <f t="shared" si="435"/>
        <v>80</v>
      </c>
      <c r="AO570" s="11">
        <f t="shared" si="435"/>
        <v>90</v>
      </c>
      <c r="AP570" s="11">
        <f t="shared" si="435"/>
        <v>100</v>
      </c>
      <c r="AQ570" s="11">
        <f t="shared" si="435"/>
        <v>110</v>
      </c>
    </row>
    <row r="571" spans="1:47" x14ac:dyDescent="0.25">
      <c r="A571" s="58"/>
      <c r="B571" s="58"/>
      <c r="C571" s="58"/>
      <c r="D571" s="58"/>
      <c r="E571" s="58"/>
      <c r="F571" s="58"/>
      <c r="G571" s="58"/>
      <c r="H571" s="58"/>
      <c r="I571" s="58"/>
      <c r="J571" s="58"/>
      <c r="K571" s="58"/>
      <c r="L571" s="58"/>
      <c r="M571" s="58"/>
      <c r="N571" s="58"/>
      <c r="O571" s="58"/>
      <c r="P571" s="58"/>
      <c r="Q571" s="58"/>
      <c r="R571" s="58"/>
      <c r="S571" s="58"/>
      <c r="T571" s="58"/>
      <c r="U571" s="58"/>
      <c r="V571" s="58"/>
      <c r="W571" s="58"/>
      <c r="X571" s="58"/>
      <c r="Y571" s="58"/>
      <c r="Z571" s="58"/>
      <c r="AA571" s="58"/>
      <c r="AB571" s="58"/>
      <c r="AC571" s="58"/>
      <c r="AD571" s="58"/>
      <c r="AE571" s="58"/>
      <c r="AF571" s="58"/>
      <c r="AG571" s="40">
        <f t="shared" ref="AG571:AQ571" si="436">AG570-$B$521</f>
        <v>10</v>
      </c>
      <c r="AH571" s="40">
        <f t="shared" si="436"/>
        <v>20</v>
      </c>
      <c r="AI571" s="40">
        <f t="shared" si="436"/>
        <v>30</v>
      </c>
      <c r="AJ571" s="40">
        <f t="shared" si="436"/>
        <v>40</v>
      </c>
      <c r="AK571" s="40">
        <f t="shared" si="436"/>
        <v>50</v>
      </c>
      <c r="AL571" s="40">
        <f t="shared" si="436"/>
        <v>60</v>
      </c>
      <c r="AM571" s="40">
        <f t="shared" si="436"/>
        <v>70</v>
      </c>
      <c r="AN571" s="40">
        <f t="shared" si="436"/>
        <v>80</v>
      </c>
      <c r="AO571" s="40">
        <f t="shared" si="436"/>
        <v>90</v>
      </c>
      <c r="AP571" s="40">
        <f t="shared" si="436"/>
        <v>100</v>
      </c>
      <c r="AQ571" s="40">
        <f t="shared" si="436"/>
        <v>110</v>
      </c>
      <c r="AR571" s="40"/>
      <c r="AS571" s="40"/>
      <c r="AT571" s="40"/>
      <c r="AU571" s="40"/>
    </row>
    <row r="572" spans="1:47" x14ac:dyDescent="0.25">
      <c r="A572" s="58"/>
      <c r="B572" s="59"/>
      <c r="C572" s="59"/>
      <c r="D572" s="59"/>
      <c r="E572" s="59"/>
      <c r="F572" s="59"/>
      <c r="G572" s="59"/>
      <c r="H572" s="59"/>
      <c r="I572" s="59"/>
      <c r="J572" s="59"/>
      <c r="K572" s="59"/>
      <c r="L572" s="59"/>
      <c r="M572" s="59"/>
      <c r="N572" s="59"/>
      <c r="O572" s="59"/>
      <c r="P572" s="59"/>
      <c r="Q572" s="59"/>
      <c r="R572" s="59"/>
      <c r="S572" s="59"/>
      <c r="T572" s="59"/>
      <c r="U572" s="59"/>
      <c r="V572" s="59"/>
      <c r="W572" s="59"/>
      <c r="X572" s="59"/>
      <c r="Y572" s="59"/>
      <c r="Z572" s="59"/>
      <c r="AA572" s="59"/>
      <c r="AB572" s="59"/>
      <c r="AC572" s="59"/>
      <c r="AD572" s="59"/>
      <c r="AE572" s="59"/>
      <c r="AF572" s="59"/>
      <c r="AG572" s="41">
        <f t="shared" ref="AG572:AQ580" si="437">$B572*AG$571^$A572</f>
        <v>0</v>
      </c>
      <c r="AH572" s="41">
        <f t="shared" si="437"/>
        <v>0</v>
      </c>
      <c r="AI572" s="41">
        <f t="shared" si="437"/>
        <v>0</v>
      </c>
      <c r="AJ572" s="41">
        <f t="shared" si="437"/>
        <v>0</v>
      </c>
      <c r="AK572" s="41">
        <f t="shared" si="437"/>
        <v>0</v>
      </c>
      <c r="AL572" s="41">
        <f t="shared" si="437"/>
        <v>0</v>
      </c>
      <c r="AM572" s="41">
        <f t="shared" si="437"/>
        <v>0</v>
      </c>
      <c r="AN572" s="41">
        <f t="shared" si="437"/>
        <v>0</v>
      </c>
      <c r="AO572" s="41">
        <f t="shared" si="437"/>
        <v>0</v>
      </c>
      <c r="AP572" s="41">
        <f t="shared" si="437"/>
        <v>0</v>
      </c>
      <c r="AQ572" s="41">
        <f t="shared" si="437"/>
        <v>0</v>
      </c>
      <c r="AR572" s="41"/>
      <c r="AS572" s="41"/>
      <c r="AT572" s="41"/>
      <c r="AU572" s="41"/>
    </row>
    <row r="573" spans="1:47" x14ac:dyDescent="0.25">
      <c r="A573" s="58"/>
      <c r="B573" s="59"/>
      <c r="C573" s="59"/>
      <c r="D573" s="59"/>
      <c r="E573" s="59"/>
      <c r="F573" s="59"/>
      <c r="G573" s="59"/>
      <c r="H573" s="59"/>
      <c r="I573" s="59"/>
      <c r="J573" s="59"/>
      <c r="K573" s="59"/>
      <c r="L573" s="59"/>
      <c r="M573" s="59"/>
      <c r="N573" s="59"/>
      <c r="O573" s="59"/>
      <c r="P573" s="59"/>
      <c r="Q573" s="59"/>
      <c r="R573" s="59"/>
      <c r="S573" s="59"/>
      <c r="T573" s="59"/>
      <c r="U573" s="59"/>
      <c r="V573" s="59"/>
      <c r="W573" s="59"/>
      <c r="X573" s="59"/>
      <c r="Y573" s="59"/>
      <c r="Z573" s="59"/>
      <c r="AA573" s="59"/>
      <c r="AB573" s="59"/>
      <c r="AC573" s="59"/>
      <c r="AD573" s="59"/>
      <c r="AE573" s="59"/>
      <c r="AF573" s="59"/>
      <c r="AG573" s="41">
        <f t="shared" si="437"/>
        <v>0</v>
      </c>
      <c r="AH573" s="41">
        <f t="shared" si="437"/>
        <v>0</v>
      </c>
      <c r="AI573" s="41">
        <f t="shared" si="437"/>
        <v>0</v>
      </c>
      <c r="AJ573" s="41">
        <f t="shared" si="437"/>
        <v>0</v>
      </c>
      <c r="AK573" s="41">
        <f t="shared" si="437"/>
        <v>0</v>
      </c>
      <c r="AL573" s="41">
        <f t="shared" si="437"/>
        <v>0</v>
      </c>
      <c r="AM573" s="41">
        <f t="shared" si="437"/>
        <v>0</v>
      </c>
      <c r="AN573" s="41">
        <f t="shared" si="437"/>
        <v>0</v>
      </c>
      <c r="AO573" s="41">
        <f t="shared" si="437"/>
        <v>0</v>
      </c>
      <c r="AP573" s="41">
        <f t="shared" si="437"/>
        <v>0</v>
      </c>
      <c r="AQ573" s="41">
        <f t="shared" si="437"/>
        <v>0</v>
      </c>
      <c r="AR573" s="41"/>
      <c r="AS573" s="41"/>
      <c r="AT573" s="41"/>
      <c r="AU573" s="41"/>
    </row>
    <row r="574" spans="1:47" x14ac:dyDescent="0.25">
      <c r="A574" s="58"/>
      <c r="B574" s="59"/>
      <c r="C574" s="59"/>
      <c r="D574" s="59"/>
      <c r="E574" s="59"/>
      <c r="F574" s="59"/>
      <c r="G574" s="59"/>
      <c r="H574" s="59"/>
      <c r="I574" s="59"/>
      <c r="J574" s="59"/>
      <c r="K574" s="59"/>
      <c r="L574" s="59"/>
      <c r="M574" s="59"/>
      <c r="N574" s="59"/>
      <c r="O574" s="59"/>
      <c r="P574" s="59"/>
      <c r="Q574" s="59"/>
      <c r="R574" s="59"/>
      <c r="S574" s="59"/>
      <c r="T574" s="59"/>
      <c r="U574" s="59"/>
      <c r="V574" s="59"/>
      <c r="W574" s="59"/>
      <c r="X574" s="59"/>
      <c r="Y574" s="59"/>
      <c r="Z574" s="59"/>
      <c r="AA574" s="59"/>
      <c r="AB574" s="59"/>
      <c r="AC574" s="59"/>
      <c r="AD574" s="59"/>
      <c r="AE574" s="59"/>
      <c r="AF574" s="59"/>
      <c r="AG574" s="41">
        <f t="shared" si="437"/>
        <v>0</v>
      </c>
      <c r="AH574" s="41">
        <f t="shared" si="437"/>
        <v>0</v>
      </c>
      <c r="AI574" s="41">
        <f t="shared" si="437"/>
        <v>0</v>
      </c>
      <c r="AJ574" s="41">
        <f t="shared" si="437"/>
        <v>0</v>
      </c>
      <c r="AK574" s="41">
        <f t="shared" si="437"/>
        <v>0</v>
      </c>
      <c r="AL574" s="41">
        <f t="shared" si="437"/>
        <v>0</v>
      </c>
      <c r="AM574" s="41">
        <f t="shared" si="437"/>
        <v>0</v>
      </c>
      <c r="AN574" s="41">
        <f t="shared" si="437"/>
        <v>0</v>
      </c>
      <c r="AO574" s="41">
        <f t="shared" si="437"/>
        <v>0</v>
      </c>
      <c r="AP574" s="41">
        <f t="shared" si="437"/>
        <v>0</v>
      </c>
      <c r="AQ574" s="41">
        <f t="shared" si="437"/>
        <v>0</v>
      </c>
      <c r="AR574" s="41"/>
      <c r="AS574" s="41"/>
      <c r="AT574" s="41"/>
      <c r="AU574" s="41"/>
    </row>
    <row r="575" spans="1:47" x14ac:dyDescent="0.25">
      <c r="A575" s="58"/>
      <c r="B575" s="59"/>
      <c r="C575" s="59"/>
      <c r="D575" s="59"/>
      <c r="E575" s="59"/>
      <c r="F575" s="59"/>
      <c r="G575" s="59"/>
      <c r="H575" s="59"/>
      <c r="I575" s="59"/>
      <c r="J575" s="59"/>
      <c r="K575" s="59"/>
      <c r="L575" s="59"/>
      <c r="M575" s="59"/>
      <c r="N575" s="59"/>
      <c r="O575" s="59"/>
      <c r="P575" s="59"/>
      <c r="Q575" s="59"/>
      <c r="R575" s="59"/>
      <c r="S575" s="59"/>
      <c r="T575" s="59"/>
      <c r="U575" s="59"/>
      <c r="V575" s="59"/>
      <c r="W575" s="59"/>
      <c r="X575" s="59"/>
      <c r="Y575" s="59"/>
      <c r="Z575" s="59"/>
      <c r="AA575" s="59"/>
      <c r="AB575" s="59"/>
      <c r="AC575" s="59"/>
      <c r="AD575" s="59"/>
      <c r="AE575" s="59"/>
      <c r="AF575" s="59"/>
      <c r="AG575" s="41">
        <f t="shared" si="437"/>
        <v>0</v>
      </c>
      <c r="AH575" s="41">
        <f t="shared" si="437"/>
        <v>0</v>
      </c>
      <c r="AI575" s="41">
        <f t="shared" si="437"/>
        <v>0</v>
      </c>
      <c r="AJ575" s="41">
        <f t="shared" si="437"/>
        <v>0</v>
      </c>
      <c r="AK575" s="41">
        <f t="shared" si="437"/>
        <v>0</v>
      </c>
      <c r="AL575" s="41">
        <f t="shared" si="437"/>
        <v>0</v>
      </c>
      <c r="AM575" s="41">
        <f t="shared" si="437"/>
        <v>0</v>
      </c>
      <c r="AN575" s="41">
        <f t="shared" si="437"/>
        <v>0</v>
      </c>
      <c r="AO575" s="41">
        <f t="shared" si="437"/>
        <v>0</v>
      </c>
      <c r="AP575" s="41">
        <f t="shared" si="437"/>
        <v>0</v>
      </c>
      <c r="AQ575" s="41">
        <f t="shared" si="437"/>
        <v>0</v>
      </c>
      <c r="AR575" s="41"/>
      <c r="AS575" s="41"/>
      <c r="AT575" s="41"/>
      <c r="AU575" s="41"/>
    </row>
    <row r="576" spans="1:47" x14ac:dyDescent="0.25">
      <c r="A576" s="58"/>
      <c r="B576" s="59"/>
      <c r="C576" s="59"/>
      <c r="D576" s="59"/>
      <c r="E576" s="59"/>
      <c r="F576" s="59"/>
      <c r="G576" s="59"/>
      <c r="H576" s="59"/>
      <c r="I576" s="59"/>
      <c r="J576" s="59"/>
      <c r="K576" s="59"/>
      <c r="L576" s="59"/>
      <c r="M576" s="59"/>
      <c r="N576" s="59"/>
      <c r="O576" s="59"/>
      <c r="P576" s="59"/>
      <c r="Q576" s="59"/>
      <c r="R576" s="59"/>
      <c r="S576" s="59"/>
      <c r="T576" s="59"/>
      <c r="U576" s="59"/>
      <c r="V576" s="59"/>
      <c r="W576" s="59"/>
      <c r="X576" s="59"/>
      <c r="Y576" s="59"/>
      <c r="Z576" s="59"/>
      <c r="AA576" s="59"/>
      <c r="AB576" s="59"/>
      <c r="AC576" s="59"/>
      <c r="AD576" s="59"/>
      <c r="AE576" s="59"/>
      <c r="AF576" s="59"/>
      <c r="AG576" s="41">
        <f t="shared" si="437"/>
        <v>0</v>
      </c>
      <c r="AH576" s="41">
        <f t="shared" si="437"/>
        <v>0</v>
      </c>
      <c r="AI576" s="41">
        <f t="shared" si="437"/>
        <v>0</v>
      </c>
      <c r="AJ576" s="41">
        <f t="shared" si="437"/>
        <v>0</v>
      </c>
      <c r="AK576" s="41">
        <f t="shared" si="437"/>
        <v>0</v>
      </c>
      <c r="AL576" s="41">
        <f t="shared" si="437"/>
        <v>0</v>
      </c>
      <c r="AM576" s="41">
        <f t="shared" si="437"/>
        <v>0</v>
      </c>
      <c r="AN576" s="41">
        <f t="shared" si="437"/>
        <v>0</v>
      </c>
      <c r="AO576" s="41">
        <f t="shared" si="437"/>
        <v>0</v>
      </c>
      <c r="AP576" s="41">
        <f t="shared" si="437"/>
        <v>0</v>
      </c>
      <c r="AQ576" s="41">
        <f t="shared" si="437"/>
        <v>0</v>
      </c>
      <c r="AR576" s="41"/>
      <c r="AS576" s="41"/>
      <c r="AT576" s="41"/>
      <c r="AU576" s="41"/>
    </row>
    <row r="577" spans="1:47" x14ac:dyDescent="0.25">
      <c r="A577" s="58"/>
      <c r="B577" s="59"/>
      <c r="C577" s="59"/>
      <c r="D577" s="59"/>
      <c r="E577" s="59"/>
      <c r="F577" s="59"/>
      <c r="G577" s="59"/>
      <c r="H577" s="59"/>
      <c r="I577" s="59"/>
      <c r="J577" s="59"/>
      <c r="K577" s="59"/>
      <c r="L577" s="59"/>
      <c r="M577" s="59"/>
      <c r="N577" s="59"/>
      <c r="O577" s="59"/>
      <c r="P577" s="59"/>
      <c r="Q577" s="59"/>
      <c r="R577" s="59"/>
      <c r="S577" s="59"/>
      <c r="T577" s="59"/>
      <c r="U577" s="59"/>
      <c r="V577" s="59"/>
      <c r="W577" s="59"/>
      <c r="X577" s="59"/>
      <c r="Y577" s="59"/>
      <c r="Z577" s="59"/>
      <c r="AA577" s="59"/>
      <c r="AB577" s="59"/>
      <c r="AC577" s="59"/>
      <c r="AD577" s="59"/>
      <c r="AE577" s="59"/>
      <c r="AF577" s="59"/>
      <c r="AG577" s="41">
        <f t="shared" si="437"/>
        <v>0</v>
      </c>
      <c r="AH577" s="41">
        <f t="shared" si="437"/>
        <v>0</v>
      </c>
      <c r="AI577" s="41">
        <f t="shared" si="437"/>
        <v>0</v>
      </c>
      <c r="AJ577" s="41">
        <f t="shared" si="437"/>
        <v>0</v>
      </c>
      <c r="AK577" s="41">
        <f t="shared" si="437"/>
        <v>0</v>
      </c>
      <c r="AL577" s="41">
        <f t="shared" si="437"/>
        <v>0</v>
      </c>
      <c r="AM577" s="41">
        <f t="shared" si="437"/>
        <v>0</v>
      </c>
      <c r="AN577" s="41">
        <f t="shared" si="437"/>
        <v>0</v>
      </c>
      <c r="AO577" s="41">
        <f t="shared" si="437"/>
        <v>0</v>
      </c>
      <c r="AP577" s="41">
        <f t="shared" si="437"/>
        <v>0</v>
      </c>
      <c r="AQ577" s="41">
        <f t="shared" si="437"/>
        <v>0</v>
      </c>
      <c r="AR577" s="41"/>
      <c r="AS577" s="41"/>
      <c r="AT577" s="41"/>
      <c r="AU577" s="41"/>
    </row>
    <row r="578" spans="1:47" x14ac:dyDescent="0.25">
      <c r="A578" s="58"/>
      <c r="B578" s="59"/>
      <c r="C578" s="59"/>
      <c r="D578" s="59"/>
      <c r="E578" s="59"/>
      <c r="F578" s="59"/>
      <c r="G578" s="59"/>
      <c r="H578" s="59"/>
      <c r="I578" s="59"/>
      <c r="J578" s="59"/>
      <c r="K578" s="59"/>
      <c r="L578" s="59"/>
      <c r="M578" s="59"/>
      <c r="N578" s="59"/>
      <c r="O578" s="59"/>
      <c r="P578" s="59"/>
      <c r="Q578" s="59"/>
      <c r="R578" s="59"/>
      <c r="S578" s="59"/>
      <c r="T578" s="59"/>
      <c r="U578" s="59"/>
      <c r="V578" s="59"/>
      <c r="W578" s="59"/>
      <c r="X578" s="59"/>
      <c r="Y578" s="59"/>
      <c r="Z578" s="59"/>
      <c r="AA578" s="59"/>
      <c r="AB578" s="59"/>
      <c r="AC578" s="59"/>
      <c r="AD578" s="59"/>
      <c r="AE578" s="59"/>
      <c r="AF578" s="59"/>
      <c r="AG578" s="41">
        <f t="shared" si="437"/>
        <v>0</v>
      </c>
      <c r="AH578" s="41">
        <f t="shared" si="437"/>
        <v>0</v>
      </c>
      <c r="AI578" s="41">
        <f t="shared" si="437"/>
        <v>0</v>
      </c>
      <c r="AJ578" s="41">
        <f t="shared" si="437"/>
        <v>0</v>
      </c>
      <c r="AK578" s="41">
        <f t="shared" si="437"/>
        <v>0</v>
      </c>
      <c r="AL578" s="41">
        <f t="shared" si="437"/>
        <v>0</v>
      </c>
      <c r="AM578" s="41">
        <f t="shared" si="437"/>
        <v>0</v>
      </c>
      <c r="AN578" s="41">
        <f t="shared" si="437"/>
        <v>0</v>
      </c>
      <c r="AO578" s="41">
        <f t="shared" si="437"/>
        <v>0</v>
      </c>
      <c r="AP578" s="41">
        <f t="shared" si="437"/>
        <v>0</v>
      </c>
      <c r="AQ578" s="41">
        <f t="shared" si="437"/>
        <v>0</v>
      </c>
      <c r="AR578" s="41"/>
      <c r="AS578" s="41"/>
      <c r="AT578" s="41"/>
      <c r="AU578" s="41"/>
    </row>
    <row r="579" spans="1:47" x14ac:dyDescent="0.25">
      <c r="A579" s="58"/>
      <c r="B579" s="59"/>
      <c r="C579" s="59"/>
      <c r="D579" s="59"/>
      <c r="E579" s="59"/>
      <c r="F579" s="59"/>
      <c r="G579" s="59"/>
      <c r="H579" s="59"/>
      <c r="I579" s="59"/>
      <c r="J579" s="59"/>
      <c r="K579" s="59"/>
      <c r="L579" s="59"/>
      <c r="M579" s="59"/>
      <c r="N579" s="59"/>
      <c r="O579" s="59"/>
      <c r="P579" s="59"/>
      <c r="Q579" s="59"/>
      <c r="R579" s="59"/>
      <c r="S579" s="59"/>
      <c r="T579" s="59"/>
      <c r="U579" s="59"/>
      <c r="V579" s="59"/>
      <c r="W579" s="59"/>
      <c r="X579" s="59"/>
      <c r="Y579" s="59"/>
      <c r="Z579" s="59"/>
      <c r="AA579" s="59"/>
      <c r="AB579" s="59"/>
      <c r="AC579" s="59"/>
      <c r="AD579" s="59"/>
      <c r="AE579" s="59"/>
      <c r="AF579" s="59"/>
      <c r="AG579" s="41">
        <f t="shared" si="437"/>
        <v>0</v>
      </c>
      <c r="AH579" s="41">
        <f t="shared" si="437"/>
        <v>0</v>
      </c>
      <c r="AI579" s="41">
        <f t="shared" si="437"/>
        <v>0</v>
      </c>
      <c r="AJ579" s="41">
        <f t="shared" si="437"/>
        <v>0</v>
      </c>
      <c r="AK579" s="41">
        <f t="shared" si="437"/>
        <v>0</v>
      </c>
      <c r="AL579" s="41">
        <f t="shared" si="437"/>
        <v>0</v>
      </c>
      <c r="AM579" s="41">
        <f t="shared" si="437"/>
        <v>0</v>
      </c>
      <c r="AN579" s="41">
        <f t="shared" si="437"/>
        <v>0</v>
      </c>
      <c r="AO579" s="41">
        <f t="shared" si="437"/>
        <v>0</v>
      </c>
      <c r="AP579" s="41">
        <f t="shared" si="437"/>
        <v>0</v>
      </c>
      <c r="AQ579" s="41">
        <f t="shared" si="437"/>
        <v>0</v>
      </c>
      <c r="AR579" s="41"/>
      <c r="AS579" s="41"/>
      <c r="AT579" s="41"/>
      <c r="AU579" s="41"/>
    </row>
    <row r="580" spans="1:47" x14ac:dyDescent="0.25">
      <c r="A580" s="58"/>
      <c r="B580" s="59"/>
      <c r="C580" s="59"/>
      <c r="D580" s="59"/>
      <c r="E580" s="59"/>
      <c r="F580" s="59"/>
      <c r="G580" s="59"/>
      <c r="H580" s="59"/>
      <c r="I580" s="59"/>
      <c r="J580" s="59"/>
      <c r="K580" s="59"/>
      <c r="L580" s="59"/>
      <c r="M580" s="59"/>
      <c r="N580" s="59"/>
      <c r="O580" s="59"/>
      <c r="P580" s="59"/>
      <c r="Q580" s="59"/>
      <c r="R580" s="59"/>
      <c r="S580" s="59"/>
      <c r="T580" s="59"/>
      <c r="U580" s="59"/>
      <c r="V580" s="59"/>
      <c r="W580" s="59"/>
      <c r="X580" s="59"/>
      <c r="Y580" s="59"/>
      <c r="Z580" s="59"/>
      <c r="AA580" s="59"/>
      <c r="AB580" s="59"/>
      <c r="AC580" s="59"/>
      <c r="AD580" s="59"/>
      <c r="AE580" s="59"/>
      <c r="AF580" s="59"/>
      <c r="AG580" s="41">
        <f t="shared" si="437"/>
        <v>0</v>
      </c>
      <c r="AH580" s="41">
        <f t="shared" si="437"/>
        <v>0</v>
      </c>
      <c r="AI580" s="41">
        <f t="shared" si="437"/>
        <v>0</v>
      </c>
      <c r="AJ580" s="41">
        <f t="shared" si="437"/>
        <v>0</v>
      </c>
      <c r="AK580" s="41">
        <f t="shared" si="437"/>
        <v>0</v>
      </c>
      <c r="AL580" s="41">
        <f t="shared" si="437"/>
        <v>0</v>
      </c>
      <c r="AM580" s="41">
        <f t="shared" si="437"/>
        <v>0</v>
      </c>
      <c r="AN580" s="41">
        <f t="shared" si="437"/>
        <v>0</v>
      </c>
      <c r="AO580" s="41">
        <f t="shared" si="437"/>
        <v>0</v>
      </c>
      <c r="AP580" s="41">
        <f t="shared" si="437"/>
        <v>0</v>
      </c>
      <c r="AQ580" s="41">
        <f t="shared" si="437"/>
        <v>0</v>
      </c>
      <c r="AR580" s="41"/>
      <c r="AS580" s="41"/>
      <c r="AT580" s="41"/>
      <c r="AU580" s="41"/>
    </row>
    <row r="581" spans="1:47" x14ac:dyDescent="0.25">
      <c r="A581" s="115"/>
      <c r="B581" s="115"/>
      <c r="C581" s="59"/>
      <c r="D581" s="59"/>
      <c r="E581" s="59"/>
      <c r="F581" s="59"/>
      <c r="G581" s="59"/>
      <c r="H581" s="59"/>
      <c r="I581" s="59"/>
      <c r="J581" s="59"/>
      <c r="K581" s="59"/>
      <c r="L581" s="59"/>
      <c r="M581" s="59"/>
      <c r="N581" s="59"/>
      <c r="O581" s="59"/>
      <c r="P581" s="59"/>
      <c r="Q581" s="59"/>
      <c r="R581" s="59"/>
      <c r="S581" s="59"/>
      <c r="T581" s="59"/>
      <c r="U581" s="59"/>
      <c r="V581" s="59"/>
      <c r="W581" s="59"/>
      <c r="X581" s="59"/>
      <c r="Y581" s="59"/>
      <c r="Z581" s="59"/>
      <c r="AA581" s="59"/>
      <c r="AB581" s="59"/>
      <c r="AC581" s="59"/>
      <c r="AD581" s="59"/>
      <c r="AE581" s="59"/>
      <c r="AF581" s="59"/>
      <c r="AG581" s="41">
        <f t="shared" ref="AG581:AQ581" si="438">SUM(AG572:AG580)</f>
        <v>0</v>
      </c>
      <c r="AH581" s="41">
        <f t="shared" si="438"/>
        <v>0</v>
      </c>
      <c r="AI581" s="41">
        <f t="shared" si="438"/>
        <v>0</v>
      </c>
      <c r="AJ581" s="41">
        <f t="shared" si="438"/>
        <v>0</v>
      </c>
      <c r="AK581" s="41">
        <f t="shared" si="438"/>
        <v>0</v>
      </c>
      <c r="AL581" s="41">
        <f t="shared" si="438"/>
        <v>0</v>
      </c>
      <c r="AM581" s="41">
        <f t="shared" si="438"/>
        <v>0</v>
      </c>
      <c r="AN581" s="41">
        <f t="shared" si="438"/>
        <v>0</v>
      </c>
      <c r="AO581" s="41">
        <f t="shared" si="438"/>
        <v>0</v>
      </c>
      <c r="AP581" s="41">
        <f t="shared" si="438"/>
        <v>0</v>
      </c>
      <c r="AQ581" s="41">
        <f t="shared" si="438"/>
        <v>0</v>
      </c>
      <c r="AR581" s="41"/>
      <c r="AS581" s="41"/>
      <c r="AT581" s="41"/>
      <c r="AU581" s="41"/>
    </row>
    <row r="582" spans="1:47" x14ac:dyDescent="0.25">
      <c r="A582" s="15"/>
      <c r="B582" s="15"/>
      <c r="C582" s="15"/>
      <c r="D582" s="15"/>
      <c r="E582" s="15"/>
      <c r="F582" s="15"/>
      <c r="G582" s="15"/>
      <c r="H582" s="15"/>
      <c r="I582" s="15"/>
      <c r="J582" s="15"/>
      <c r="K582" s="15"/>
      <c r="L582" s="15"/>
      <c r="M582" s="15"/>
      <c r="N582" s="15"/>
      <c r="O582" s="15"/>
      <c r="P582" s="15"/>
      <c r="Q582" s="15"/>
      <c r="R582" s="15"/>
      <c r="S582" s="15"/>
      <c r="T582" s="15"/>
      <c r="U582" s="15"/>
      <c r="V582" s="15"/>
      <c r="W582" s="15"/>
      <c r="X582" s="15"/>
      <c r="Y582" s="15"/>
      <c r="Z582" s="15"/>
      <c r="AA582" s="15"/>
      <c r="AB582" s="15"/>
      <c r="AC582" s="15"/>
      <c r="AD582" s="15"/>
      <c r="AE582" s="15"/>
      <c r="AF582" s="15"/>
    </row>
    <row r="583" spans="1:47" x14ac:dyDescent="0.25">
      <c r="A583" s="15"/>
      <c r="B583" s="15"/>
      <c r="C583" s="15"/>
      <c r="D583" s="15"/>
      <c r="E583" s="15"/>
      <c r="F583" s="15"/>
      <c r="G583" s="15"/>
      <c r="H583" s="15"/>
      <c r="I583" s="15"/>
      <c r="J583" s="15"/>
      <c r="K583" s="15"/>
      <c r="L583" s="15"/>
      <c r="M583" s="15"/>
      <c r="N583" s="15"/>
      <c r="O583" s="15"/>
      <c r="P583" s="15"/>
      <c r="Q583" s="15"/>
      <c r="R583" s="15"/>
      <c r="S583" s="15"/>
      <c r="T583" s="15"/>
      <c r="U583" s="15"/>
      <c r="V583" s="15"/>
      <c r="W583" s="15"/>
      <c r="X583" s="15"/>
      <c r="Y583" s="15"/>
      <c r="Z583" s="15"/>
      <c r="AA583" s="15"/>
      <c r="AB583" s="15"/>
      <c r="AC583" s="15"/>
      <c r="AD583" s="15"/>
      <c r="AE583" s="15"/>
      <c r="AF583" s="15"/>
    </row>
    <row r="584" spans="1:47" x14ac:dyDescent="0.25">
      <c r="A584" s="15"/>
      <c r="B584" s="15"/>
      <c r="C584" s="15"/>
      <c r="D584" s="15"/>
      <c r="E584" s="15"/>
      <c r="F584" s="15"/>
      <c r="G584" s="15"/>
      <c r="H584" s="15"/>
      <c r="I584" s="15"/>
      <c r="J584" s="15"/>
      <c r="K584" s="15"/>
      <c r="L584" s="15"/>
      <c r="M584" s="15"/>
      <c r="N584" s="15"/>
      <c r="O584" s="15"/>
      <c r="P584" s="15"/>
      <c r="Q584" s="15"/>
      <c r="R584" s="15"/>
      <c r="S584" s="15"/>
      <c r="T584" s="15"/>
      <c r="U584" s="15"/>
      <c r="V584" s="15"/>
      <c r="W584" s="15"/>
      <c r="X584" s="15"/>
      <c r="Y584" s="15"/>
      <c r="Z584" s="15"/>
      <c r="AA584" s="15"/>
      <c r="AB584" s="15"/>
      <c r="AC584" s="15"/>
      <c r="AD584" s="15"/>
      <c r="AE584" s="15"/>
      <c r="AF584" s="15"/>
    </row>
    <row r="585" spans="1:47" x14ac:dyDescent="0.25">
      <c r="A585" s="15"/>
      <c r="B585" s="15"/>
      <c r="C585" s="15"/>
      <c r="D585" s="15"/>
      <c r="E585" s="15"/>
      <c r="F585" s="15"/>
      <c r="G585" s="15"/>
      <c r="H585" s="15"/>
      <c r="I585" s="15"/>
      <c r="J585" s="15"/>
      <c r="K585" s="15"/>
      <c r="L585" s="15"/>
      <c r="M585" s="15"/>
      <c r="N585" s="15"/>
      <c r="O585" s="15"/>
      <c r="P585" s="15"/>
      <c r="Q585" s="15"/>
      <c r="R585" s="15"/>
      <c r="S585" s="15"/>
      <c r="T585" s="15"/>
      <c r="U585" s="15"/>
      <c r="V585" s="15"/>
      <c r="W585" s="15"/>
      <c r="X585" s="15"/>
      <c r="Y585" s="15"/>
      <c r="Z585" s="15"/>
      <c r="AA585" s="15"/>
      <c r="AB585" s="15"/>
      <c r="AC585" s="15"/>
      <c r="AD585" s="15"/>
      <c r="AE585" s="15"/>
      <c r="AF585" s="15"/>
      <c r="AG585" s="11">
        <f t="shared" ref="AG585:AQ585" si="439">AF585+10</f>
        <v>10</v>
      </c>
      <c r="AH585" s="11">
        <f t="shared" si="439"/>
        <v>20</v>
      </c>
      <c r="AI585" s="11">
        <f t="shared" si="439"/>
        <v>30</v>
      </c>
      <c r="AJ585" s="11">
        <f t="shared" si="439"/>
        <v>40</v>
      </c>
      <c r="AK585" s="11">
        <f t="shared" si="439"/>
        <v>50</v>
      </c>
      <c r="AL585" s="11">
        <f t="shared" si="439"/>
        <v>60</v>
      </c>
      <c r="AM585" s="11">
        <f t="shared" si="439"/>
        <v>70</v>
      </c>
      <c r="AN585" s="11">
        <f t="shared" si="439"/>
        <v>80</v>
      </c>
      <c r="AO585" s="11">
        <f t="shared" si="439"/>
        <v>90</v>
      </c>
      <c r="AP585" s="11">
        <f t="shared" si="439"/>
        <v>100</v>
      </c>
      <c r="AQ585" s="11">
        <f t="shared" si="439"/>
        <v>110</v>
      </c>
    </row>
    <row r="586" spans="1:47" x14ac:dyDescent="0.25">
      <c r="A586" s="58"/>
      <c r="B586" s="58"/>
      <c r="C586" s="58"/>
      <c r="D586" s="58"/>
      <c r="E586" s="58"/>
      <c r="F586" s="58"/>
      <c r="G586" s="58"/>
      <c r="H586" s="58"/>
      <c r="I586" s="58"/>
      <c r="J586" s="58"/>
      <c r="K586" s="58"/>
      <c r="L586" s="58"/>
      <c r="M586" s="58"/>
      <c r="N586" s="58"/>
      <c r="O586" s="58"/>
      <c r="P586" s="58"/>
      <c r="Q586" s="58"/>
      <c r="R586" s="58"/>
      <c r="S586" s="58"/>
      <c r="T586" s="58"/>
      <c r="U586" s="58"/>
      <c r="V586" s="58"/>
      <c r="W586" s="58"/>
      <c r="X586" s="58"/>
      <c r="Y586" s="58"/>
      <c r="Z586" s="58"/>
      <c r="AA586" s="58"/>
      <c r="AB586" s="58"/>
      <c r="AC586" s="58"/>
      <c r="AD586" s="58"/>
      <c r="AE586" s="58"/>
      <c r="AF586" s="58"/>
      <c r="AG586" s="40">
        <f t="shared" ref="AG586:AQ586" si="440">AG585-$B$521</f>
        <v>10</v>
      </c>
      <c r="AH586" s="40">
        <f t="shared" si="440"/>
        <v>20</v>
      </c>
      <c r="AI586" s="40">
        <f t="shared" si="440"/>
        <v>30</v>
      </c>
      <c r="AJ586" s="40">
        <f t="shared" si="440"/>
        <v>40</v>
      </c>
      <c r="AK586" s="40">
        <f t="shared" si="440"/>
        <v>50</v>
      </c>
      <c r="AL586" s="40">
        <f t="shared" si="440"/>
        <v>60</v>
      </c>
      <c r="AM586" s="40">
        <f t="shared" si="440"/>
        <v>70</v>
      </c>
      <c r="AN586" s="40">
        <f t="shared" si="440"/>
        <v>80</v>
      </c>
      <c r="AO586" s="40">
        <f t="shared" si="440"/>
        <v>90</v>
      </c>
      <c r="AP586" s="40">
        <f t="shared" si="440"/>
        <v>100</v>
      </c>
      <c r="AQ586" s="40">
        <f t="shared" si="440"/>
        <v>110</v>
      </c>
    </row>
    <row r="587" spans="1:47" x14ac:dyDescent="0.25">
      <c r="A587" s="58"/>
      <c r="B587" s="15"/>
      <c r="C587" s="59"/>
      <c r="D587" s="59"/>
      <c r="E587" s="59"/>
      <c r="F587" s="59"/>
      <c r="G587" s="59"/>
      <c r="H587" s="59"/>
      <c r="I587" s="59"/>
      <c r="J587" s="59"/>
      <c r="K587" s="59"/>
      <c r="L587" s="59"/>
      <c r="M587" s="59"/>
      <c r="N587" s="59"/>
      <c r="O587" s="59"/>
      <c r="P587" s="59"/>
      <c r="Q587" s="59"/>
      <c r="R587" s="59"/>
      <c r="S587" s="59"/>
      <c r="T587" s="59"/>
      <c r="U587" s="59"/>
      <c r="V587" s="59"/>
      <c r="W587" s="59"/>
      <c r="X587" s="59"/>
      <c r="Y587" s="59"/>
      <c r="Z587" s="59"/>
      <c r="AA587" s="59"/>
      <c r="AB587" s="59"/>
      <c r="AC587" s="59"/>
      <c r="AD587" s="59"/>
      <c r="AE587" s="59"/>
      <c r="AF587" s="59"/>
      <c r="AG587" s="41">
        <f t="shared" ref="AG587:AQ595" si="441">$B587*AG$571^$A587</f>
        <v>0</v>
      </c>
      <c r="AH587" s="41">
        <f t="shared" si="441"/>
        <v>0</v>
      </c>
      <c r="AI587" s="41">
        <f t="shared" si="441"/>
        <v>0</v>
      </c>
      <c r="AJ587" s="41">
        <f t="shared" si="441"/>
        <v>0</v>
      </c>
      <c r="AK587" s="41">
        <f t="shared" si="441"/>
        <v>0</v>
      </c>
      <c r="AL587" s="41">
        <f t="shared" si="441"/>
        <v>0</v>
      </c>
      <c r="AM587" s="41">
        <f t="shared" si="441"/>
        <v>0</v>
      </c>
      <c r="AN587" s="41">
        <f t="shared" si="441"/>
        <v>0</v>
      </c>
      <c r="AO587" s="41">
        <f t="shared" si="441"/>
        <v>0</v>
      </c>
      <c r="AP587" s="41">
        <f t="shared" si="441"/>
        <v>0</v>
      </c>
      <c r="AQ587" s="41">
        <f t="shared" si="441"/>
        <v>0</v>
      </c>
    </row>
    <row r="588" spans="1:47" x14ac:dyDescent="0.25">
      <c r="A588" s="58"/>
      <c r="B588" s="15"/>
      <c r="C588" s="59"/>
      <c r="D588" s="59"/>
      <c r="E588" s="59"/>
      <c r="F588" s="59"/>
      <c r="G588" s="59"/>
      <c r="H588" s="59"/>
      <c r="I588" s="59"/>
      <c r="J588" s="59"/>
      <c r="K588" s="59"/>
      <c r="L588" s="59"/>
      <c r="M588" s="59"/>
      <c r="N588" s="59"/>
      <c r="O588" s="59"/>
      <c r="P588" s="59"/>
      <c r="Q588" s="59"/>
      <c r="R588" s="59"/>
      <c r="S588" s="59"/>
      <c r="T588" s="59"/>
      <c r="U588" s="59"/>
      <c r="V588" s="59"/>
      <c r="W588" s="59"/>
      <c r="X588" s="59"/>
      <c r="Y588" s="59"/>
      <c r="Z588" s="59"/>
      <c r="AA588" s="59"/>
      <c r="AB588" s="59"/>
      <c r="AC588" s="59"/>
      <c r="AD588" s="59"/>
      <c r="AE588" s="59"/>
      <c r="AF588" s="59"/>
      <c r="AG588" s="41">
        <f t="shared" si="441"/>
        <v>0</v>
      </c>
      <c r="AH588" s="41">
        <f t="shared" si="441"/>
        <v>0</v>
      </c>
      <c r="AI588" s="41">
        <f t="shared" si="441"/>
        <v>0</v>
      </c>
      <c r="AJ588" s="41">
        <f t="shared" si="441"/>
        <v>0</v>
      </c>
      <c r="AK588" s="41">
        <f t="shared" si="441"/>
        <v>0</v>
      </c>
      <c r="AL588" s="41">
        <f t="shared" si="441"/>
        <v>0</v>
      </c>
      <c r="AM588" s="41">
        <f t="shared" si="441"/>
        <v>0</v>
      </c>
      <c r="AN588" s="41">
        <f t="shared" si="441"/>
        <v>0</v>
      </c>
      <c r="AO588" s="41">
        <f t="shared" si="441"/>
        <v>0</v>
      </c>
      <c r="AP588" s="41">
        <f t="shared" si="441"/>
        <v>0</v>
      </c>
      <c r="AQ588" s="41">
        <f t="shared" si="441"/>
        <v>0</v>
      </c>
    </row>
    <row r="589" spans="1:47" x14ac:dyDescent="0.25">
      <c r="A589" s="58"/>
      <c r="B589" s="15"/>
      <c r="C589" s="59"/>
      <c r="D589" s="59"/>
      <c r="E589" s="59"/>
      <c r="F589" s="59"/>
      <c r="G589" s="59"/>
      <c r="H589" s="59"/>
      <c r="I589" s="59"/>
      <c r="J589" s="59"/>
      <c r="K589" s="59"/>
      <c r="L589" s="59"/>
      <c r="M589" s="59"/>
      <c r="N589" s="59"/>
      <c r="O589" s="59"/>
      <c r="P589" s="59"/>
      <c r="Q589" s="59"/>
      <c r="R589" s="59"/>
      <c r="S589" s="59"/>
      <c r="T589" s="59"/>
      <c r="U589" s="59"/>
      <c r="V589" s="59"/>
      <c r="W589" s="59"/>
      <c r="X589" s="59"/>
      <c r="Y589" s="59"/>
      <c r="Z589" s="59"/>
      <c r="AA589" s="59"/>
      <c r="AB589" s="59"/>
      <c r="AC589" s="59"/>
      <c r="AD589" s="59"/>
      <c r="AE589" s="59"/>
      <c r="AF589" s="59"/>
      <c r="AG589" s="41">
        <f t="shared" si="441"/>
        <v>0</v>
      </c>
      <c r="AH589" s="41">
        <f t="shared" si="441"/>
        <v>0</v>
      </c>
      <c r="AI589" s="41">
        <f t="shared" si="441"/>
        <v>0</v>
      </c>
      <c r="AJ589" s="41">
        <f t="shared" si="441"/>
        <v>0</v>
      </c>
      <c r="AK589" s="41">
        <f t="shared" si="441"/>
        <v>0</v>
      </c>
      <c r="AL589" s="41">
        <f t="shared" si="441"/>
        <v>0</v>
      </c>
      <c r="AM589" s="41">
        <f t="shared" si="441"/>
        <v>0</v>
      </c>
      <c r="AN589" s="41">
        <f t="shared" si="441"/>
        <v>0</v>
      </c>
      <c r="AO589" s="41">
        <f t="shared" si="441"/>
        <v>0</v>
      </c>
      <c r="AP589" s="41">
        <f t="shared" si="441"/>
        <v>0</v>
      </c>
      <c r="AQ589" s="41">
        <f t="shared" si="441"/>
        <v>0</v>
      </c>
    </row>
    <row r="590" spans="1:47" x14ac:dyDescent="0.25">
      <c r="A590" s="58"/>
      <c r="B590" s="15"/>
      <c r="C590" s="59"/>
      <c r="D590" s="59"/>
      <c r="E590" s="59"/>
      <c r="F590" s="59"/>
      <c r="G590" s="59"/>
      <c r="H590" s="59"/>
      <c r="I590" s="59"/>
      <c r="J590" s="59"/>
      <c r="K590" s="59"/>
      <c r="L590" s="59"/>
      <c r="M590" s="59"/>
      <c r="N590" s="59"/>
      <c r="O590" s="59"/>
      <c r="P590" s="59"/>
      <c r="Q590" s="59"/>
      <c r="R590" s="59"/>
      <c r="S590" s="59"/>
      <c r="T590" s="59"/>
      <c r="U590" s="59"/>
      <c r="V590" s="59"/>
      <c r="W590" s="59"/>
      <c r="X590" s="59"/>
      <c r="Y590" s="59"/>
      <c r="Z590" s="59"/>
      <c r="AA590" s="59"/>
      <c r="AB590" s="59"/>
      <c r="AC590" s="59"/>
      <c r="AD590" s="59"/>
      <c r="AE590" s="59"/>
      <c r="AF590" s="59"/>
      <c r="AG590" s="41">
        <f t="shared" si="441"/>
        <v>0</v>
      </c>
      <c r="AH590" s="41">
        <f t="shared" si="441"/>
        <v>0</v>
      </c>
      <c r="AI590" s="41">
        <f t="shared" si="441"/>
        <v>0</v>
      </c>
      <c r="AJ590" s="41">
        <f t="shared" si="441"/>
        <v>0</v>
      </c>
      <c r="AK590" s="41">
        <f t="shared" si="441"/>
        <v>0</v>
      </c>
      <c r="AL590" s="41">
        <f t="shared" si="441"/>
        <v>0</v>
      </c>
      <c r="AM590" s="41">
        <f t="shared" si="441"/>
        <v>0</v>
      </c>
      <c r="AN590" s="41">
        <f t="shared" si="441"/>
        <v>0</v>
      </c>
      <c r="AO590" s="41">
        <f t="shared" si="441"/>
        <v>0</v>
      </c>
      <c r="AP590" s="41">
        <f t="shared" si="441"/>
        <v>0</v>
      </c>
      <c r="AQ590" s="41">
        <f t="shared" si="441"/>
        <v>0</v>
      </c>
    </row>
    <row r="591" spans="1:47" x14ac:dyDescent="0.25">
      <c r="A591" s="58"/>
      <c r="B591" s="15"/>
      <c r="C591" s="59"/>
      <c r="D591" s="59"/>
      <c r="E591" s="59"/>
      <c r="F591" s="59"/>
      <c r="G591" s="59"/>
      <c r="H591" s="59"/>
      <c r="I591" s="59"/>
      <c r="J591" s="59"/>
      <c r="K591" s="59"/>
      <c r="L591" s="59"/>
      <c r="M591" s="59"/>
      <c r="N591" s="59"/>
      <c r="O591" s="59"/>
      <c r="P591" s="59"/>
      <c r="Q591" s="59"/>
      <c r="R591" s="59"/>
      <c r="S591" s="59"/>
      <c r="T591" s="59"/>
      <c r="U591" s="59"/>
      <c r="V591" s="59"/>
      <c r="W591" s="59"/>
      <c r="X591" s="59"/>
      <c r="Y591" s="59"/>
      <c r="Z591" s="59"/>
      <c r="AA591" s="59"/>
      <c r="AB591" s="59"/>
      <c r="AC591" s="59"/>
      <c r="AD591" s="59"/>
      <c r="AE591" s="59"/>
      <c r="AF591" s="59"/>
      <c r="AG591" s="41">
        <f t="shared" si="441"/>
        <v>0</v>
      </c>
      <c r="AH591" s="41">
        <f t="shared" si="441"/>
        <v>0</v>
      </c>
      <c r="AI591" s="41">
        <f t="shared" si="441"/>
        <v>0</v>
      </c>
      <c r="AJ591" s="41">
        <f t="shared" si="441"/>
        <v>0</v>
      </c>
      <c r="AK591" s="41">
        <f t="shared" si="441"/>
        <v>0</v>
      </c>
      <c r="AL591" s="41">
        <f t="shared" si="441"/>
        <v>0</v>
      </c>
      <c r="AM591" s="41">
        <f t="shared" si="441"/>
        <v>0</v>
      </c>
      <c r="AN591" s="41">
        <f t="shared" si="441"/>
        <v>0</v>
      </c>
      <c r="AO591" s="41">
        <f t="shared" si="441"/>
        <v>0</v>
      </c>
      <c r="AP591" s="41">
        <f t="shared" si="441"/>
        <v>0</v>
      </c>
      <c r="AQ591" s="41">
        <f t="shared" si="441"/>
        <v>0</v>
      </c>
    </row>
    <row r="592" spans="1:47" x14ac:dyDescent="0.25">
      <c r="A592" s="58"/>
      <c r="B592" s="15"/>
      <c r="C592" s="59"/>
      <c r="D592" s="59"/>
      <c r="E592" s="59"/>
      <c r="F592" s="59"/>
      <c r="G592" s="59"/>
      <c r="H592" s="59"/>
      <c r="I592" s="59"/>
      <c r="J592" s="59"/>
      <c r="K592" s="59"/>
      <c r="L592" s="59"/>
      <c r="M592" s="59"/>
      <c r="N592" s="59"/>
      <c r="O592" s="59"/>
      <c r="P592" s="59"/>
      <c r="Q592" s="59"/>
      <c r="R592" s="59"/>
      <c r="S592" s="59"/>
      <c r="T592" s="59"/>
      <c r="U592" s="59"/>
      <c r="V592" s="59"/>
      <c r="W592" s="59"/>
      <c r="X592" s="59"/>
      <c r="Y592" s="59"/>
      <c r="Z592" s="59"/>
      <c r="AA592" s="59"/>
      <c r="AB592" s="59"/>
      <c r="AC592" s="59"/>
      <c r="AD592" s="59"/>
      <c r="AE592" s="59"/>
      <c r="AF592" s="59"/>
      <c r="AG592" s="41">
        <f t="shared" si="441"/>
        <v>0</v>
      </c>
      <c r="AH592" s="41">
        <f t="shared" si="441"/>
        <v>0</v>
      </c>
      <c r="AI592" s="41">
        <f t="shared" si="441"/>
        <v>0</v>
      </c>
      <c r="AJ592" s="41">
        <f t="shared" si="441"/>
        <v>0</v>
      </c>
      <c r="AK592" s="41">
        <f t="shared" si="441"/>
        <v>0</v>
      </c>
      <c r="AL592" s="41">
        <f t="shared" si="441"/>
        <v>0</v>
      </c>
      <c r="AM592" s="41">
        <f t="shared" si="441"/>
        <v>0</v>
      </c>
      <c r="AN592" s="41">
        <f t="shared" si="441"/>
        <v>0</v>
      </c>
      <c r="AO592" s="41">
        <f t="shared" si="441"/>
        <v>0</v>
      </c>
      <c r="AP592" s="41">
        <f t="shared" si="441"/>
        <v>0</v>
      </c>
      <c r="AQ592" s="41">
        <f t="shared" si="441"/>
        <v>0</v>
      </c>
    </row>
    <row r="593" spans="1:43" x14ac:dyDescent="0.25">
      <c r="A593" s="58"/>
      <c r="B593" s="15"/>
      <c r="C593" s="59"/>
      <c r="D593" s="59"/>
      <c r="E593" s="59"/>
      <c r="F593" s="59"/>
      <c r="G593" s="59"/>
      <c r="H593" s="59"/>
      <c r="I593" s="59"/>
      <c r="J593" s="59"/>
      <c r="K593" s="59"/>
      <c r="L593" s="59"/>
      <c r="M593" s="59"/>
      <c r="N593" s="59"/>
      <c r="O593" s="59"/>
      <c r="P593" s="59"/>
      <c r="Q593" s="59"/>
      <c r="R593" s="59"/>
      <c r="S593" s="59"/>
      <c r="T593" s="59"/>
      <c r="U593" s="59"/>
      <c r="V593" s="59"/>
      <c r="W593" s="59"/>
      <c r="X593" s="59"/>
      <c r="Y593" s="59"/>
      <c r="Z593" s="59"/>
      <c r="AA593" s="59"/>
      <c r="AB593" s="59"/>
      <c r="AC593" s="59"/>
      <c r="AD593" s="59"/>
      <c r="AE593" s="59"/>
      <c r="AF593" s="59"/>
      <c r="AG593" s="41">
        <f t="shared" si="441"/>
        <v>0</v>
      </c>
      <c r="AH593" s="41">
        <f t="shared" si="441"/>
        <v>0</v>
      </c>
      <c r="AI593" s="41">
        <f t="shared" si="441"/>
        <v>0</v>
      </c>
      <c r="AJ593" s="41">
        <f t="shared" si="441"/>
        <v>0</v>
      </c>
      <c r="AK593" s="41">
        <f t="shared" si="441"/>
        <v>0</v>
      </c>
      <c r="AL593" s="41">
        <f t="shared" si="441"/>
        <v>0</v>
      </c>
      <c r="AM593" s="41">
        <f t="shared" si="441"/>
        <v>0</v>
      </c>
      <c r="AN593" s="41">
        <f t="shared" si="441"/>
        <v>0</v>
      </c>
      <c r="AO593" s="41">
        <f t="shared" si="441"/>
        <v>0</v>
      </c>
      <c r="AP593" s="41">
        <f t="shared" si="441"/>
        <v>0</v>
      </c>
      <c r="AQ593" s="41">
        <f t="shared" si="441"/>
        <v>0</v>
      </c>
    </row>
    <row r="594" spans="1:43" x14ac:dyDescent="0.25">
      <c r="A594" s="58"/>
      <c r="B594" s="15"/>
      <c r="C594" s="59"/>
      <c r="D594" s="59"/>
      <c r="E594" s="59"/>
      <c r="F594" s="59"/>
      <c r="G594" s="59"/>
      <c r="H594" s="59"/>
      <c r="I594" s="59"/>
      <c r="J594" s="59"/>
      <c r="K594" s="59"/>
      <c r="L594" s="59"/>
      <c r="M594" s="59"/>
      <c r="N594" s="59"/>
      <c r="O594" s="59"/>
      <c r="P594" s="59"/>
      <c r="Q594" s="59"/>
      <c r="R594" s="59"/>
      <c r="S594" s="59"/>
      <c r="T594" s="59"/>
      <c r="U594" s="59"/>
      <c r="V594" s="59"/>
      <c r="W594" s="59"/>
      <c r="X594" s="59"/>
      <c r="Y594" s="59"/>
      <c r="Z594" s="59"/>
      <c r="AA594" s="59"/>
      <c r="AB594" s="59"/>
      <c r="AC594" s="59"/>
      <c r="AD594" s="59"/>
      <c r="AE594" s="59"/>
      <c r="AF594" s="59"/>
      <c r="AG594" s="41">
        <f t="shared" si="441"/>
        <v>0</v>
      </c>
      <c r="AH594" s="41">
        <f t="shared" si="441"/>
        <v>0</v>
      </c>
      <c r="AI594" s="41">
        <f t="shared" si="441"/>
        <v>0</v>
      </c>
      <c r="AJ594" s="41">
        <f t="shared" si="441"/>
        <v>0</v>
      </c>
      <c r="AK594" s="41">
        <f t="shared" si="441"/>
        <v>0</v>
      </c>
      <c r="AL594" s="41">
        <f t="shared" si="441"/>
        <v>0</v>
      </c>
      <c r="AM594" s="41">
        <f t="shared" si="441"/>
        <v>0</v>
      </c>
      <c r="AN594" s="41">
        <f t="shared" si="441"/>
        <v>0</v>
      </c>
      <c r="AO594" s="41">
        <f t="shared" si="441"/>
        <v>0</v>
      </c>
      <c r="AP594" s="41">
        <f t="shared" si="441"/>
        <v>0</v>
      </c>
      <c r="AQ594" s="41">
        <f t="shared" si="441"/>
        <v>0</v>
      </c>
    </row>
    <row r="595" spans="1:43" x14ac:dyDescent="0.25">
      <c r="A595" s="58"/>
      <c r="B595" s="59"/>
      <c r="C595" s="59"/>
      <c r="D595" s="59"/>
      <c r="E595" s="59"/>
      <c r="F595" s="59"/>
      <c r="G595" s="59"/>
      <c r="H595" s="59"/>
      <c r="I595" s="59"/>
      <c r="J595" s="59"/>
      <c r="K595" s="59"/>
      <c r="L595" s="59"/>
      <c r="M595" s="59"/>
      <c r="N595" s="59"/>
      <c r="O595" s="59"/>
      <c r="P595" s="59"/>
      <c r="Q595" s="59"/>
      <c r="R595" s="59"/>
      <c r="S595" s="59"/>
      <c r="T595" s="59"/>
      <c r="U595" s="59"/>
      <c r="V595" s="59"/>
      <c r="W595" s="59"/>
      <c r="X595" s="59"/>
      <c r="Y595" s="59"/>
      <c r="Z595" s="59"/>
      <c r="AA595" s="59"/>
      <c r="AB595" s="59"/>
      <c r="AC595" s="59"/>
      <c r="AD595" s="59"/>
      <c r="AE595" s="59"/>
      <c r="AF595" s="59"/>
      <c r="AG595" s="41">
        <f t="shared" si="441"/>
        <v>0</v>
      </c>
      <c r="AH595" s="41">
        <f t="shared" si="441"/>
        <v>0</v>
      </c>
      <c r="AI595" s="41">
        <f t="shared" si="441"/>
        <v>0</v>
      </c>
      <c r="AJ595" s="41">
        <f t="shared" si="441"/>
        <v>0</v>
      </c>
      <c r="AK595" s="41">
        <f t="shared" si="441"/>
        <v>0</v>
      </c>
      <c r="AL595" s="41">
        <f t="shared" si="441"/>
        <v>0</v>
      </c>
      <c r="AM595" s="41">
        <f t="shared" si="441"/>
        <v>0</v>
      </c>
      <c r="AN595" s="41">
        <f t="shared" si="441"/>
        <v>0</v>
      </c>
      <c r="AO595" s="41">
        <f t="shared" si="441"/>
        <v>0</v>
      </c>
      <c r="AP595" s="41">
        <f t="shared" si="441"/>
        <v>0</v>
      </c>
      <c r="AQ595" s="41">
        <f t="shared" si="441"/>
        <v>0</v>
      </c>
    </row>
    <row r="596" spans="1:43" x14ac:dyDescent="0.25">
      <c r="A596" s="115"/>
      <c r="B596" s="115"/>
      <c r="C596" s="59"/>
      <c r="D596" s="59"/>
      <c r="E596" s="59"/>
      <c r="F596" s="59"/>
      <c r="G596" s="59"/>
      <c r="H596" s="59"/>
      <c r="I596" s="59"/>
      <c r="J596" s="59"/>
      <c r="K596" s="59"/>
      <c r="L596" s="59"/>
      <c r="M596" s="59"/>
      <c r="N596" s="59"/>
      <c r="O596" s="59"/>
      <c r="P596" s="59"/>
      <c r="Q596" s="59"/>
      <c r="R596" s="59"/>
      <c r="S596" s="59"/>
      <c r="T596" s="59"/>
      <c r="U596" s="59"/>
      <c r="V596" s="59"/>
      <c r="W596" s="59"/>
      <c r="X596" s="59"/>
      <c r="Y596" s="59"/>
      <c r="Z596" s="59"/>
      <c r="AA596" s="59"/>
      <c r="AB596" s="59"/>
      <c r="AC596" s="59"/>
      <c r="AD596" s="59"/>
      <c r="AE596" s="59"/>
      <c r="AF596" s="59"/>
      <c r="AG596" s="41">
        <f t="shared" ref="AG596:AQ596" si="442">SUM(AG587:AG595)</f>
        <v>0</v>
      </c>
      <c r="AH596" s="41">
        <f t="shared" si="442"/>
        <v>0</v>
      </c>
      <c r="AI596" s="41">
        <f t="shared" si="442"/>
        <v>0</v>
      </c>
      <c r="AJ596" s="41">
        <f t="shared" si="442"/>
        <v>0</v>
      </c>
      <c r="AK596" s="41">
        <f t="shared" si="442"/>
        <v>0</v>
      </c>
      <c r="AL596" s="41">
        <f t="shared" si="442"/>
        <v>0</v>
      </c>
      <c r="AM596" s="41">
        <f t="shared" si="442"/>
        <v>0</v>
      </c>
      <c r="AN596" s="41">
        <f t="shared" si="442"/>
        <v>0</v>
      </c>
      <c r="AO596" s="41">
        <f t="shared" si="442"/>
        <v>0</v>
      </c>
      <c r="AP596" s="41">
        <f t="shared" si="442"/>
        <v>0</v>
      </c>
      <c r="AQ596" s="41">
        <f t="shared" si="442"/>
        <v>0</v>
      </c>
    </row>
    <row r="597" spans="1:43" x14ac:dyDescent="0.25">
      <c r="A597" s="116"/>
      <c r="B597" s="116"/>
      <c r="C597" s="59"/>
      <c r="D597" s="59"/>
      <c r="E597" s="59"/>
      <c r="F597" s="59"/>
      <c r="G597" s="59"/>
      <c r="H597" s="59"/>
      <c r="I597" s="59"/>
      <c r="J597" s="59"/>
      <c r="K597" s="59"/>
      <c r="L597" s="59"/>
      <c r="M597" s="59"/>
      <c r="N597" s="59"/>
      <c r="O597" s="59"/>
      <c r="P597" s="59"/>
      <c r="Q597" s="59"/>
      <c r="R597" s="59"/>
      <c r="S597" s="59"/>
      <c r="T597" s="59"/>
      <c r="U597" s="59"/>
      <c r="V597" s="59"/>
      <c r="W597" s="59"/>
      <c r="X597" s="59"/>
      <c r="Y597" s="59"/>
      <c r="Z597" s="59"/>
      <c r="AA597" s="59"/>
      <c r="AB597" s="59"/>
      <c r="AC597" s="59"/>
      <c r="AD597" s="59"/>
      <c r="AE597" s="59"/>
      <c r="AF597" s="59"/>
      <c r="AG597" s="41">
        <f t="shared" ref="AG597:AQ597" si="443">(AG581-AG596)^2</f>
        <v>0</v>
      </c>
      <c r="AH597" s="41">
        <f t="shared" si="443"/>
        <v>0</v>
      </c>
      <c r="AI597" s="41">
        <f t="shared" si="443"/>
        <v>0</v>
      </c>
      <c r="AJ597" s="41">
        <f t="shared" si="443"/>
        <v>0</v>
      </c>
      <c r="AK597" s="41">
        <f t="shared" si="443"/>
        <v>0</v>
      </c>
      <c r="AL597" s="41">
        <f t="shared" si="443"/>
        <v>0</v>
      </c>
      <c r="AM597" s="41">
        <f t="shared" si="443"/>
        <v>0</v>
      </c>
      <c r="AN597" s="41">
        <f t="shared" si="443"/>
        <v>0</v>
      </c>
      <c r="AO597" s="41">
        <f t="shared" si="443"/>
        <v>0</v>
      </c>
      <c r="AP597" s="41">
        <f t="shared" si="443"/>
        <v>0</v>
      </c>
      <c r="AQ597" s="41">
        <f t="shared" si="443"/>
        <v>0</v>
      </c>
    </row>
    <row r="598" spans="1:43" x14ac:dyDescent="0.25">
      <c r="A598" s="15"/>
      <c r="B598" s="15"/>
      <c r="C598" s="15"/>
      <c r="D598" s="15"/>
      <c r="E598" s="15"/>
      <c r="F598" s="15"/>
      <c r="G598" s="15"/>
      <c r="H598" s="15"/>
      <c r="I598" s="15"/>
      <c r="J598" s="15"/>
      <c r="K598" s="15"/>
      <c r="L598" s="15"/>
      <c r="M598" s="15"/>
      <c r="N598" s="15"/>
      <c r="O598" s="15"/>
      <c r="P598" s="15"/>
      <c r="Q598" s="15"/>
      <c r="R598" s="15"/>
      <c r="S598" s="15"/>
      <c r="T598" s="15"/>
      <c r="U598" s="15"/>
      <c r="V598" s="15"/>
      <c r="W598" s="15"/>
      <c r="X598" s="15"/>
      <c r="Y598" s="15"/>
      <c r="Z598" s="15"/>
      <c r="AA598" s="15"/>
      <c r="AB598" s="15"/>
      <c r="AC598" s="15"/>
      <c r="AD598" s="15"/>
      <c r="AE598" s="15"/>
      <c r="AF598" s="15"/>
    </row>
    <row r="599" spans="1:43" x14ac:dyDescent="0.25">
      <c r="A599" s="15"/>
      <c r="B599" s="15"/>
      <c r="C599" s="15"/>
      <c r="D599" s="15"/>
      <c r="E599" s="15"/>
      <c r="F599" s="15"/>
      <c r="G599" s="15"/>
      <c r="H599" s="15"/>
      <c r="I599" s="15"/>
      <c r="J599" s="15"/>
      <c r="K599" s="15"/>
      <c r="L599" s="15"/>
      <c r="M599" s="15"/>
      <c r="N599" s="15"/>
      <c r="O599" s="15"/>
      <c r="P599" s="15"/>
      <c r="Q599" s="15"/>
      <c r="R599" s="15"/>
      <c r="S599" s="15"/>
      <c r="T599" s="15"/>
      <c r="U599" s="15"/>
      <c r="V599" s="15"/>
      <c r="W599" s="15"/>
      <c r="X599" s="15"/>
      <c r="Y599" s="15"/>
      <c r="Z599" s="15"/>
      <c r="AA599" s="15"/>
      <c r="AB599" s="15"/>
      <c r="AC599" s="15"/>
      <c r="AD599" s="15"/>
      <c r="AE599" s="15"/>
      <c r="AF599" s="15"/>
    </row>
    <row r="600" spans="1:43" x14ac:dyDescent="0.25">
      <c r="A600" s="15"/>
      <c r="B600" s="15"/>
      <c r="C600" s="15"/>
      <c r="D600" s="15"/>
      <c r="E600" s="15"/>
      <c r="F600" s="15"/>
      <c r="G600" s="15"/>
      <c r="H600" s="15"/>
      <c r="I600" s="15"/>
      <c r="J600" s="15"/>
      <c r="K600" s="15"/>
      <c r="L600" s="15"/>
      <c r="M600" s="15"/>
      <c r="N600" s="15"/>
      <c r="O600" s="15"/>
      <c r="P600" s="15"/>
      <c r="Q600" s="15"/>
      <c r="R600" s="15"/>
      <c r="S600" s="15"/>
      <c r="T600" s="15"/>
      <c r="U600" s="15"/>
      <c r="V600" s="15"/>
      <c r="W600" s="15"/>
      <c r="X600" s="15"/>
      <c r="Y600" s="15"/>
      <c r="Z600" s="15"/>
      <c r="AA600" s="15"/>
      <c r="AB600" s="15"/>
      <c r="AC600" s="15"/>
      <c r="AD600" s="15"/>
      <c r="AE600" s="15"/>
      <c r="AF600" s="15"/>
    </row>
    <row r="601" spans="1:43" x14ac:dyDescent="0.25">
      <c r="A601" s="15"/>
      <c r="B601" s="15"/>
      <c r="C601" s="15"/>
      <c r="D601" s="15"/>
      <c r="E601" s="15"/>
      <c r="F601" s="15"/>
      <c r="G601" s="15"/>
      <c r="H601" s="15"/>
      <c r="I601" s="15"/>
      <c r="J601" s="15"/>
      <c r="K601" s="15"/>
      <c r="L601" s="15"/>
      <c r="M601" s="15"/>
      <c r="N601" s="15"/>
      <c r="O601" s="15"/>
      <c r="P601" s="15"/>
      <c r="Q601" s="15"/>
      <c r="R601" s="15"/>
      <c r="S601" s="15"/>
      <c r="T601" s="15"/>
      <c r="U601" s="15"/>
      <c r="V601" s="15"/>
      <c r="W601" s="15"/>
      <c r="X601" s="15"/>
      <c r="Y601" s="15"/>
      <c r="Z601" s="15"/>
      <c r="AA601" s="15"/>
      <c r="AB601" s="15"/>
      <c r="AC601" s="15"/>
      <c r="AD601" s="15"/>
      <c r="AE601" s="15"/>
      <c r="AF601" s="15"/>
    </row>
    <row r="602" spans="1:43" x14ac:dyDescent="0.25">
      <c r="A602" s="15"/>
      <c r="B602" s="15"/>
      <c r="C602" s="15"/>
      <c r="D602" s="15"/>
      <c r="E602" s="15"/>
      <c r="F602" s="15"/>
      <c r="G602" s="15"/>
      <c r="H602" s="15"/>
      <c r="I602" s="15"/>
      <c r="J602" s="15"/>
      <c r="K602" s="15"/>
      <c r="L602" s="15"/>
      <c r="M602" s="15"/>
      <c r="N602" s="15"/>
      <c r="O602" s="15"/>
      <c r="P602" s="15"/>
      <c r="Q602" s="15"/>
      <c r="R602" s="15"/>
      <c r="S602" s="15"/>
      <c r="T602" s="15"/>
      <c r="U602" s="15"/>
      <c r="V602" s="15"/>
      <c r="W602" s="15"/>
      <c r="X602" s="15"/>
      <c r="Y602" s="15"/>
      <c r="Z602" s="15"/>
      <c r="AA602" s="15"/>
      <c r="AB602" s="15"/>
      <c r="AC602" s="15"/>
      <c r="AD602" s="15"/>
      <c r="AE602" s="15"/>
      <c r="AF602" s="15"/>
    </row>
    <row r="603" spans="1:43" x14ac:dyDescent="0.25">
      <c r="A603" s="15"/>
      <c r="B603" s="15"/>
      <c r="C603" s="15"/>
      <c r="D603" s="15"/>
      <c r="E603" s="15"/>
      <c r="F603" s="15"/>
      <c r="G603" s="15"/>
      <c r="H603" s="15"/>
      <c r="I603" s="15"/>
      <c r="J603" s="15"/>
      <c r="K603" s="15"/>
      <c r="L603" s="15"/>
      <c r="M603" s="15"/>
      <c r="N603" s="15"/>
      <c r="O603" s="15"/>
      <c r="P603" s="15"/>
      <c r="Q603" s="15"/>
      <c r="R603" s="15"/>
      <c r="S603" s="15"/>
      <c r="T603" s="15"/>
      <c r="U603" s="15"/>
      <c r="V603" s="15"/>
      <c r="W603" s="15"/>
      <c r="X603" s="15"/>
      <c r="Y603" s="15"/>
      <c r="Z603" s="15"/>
      <c r="AA603" s="15"/>
      <c r="AB603" s="15"/>
      <c r="AC603" s="15"/>
      <c r="AD603" s="15"/>
      <c r="AE603" s="15"/>
      <c r="AF603" s="15"/>
    </row>
    <row r="604" spans="1:43" x14ac:dyDescent="0.25">
      <c r="A604" s="15"/>
      <c r="B604" s="15"/>
      <c r="C604" s="15"/>
      <c r="D604" s="15"/>
      <c r="E604" s="15"/>
      <c r="F604" s="15"/>
      <c r="G604" s="15"/>
      <c r="H604" s="15"/>
      <c r="I604" s="15"/>
      <c r="J604" s="15"/>
      <c r="K604" s="15"/>
      <c r="L604" s="15"/>
      <c r="M604" s="15"/>
      <c r="N604" s="15"/>
      <c r="O604" s="15"/>
      <c r="P604" s="15"/>
      <c r="Q604" s="15"/>
      <c r="R604" s="15"/>
      <c r="S604" s="15"/>
      <c r="T604" s="15"/>
      <c r="U604" s="15"/>
      <c r="V604" s="15"/>
      <c r="W604" s="15"/>
      <c r="X604" s="15"/>
      <c r="Y604" s="15"/>
      <c r="Z604" s="15"/>
      <c r="AA604" s="15"/>
      <c r="AB604" s="15"/>
      <c r="AC604" s="15"/>
      <c r="AD604" s="15"/>
      <c r="AE604" s="15"/>
      <c r="AF604" s="15"/>
    </row>
    <row r="605" spans="1:43" x14ac:dyDescent="0.25">
      <c r="A605" s="15"/>
      <c r="B605" s="15"/>
      <c r="C605" s="15"/>
      <c r="D605" s="15"/>
      <c r="E605" s="15"/>
      <c r="F605" s="15"/>
      <c r="G605" s="15"/>
      <c r="H605" s="15"/>
      <c r="I605" s="15"/>
      <c r="J605" s="15"/>
      <c r="K605" s="15"/>
      <c r="L605" s="15"/>
      <c r="M605" s="15"/>
      <c r="N605" s="15"/>
      <c r="O605" s="15"/>
      <c r="P605" s="15"/>
      <c r="Q605" s="15"/>
      <c r="R605" s="15"/>
      <c r="S605" s="15"/>
      <c r="T605" s="15"/>
      <c r="U605" s="15"/>
      <c r="V605" s="15"/>
      <c r="W605" s="15"/>
      <c r="X605" s="15"/>
      <c r="Y605" s="15"/>
      <c r="Z605" s="15"/>
      <c r="AA605" s="15"/>
      <c r="AB605" s="15"/>
      <c r="AC605" s="15"/>
      <c r="AD605" s="15"/>
      <c r="AE605" s="15"/>
      <c r="AF605" s="15"/>
    </row>
    <row r="606" spans="1:43" x14ac:dyDescent="0.25">
      <c r="A606" s="15"/>
      <c r="B606" s="15"/>
      <c r="C606" s="15"/>
      <c r="D606" s="15"/>
      <c r="E606" s="15"/>
      <c r="F606" s="15"/>
      <c r="G606" s="15"/>
      <c r="H606" s="15"/>
      <c r="I606" s="15"/>
      <c r="J606" s="15"/>
      <c r="K606" s="15"/>
      <c r="L606" s="15"/>
      <c r="M606" s="15"/>
      <c r="N606" s="15"/>
      <c r="O606" s="15"/>
      <c r="P606" s="15"/>
      <c r="Q606" s="15"/>
      <c r="R606" s="15"/>
      <c r="S606" s="15"/>
      <c r="T606" s="15"/>
      <c r="U606" s="15"/>
      <c r="V606" s="15"/>
      <c r="W606" s="15"/>
      <c r="X606" s="15"/>
      <c r="Y606" s="15"/>
      <c r="Z606" s="15"/>
      <c r="AA606" s="15"/>
      <c r="AB606" s="15"/>
      <c r="AC606" s="15"/>
      <c r="AD606" s="15"/>
      <c r="AE606" s="15"/>
      <c r="AF606" s="15"/>
    </row>
    <row r="607" spans="1:43" x14ac:dyDescent="0.25">
      <c r="A607" s="15"/>
      <c r="B607" s="15"/>
      <c r="C607" s="15"/>
      <c r="D607" s="15"/>
      <c r="E607" s="15"/>
      <c r="F607" s="15"/>
      <c r="G607" s="15"/>
      <c r="H607" s="15"/>
      <c r="I607" s="15"/>
      <c r="J607" s="15"/>
      <c r="K607" s="15"/>
      <c r="L607" s="15"/>
      <c r="M607" s="15"/>
      <c r="N607" s="15"/>
      <c r="O607" s="15"/>
      <c r="P607" s="15"/>
      <c r="Q607" s="15"/>
      <c r="R607" s="15"/>
      <c r="S607" s="15"/>
      <c r="T607" s="15"/>
      <c r="U607" s="15"/>
      <c r="V607" s="15"/>
      <c r="W607" s="15"/>
      <c r="X607" s="15"/>
      <c r="Y607" s="15"/>
      <c r="Z607" s="15"/>
      <c r="AA607" s="15"/>
      <c r="AB607" s="15"/>
      <c r="AC607" s="15"/>
      <c r="AD607" s="15"/>
      <c r="AE607" s="15"/>
      <c r="AF607" s="15"/>
    </row>
    <row r="608" spans="1:43" x14ac:dyDescent="0.25">
      <c r="A608" s="15"/>
      <c r="B608" s="15"/>
      <c r="C608" s="15"/>
      <c r="D608" s="15"/>
      <c r="E608" s="15"/>
      <c r="F608" s="15"/>
      <c r="G608" s="15"/>
      <c r="H608" s="15"/>
      <c r="I608" s="15"/>
      <c r="J608" s="15"/>
      <c r="K608" s="15"/>
      <c r="L608" s="15"/>
      <c r="M608" s="15"/>
      <c r="N608" s="15"/>
      <c r="O608" s="15"/>
      <c r="P608" s="15"/>
      <c r="Q608" s="15"/>
      <c r="R608" s="15"/>
      <c r="S608" s="15"/>
      <c r="T608" s="15"/>
      <c r="U608" s="15"/>
      <c r="V608" s="15"/>
      <c r="W608" s="15"/>
      <c r="X608" s="15"/>
      <c r="Y608" s="15"/>
      <c r="Z608" s="15"/>
      <c r="AA608" s="15"/>
      <c r="AB608" s="15"/>
      <c r="AC608" s="15"/>
      <c r="AD608" s="15"/>
      <c r="AE608" s="15"/>
      <c r="AF608" s="15"/>
    </row>
    <row r="609" spans="1:32" x14ac:dyDescent="0.25">
      <c r="A609" s="15"/>
      <c r="B609" s="15"/>
      <c r="C609" s="15"/>
      <c r="D609" s="15"/>
      <c r="E609" s="15"/>
      <c r="F609" s="15"/>
      <c r="G609" s="15"/>
      <c r="H609" s="15"/>
      <c r="I609" s="15"/>
      <c r="J609" s="15"/>
      <c r="K609" s="15"/>
      <c r="L609" s="15"/>
      <c r="M609" s="15"/>
      <c r="N609" s="15"/>
      <c r="O609" s="15"/>
      <c r="P609" s="15"/>
      <c r="Q609" s="15"/>
      <c r="R609" s="15"/>
      <c r="S609" s="15"/>
      <c r="T609" s="15"/>
      <c r="U609" s="15"/>
      <c r="V609" s="15"/>
      <c r="W609" s="15"/>
      <c r="X609" s="15"/>
      <c r="Y609" s="15"/>
      <c r="Z609" s="15"/>
      <c r="AA609" s="15"/>
      <c r="AB609" s="15"/>
      <c r="AC609" s="15"/>
      <c r="AD609" s="15"/>
      <c r="AE609" s="15"/>
      <c r="AF609" s="15"/>
    </row>
    <row r="610" spans="1:32" x14ac:dyDescent="0.25">
      <c r="A610" s="15"/>
      <c r="B610" s="15"/>
      <c r="C610" s="15"/>
      <c r="D610" s="15"/>
      <c r="E610" s="15"/>
      <c r="F610" s="15"/>
      <c r="G610" s="15"/>
      <c r="H610" s="15"/>
      <c r="I610" s="15"/>
      <c r="J610" s="15"/>
      <c r="K610" s="15"/>
      <c r="L610" s="15"/>
      <c r="M610" s="15"/>
      <c r="N610" s="15"/>
      <c r="O610" s="15"/>
      <c r="P610" s="15"/>
      <c r="Q610" s="15"/>
      <c r="R610" s="15"/>
      <c r="S610" s="15"/>
      <c r="T610" s="15"/>
      <c r="U610" s="15"/>
      <c r="V610" s="15"/>
      <c r="W610" s="15"/>
      <c r="X610" s="15"/>
      <c r="Y610" s="15"/>
      <c r="Z610" s="15"/>
      <c r="AA610" s="15"/>
      <c r="AB610" s="15"/>
      <c r="AC610" s="15"/>
      <c r="AD610" s="15"/>
      <c r="AE610" s="15"/>
      <c r="AF610" s="15"/>
    </row>
    <row r="611" spans="1:32" x14ac:dyDescent="0.25">
      <c r="A611" s="15"/>
      <c r="B611" s="15"/>
      <c r="C611" s="15"/>
      <c r="D611" s="15"/>
      <c r="E611" s="15"/>
      <c r="F611" s="15"/>
      <c r="G611" s="15"/>
      <c r="H611" s="15"/>
      <c r="I611" s="15"/>
      <c r="J611" s="15"/>
      <c r="K611" s="15"/>
      <c r="L611" s="15"/>
      <c r="M611" s="15"/>
      <c r="N611" s="15"/>
      <c r="O611" s="15"/>
      <c r="P611" s="15"/>
      <c r="Q611" s="15"/>
      <c r="R611" s="15"/>
      <c r="S611" s="15"/>
      <c r="T611" s="15"/>
      <c r="U611" s="15"/>
      <c r="V611" s="15"/>
      <c r="W611" s="15"/>
      <c r="X611" s="15"/>
      <c r="Y611" s="15"/>
      <c r="Z611" s="15"/>
      <c r="AA611" s="15"/>
      <c r="AB611" s="15"/>
      <c r="AC611" s="15"/>
      <c r="AD611" s="15"/>
      <c r="AE611" s="15"/>
      <c r="AF611" s="15"/>
    </row>
    <row r="612" spans="1:32" x14ac:dyDescent="0.25">
      <c r="A612" s="15"/>
      <c r="B612" s="15"/>
      <c r="C612" s="15"/>
      <c r="D612" s="15"/>
      <c r="E612" s="15"/>
      <c r="F612" s="15"/>
      <c r="G612" s="15"/>
      <c r="H612" s="15"/>
      <c r="I612" s="15"/>
      <c r="J612" s="15"/>
      <c r="K612" s="15"/>
      <c r="L612" s="15"/>
      <c r="M612" s="15"/>
      <c r="N612" s="15"/>
      <c r="O612" s="15"/>
      <c r="P612" s="15"/>
      <c r="Q612" s="15"/>
      <c r="R612" s="15"/>
      <c r="S612" s="15"/>
      <c r="T612" s="15"/>
      <c r="U612" s="15"/>
      <c r="V612" s="15"/>
      <c r="W612" s="15"/>
      <c r="X612" s="15"/>
      <c r="Y612" s="15"/>
      <c r="Z612" s="15"/>
      <c r="AA612" s="15"/>
      <c r="AB612" s="15"/>
      <c r="AC612" s="15"/>
      <c r="AD612" s="15"/>
      <c r="AE612" s="15"/>
      <c r="AF612" s="15"/>
    </row>
    <row r="613" spans="1:32" x14ac:dyDescent="0.25">
      <c r="A613" s="15"/>
      <c r="B613" s="15"/>
      <c r="C613" s="15"/>
      <c r="D613" s="15"/>
      <c r="E613" s="15"/>
      <c r="F613" s="15"/>
      <c r="G613" s="15"/>
      <c r="H613" s="15"/>
      <c r="I613" s="15"/>
      <c r="J613" s="15"/>
      <c r="K613" s="15"/>
      <c r="L613" s="15"/>
      <c r="M613" s="15"/>
      <c r="N613" s="15"/>
      <c r="O613" s="15"/>
      <c r="P613" s="15"/>
      <c r="Q613" s="15"/>
      <c r="R613" s="15"/>
      <c r="S613" s="15"/>
      <c r="T613" s="15"/>
      <c r="U613" s="15"/>
      <c r="V613" s="15"/>
      <c r="W613" s="15"/>
      <c r="X613" s="15"/>
      <c r="Y613" s="15"/>
      <c r="Z613" s="15"/>
      <c r="AA613" s="15"/>
      <c r="AB613" s="15"/>
      <c r="AC613" s="15"/>
      <c r="AD613" s="15"/>
      <c r="AE613" s="15"/>
      <c r="AF613" s="15"/>
    </row>
    <row r="614" spans="1:32" x14ac:dyDescent="0.25">
      <c r="A614" s="15"/>
      <c r="B614" s="15"/>
      <c r="C614" s="15"/>
      <c r="D614" s="15"/>
      <c r="E614" s="15"/>
      <c r="F614" s="15"/>
      <c r="G614" s="15"/>
      <c r="H614" s="15"/>
      <c r="I614" s="15"/>
      <c r="J614" s="15"/>
      <c r="K614" s="15"/>
      <c r="L614" s="15"/>
      <c r="M614" s="15"/>
      <c r="N614" s="15"/>
      <c r="O614" s="15"/>
      <c r="P614" s="15"/>
      <c r="Q614" s="15"/>
      <c r="R614" s="15"/>
      <c r="S614" s="15"/>
      <c r="T614" s="15"/>
      <c r="U614" s="15"/>
      <c r="V614" s="15"/>
      <c r="W614" s="15"/>
      <c r="X614" s="15"/>
      <c r="Y614" s="15"/>
      <c r="Z614" s="15"/>
      <c r="AA614" s="15"/>
      <c r="AB614" s="15"/>
      <c r="AC614" s="15"/>
      <c r="AD614" s="15"/>
      <c r="AE614" s="15"/>
      <c r="AF614" s="15"/>
    </row>
    <row r="615" spans="1:32" x14ac:dyDescent="0.25">
      <c r="A615" s="15"/>
      <c r="B615" s="15"/>
      <c r="C615" s="15"/>
      <c r="D615" s="15"/>
      <c r="E615" s="15"/>
      <c r="F615" s="15"/>
      <c r="G615" s="15"/>
      <c r="H615" s="15"/>
      <c r="I615" s="15"/>
      <c r="J615" s="15"/>
      <c r="K615" s="15"/>
      <c r="L615" s="15"/>
      <c r="M615" s="15"/>
      <c r="N615" s="15"/>
      <c r="O615" s="15"/>
      <c r="P615" s="15"/>
      <c r="Q615" s="15"/>
      <c r="R615" s="15"/>
      <c r="S615" s="15"/>
      <c r="T615" s="15"/>
      <c r="U615" s="15"/>
      <c r="V615" s="15"/>
      <c r="W615" s="15"/>
      <c r="X615" s="15"/>
      <c r="Y615" s="15"/>
      <c r="Z615" s="15"/>
      <c r="AA615" s="15"/>
      <c r="AB615" s="15"/>
      <c r="AC615" s="15"/>
      <c r="AD615" s="15"/>
      <c r="AE615" s="15"/>
      <c r="AF615" s="15"/>
    </row>
    <row r="616" spans="1:32" x14ac:dyDescent="0.25">
      <c r="A616" s="15"/>
      <c r="B616" s="15"/>
      <c r="C616" s="15"/>
      <c r="D616" s="15"/>
      <c r="E616" s="15"/>
      <c r="F616" s="15"/>
      <c r="G616" s="15"/>
      <c r="H616" s="15"/>
      <c r="I616" s="15"/>
      <c r="J616" s="15"/>
      <c r="K616" s="15"/>
      <c r="L616" s="15"/>
      <c r="M616" s="15"/>
      <c r="N616" s="15"/>
      <c r="O616" s="15"/>
      <c r="P616" s="15"/>
      <c r="Q616" s="15"/>
      <c r="R616" s="15"/>
      <c r="S616" s="15"/>
      <c r="T616" s="15"/>
      <c r="U616" s="15"/>
      <c r="V616" s="15"/>
      <c r="W616" s="15"/>
      <c r="X616" s="15"/>
      <c r="Y616" s="15"/>
      <c r="Z616" s="15"/>
      <c r="AA616" s="15"/>
      <c r="AB616" s="15"/>
      <c r="AC616" s="15"/>
      <c r="AD616" s="15"/>
      <c r="AE616" s="15"/>
      <c r="AF616" s="15"/>
    </row>
    <row r="617" spans="1:32" x14ac:dyDescent="0.25">
      <c r="A617" s="15"/>
      <c r="B617" s="15"/>
      <c r="C617" s="15"/>
      <c r="D617" s="15"/>
      <c r="E617" s="15"/>
      <c r="F617" s="15"/>
      <c r="G617" s="15"/>
      <c r="H617" s="15"/>
      <c r="I617" s="15"/>
      <c r="J617" s="15"/>
      <c r="K617" s="15"/>
      <c r="L617" s="15"/>
      <c r="M617" s="15"/>
      <c r="N617" s="15"/>
      <c r="O617" s="15"/>
      <c r="P617" s="15"/>
      <c r="Q617" s="15"/>
      <c r="R617" s="15"/>
      <c r="S617" s="15"/>
      <c r="T617" s="15"/>
      <c r="U617" s="15"/>
      <c r="V617" s="15"/>
      <c r="W617" s="15"/>
      <c r="X617" s="15"/>
      <c r="Y617" s="15"/>
      <c r="Z617" s="15"/>
      <c r="AA617" s="15"/>
      <c r="AB617" s="15"/>
      <c r="AC617" s="15"/>
      <c r="AD617" s="15"/>
      <c r="AE617" s="15"/>
      <c r="AF617" s="15"/>
    </row>
    <row r="618" spans="1:32" x14ac:dyDescent="0.25">
      <c r="A618" s="15"/>
      <c r="B618" s="15"/>
      <c r="C618" s="15"/>
      <c r="D618" s="15"/>
      <c r="E618" s="15"/>
      <c r="F618" s="15"/>
      <c r="G618" s="15"/>
      <c r="H618" s="15"/>
      <c r="I618" s="15"/>
      <c r="J618" s="15"/>
      <c r="K618" s="15"/>
      <c r="L618" s="15"/>
      <c r="M618" s="15"/>
      <c r="N618" s="15"/>
      <c r="O618" s="15"/>
      <c r="P618" s="15"/>
      <c r="Q618" s="15"/>
      <c r="R618" s="15"/>
      <c r="S618" s="15"/>
      <c r="T618" s="15"/>
      <c r="U618" s="15"/>
      <c r="V618" s="15"/>
      <c r="W618" s="15"/>
      <c r="X618" s="15"/>
      <c r="Y618" s="15"/>
      <c r="Z618" s="15"/>
      <c r="AA618" s="15"/>
      <c r="AB618" s="15"/>
      <c r="AC618" s="15"/>
      <c r="AD618" s="15"/>
      <c r="AE618" s="15"/>
      <c r="AF618" s="15"/>
    </row>
    <row r="619" spans="1:32" x14ac:dyDescent="0.25">
      <c r="A619" s="15"/>
      <c r="B619" s="15"/>
      <c r="C619" s="15"/>
      <c r="D619" s="15"/>
      <c r="E619" s="15"/>
      <c r="F619" s="15"/>
      <c r="G619" s="15"/>
      <c r="H619" s="15"/>
      <c r="I619" s="15"/>
      <c r="J619" s="15"/>
      <c r="K619" s="15"/>
      <c r="L619" s="15"/>
      <c r="M619" s="15"/>
      <c r="N619" s="15"/>
      <c r="O619" s="15"/>
      <c r="P619" s="15"/>
      <c r="Q619" s="15"/>
      <c r="R619" s="15"/>
      <c r="S619" s="15"/>
      <c r="T619" s="15"/>
      <c r="U619" s="15"/>
      <c r="V619" s="15"/>
      <c r="W619" s="15"/>
      <c r="X619" s="15"/>
      <c r="Y619" s="15"/>
      <c r="Z619" s="15"/>
      <c r="AA619" s="15"/>
      <c r="AB619" s="15"/>
      <c r="AC619" s="15"/>
      <c r="AD619" s="15"/>
      <c r="AE619" s="15"/>
      <c r="AF619" s="15"/>
    </row>
    <row r="620" spans="1:32" x14ac:dyDescent="0.25">
      <c r="A620" s="15"/>
      <c r="B620" s="15"/>
      <c r="C620" s="15"/>
      <c r="D620" s="15"/>
      <c r="E620" s="15"/>
      <c r="F620" s="15"/>
      <c r="G620" s="15"/>
      <c r="H620" s="15"/>
      <c r="I620" s="15"/>
      <c r="J620" s="15"/>
      <c r="K620" s="15"/>
      <c r="L620" s="15"/>
      <c r="M620" s="15"/>
      <c r="N620" s="15"/>
      <c r="O620" s="15"/>
      <c r="P620" s="15"/>
      <c r="Q620" s="15"/>
      <c r="R620" s="15"/>
      <c r="S620" s="15"/>
      <c r="T620" s="15"/>
      <c r="U620" s="15"/>
      <c r="V620" s="15"/>
      <c r="W620" s="15"/>
      <c r="X620" s="15"/>
      <c r="Y620" s="15"/>
      <c r="Z620" s="15"/>
      <c r="AA620" s="15"/>
      <c r="AB620" s="15"/>
      <c r="AC620" s="15"/>
      <c r="AD620" s="15"/>
      <c r="AE620" s="15"/>
      <c r="AF620" s="15"/>
    </row>
    <row r="621" spans="1:32" x14ac:dyDescent="0.25">
      <c r="A621" s="15"/>
      <c r="B621" s="15"/>
      <c r="C621" s="15"/>
      <c r="D621" s="15"/>
      <c r="E621" s="15"/>
      <c r="F621" s="15"/>
      <c r="G621" s="15"/>
      <c r="H621" s="15"/>
      <c r="I621" s="15"/>
      <c r="J621" s="15"/>
      <c r="K621" s="15"/>
      <c r="L621" s="15"/>
      <c r="M621" s="15"/>
      <c r="N621" s="15"/>
      <c r="O621" s="15"/>
      <c r="P621" s="15"/>
      <c r="Q621" s="15"/>
      <c r="R621" s="15"/>
      <c r="S621" s="15"/>
      <c r="T621" s="15"/>
      <c r="U621" s="15"/>
      <c r="V621" s="15"/>
      <c r="W621" s="15"/>
      <c r="X621" s="15"/>
      <c r="Y621" s="15"/>
      <c r="Z621" s="15"/>
      <c r="AA621" s="15"/>
      <c r="AB621" s="15"/>
      <c r="AC621" s="15"/>
      <c r="AD621" s="15"/>
      <c r="AE621" s="15"/>
      <c r="AF621" s="15"/>
    </row>
    <row r="622" spans="1:32" x14ac:dyDescent="0.25">
      <c r="A622" s="15"/>
      <c r="B622" s="15"/>
      <c r="C622" s="15"/>
      <c r="D622" s="15"/>
      <c r="E622" s="15"/>
      <c r="F622" s="15"/>
      <c r="G622" s="15"/>
      <c r="H622" s="15"/>
      <c r="I622" s="15"/>
      <c r="J622" s="15"/>
      <c r="K622" s="15"/>
      <c r="L622" s="15"/>
      <c r="M622" s="15"/>
      <c r="N622" s="15"/>
      <c r="O622" s="15"/>
      <c r="P622" s="15"/>
      <c r="Q622" s="15"/>
      <c r="R622" s="15"/>
      <c r="S622" s="15"/>
      <c r="T622" s="15"/>
      <c r="U622" s="15"/>
      <c r="V622" s="15"/>
      <c r="W622" s="15"/>
      <c r="X622" s="15"/>
      <c r="Y622" s="15"/>
      <c r="Z622" s="15"/>
      <c r="AA622" s="15"/>
      <c r="AB622" s="15"/>
      <c r="AC622" s="15"/>
      <c r="AD622" s="15"/>
      <c r="AE622" s="15"/>
      <c r="AF622" s="15"/>
    </row>
    <row r="623" spans="1:32" x14ac:dyDescent="0.25">
      <c r="A623" s="15"/>
      <c r="B623" s="15"/>
      <c r="C623" s="15"/>
      <c r="D623" s="15"/>
      <c r="E623" s="15"/>
      <c r="F623" s="15"/>
      <c r="G623" s="15"/>
      <c r="H623" s="15"/>
      <c r="I623" s="15"/>
      <c r="J623" s="15"/>
      <c r="K623" s="15"/>
      <c r="L623" s="15"/>
      <c r="M623" s="15"/>
      <c r="N623" s="15"/>
      <c r="O623" s="15"/>
      <c r="P623" s="15"/>
      <c r="Q623" s="15"/>
      <c r="R623" s="15"/>
      <c r="S623" s="15"/>
      <c r="T623" s="15"/>
      <c r="U623" s="15"/>
      <c r="V623" s="15"/>
      <c r="W623" s="15"/>
      <c r="X623" s="15"/>
      <c r="Y623" s="15"/>
      <c r="Z623" s="15"/>
      <c r="AA623" s="15"/>
      <c r="AB623" s="15"/>
      <c r="AC623" s="15"/>
      <c r="AD623" s="15"/>
      <c r="AE623" s="15"/>
      <c r="AF623" s="15"/>
    </row>
    <row r="624" spans="1:32" x14ac:dyDescent="0.25">
      <c r="A624" s="15"/>
      <c r="B624" s="15"/>
      <c r="C624" s="15"/>
      <c r="D624" s="15"/>
      <c r="E624" s="15"/>
      <c r="F624" s="15"/>
      <c r="G624" s="15"/>
      <c r="H624" s="15"/>
      <c r="I624" s="15"/>
      <c r="J624" s="15"/>
      <c r="K624" s="15"/>
      <c r="L624" s="15"/>
      <c r="M624" s="15"/>
      <c r="N624" s="15"/>
      <c r="O624" s="15"/>
      <c r="P624" s="15"/>
      <c r="Q624" s="15"/>
      <c r="R624" s="15"/>
      <c r="S624" s="15"/>
      <c r="T624" s="15"/>
      <c r="U624" s="15"/>
      <c r="V624" s="15"/>
      <c r="W624" s="15"/>
      <c r="X624" s="15"/>
      <c r="Y624" s="15"/>
      <c r="Z624" s="15"/>
      <c r="AA624" s="15"/>
      <c r="AB624" s="15"/>
      <c r="AC624" s="15"/>
      <c r="AD624" s="15"/>
      <c r="AE624" s="15"/>
      <c r="AF624" s="15"/>
    </row>
    <row r="625" spans="1:32" x14ac:dyDescent="0.25">
      <c r="A625" s="15"/>
      <c r="B625" s="15"/>
      <c r="C625" s="15"/>
      <c r="D625" s="15"/>
      <c r="E625" s="15"/>
      <c r="F625" s="15"/>
      <c r="G625" s="15"/>
      <c r="H625" s="15"/>
      <c r="I625" s="15"/>
      <c r="J625" s="15"/>
      <c r="K625" s="15"/>
      <c r="L625" s="15"/>
      <c r="M625" s="15"/>
      <c r="N625" s="15"/>
      <c r="O625" s="15"/>
      <c r="P625" s="15"/>
      <c r="Q625" s="15"/>
      <c r="R625" s="15"/>
      <c r="S625" s="15"/>
      <c r="T625" s="15"/>
      <c r="U625" s="15"/>
      <c r="V625" s="15"/>
      <c r="W625" s="15"/>
      <c r="X625" s="15"/>
      <c r="Y625" s="15"/>
      <c r="Z625" s="15"/>
      <c r="AA625" s="15"/>
      <c r="AB625" s="15"/>
      <c r="AC625" s="15"/>
      <c r="AD625" s="15"/>
      <c r="AE625" s="15"/>
      <c r="AF625" s="15"/>
    </row>
    <row r="626" spans="1:32" x14ac:dyDescent="0.25">
      <c r="A626" s="116"/>
      <c r="B626" s="116"/>
      <c r="C626" s="43"/>
      <c r="D626" s="15"/>
      <c r="E626" s="94"/>
      <c r="F626" s="15"/>
      <c r="G626" s="15"/>
      <c r="H626" s="15"/>
      <c r="I626" s="15"/>
      <c r="J626" s="15"/>
      <c r="K626" s="15"/>
      <c r="L626" s="15"/>
      <c r="M626" s="15"/>
      <c r="N626" s="15"/>
      <c r="O626" s="15"/>
      <c r="P626" s="15"/>
      <c r="Q626" s="15"/>
      <c r="R626" s="15"/>
      <c r="S626" s="15"/>
      <c r="T626" s="15"/>
      <c r="U626" s="15"/>
      <c r="V626" s="15"/>
      <c r="W626" s="15"/>
      <c r="X626" s="15"/>
      <c r="Y626" s="15"/>
      <c r="Z626" s="15"/>
      <c r="AA626" s="15"/>
      <c r="AB626" s="15"/>
      <c r="AC626" s="15"/>
      <c r="AD626" s="15"/>
      <c r="AE626" s="15"/>
      <c r="AF626" s="15"/>
    </row>
    <row r="627" spans="1:32" x14ac:dyDescent="0.25">
      <c r="A627" s="116"/>
      <c r="B627" s="116"/>
      <c r="C627" s="95"/>
      <c r="D627" s="15"/>
      <c r="E627" s="96"/>
      <c r="F627" s="15"/>
      <c r="G627" s="15"/>
      <c r="H627" s="15"/>
      <c r="I627" s="15"/>
      <c r="J627" s="15"/>
      <c r="K627" s="15"/>
      <c r="L627" s="15"/>
      <c r="M627" s="15"/>
      <c r="N627" s="15"/>
      <c r="O627" s="15"/>
      <c r="P627" s="15"/>
      <c r="Q627" s="15"/>
      <c r="R627" s="15"/>
      <c r="S627" s="15"/>
      <c r="T627" s="15"/>
      <c r="U627" s="15"/>
      <c r="V627" s="15"/>
      <c r="W627" s="15"/>
      <c r="X627" s="15"/>
      <c r="Y627" s="15"/>
      <c r="Z627" s="15"/>
      <c r="AA627" s="15"/>
      <c r="AB627" s="15"/>
      <c r="AC627" s="15"/>
      <c r="AD627" s="15"/>
      <c r="AE627" s="15"/>
      <c r="AF627" s="15"/>
    </row>
    <row r="628" spans="1:32" x14ac:dyDescent="0.25">
      <c r="A628" s="15"/>
      <c r="B628" s="15"/>
      <c r="C628" s="15"/>
      <c r="D628" s="15"/>
      <c r="E628" s="15"/>
      <c r="F628" s="15"/>
      <c r="G628" s="15"/>
      <c r="H628" s="15"/>
      <c r="I628" s="15"/>
      <c r="J628" s="15"/>
      <c r="K628" s="15"/>
      <c r="L628" s="15"/>
      <c r="M628" s="15"/>
      <c r="N628" s="15"/>
      <c r="O628" s="15"/>
      <c r="P628" s="15"/>
      <c r="Q628" s="15"/>
      <c r="R628" s="15"/>
      <c r="S628" s="15"/>
      <c r="T628" s="15"/>
      <c r="U628" s="15"/>
      <c r="V628" s="15"/>
      <c r="W628" s="15"/>
      <c r="X628" s="15"/>
      <c r="Y628" s="15"/>
      <c r="Z628" s="15"/>
      <c r="AA628" s="15"/>
      <c r="AB628" s="15"/>
      <c r="AC628" s="15"/>
      <c r="AD628" s="15"/>
      <c r="AE628" s="15"/>
      <c r="AF628" s="15"/>
    </row>
    <row r="629" spans="1:32" x14ac:dyDescent="0.25">
      <c r="A629" s="15"/>
      <c r="B629" s="15"/>
      <c r="C629" s="15"/>
      <c r="D629" s="15"/>
      <c r="E629" s="15"/>
      <c r="F629" s="15"/>
      <c r="G629" s="15"/>
      <c r="H629" s="15"/>
      <c r="I629" s="15"/>
      <c r="J629" s="15"/>
      <c r="K629" s="15"/>
      <c r="L629" s="15"/>
      <c r="M629" s="15"/>
      <c r="N629" s="15"/>
      <c r="O629" s="15"/>
      <c r="P629" s="15"/>
      <c r="Q629" s="15"/>
      <c r="R629" s="15"/>
      <c r="S629" s="15"/>
      <c r="T629" s="15"/>
      <c r="U629" s="15"/>
      <c r="V629" s="15"/>
      <c r="W629" s="15"/>
      <c r="X629" s="15"/>
      <c r="Y629" s="15"/>
      <c r="Z629" s="15"/>
      <c r="AA629" s="15"/>
      <c r="AB629" s="15"/>
      <c r="AC629" s="15"/>
      <c r="AD629" s="15"/>
      <c r="AE629" s="15"/>
      <c r="AF629" s="15"/>
    </row>
    <row r="630" spans="1:32" x14ac:dyDescent="0.25">
      <c r="A630" s="15"/>
      <c r="B630" s="15"/>
      <c r="C630" s="15"/>
      <c r="D630" s="15"/>
      <c r="E630" s="15"/>
      <c r="F630" s="15"/>
      <c r="G630" s="15"/>
      <c r="H630" s="15"/>
      <c r="I630" s="15"/>
      <c r="J630" s="15"/>
      <c r="K630" s="15"/>
      <c r="L630" s="15"/>
      <c r="M630" s="15"/>
      <c r="N630" s="15"/>
      <c r="O630" s="15"/>
      <c r="P630" s="15"/>
      <c r="Q630" s="15"/>
      <c r="R630" s="15"/>
      <c r="S630" s="15"/>
      <c r="T630" s="15"/>
      <c r="U630" s="15"/>
      <c r="V630" s="15"/>
      <c r="W630" s="15"/>
      <c r="X630" s="15"/>
      <c r="Y630" s="15"/>
      <c r="Z630" s="15"/>
      <c r="AA630" s="15"/>
      <c r="AB630" s="15"/>
      <c r="AC630" s="15"/>
      <c r="AD630" s="15"/>
      <c r="AE630" s="15"/>
      <c r="AF630" s="15"/>
    </row>
    <row r="631" spans="1:32" x14ac:dyDescent="0.25">
      <c r="A631" s="15"/>
      <c r="B631" s="15"/>
      <c r="C631" s="15"/>
      <c r="D631" s="15"/>
      <c r="E631" s="15"/>
      <c r="F631" s="15"/>
      <c r="G631" s="15"/>
      <c r="H631" s="15"/>
      <c r="I631" s="15"/>
      <c r="J631" s="15"/>
      <c r="K631" s="15"/>
      <c r="L631" s="15"/>
      <c r="M631" s="15"/>
      <c r="N631" s="15"/>
      <c r="O631" s="15"/>
      <c r="P631" s="15"/>
      <c r="Q631" s="15"/>
      <c r="R631" s="15"/>
      <c r="S631" s="15"/>
      <c r="T631" s="15"/>
      <c r="U631" s="15"/>
      <c r="V631" s="15"/>
      <c r="W631" s="15"/>
      <c r="X631" s="15"/>
      <c r="Y631" s="15"/>
      <c r="Z631" s="15"/>
      <c r="AA631" s="15"/>
      <c r="AB631" s="15"/>
      <c r="AC631" s="15"/>
      <c r="AD631" s="15"/>
      <c r="AE631" s="15"/>
      <c r="AF631" s="15"/>
    </row>
    <row r="632" spans="1:32" x14ac:dyDescent="0.25">
      <c r="A632" s="15"/>
      <c r="B632" s="15"/>
      <c r="C632" s="15"/>
      <c r="D632" s="15"/>
      <c r="E632" s="15"/>
      <c r="F632" s="15"/>
      <c r="G632" s="15"/>
      <c r="H632" s="15"/>
      <c r="I632" s="15"/>
      <c r="J632" s="15"/>
      <c r="K632" s="15"/>
      <c r="L632" s="15"/>
      <c r="M632" s="15"/>
      <c r="N632" s="15"/>
      <c r="O632" s="15"/>
      <c r="P632" s="15"/>
      <c r="Q632" s="15"/>
      <c r="R632" s="15"/>
      <c r="S632" s="15"/>
      <c r="T632" s="15"/>
      <c r="U632" s="15"/>
      <c r="V632" s="15"/>
      <c r="W632" s="15"/>
      <c r="X632" s="15"/>
      <c r="Y632" s="15"/>
      <c r="Z632" s="15"/>
      <c r="AA632" s="15"/>
      <c r="AB632" s="15"/>
      <c r="AC632" s="15"/>
      <c r="AD632" s="15"/>
      <c r="AE632" s="15"/>
      <c r="AF632" s="15"/>
    </row>
    <row r="633" spans="1:32" x14ac:dyDescent="0.25">
      <c r="A633" s="15"/>
      <c r="B633" s="15"/>
      <c r="C633" s="15"/>
      <c r="D633" s="15"/>
      <c r="E633" s="15"/>
      <c r="F633" s="15"/>
      <c r="G633" s="15"/>
      <c r="H633" s="15"/>
      <c r="I633" s="15"/>
      <c r="J633" s="15"/>
      <c r="K633" s="15"/>
      <c r="L633" s="15"/>
      <c r="M633" s="15"/>
      <c r="N633" s="15"/>
      <c r="O633" s="15"/>
      <c r="P633" s="15"/>
      <c r="Q633" s="15"/>
      <c r="R633" s="15"/>
      <c r="S633" s="15"/>
      <c r="T633" s="15"/>
      <c r="U633" s="15"/>
      <c r="V633" s="15"/>
      <c r="W633" s="15"/>
      <c r="X633" s="15"/>
      <c r="Y633" s="15"/>
      <c r="Z633" s="15"/>
      <c r="AA633" s="15"/>
      <c r="AB633" s="15"/>
      <c r="AC633" s="15"/>
      <c r="AD633" s="15"/>
      <c r="AE633" s="15"/>
      <c r="AF633" s="15"/>
    </row>
    <row r="634" spans="1:32" x14ac:dyDescent="0.25">
      <c r="A634" s="15"/>
      <c r="B634" s="15"/>
      <c r="C634" s="15"/>
      <c r="D634" s="15"/>
      <c r="E634" s="15"/>
      <c r="F634" s="15"/>
      <c r="G634" s="15"/>
      <c r="H634" s="15"/>
      <c r="I634" s="15"/>
      <c r="J634" s="15"/>
      <c r="K634" s="15"/>
      <c r="L634" s="15"/>
      <c r="M634" s="15"/>
      <c r="N634" s="15"/>
      <c r="O634" s="15"/>
      <c r="P634" s="15"/>
      <c r="Q634" s="15"/>
      <c r="R634" s="15"/>
      <c r="S634" s="15"/>
      <c r="T634" s="15"/>
      <c r="U634" s="15"/>
      <c r="V634" s="15"/>
      <c r="W634" s="15"/>
      <c r="X634" s="15"/>
      <c r="Y634" s="15"/>
      <c r="Z634" s="15"/>
      <c r="AA634" s="15"/>
      <c r="AB634" s="15"/>
      <c r="AC634" s="15"/>
      <c r="AD634" s="15"/>
      <c r="AE634" s="15"/>
      <c r="AF634" s="15"/>
    </row>
    <row r="635" spans="1:32" x14ac:dyDescent="0.25">
      <c r="A635" s="15"/>
      <c r="B635" s="15"/>
      <c r="C635" s="15"/>
      <c r="D635" s="15"/>
      <c r="E635" s="15"/>
      <c r="F635" s="15"/>
      <c r="G635" s="15"/>
      <c r="H635" s="15"/>
      <c r="I635" s="15"/>
      <c r="J635" s="15"/>
      <c r="K635" s="15"/>
      <c r="L635" s="15"/>
      <c r="M635" s="15"/>
      <c r="N635" s="15"/>
      <c r="O635" s="15"/>
      <c r="P635" s="15"/>
      <c r="Q635" s="15"/>
      <c r="R635" s="15"/>
      <c r="S635" s="15"/>
      <c r="T635" s="15"/>
      <c r="U635" s="15"/>
      <c r="V635" s="15"/>
      <c r="W635" s="15"/>
      <c r="X635" s="15"/>
      <c r="Y635" s="15"/>
      <c r="Z635" s="15"/>
      <c r="AA635" s="15"/>
      <c r="AB635" s="15"/>
      <c r="AC635" s="15"/>
      <c r="AD635" s="15"/>
      <c r="AE635" s="15"/>
      <c r="AF635" s="15"/>
    </row>
    <row r="636" spans="1:32" x14ac:dyDescent="0.25">
      <c r="A636" s="15"/>
      <c r="B636" s="15"/>
      <c r="C636" s="15"/>
      <c r="D636" s="15"/>
      <c r="E636" s="15"/>
      <c r="F636" s="15"/>
      <c r="G636" s="15"/>
      <c r="H636" s="15"/>
      <c r="I636" s="15"/>
      <c r="J636" s="15"/>
      <c r="K636" s="15"/>
      <c r="L636" s="15"/>
      <c r="M636" s="15"/>
      <c r="N636" s="15"/>
      <c r="O636" s="15"/>
      <c r="P636" s="15"/>
      <c r="Q636" s="15"/>
      <c r="R636" s="15"/>
      <c r="S636" s="15"/>
      <c r="T636" s="15"/>
      <c r="U636" s="15"/>
      <c r="V636" s="15"/>
      <c r="W636" s="15"/>
      <c r="X636" s="15"/>
      <c r="Y636" s="15"/>
      <c r="Z636" s="15"/>
      <c r="AA636" s="15"/>
      <c r="AB636" s="15"/>
      <c r="AC636" s="15"/>
      <c r="AD636" s="15"/>
      <c r="AE636" s="15"/>
      <c r="AF636" s="15"/>
    </row>
    <row r="637" spans="1:32" x14ac:dyDescent="0.25">
      <c r="A637" s="15"/>
      <c r="B637" s="15"/>
      <c r="C637" s="15"/>
      <c r="D637" s="15"/>
      <c r="E637" s="15"/>
      <c r="F637" s="15"/>
      <c r="G637" s="15"/>
      <c r="H637" s="15"/>
      <c r="I637" s="15"/>
      <c r="J637" s="15"/>
      <c r="K637" s="15"/>
      <c r="L637" s="15"/>
      <c r="M637" s="15"/>
      <c r="N637" s="15"/>
      <c r="O637" s="15"/>
      <c r="P637" s="15"/>
      <c r="Q637" s="15"/>
      <c r="R637" s="15"/>
      <c r="S637" s="15"/>
      <c r="T637" s="15"/>
      <c r="U637" s="15"/>
      <c r="V637" s="15"/>
      <c r="W637" s="15"/>
      <c r="X637" s="15"/>
      <c r="Y637" s="15"/>
      <c r="Z637" s="15"/>
      <c r="AA637" s="15"/>
      <c r="AB637" s="15"/>
      <c r="AC637" s="15"/>
      <c r="AD637" s="15"/>
      <c r="AE637" s="15"/>
      <c r="AF637" s="15"/>
    </row>
    <row r="638" spans="1:32" x14ac:dyDescent="0.25">
      <c r="A638" s="15"/>
      <c r="B638" s="15"/>
      <c r="C638" s="15"/>
      <c r="D638" s="15"/>
      <c r="E638" s="15"/>
      <c r="F638" s="15"/>
      <c r="G638" s="15"/>
      <c r="H638" s="15"/>
      <c r="I638" s="15"/>
      <c r="J638" s="15"/>
      <c r="K638" s="15"/>
      <c r="L638" s="15"/>
      <c r="M638" s="15"/>
      <c r="N638" s="15"/>
      <c r="O638" s="15"/>
      <c r="P638" s="15"/>
      <c r="Q638" s="15"/>
      <c r="R638" s="15"/>
      <c r="S638" s="15"/>
      <c r="T638" s="15"/>
      <c r="U638" s="15"/>
      <c r="V638" s="15"/>
      <c r="W638" s="15"/>
      <c r="X638" s="15"/>
      <c r="Y638" s="15"/>
      <c r="Z638" s="15"/>
      <c r="AA638" s="15"/>
      <c r="AB638" s="15"/>
      <c r="AC638" s="15"/>
      <c r="AD638" s="15"/>
      <c r="AE638" s="15"/>
      <c r="AF638" s="15"/>
    </row>
    <row r="639" spans="1:32" x14ac:dyDescent="0.25">
      <c r="A639" s="15"/>
      <c r="B639" s="15"/>
      <c r="C639" s="15"/>
      <c r="D639" s="15"/>
      <c r="E639" s="15"/>
      <c r="F639" s="15"/>
      <c r="G639" s="15"/>
      <c r="H639" s="15"/>
      <c r="I639" s="15"/>
      <c r="J639" s="15"/>
      <c r="K639" s="15"/>
      <c r="L639" s="15"/>
      <c r="M639" s="15"/>
      <c r="N639" s="15"/>
      <c r="O639" s="15"/>
      <c r="P639" s="15"/>
      <c r="Q639" s="15"/>
      <c r="R639" s="15"/>
      <c r="S639" s="15"/>
      <c r="T639" s="15"/>
      <c r="U639" s="15"/>
      <c r="V639" s="15"/>
      <c r="W639" s="15"/>
      <c r="X639" s="15"/>
      <c r="Y639" s="15"/>
      <c r="Z639" s="15"/>
      <c r="AA639" s="15"/>
      <c r="AB639" s="15"/>
      <c r="AC639" s="15"/>
      <c r="AD639" s="15"/>
      <c r="AE639" s="15"/>
      <c r="AF639" s="15"/>
    </row>
    <row r="640" spans="1:32" x14ac:dyDescent="0.25">
      <c r="A640" s="58"/>
      <c r="B640" s="58"/>
      <c r="C640" s="58"/>
      <c r="D640" s="58"/>
      <c r="E640" s="58"/>
      <c r="F640" s="58"/>
      <c r="G640" s="58"/>
      <c r="H640" s="58"/>
      <c r="I640" s="58"/>
      <c r="J640" s="58"/>
      <c r="K640" s="58"/>
      <c r="L640" s="58"/>
      <c r="M640" s="58"/>
      <c r="N640" s="58"/>
      <c r="O640" s="15"/>
      <c r="P640" s="15"/>
      <c r="Q640" s="15"/>
      <c r="R640" s="15"/>
      <c r="S640" s="15"/>
      <c r="T640" s="15"/>
      <c r="U640" s="15"/>
      <c r="V640" s="15"/>
      <c r="W640" s="15"/>
      <c r="X640" s="15"/>
      <c r="Y640" s="15"/>
      <c r="Z640" s="15"/>
      <c r="AA640" s="15"/>
      <c r="AB640" s="15"/>
      <c r="AC640" s="15"/>
      <c r="AD640" s="15"/>
      <c r="AE640" s="15"/>
      <c r="AF640" s="15"/>
    </row>
    <row r="641" spans="1:32" x14ac:dyDescent="0.25">
      <c r="A641" s="58"/>
      <c r="B641" s="15"/>
      <c r="C641" s="59"/>
      <c r="D641" s="59"/>
      <c r="E641" s="59"/>
      <c r="F641" s="59"/>
      <c r="G641" s="59"/>
      <c r="H641" s="59"/>
      <c r="I641" s="59"/>
      <c r="J641" s="59"/>
      <c r="K641" s="59"/>
      <c r="L641" s="59"/>
      <c r="M641" s="59"/>
      <c r="N641" s="59"/>
      <c r="O641" s="15"/>
      <c r="P641" s="15"/>
      <c r="Q641" s="15"/>
      <c r="R641" s="15"/>
      <c r="S641" s="15"/>
      <c r="T641" s="15"/>
      <c r="U641" s="15"/>
      <c r="V641" s="15"/>
      <c r="W641" s="15"/>
      <c r="X641" s="15"/>
      <c r="Y641" s="15"/>
      <c r="Z641" s="15"/>
      <c r="AA641" s="15"/>
      <c r="AB641" s="15"/>
      <c r="AC641" s="15"/>
      <c r="AD641" s="15"/>
      <c r="AE641" s="15"/>
      <c r="AF641" s="15"/>
    </row>
    <row r="642" spans="1:32" x14ac:dyDescent="0.25">
      <c r="A642" s="58"/>
      <c r="B642" s="15"/>
      <c r="C642" s="59"/>
      <c r="D642" s="59"/>
      <c r="E642" s="59"/>
      <c r="F642" s="59"/>
      <c r="G642" s="59"/>
      <c r="H642" s="59"/>
      <c r="I642" s="59"/>
      <c r="J642" s="59"/>
      <c r="K642" s="59"/>
      <c r="L642" s="59"/>
      <c r="M642" s="59"/>
      <c r="N642" s="59"/>
      <c r="O642" s="15"/>
      <c r="P642" s="15"/>
      <c r="Q642" s="15"/>
      <c r="R642" s="15"/>
      <c r="S642" s="15"/>
      <c r="T642" s="15"/>
      <c r="U642" s="15"/>
      <c r="V642" s="15"/>
      <c r="W642" s="15"/>
      <c r="X642" s="15"/>
      <c r="Y642" s="15"/>
      <c r="Z642" s="15"/>
      <c r="AA642" s="15"/>
      <c r="AB642" s="15"/>
      <c r="AC642" s="15"/>
      <c r="AD642" s="15"/>
      <c r="AE642" s="15"/>
      <c r="AF642" s="15"/>
    </row>
    <row r="643" spans="1:32" x14ac:dyDescent="0.25">
      <c r="A643" s="58"/>
      <c r="B643" s="15"/>
      <c r="C643" s="59"/>
      <c r="D643" s="59"/>
      <c r="E643" s="59"/>
      <c r="F643" s="59"/>
      <c r="G643" s="59"/>
      <c r="H643" s="59"/>
      <c r="I643" s="59"/>
      <c r="J643" s="59"/>
      <c r="K643" s="59"/>
      <c r="L643" s="59"/>
      <c r="M643" s="59"/>
      <c r="N643" s="59"/>
      <c r="O643" s="15"/>
      <c r="P643" s="15"/>
      <c r="Q643" s="15"/>
      <c r="R643" s="15"/>
      <c r="S643" s="15"/>
      <c r="T643" s="15"/>
      <c r="U643" s="15"/>
      <c r="V643" s="15"/>
      <c r="W643" s="15"/>
      <c r="X643" s="15"/>
      <c r="Y643" s="15"/>
      <c r="Z643" s="15"/>
      <c r="AA643" s="15"/>
      <c r="AB643" s="15"/>
      <c r="AC643" s="15"/>
      <c r="AD643" s="15"/>
      <c r="AE643" s="15"/>
      <c r="AF643" s="15"/>
    </row>
    <row r="644" spans="1:32" x14ac:dyDescent="0.25">
      <c r="A644" s="58"/>
      <c r="B644" s="15"/>
      <c r="C644" s="59"/>
      <c r="D644" s="59"/>
      <c r="E644" s="59"/>
      <c r="F644" s="59"/>
      <c r="G644" s="59"/>
      <c r="H644" s="59"/>
      <c r="I644" s="59"/>
      <c r="J644" s="59"/>
      <c r="K644" s="59"/>
      <c r="L644" s="59"/>
      <c r="M644" s="59"/>
      <c r="N644" s="59"/>
      <c r="O644" s="15"/>
      <c r="P644" s="15"/>
      <c r="Q644" s="15"/>
      <c r="R644" s="15"/>
      <c r="S644" s="15"/>
      <c r="T644" s="15"/>
      <c r="U644" s="15"/>
      <c r="V644" s="15"/>
      <c r="W644" s="15"/>
      <c r="X644" s="15"/>
      <c r="Y644" s="15"/>
      <c r="Z644" s="15"/>
      <c r="AA644" s="15"/>
      <c r="AB644" s="15"/>
      <c r="AC644" s="15"/>
      <c r="AD644" s="15"/>
      <c r="AE644" s="15"/>
      <c r="AF644" s="15"/>
    </row>
    <row r="645" spans="1:32" x14ac:dyDescent="0.25">
      <c r="A645" s="58"/>
      <c r="B645" s="15"/>
      <c r="C645" s="59"/>
      <c r="D645" s="59"/>
      <c r="E645" s="59"/>
      <c r="F645" s="59"/>
      <c r="G645" s="59"/>
      <c r="H645" s="59"/>
      <c r="I645" s="59"/>
      <c r="J645" s="59"/>
      <c r="K645" s="59"/>
      <c r="L645" s="59"/>
      <c r="M645" s="59"/>
      <c r="N645" s="59"/>
      <c r="O645" s="15"/>
      <c r="P645" s="15"/>
      <c r="Q645" s="15"/>
      <c r="R645" s="15"/>
      <c r="S645" s="15"/>
      <c r="T645" s="15"/>
      <c r="U645" s="15"/>
      <c r="V645" s="15"/>
      <c r="W645" s="15"/>
      <c r="X645" s="15"/>
      <c r="Y645" s="15"/>
      <c r="Z645" s="15"/>
      <c r="AA645" s="15"/>
      <c r="AB645" s="15"/>
      <c r="AC645" s="15"/>
      <c r="AD645" s="15"/>
      <c r="AE645" s="15"/>
      <c r="AF645" s="15"/>
    </row>
    <row r="646" spans="1:32" x14ac:dyDescent="0.25">
      <c r="A646" s="58"/>
      <c r="B646" s="15"/>
      <c r="C646" s="59"/>
      <c r="D646" s="59"/>
      <c r="E646" s="59"/>
      <c r="F646" s="59"/>
      <c r="G646" s="59"/>
      <c r="H646" s="59"/>
      <c r="I646" s="59"/>
      <c r="J646" s="59"/>
      <c r="K646" s="59"/>
      <c r="L646" s="59"/>
      <c r="M646" s="59"/>
      <c r="N646" s="59"/>
      <c r="O646" s="15"/>
      <c r="P646" s="15"/>
      <c r="Q646" s="15"/>
      <c r="R646" s="15"/>
      <c r="S646" s="15"/>
      <c r="T646" s="15"/>
      <c r="U646" s="15"/>
      <c r="V646" s="15"/>
      <c r="W646" s="15"/>
      <c r="X646" s="15"/>
      <c r="Y646" s="15"/>
      <c r="Z646" s="15"/>
      <c r="AA646" s="15"/>
      <c r="AB646" s="15"/>
      <c r="AC646" s="15"/>
      <c r="AD646" s="15"/>
      <c r="AE646" s="15"/>
      <c r="AF646" s="15"/>
    </row>
    <row r="647" spans="1:32" x14ac:dyDescent="0.25">
      <c r="A647" s="58"/>
      <c r="B647" s="15"/>
      <c r="C647" s="59"/>
      <c r="D647" s="59"/>
      <c r="E647" s="59"/>
      <c r="F647" s="59"/>
      <c r="G647" s="59"/>
      <c r="H647" s="59"/>
      <c r="I647" s="59"/>
      <c r="J647" s="59"/>
      <c r="K647" s="59"/>
      <c r="L647" s="59"/>
      <c r="M647" s="59"/>
      <c r="N647" s="59"/>
      <c r="O647" s="15"/>
      <c r="P647" s="15"/>
      <c r="Q647" s="15"/>
      <c r="R647" s="15"/>
      <c r="S647" s="15"/>
      <c r="T647" s="15"/>
      <c r="U647" s="15"/>
      <c r="V647" s="15"/>
      <c r="W647" s="15"/>
      <c r="X647" s="15"/>
      <c r="Y647" s="15"/>
      <c r="Z647" s="15"/>
      <c r="AA647" s="15"/>
      <c r="AB647" s="15"/>
      <c r="AC647" s="15"/>
      <c r="AD647" s="15"/>
      <c r="AE647" s="15"/>
      <c r="AF647" s="15"/>
    </row>
    <row r="648" spans="1:32" x14ac:dyDescent="0.25">
      <c r="A648" s="58"/>
      <c r="B648" s="15"/>
      <c r="C648" s="59"/>
      <c r="D648" s="59"/>
      <c r="E648" s="59"/>
      <c r="F648" s="59"/>
      <c r="G648" s="59"/>
      <c r="H648" s="59"/>
      <c r="I648" s="59"/>
      <c r="J648" s="59"/>
      <c r="K648" s="59"/>
      <c r="L648" s="59"/>
      <c r="M648" s="59"/>
      <c r="N648" s="59"/>
      <c r="O648" s="15"/>
      <c r="P648" s="15"/>
      <c r="Q648" s="15"/>
      <c r="R648" s="15"/>
      <c r="S648" s="15"/>
      <c r="T648" s="15"/>
      <c r="U648" s="15"/>
      <c r="V648" s="15"/>
      <c r="W648" s="15"/>
      <c r="X648" s="15"/>
      <c r="Y648" s="15"/>
      <c r="Z648" s="15"/>
      <c r="AA648" s="15"/>
      <c r="AB648" s="15"/>
      <c r="AC648" s="15"/>
      <c r="AD648" s="15"/>
      <c r="AE648" s="15"/>
      <c r="AF648" s="15"/>
    </row>
    <row r="649" spans="1:32" x14ac:dyDescent="0.25">
      <c r="A649" s="58"/>
      <c r="B649" s="59"/>
      <c r="C649" s="59"/>
      <c r="D649" s="59"/>
      <c r="E649" s="59"/>
      <c r="F649" s="59"/>
      <c r="G649" s="59"/>
      <c r="H649" s="59"/>
      <c r="I649" s="59"/>
      <c r="J649" s="59"/>
      <c r="K649" s="59"/>
      <c r="L649" s="59"/>
      <c r="M649" s="59"/>
      <c r="N649" s="59"/>
      <c r="O649" s="15"/>
      <c r="P649" s="15"/>
      <c r="Q649" s="15"/>
      <c r="R649" s="15"/>
      <c r="S649" s="15"/>
      <c r="T649" s="15"/>
      <c r="U649" s="15"/>
      <c r="V649" s="15"/>
      <c r="W649" s="15"/>
      <c r="X649" s="15"/>
      <c r="Y649" s="15"/>
      <c r="Z649" s="15"/>
      <c r="AA649" s="15"/>
      <c r="AB649" s="15"/>
      <c r="AC649" s="15"/>
      <c r="AD649" s="15"/>
      <c r="AE649" s="15"/>
      <c r="AF649" s="15"/>
    </row>
    <row r="650" spans="1:32" x14ac:dyDescent="0.25">
      <c r="A650" s="115"/>
      <c r="B650" s="115"/>
      <c r="C650" s="59"/>
      <c r="D650" s="59"/>
      <c r="E650" s="59"/>
      <c r="F650" s="59"/>
      <c r="G650" s="59"/>
      <c r="H650" s="59"/>
      <c r="I650" s="59"/>
      <c r="J650" s="59"/>
      <c r="K650" s="59"/>
      <c r="L650" s="59"/>
      <c r="M650" s="59"/>
      <c r="N650" s="59"/>
      <c r="O650" s="15"/>
      <c r="P650" s="15"/>
      <c r="Q650" s="15"/>
      <c r="R650" s="15"/>
      <c r="S650" s="15"/>
      <c r="T650" s="15"/>
      <c r="U650" s="15"/>
      <c r="V650" s="15"/>
      <c r="W650" s="15"/>
      <c r="X650" s="15"/>
      <c r="Y650" s="15"/>
      <c r="Z650" s="15"/>
      <c r="AA650" s="15"/>
      <c r="AB650" s="15"/>
      <c r="AC650" s="15"/>
      <c r="AD650" s="15"/>
      <c r="AE650" s="15"/>
      <c r="AF650" s="15"/>
    </row>
    <row r="651" spans="1:32" x14ac:dyDescent="0.25">
      <c r="A651" s="116"/>
      <c r="B651" s="116"/>
      <c r="C651" s="42"/>
      <c r="D651" s="42"/>
      <c r="E651" s="42"/>
      <c r="F651" s="42"/>
      <c r="G651" s="42"/>
      <c r="H651" s="42"/>
      <c r="I651" s="42"/>
      <c r="J651" s="42"/>
      <c r="K651" s="42"/>
      <c r="L651" s="42"/>
      <c r="M651" s="15"/>
      <c r="N651" s="15"/>
      <c r="O651" s="15"/>
      <c r="P651" s="15"/>
      <c r="Q651" s="15"/>
      <c r="R651" s="15"/>
      <c r="S651" s="15"/>
      <c r="T651" s="15"/>
      <c r="U651" s="15"/>
      <c r="V651" s="15"/>
      <c r="W651" s="15"/>
      <c r="X651" s="15"/>
      <c r="Y651" s="15"/>
      <c r="Z651" s="15"/>
      <c r="AA651" s="15"/>
      <c r="AB651" s="15"/>
      <c r="AC651" s="15"/>
      <c r="AD651" s="15"/>
      <c r="AE651" s="15"/>
      <c r="AF651" s="15"/>
    </row>
    <row r="652" spans="1:32" x14ac:dyDescent="0.25">
      <c r="A652" s="116"/>
      <c r="B652" s="116"/>
      <c r="C652" s="42"/>
      <c r="D652" s="42"/>
      <c r="E652" s="42"/>
      <c r="F652" s="42"/>
      <c r="G652" s="42"/>
      <c r="H652" s="42"/>
      <c r="I652" s="42"/>
      <c r="J652" s="42"/>
      <c r="K652" s="42"/>
      <c r="L652" s="42"/>
      <c r="M652" s="15"/>
      <c r="N652" s="15"/>
      <c r="O652" s="15"/>
      <c r="P652" s="15"/>
      <c r="Q652" s="15"/>
      <c r="R652" s="15"/>
      <c r="S652" s="15"/>
      <c r="T652" s="15"/>
      <c r="U652" s="15"/>
      <c r="V652" s="15"/>
      <c r="W652" s="15"/>
      <c r="X652" s="15"/>
      <c r="Y652" s="15"/>
      <c r="Z652" s="15"/>
      <c r="AA652" s="15"/>
      <c r="AB652" s="15"/>
      <c r="AC652" s="15"/>
      <c r="AD652" s="15"/>
      <c r="AE652" s="15"/>
      <c r="AF652" s="15"/>
    </row>
    <row r="653" spans="1:32" x14ac:dyDescent="0.25">
      <c r="A653" s="116"/>
      <c r="B653" s="116"/>
      <c r="C653" s="15"/>
      <c r="D653" s="15"/>
      <c r="E653" s="15"/>
      <c r="F653" s="15"/>
      <c r="G653" s="15"/>
      <c r="H653" s="15"/>
      <c r="I653" s="15"/>
      <c r="J653" s="15"/>
      <c r="K653" s="15"/>
      <c r="L653" s="15"/>
      <c r="M653" s="15"/>
      <c r="N653" s="15"/>
      <c r="O653" s="15"/>
      <c r="P653" s="15"/>
      <c r="Q653" s="15"/>
      <c r="R653" s="15"/>
      <c r="S653" s="15"/>
      <c r="T653" s="15"/>
      <c r="U653" s="15"/>
      <c r="V653" s="15"/>
      <c r="W653" s="15"/>
      <c r="X653" s="15"/>
      <c r="Y653" s="15"/>
      <c r="Z653" s="15"/>
      <c r="AA653" s="15"/>
      <c r="AB653" s="15"/>
      <c r="AC653" s="15"/>
      <c r="AD653" s="15"/>
      <c r="AE653" s="15"/>
      <c r="AF653" s="15"/>
    </row>
    <row r="654" spans="1:32" x14ac:dyDescent="0.25">
      <c r="A654" s="116"/>
      <c r="B654" s="116"/>
      <c r="C654" s="43"/>
      <c r="D654" s="15"/>
      <c r="E654" s="15"/>
      <c r="F654" s="15"/>
      <c r="G654" s="15"/>
      <c r="H654" s="15"/>
      <c r="I654" s="15"/>
      <c r="J654" s="15"/>
      <c r="K654" s="15"/>
      <c r="L654" s="15"/>
      <c r="M654" s="15"/>
      <c r="N654" s="15"/>
      <c r="O654" s="15"/>
      <c r="P654" s="15"/>
      <c r="Q654" s="15"/>
      <c r="R654" s="15"/>
      <c r="S654" s="15"/>
      <c r="T654" s="15"/>
      <c r="U654" s="15"/>
      <c r="V654" s="15"/>
      <c r="W654" s="15"/>
      <c r="X654" s="15"/>
      <c r="Y654" s="15"/>
      <c r="Z654" s="15"/>
      <c r="AA654" s="15"/>
      <c r="AB654" s="15"/>
      <c r="AC654" s="15"/>
      <c r="AD654" s="15"/>
      <c r="AE654" s="15"/>
      <c r="AF654" s="15"/>
    </row>
    <row r="655" spans="1:32" x14ac:dyDescent="0.25">
      <c r="A655" s="15"/>
      <c r="B655" s="15"/>
      <c r="C655" s="15"/>
      <c r="D655" s="15"/>
      <c r="E655" s="15"/>
      <c r="F655" s="15"/>
      <c r="G655" s="15"/>
      <c r="H655" s="15"/>
      <c r="I655" s="15"/>
      <c r="J655" s="15"/>
      <c r="K655" s="15"/>
      <c r="L655" s="15"/>
      <c r="M655" s="15"/>
      <c r="N655" s="15"/>
      <c r="O655" s="15"/>
      <c r="P655" s="15"/>
      <c r="Q655" s="15"/>
      <c r="R655" s="15"/>
      <c r="S655" s="15"/>
      <c r="T655" s="15"/>
      <c r="U655" s="15"/>
      <c r="V655" s="15"/>
      <c r="W655" s="15"/>
      <c r="X655" s="15"/>
      <c r="Y655" s="15"/>
      <c r="Z655" s="15"/>
      <c r="AA655" s="15"/>
      <c r="AB655" s="15"/>
      <c r="AC655" s="15"/>
      <c r="AD655" s="15"/>
      <c r="AE655" s="15"/>
      <c r="AF655" s="15"/>
    </row>
    <row r="656" spans="1:32" x14ac:dyDescent="0.25">
      <c r="A656" s="15"/>
      <c r="B656" s="15"/>
      <c r="C656" s="72"/>
      <c r="D656" s="72"/>
      <c r="E656" s="72"/>
      <c r="F656" s="72"/>
      <c r="G656" s="72"/>
      <c r="H656" s="72"/>
      <c r="I656" s="72"/>
      <c r="J656" s="72"/>
      <c r="K656" s="72"/>
      <c r="L656" s="72"/>
      <c r="M656" s="15"/>
      <c r="N656" s="15"/>
      <c r="O656" s="96"/>
      <c r="P656" s="15"/>
      <c r="Q656" s="15"/>
      <c r="R656" s="15"/>
      <c r="S656" s="15"/>
      <c r="T656" s="15"/>
      <c r="U656" s="15"/>
      <c r="V656" s="15"/>
      <c r="W656" s="15"/>
      <c r="X656" s="15"/>
      <c r="Y656" s="15"/>
      <c r="Z656" s="15"/>
      <c r="AA656" s="15"/>
      <c r="AB656" s="15"/>
      <c r="AC656" s="15"/>
      <c r="AD656" s="15"/>
      <c r="AE656" s="15"/>
      <c r="AF656" s="15"/>
    </row>
    <row r="657" spans="1:32" x14ac:dyDescent="0.25">
      <c r="A657" s="15"/>
      <c r="B657" s="15"/>
      <c r="C657" s="15"/>
      <c r="D657" s="15"/>
      <c r="E657" s="15"/>
      <c r="F657" s="15"/>
      <c r="G657" s="15"/>
      <c r="H657" s="15"/>
      <c r="I657" s="15"/>
      <c r="J657" s="15"/>
      <c r="K657" s="15"/>
      <c r="L657" s="15"/>
      <c r="M657" s="15"/>
      <c r="N657" s="15"/>
      <c r="O657" s="15"/>
      <c r="P657" s="15"/>
      <c r="Q657" s="15"/>
      <c r="R657" s="15"/>
      <c r="S657" s="15"/>
      <c r="T657" s="15"/>
      <c r="U657" s="15"/>
      <c r="V657" s="15"/>
      <c r="W657" s="15"/>
      <c r="X657" s="15"/>
      <c r="Y657" s="15"/>
      <c r="Z657" s="15"/>
      <c r="AA657" s="15"/>
      <c r="AB657" s="15"/>
      <c r="AC657" s="15"/>
      <c r="AD657" s="15"/>
      <c r="AE657" s="15"/>
      <c r="AF657" s="15"/>
    </row>
    <row r="658" spans="1:32" x14ac:dyDescent="0.25">
      <c r="A658" s="15"/>
      <c r="B658" s="15"/>
      <c r="C658" s="15"/>
      <c r="D658" s="15"/>
      <c r="E658" s="15"/>
      <c r="F658" s="15"/>
      <c r="G658" s="15"/>
      <c r="H658" s="15"/>
      <c r="I658" s="15"/>
      <c r="J658" s="15"/>
      <c r="K658" s="15"/>
      <c r="L658" s="15"/>
      <c r="M658" s="15"/>
      <c r="N658" s="15"/>
      <c r="O658" s="15"/>
      <c r="P658" s="15"/>
      <c r="Q658" s="15"/>
      <c r="R658" s="15"/>
      <c r="S658" s="15"/>
      <c r="T658" s="15"/>
      <c r="U658" s="15"/>
      <c r="V658" s="15"/>
      <c r="W658" s="15"/>
      <c r="X658" s="15"/>
      <c r="Y658" s="15"/>
      <c r="Z658" s="15"/>
      <c r="AA658" s="15"/>
      <c r="AB658" s="15"/>
      <c r="AC658" s="15"/>
      <c r="AD658" s="15"/>
      <c r="AE658" s="15"/>
      <c r="AF658" s="15"/>
    </row>
    <row r="659" spans="1:32" x14ac:dyDescent="0.25">
      <c r="A659" s="15"/>
      <c r="B659" s="15"/>
      <c r="C659" s="15"/>
      <c r="D659" s="15"/>
      <c r="E659" s="15"/>
      <c r="F659" s="15"/>
      <c r="G659" s="15"/>
      <c r="H659" s="15"/>
      <c r="I659" s="15"/>
      <c r="J659" s="15"/>
      <c r="K659" s="15"/>
      <c r="L659" s="15"/>
      <c r="M659" s="15"/>
      <c r="N659" s="15"/>
      <c r="O659" s="15"/>
      <c r="P659" s="15"/>
      <c r="Q659" s="15"/>
      <c r="R659" s="15"/>
      <c r="S659" s="15"/>
      <c r="T659" s="15"/>
      <c r="U659" s="15"/>
      <c r="V659" s="15"/>
      <c r="W659" s="15"/>
      <c r="X659" s="15"/>
      <c r="Y659" s="15"/>
      <c r="Z659" s="15"/>
      <c r="AA659" s="15"/>
      <c r="AB659" s="15"/>
      <c r="AC659" s="15"/>
      <c r="AD659" s="15"/>
      <c r="AE659" s="15"/>
      <c r="AF659" s="15"/>
    </row>
    <row r="660" spans="1:32" x14ac:dyDescent="0.25">
      <c r="A660" s="15"/>
      <c r="B660" s="15"/>
      <c r="C660" s="15"/>
      <c r="D660" s="15"/>
      <c r="E660" s="15"/>
      <c r="F660" s="15"/>
      <c r="G660" s="15"/>
      <c r="H660" s="15"/>
      <c r="I660" s="15"/>
      <c r="J660" s="15"/>
      <c r="K660" s="15"/>
      <c r="L660" s="15"/>
      <c r="M660" s="15"/>
      <c r="N660" s="15"/>
      <c r="O660" s="15"/>
      <c r="P660" s="15"/>
      <c r="Q660" s="15"/>
      <c r="R660" s="15"/>
      <c r="S660" s="15"/>
      <c r="T660" s="15"/>
      <c r="U660" s="15"/>
      <c r="V660" s="15"/>
      <c r="W660" s="15"/>
      <c r="X660" s="15"/>
      <c r="Y660" s="15"/>
      <c r="Z660" s="15"/>
      <c r="AA660" s="15"/>
      <c r="AB660" s="15"/>
      <c r="AC660" s="15"/>
      <c r="AD660" s="15"/>
      <c r="AE660" s="15"/>
      <c r="AF660" s="15"/>
    </row>
    <row r="661" spans="1:32" x14ac:dyDescent="0.25">
      <c r="A661" s="15"/>
      <c r="B661" s="15"/>
      <c r="C661" s="15"/>
      <c r="D661" s="15"/>
      <c r="E661" s="15"/>
      <c r="F661" s="15"/>
      <c r="G661" s="15"/>
      <c r="H661" s="15"/>
      <c r="I661" s="15"/>
      <c r="J661" s="15"/>
      <c r="K661" s="15"/>
      <c r="L661" s="15"/>
      <c r="M661" s="15"/>
      <c r="N661" s="15"/>
      <c r="O661" s="15"/>
      <c r="P661" s="15"/>
      <c r="Q661" s="15"/>
      <c r="R661" s="15"/>
      <c r="S661" s="15"/>
      <c r="T661" s="15"/>
      <c r="U661" s="15"/>
      <c r="V661" s="15"/>
      <c r="W661" s="15"/>
      <c r="X661" s="15"/>
      <c r="Y661" s="15"/>
      <c r="Z661" s="15"/>
      <c r="AA661" s="15"/>
      <c r="AB661" s="15"/>
      <c r="AC661" s="15"/>
      <c r="AD661" s="15"/>
      <c r="AE661" s="15"/>
      <c r="AF661" s="15"/>
    </row>
    <row r="662" spans="1:32" x14ac:dyDescent="0.25">
      <c r="A662" s="15"/>
      <c r="B662" s="15"/>
      <c r="C662" s="15"/>
      <c r="D662" s="15"/>
      <c r="E662" s="15"/>
      <c r="F662" s="15"/>
      <c r="G662" s="15"/>
      <c r="H662" s="15"/>
      <c r="I662" s="15"/>
      <c r="J662" s="15"/>
      <c r="K662" s="15"/>
      <c r="L662" s="15"/>
      <c r="M662" s="15"/>
      <c r="N662" s="15"/>
      <c r="O662" s="15"/>
      <c r="P662" s="15"/>
      <c r="Q662" s="15"/>
      <c r="R662" s="15"/>
      <c r="S662" s="15"/>
      <c r="T662" s="15"/>
      <c r="U662" s="15"/>
      <c r="V662" s="15"/>
      <c r="W662" s="15"/>
      <c r="X662" s="15"/>
      <c r="Y662" s="15"/>
      <c r="Z662" s="15"/>
      <c r="AA662" s="15"/>
      <c r="AB662" s="15"/>
      <c r="AC662" s="15"/>
      <c r="AD662" s="15"/>
      <c r="AE662" s="15"/>
      <c r="AF662" s="15"/>
    </row>
    <row r="663" spans="1:32" x14ac:dyDescent="0.25">
      <c r="A663" s="15"/>
      <c r="B663" s="15"/>
      <c r="C663" s="15"/>
      <c r="D663" s="15"/>
      <c r="E663" s="15"/>
      <c r="F663" s="15"/>
      <c r="G663" s="15"/>
      <c r="H663" s="15"/>
      <c r="I663" s="15"/>
      <c r="J663" s="15"/>
      <c r="K663" s="15"/>
      <c r="L663" s="15"/>
      <c r="M663" s="15"/>
      <c r="N663" s="15"/>
      <c r="O663" s="15"/>
      <c r="P663" s="15"/>
      <c r="Q663" s="15"/>
      <c r="R663" s="15"/>
      <c r="S663" s="15"/>
      <c r="T663" s="15"/>
      <c r="U663" s="15"/>
      <c r="V663" s="15"/>
      <c r="W663" s="15"/>
      <c r="X663" s="15"/>
      <c r="Y663" s="15"/>
      <c r="Z663" s="15"/>
      <c r="AA663" s="15"/>
      <c r="AB663" s="15"/>
      <c r="AC663" s="15"/>
      <c r="AD663" s="15"/>
      <c r="AE663" s="15"/>
      <c r="AF663" s="15"/>
    </row>
    <row r="664" spans="1:32" x14ac:dyDescent="0.25">
      <c r="A664" s="15"/>
      <c r="B664" s="15"/>
      <c r="C664" s="15"/>
      <c r="D664" s="15"/>
      <c r="E664" s="15"/>
      <c r="F664" s="15"/>
      <c r="G664" s="15"/>
      <c r="H664" s="15"/>
      <c r="I664" s="15"/>
      <c r="J664" s="15"/>
      <c r="K664" s="15"/>
      <c r="L664" s="15"/>
      <c r="M664" s="15"/>
      <c r="N664" s="15"/>
      <c r="O664" s="15"/>
      <c r="P664" s="15"/>
      <c r="Q664" s="15"/>
      <c r="R664" s="15"/>
      <c r="S664" s="15"/>
      <c r="T664" s="15"/>
      <c r="U664" s="15"/>
      <c r="V664" s="15"/>
      <c r="W664" s="15"/>
      <c r="X664" s="15"/>
      <c r="Y664" s="15"/>
      <c r="Z664" s="15"/>
      <c r="AA664" s="15"/>
      <c r="AB664" s="15"/>
      <c r="AC664" s="15"/>
      <c r="AD664" s="15"/>
      <c r="AE664" s="15"/>
      <c r="AF664" s="15"/>
    </row>
    <row r="665" spans="1:32" x14ac:dyDescent="0.25">
      <c r="A665" s="15"/>
      <c r="B665" s="15"/>
      <c r="C665" s="15"/>
      <c r="D665" s="15"/>
      <c r="E665" s="15"/>
      <c r="F665" s="15"/>
      <c r="G665" s="15"/>
      <c r="H665" s="15"/>
      <c r="I665" s="15"/>
      <c r="J665" s="15"/>
      <c r="K665" s="15"/>
      <c r="L665" s="15"/>
      <c r="M665" s="15"/>
      <c r="N665" s="15"/>
      <c r="O665" s="15"/>
      <c r="P665" s="15"/>
      <c r="Q665" s="15"/>
      <c r="R665" s="15"/>
      <c r="S665" s="15"/>
      <c r="T665" s="15"/>
      <c r="U665" s="15"/>
      <c r="V665" s="15"/>
      <c r="W665" s="15"/>
      <c r="X665" s="15"/>
      <c r="Y665" s="15"/>
      <c r="Z665" s="15"/>
      <c r="AA665" s="15"/>
      <c r="AB665" s="15"/>
      <c r="AC665" s="15"/>
      <c r="AD665" s="15"/>
      <c r="AE665" s="15"/>
      <c r="AF665" s="15"/>
    </row>
    <row r="666" spans="1:32" x14ac:dyDescent="0.25">
      <c r="A666" s="15"/>
      <c r="B666" s="15"/>
      <c r="C666" s="15"/>
      <c r="D666" s="15"/>
      <c r="E666" s="15"/>
      <c r="F666" s="15"/>
      <c r="G666" s="15"/>
      <c r="H666" s="15"/>
      <c r="I666" s="15"/>
      <c r="J666" s="15"/>
      <c r="K666" s="15"/>
      <c r="L666" s="15"/>
      <c r="M666" s="15"/>
      <c r="N666" s="15"/>
      <c r="O666" s="15"/>
      <c r="P666" s="15"/>
      <c r="Q666" s="15"/>
      <c r="R666" s="15"/>
      <c r="S666" s="15"/>
      <c r="T666" s="15"/>
      <c r="U666" s="15"/>
      <c r="V666" s="15"/>
      <c r="W666" s="15"/>
      <c r="X666" s="15"/>
      <c r="Y666" s="15"/>
      <c r="Z666" s="15"/>
      <c r="AA666" s="15"/>
      <c r="AB666" s="15"/>
      <c r="AC666" s="15"/>
      <c r="AD666" s="15"/>
      <c r="AE666" s="15"/>
      <c r="AF666" s="15"/>
    </row>
    <row r="667" spans="1:32" x14ac:dyDescent="0.25">
      <c r="A667" s="15"/>
      <c r="B667" s="15"/>
      <c r="C667" s="15"/>
      <c r="D667" s="15"/>
      <c r="E667" s="15"/>
      <c r="F667" s="15"/>
      <c r="G667" s="15"/>
      <c r="H667" s="15"/>
      <c r="I667" s="15"/>
      <c r="J667" s="15"/>
      <c r="K667" s="15"/>
      <c r="L667" s="15"/>
      <c r="M667" s="15"/>
      <c r="N667" s="15"/>
      <c r="O667" s="15"/>
      <c r="P667" s="15"/>
      <c r="Q667" s="15"/>
      <c r="R667" s="15"/>
      <c r="S667" s="15"/>
      <c r="T667" s="15"/>
      <c r="U667" s="15"/>
      <c r="V667" s="15"/>
      <c r="W667" s="15"/>
      <c r="X667" s="15"/>
      <c r="Y667" s="15"/>
      <c r="Z667" s="15"/>
      <c r="AA667" s="15"/>
      <c r="AB667" s="15"/>
      <c r="AC667" s="15"/>
      <c r="AD667" s="15"/>
      <c r="AE667" s="15"/>
      <c r="AF667" s="15"/>
    </row>
    <row r="668" spans="1:32" x14ac:dyDescent="0.25">
      <c r="A668" s="15"/>
      <c r="B668" s="15"/>
      <c r="C668" s="15"/>
      <c r="D668" s="15"/>
      <c r="E668" s="15"/>
      <c r="F668" s="15"/>
      <c r="G668" s="15"/>
      <c r="H668" s="15"/>
      <c r="I668" s="15"/>
      <c r="J668" s="15"/>
      <c r="K668" s="15"/>
      <c r="L668" s="15"/>
      <c r="M668" s="15"/>
      <c r="N668" s="15"/>
      <c r="O668" s="15"/>
      <c r="P668" s="15"/>
      <c r="Q668" s="15"/>
      <c r="R668" s="15"/>
      <c r="S668" s="15"/>
      <c r="T668" s="15"/>
      <c r="U668" s="15"/>
      <c r="V668" s="15"/>
      <c r="W668" s="15"/>
      <c r="X668" s="15"/>
      <c r="Y668" s="15"/>
      <c r="Z668" s="15"/>
      <c r="AA668" s="15"/>
      <c r="AB668" s="15"/>
      <c r="AC668" s="15"/>
      <c r="AD668" s="15"/>
      <c r="AE668" s="15"/>
      <c r="AF668" s="15"/>
    </row>
    <row r="669" spans="1:32" x14ac:dyDescent="0.25">
      <c r="A669" s="15"/>
      <c r="B669" s="15"/>
      <c r="C669" s="15"/>
      <c r="D669" s="15"/>
      <c r="E669" s="15"/>
      <c r="F669" s="15"/>
      <c r="G669" s="15"/>
      <c r="H669" s="15"/>
      <c r="I669" s="15"/>
      <c r="J669" s="15"/>
      <c r="K669" s="15"/>
      <c r="L669" s="15"/>
      <c r="M669" s="15"/>
      <c r="N669" s="15"/>
      <c r="O669" s="15"/>
      <c r="P669" s="15"/>
      <c r="Q669" s="15"/>
      <c r="R669" s="15"/>
      <c r="S669" s="15"/>
      <c r="T669" s="15"/>
      <c r="U669" s="15"/>
      <c r="V669" s="15"/>
      <c r="W669" s="15"/>
      <c r="X669" s="15"/>
      <c r="Y669" s="15"/>
      <c r="Z669" s="15"/>
      <c r="AA669" s="15"/>
      <c r="AB669" s="15"/>
      <c r="AC669" s="15"/>
      <c r="AD669" s="15"/>
      <c r="AE669" s="15"/>
      <c r="AF669" s="15"/>
    </row>
    <row r="670" spans="1:32" x14ac:dyDescent="0.25">
      <c r="A670" s="15"/>
      <c r="B670" s="15"/>
      <c r="C670" s="15"/>
      <c r="D670" s="15"/>
      <c r="E670" s="15"/>
      <c r="F670" s="15"/>
      <c r="G670" s="15"/>
      <c r="H670" s="15"/>
      <c r="I670" s="15"/>
      <c r="J670" s="15"/>
      <c r="K670" s="15"/>
      <c r="L670" s="15"/>
      <c r="M670" s="15"/>
      <c r="N670" s="15"/>
      <c r="O670" s="15"/>
      <c r="P670" s="15"/>
      <c r="Q670" s="15"/>
      <c r="R670" s="15"/>
      <c r="S670" s="15"/>
      <c r="T670" s="15"/>
      <c r="U670" s="15"/>
      <c r="V670" s="15"/>
      <c r="W670" s="15"/>
      <c r="X670" s="15"/>
      <c r="Y670" s="15"/>
      <c r="Z670" s="15"/>
      <c r="AA670" s="15"/>
      <c r="AB670" s="15"/>
      <c r="AC670" s="15"/>
      <c r="AD670" s="15"/>
      <c r="AE670" s="15"/>
      <c r="AF670" s="15"/>
    </row>
  </sheetData>
  <mergeCells count="18">
    <mergeCell ref="J402:P402"/>
    <mergeCell ref="A627:B627"/>
    <mergeCell ref="A15:C15"/>
    <mergeCell ref="E53:F53"/>
    <mergeCell ref="C63:I63"/>
    <mergeCell ref="A100:A101"/>
    <mergeCell ref="A123:B123"/>
    <mergeCell ref="A532:B532"/>
    <mergeCell ref="A534:B534"/>
    <mergeCell ref="A581:B581"/>
    <mergeCell ref="A596:B596"/>
    <mergeCell ref="A597:B597"/>
    <mergeCell ref="A626:B626"/>
    <mergeCell ref="A650:B650"/>
    <mergeCell ref="A651:B651"/>
    <mergeCell ref="A652:B652"/>
    <mergeCell ref="A653:B653"/>
    <mergeCell ref="A654:B654"/>
  </mergeCells>
  <pageMargins left="0.7" right="0.7" top="0.78740157499999996" bottom="0.78740157499999996" header="0.3" footer="0.3"/>
  <pageSetup paperSize="9" orientation="portrait"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4"/>
  <dimension ref="A1:Q422"/>
  <sheetViews>
    <sheetView tabSelected="1" workbookViewId="0">
      <selection activeCell="N1" sqref="N1"/>
    </sheetView>
  </sheetViews>
  <sheetFormatPr baseColWidth="10" defaultRowHeight="15" x14ac:dyDescent="0.25"/>
  <cols>
    <col min="8" max="11" width="17.7109375" bestFit="1" customWidth="1"/>
    <col min="12" max="13" width="18.42578125" bestFit="1" customWidth="1"/>
    <col min="14" max="14" width="25.42578125" customWidth="1"/>
    <col min="15" max="16" width="17.7109375" bestFit="1" customWidth="1"/>
  </cols>
  <sheetData>
    <row r="1" spans="1:17" x14ac:dyDescent="0.25">
      <c r="A1">
        <f>'Mastercurve bestimmen'!M118</f>
        <v>-40</v>
      </c>
      <c r="B1" s="11">
        <f>'Mastercurve bestimmen'!N118</f>
        <v>-48.643117255443507</v>
      </c>
      <c r="M1" s="54">
        <v>1</v>
      </c>
      <c r="N1" s="56">
        <f>INDEX($H$217:$P$217,1,Q1)</f>
        <v>0.10492210301683248</v>
      </c>
      <c r="O1" s="11"/>
      <c r="P1" s="55">
        <v>1</v>
      </c>
      <c r="Q1" s="11">
        <v>2</v>
      </c>
    </row>
    <row r="2" spans="1:17" x14ac:dyDescent="0.25">
      <c r="A2" s="11">
        <f>'Mastercurve bestimmen'!M119</f>
        <v>0</v>
      </c>
      <c r="B2" s="11">
        <f>'Mastercurve bestimmen'!N119</f>
        <v>-45.746106961724465</v>
      </c>
      <c r="M2" s="54">
        <v>2</v>
      </c>
      <c r="N2" s="56">
        <f t="shared" ref="N2:N9" si="0">INDEX($H$217:$P$217,1,Q2)</f>
        <v>8.260659383952703E-3</v>
      </c>
      <c r="O2" s="11"/>
      <c r="P2" s="55">
        <v>2</v>
      </c>
      <c r="Q2" s="11">
        <f>Q1+1</f>
        <v>3</v>
      </c>
    </row>
    <row r="3" spans="1:17" x14ac:dyDescent="0.25">
      <c r="A3" s="11">
        <f>'Mastercurve bestimmen'!M120</f>
        <v>25</v>
      </c>
      <c r="B3" s="11">
        <f>'Mastercurve bestimmen'!N120</f>
        <v>-41.385537711587737</v>
      </c>
      <c r="M3" s="54">
        <v>3</v>
      </c>
      <c r="N3" s="56">
        <f t="shared" si="0"/>
        <v>4.1173372095884602E-4</v>
      </c>
      <c r="O3" s="11"/>
      <c r="P3" s="55">
        <v>3</v>
      </c>
      <c r="Q3" s="11">
        <f t="shared" ref="Q3:Q8" si="1">Q2+1</f>
        <v>4</v>
      </c>
    </row>
    <row r="4" spans="1:17" x14ac:dyDescent="0.25">
      <c r="A4" s="11">
        <f>'Mastercurve bestimmen'!M121</f>
        <v>50</v>
      </c>
      <c r="B4" s="11">
        <f>'Mastercurve bestimmen'!N121</f>
        <v>-34.839448068372903</v>
      </c>
      <c r="M4" s="54">
        <v>4</v>
      </c>
      <c r="N4" s="56">
        <f t="shared" si="0"/>
        <v>5.9091087352515111E-6</v>
      </c>
      <c r="O4" s="11"/>
      <c r="P4" s="55">
        <v>4</v>
      </c>
      <c r="Q4" s="11">
        <f t="shared" si="1"/>
        <v>5</v>
      </c>
    </row>
    <row r="5" spans="1:17" x14ac:dyDescent="0.25">
      <c r="A5" s="11">
        <f>'Mastercurve bestimmen'!M122</f>
        <v>80</v>
      </c>
      <c r="B5" s="11">
        <f>'Mastercurve bestimmen'!N122</f>
        <v>-23.526325185329309</v>
      </c>
      <c r="M5" s="54">
        <v>5</v>
      </c>
      <c r="N5" s="56">
        <f t="shared" si="0"/>
        <v>3.9336506351585157E-8</v>
      </c>
      <c r="O5" s="11"/>
      <c r="P5" s="55">
        <v>5</v>
      </c>
      <c r="Q5" s="11">
        <f t="shared" si="1"/>
        <v>6</v>
      </c>
    </row>
    <row r="6" spans="1:17" x14ac:dyDescent="0.25">
      <c r="A6" s="11">
        <f>'Mastercurve bestimmen'!M123</f>
        <v>125</v>
      </c>
      <c r="B6" s="11">
        <f>'Mastercurve bestimmen'!N123</f>
        <v>-4.1757477535683645</v>
      </c>
      <c r="M6" s="54">
        <v>6</v>
      </c>
      <c r="N6" s="56">
        <f t="shared" si="0"/>
        <v>1.2514804860287318E-10</v>
      </c>
      <c r="O6" s="11"/>
      <c r="P6" s="55">
        <v>6</v>
      </c>
      <c r="Q6" s="11">
        <f t="shared" si="1"/>
        <v>7</v>
      </c>
    </row>
    <row r="7" spans="1:17" x14ac:dyDescent="0.25">
      <c r="A7" s="11">
        <f>'Mastercurve bestimmen'!M124</f>
        <v>160</v>
      </c>
      <c r="B7" s="11">
        <f>'Mastercurve bestimmen'!N124</f>
        <v>0</v>
      </c>
      <c r="M7" s="54">
        <v>7</v>
      </c>
      <c r="N7" s="56">
        <f t="shared" si="0"/>
        <v>1.4125431797838395E-13</v>
      </c>
      <c r="O7" s="11"/>
      <c r="P7" s="55">
        <v>7</v>
      </c>
      <c r="Q7" s="11">
        <f t="shared" si="1"/>
        <v>8</v>
      </c>
    </row>
    <row r="8" spans="1:17" x14ac:dyDescent="0.25">
      <c r="A8" s="11"/>
      <c r="B8" s="11"/>
      <c r="M8" s="54">
        <v>8</v>
      </c>
      <c r="N8" s="56">
        <f t="shared" si="0"/>
        <v>-5.1824184816417648E-17</v>
      </c>
      <c r="O8" s="11"/>
      <c r="P8" s="55">
        <v>8</v>
      </c>
      <c r="Q8" s="11">
        <f t="shared" si="1"/>
        <v>9</v>
      </c>
    </row>
    <row r="9" spans="1:17" x14ac:dyDescent="0.25">
      <c r="A9" s="11"/>
      <c r="B9" s="11"/>
      <c r="M9" s="54">
        <v>9</v>
      </c>
      <c r="N9" s="56">
        <f t="shared" si="0"/>
        <v>0</v>
      </c>
      <c r="O9" s="11"/>
      <c r="P9" s="55">
        <v>0</v>
      </c>
      <c r="Q9" s="11">
        <v>1</v>
      </c>
    </row>
    <row r="10" spans="1:17" x14ac:dyDescent="0.25">
      <c r="A10" s="11"/>
      <c r="B10" s="11"/>
    </row>
    <row r="11" spans="1:17" x14ac:dyDescent="0.25">
      <c r="A11" s="11"/>
      <c r="B11" s="11"/>
    </row>
    <row r="12" spans="1:17" x14ac:dyDescent="0.25">
      <c r="A12" s="11"/>
      <c r="B12" s="11"/>
      <c r="G12" t="s">
        <v>136</v>
      </c>
      <c r="H12">
        <v>8</v>
      </c>
      <c r="I12" t="s">
        <v>137</v>
      </c>
    </row>
    <row r="13" spans="1:17" x14ac:dyDescent="0.25">
      <c r="A13" s="11"/>
      <c r="B13" s="11"/>
    </row>
    <row r="14" spans="1:17" x14ac:dyDescent="0.25">
      <c r="A14" s="11" t="s">
        <v>133</v>
      </c>
      <c r="B14" s="11" t="s">
        <v>134</v>
      </c>
      <c r="E14" s="11" t="s">
        <v>133</v>
      </c>
      <c r="F14" s="11" t="s">
        <v>135</v>
      </c>
      <c r="G14" s="11"/>
      <c r="H14" s="11">
        <v>8</v>
      </c>
      <c r="I14" s="11">
        <f>H14-1</f>
        <v>7</v>
      </c>
      <c r="J14" s="11">
        <f t="shared" ref="J14:P14" si="2">I14-1</f>
        <v>6</v>
      </c>
      <c r="K14" s="11">
        <f t="shared" si="2"/>
        <v>5</v>
      </c>
      <c r="L14" s="11">
        <f t="shared" si="2"/>
        <v>4</v>
      </c>
      <c r="M14" s="11">
        <f t="shared" si="2"/>
        <v>3</v>
      </c>
      <c r="N14" s="11">
        <f t="shared" si="2"/>
        <v>2</v>
      </c>
      <c r="O14" s="11">
        <f t="shared" si="2"/>
        <v>1</v>
      </c>
      <c r="P14" s="11">
        <f t="shared" si="2"/>
        <v>0</v>
      </c>
    </row>
    <row r="15" spans="1:17" x14ac:dyDescent="0.25">
      <c r="A15" s="11">
        <v>-40</v>
      </c>
      <c r="B15" s="11">
        <v>-48.643117255443507</v>
      </c>
      <c r="E15" s="11">
        <f>A15-'Mastercurve bestimmen'!$B$2</f>
        <v>-200</v>
      </c>
      <c r="F15" s="11">
        <f>B15</f>
        <v>-48.643117255443507</v>
      </c>
      <c r="G15" s="11"/>
      <c r="H15" s="11">
        <f>IF($H$12&gt;=H$14,$E15^H$14,0)</f>
        <v>2.56E+18</v>
      </c>
      <c r="I15" s="11">
        <f t="shared" ref="I15:O30" si="3">IF($H$12&gt;=I$14,$E15^I$14,0)</f>
        <v>-1.28E+16</v>
      </c>
      <c r="J15" s="11">
        <f t="shared" si="3"/>
        <v>64000000000000</v>
      </c>
      <c r="K15" s="11">
        <f t="shared" si="3"/>
        <v>-320000000000</v>
      </c>
      <c r="L15" s="11">
        <f t="shared" si="3"/>
        <v>1600000000</v>
      </c>
      <c r="M15" s="11">
        <f t="shared" si="3"/>
        <v>-8000000</v>
      </c>
      <c r="N15" s="11">
        <f t="shared" si="3"/>
        <v>40000</v>
      </c>
      <c r="O15" s="11">
        <f t="shared" si="3"/>
        <v>-200</v>
      </c>
      <c r="P15" s="11">
        <v>0</v>
      </c>
    </row>
    <row r="16" spans="1:17" x14ac:dyDescent="0.25">
      <c r="A16" s="11">
        <f>A15+1</f>
        <v>-39</v>
      </c>
      <c r="B16" s="11">
        <v>-48.592924975743593</v>
      </c>
      <c r="E16" s="11">
        <f>A16-'Mastercurve bestimmen'!$B$2</f>
        <v>-199</v>
      </c>
      <c r="F16" s="11">
        <f t="shared" ref="F16:F79" si="4">B16</f>
        <v>-48.592924975743593</v>
      </c>
      <c r="G16" s="11"/>
      <c r="H16" s="11">
        <f t="shared" ref="H16:O47" si="5">IF($H$12&gt;=H$14,$E16^H$14,0)</f>
        <v>2.4593741915531182E+18</v>
      </c>
      <c r="I16" s="11">
        <f t="shared" si="3"/>
        <v>-1.23586642791614E+16</v>
      </c>
      <c r="J16" s="11">
        <f t="shared" si="3"/>
        <v>62103840598801</v>
      </c>
      <c r="K16" s="11">
        <f t="shared" si="3"/>
        <v>-312079600999</v>
      </c>
      <c r="L16" s="11">
        <f t="shared" si="3"/>
        <v>1568239201</v>
      </c>
      <c r="M16" s="11">
        <f t="shared" si="3"/>
        <v>-7880599</v>
      </c>
      <c r="N16" s="11">
        <f t="shared" si="3"/>
        <v>39601</v>
      </c>
      <c r="O16" s="11">
        <f t="shared" si="3"/>
        <v>-199</v>
      </c>
      <c r="P16" s="11">
        <f>P15</f>
        <v>0</v>
      </c>
    </row>
    <row r="17" spans="1:16" x14ac:dyDescent="0.25">
      <c r="A17" s="11">
        <f t="shared" ref="A17:A80" si="6">A16+1</f>
        <v>-38</v>
      </c>
      <c r="B17" s="11">
        <v>-48.542649270236375</v>
      </c>
      <c r="E17" s="11">
        <f>A17-'Mastercurve bestimmen'!$B$2</f>
        <v>-198</v>
      </c>
      <c r="F17" s="11">
        <f t="shared" si="4"/>
        <v>-48.542649270236375</v>
      </c>
      <c r="G17" s="11"/>
      <c r="H17" s="11">
        <f t="shared" si="5"/>
        <v>2.3622264177354752E+18</v>
      </c>
      <c r="I17" s="11">
        <f t="shared" si="3"/>
        <v>-1.1930436453209472E+16</v>
      </c>
      <c r="J17" s="11">
        <f t="shared" si="3"/>
        <v>60254729561664</v>
      </c>
      <c r="K17" s="11">
        <f t="shared" si="3"/>
        <v>-304316815968</v>
      </c>
      <c r="L17" s="11">
        <f t="shared" si="3"/>
        <v>1536953616</v>
      </c>
      <c r="M17" s="11">
        <f t="shared" si="3"/>
        <v>-7762392</v>
      </c>
      <c r="N17" s="11">
        <f t="shared" si="3"/>
        <v>39204</v>
      </c>
      <c r="O17" s="11">
        <f t="shared" si="3"/>
        <v>-198</v>
      </c>
      <c r="P17" s="11">
        <f t="shared" ref="P17:P80" si="7">P16</f>
        <v>0</v>
      </c>
    </row>
    <row r="18" spans="1:16" x14ac:dyDescent="0.25">
      <c r="A18" s="11">
        <f t="shared" si="6"/>
        <v>-37</v>
      </c>
      <c r="B18" s="11">
        <v>-48.492206713114584</v>
      </c>
      <c r="E18" s="11">
        <f>A18-'Mastercurve bestimmen'!$B$2</f>
        <v>-197</v>
      </c>
      <c r="F18" s="11">
        <f t="shared" si="4"/>
        <v>-48.492206713114584</v>
      </c>
      <c r="G18" s="11"/>
      <c r="H18" s="11">
        <f t="shared" si="5"/>
        <v>2.2684531239489874E+18</v>
      </c>
      <c r="I18" s="11">
        <f t="shared" si="3"/>
        <v>-1.1514990476898412E+16</v>
      </c>
      <c r="J18" s="11">
        <f t="shared" si="3"/>
        <v>58451728309129</v>
      </c>
      <c r="K18" s="11">
        <f t="shared" si="3"/>
        <v>-296709280757</v>
      </c>
      <c r="L18" s="11">
        <f t="shared" si="3"/>
        <v>1506138481</v>
      </c>
      <c r="M18" s="11">
        <f t="shared" si="3"/>
        <v>-7645373</v>
      </c>
      <c r="N18" s="11">
        <f t="shared" si="3"/>
        <v>38809</v>
      </c>
      <c r="O18" s="11">
        <f t="shared" si="3"/>
        <v>-197</v>
      </c>
      <c r="P18" s="11">
        <f t="shared" si="7"/>
        <v>0</v>
      </c>
    </row>
    <row r="19" spans="1:16" x14ac:dyDescent="0.25">
      <c r="A19" s="11">
        <f t="shared" si="6"/>
        <v>-36</v>
      </c>
      <c r="B19" s="11">
        <v>-48.44151387857093</v>
      </c>
      <c r="E19" s="11">
        <f>A19-'Mastercurve bestimmen'!$B$2</f>
        <v>-196</v>
      </c>
      <c r="F19" s="11">
        <f t="shared" si="4"/>
        <v>-48.44151387857093</v>
      </c>
      <c r="G19" s="11"/>
      <c r="H19" s="11">
        <f t="shared" si="5"/>
        <v>2.1779533378093711E+18</v>
      </c>
      <c r="I19" s="11">
        <f t="shared" si="3"/>
        <v>-1.1112006825558016E+16</v>
      </c>
      <c r="J19" s="11">
        <f t="shared" si="3"/>
        <v>56693912375296</v>
      </c>
      <c r="K19" s="11">
        <f t="shared" si="3"/>
        <v>-289254654976</v>
      </c>
      <c r="L19" s="11">
        <f t="shared" si="3"/>
        <v>1475789056</v>
      </c>
      <c r="M19" s="11">
        <f t="shared" si="3"/>
        <v>-7529536</v>
      </c>
      <c r="N19" s="11">
        <f t="shared" si="3"/>
        <v>38416</v>
      </c>
      <c r="O19" s="11">
        <f t="shared" si="3"/>
        <v>-196</v>
      </c>
      <c r="P19" s="11">
        <f t="shared" si="7"/>
        <v>0</v>
      </c>
    </row>
    <row r="20" spans="1:16" x14ac:dyDescent="0.25">
      <c r="A20" s="11">
        <f t="shared" si="6"/>
        <v>-35</v>
      </c>
      <c r="B20" s="11">
        <v>-48.390487340798103</v>
      </c>
      <c r="E20" s="11">
        <f>A20-'Mastercurve bestimmen'!$B$2</f>
        <v>-195</v>
      </c>
      <c r="F20" s="11">
        <f t="shared" si="4"/>
        <v>-48.390487340798103</v>
      </c>
      <c r="G20" s="11"/>
      <c r="H20" s="11">
        <f t="shared" si="5"/>
        <v>2.0906286173753907E+18</v>
      </c>
      <c r="I20" s="11">
        <f t="shared" si="3"/>
        <v>-1.0721172396796876E+16</v>
      </c>
      <c r="J20" s="11">
        <f t="shared" si="3"/>
        <v>54980371265625</v>
      </c>
      <c r="K20" s="11">
        <f t="shared" si="3"/>
        <v>-281950621875</v>
      </c>
      <c r="L20" s="11">
        <f t="shared" si="3"/>
        <v>1445900625</v>
      </c>
      <c r="M20" s="11">
        <f t="shared" si="3"/>
        <v>-7414875</v>
      </c>
      <c r="N20" s="11">
        <f t="shared" si="3"/>
        <v>38025</v>
      </c>
      <c r="O20" s="11">
        <f t="shared" si="3"/>
        <v>-195</v>
      </c>
      <c r="P20" s="11">
        <f t="shared" si="7"/>
        <v>0</v>
      </c>
    </row>
    <row r="21" spans="1:16" x14ac:dyDescent="0.25">
      <c r="A21" s="11">
        <f t="shared" si="6"/>
        <v>-34</v>
      </c>
      <c r="B21" s="11">
        <v>-48.339043673988812</v>
      </c>
      <c r="E21" s="11">
        <f>A21-'Mastercurve bestimmen'!$B$2</f>
        <v>-194</v>
      </c>
      <c r="F21" s="11">
        <f t="shared" si="4"/>
        <v>-48.339043673988812</v>
      </c>
      <c r="G21" s="11"/>
      <c r="H21" s="11">
        <f t="shared" si="5"/>
        <v>2.006383000160502E+18</v>
      </c>
      <c r="I21" s="11">
        <f t="shared" si="3"/>
        <v>-1.0342180413198464E+16</v>
      </c>
      <c r="J21" s="11">
        <f t="shared" si="3"/>
        <v>53310208315456</v>
      </c>
      <c r="K21" s="11">
        <f t="shared" si="3"/>
        <v>-274794888224</v>
      </c>
      <c r="L21" s="11">
        <f t="shared" si="3"/>
        <v>1416468496</v>
      </c>
      <c r="M21" s="11">
        <f t="shared" si="3"/>
        <v>-7301384</v>
      </c>
      <c r="N21" s="11">
        <f t="shared" si="3"/>
        <v>37636</v>
      </c>
      <c r="O21" s="11">
        <f t="shared" si="3"/>
        <v>-194</v>
      </c>
      <c r="P21" s="11">
        <f t="shared" si="7"/>
        <v>0</v>
      </c>
    </row>
    <row r="22" spans="1:16" x14ac:dyDescent="0.25">
      <c r="A22" s="11">
        <f t="shared" si="6"/>
        <v>-33</v>
      </c>
      <c r="B22">
        <v>-48.287099452335788</v>
      </c>
      <c r="E22" s="11">
        <f>A22-'Mastercurve bestimmen'!$B$2</f>
        <v>-193</v>
      </c>
      <c r="F22" s="11">
        <f t="shared" si="4"/>
        <v>-48.287099452335788</v>
      </c>
      <c r="G22" s="11"/>
      <c r="H22" s="11">
        <f t="shared" si="5"/>
        <v>1.925122952918976E+18</v>
      </c>
      <c r="I22" s="11">
        <f t="shared" si="3"/>
        <v>-9974730326005056</v>
      </c>
      <c r="J22" s="11">
        <f t="shared" si="3"/>
        <v>51682540549249</v>
      </c>
      <c r="K22" s="11">
        <f t="shared" si="3"/>
        <v>-267785184193</v>
      </c>
      <c r="L22" s="11">
        <f t="shared" si="3"/>
        <v>1387488001</v>
      </c>
      <c r="M22" s="11">
        <f t="shared" si="3"/>
        <v>-7189057</v>
      </c>
      <c r="N22" s="11">
        <f t="shared" si="3"/>
        <v>37249</v>
      </c>
      <c r="O22" s="11">
        <f t="shared" si="3"/>
        <v>-193</v>
      </c>
      <c r="P22" s="11">
        <f t="shared" si="7"/>
        <v>0</v>
      </c>
    </row>
    <row r="23" spans="1:16" x14ac:dyDescent="0.25">
      <c r="A23" s="11">
        <f t="shared" si="6"/>
        <v>-32</v>
      </c>
      <c r="B23">
        <v>-48.234571250031721</v>
      </c>
      <c r="E23" s="11">
        <f>A23-'Mastercurve bestimmen'!$B$2</f>
        <v>-192</v>
      </c>
      <c r="F23" s="11">
        <f t="shared" si="4"/>
        <v>-48.234571250031721</v>
      </c>
      <c r="G23" s="11"/>
      <c r="H23" s="11">
        <f t="shared" si="5"/>
        <v>1.846757322198614E+18</v>
      </c>
      <c r="I23" s="11">
        <f t="shared" si="3"/>
        <v>-9618527719784448</v>
      </c>
      <c r="J23" s="11">
        <f t="shared" si="3"/>
        <v>50096498540544</v>
      </c>
      <c r="K23" s="11">
        <f t="shared" si="3"/>
        <v>-260919263232</v>
      </c>
      <c r="L23" s="11">
        <f t="shared" si="3"/>
        <v>1358954496</v>
      </c>
      <c r="M23" s="11">
        <f t="shared" si="3"/>
        <v>-7077888</v>
      </c>
      <c r="N23" s="11">
        <f t="shared" si="3"/>
        <v>36864</v>
      </c>
      <c r="O23" s="11">
        <f t="shared" si="3"/>
        <v>-192</v>
      </c>
      <c r="P23" s="11">
        <f t="shared" si="7"/>
        <v>0</v>
      </c>
    </row>
    <row r="24" spans="1:16" x14ac:dyDescent="0.25">
      <c r="A24" s="11">
        <f t="shared" si="6"/>
        <v>-31</v>
      </c>
      <c r="B24">
        <v>-48.181375641269327</v>
      </c>
      <c r="E24" s="11">
        <f>A24-'Mastercurve bestimmen'!$B$2</f>
        <v>-191</v>
      </c>
      <c r="F24" s="11">
        <f t="shared" si="4"/>
        <v>-48.181375641269327</v>
      </c>
      <c r="G24" s="11"/>
      <c r="H24" s="11">
        <f t="shared" si="5"/>
        <v>1.7711972856522163E+18</v>
      </c>
      <c r="I24" s="11">
        <f t="shared" si="3"/>
        <v>-9273284218074432</v>
      </c>
      <c r="J24" s="11">
        <f t="shared" si="3"/>
        <v>48551226272641</v>
      </c>
      <c r="K24" s="11">
        <f t="shared" si="3"/>
        <v>-254194901951</v>
      </c>
      <c r="L24" s="11">
        <f t="shared" si="3"/>
        <v>1330863361</v>
      </c>
      <c r="M24" s="11">
        <f t="shared" si="3"/>
        <v>-6967871</v>
      </c>
      <c r="N24" s="11">
        <f t="shared" si="3"/>
        <v>36481</v>
      </c>
      <c r="O24" s="11">
        <f t="shared" si="3"/>
        <v>-191</v>
      </c>
      <c r="P24" s="11">
        <f t="shared" si="7"/>
        <v>0</v>
      </c>
    </row>
    <row r="25" spans="1:16" x14ac:dyDescent="0.25">
      <c r="A25" s="11">
        <f t="shared" si="6"/>
        <v>-30</v>
      </c>
      <c r="B25">
        <v>-48.127429200241309</v>
      </c>
      <c r="E25" s="11">
        <f>A25-'Mastercurve bestimmen'!$B$2</f>
        <v>-190</v>
      </c>
      <c r="F25" s="11">
        <f t="shared" si="4"/>
        <v>-48.127429200241309</v>
      </c>
      <c r="G25" s="11"/>
      <c r="H25" s="11">
        <f t="shared" si="5"/>
        <v>1.6983563041E+18</v>
      </c>
      <c r="I25" s="11">
        <f t="shared" si="3"/>
        <v>-8938717390000000</v>
      </c>
      <c r="J25" s="11">
        <f t="shared" si="3"/>
        <v>47045881000000</v>
      </c>
      <c r="K25" s="11">
        <f t="shared" si="3"/>
        <v>-247609900000</v>
      </c>
      <c r="L25" s="11">
        <f t="shared" si="3"/>
        <v>1303210000</v>
      </c>
      <c r="M25" s="11">
        <f t="shared" si="3"/>
        <v>-6859000</v>
      </c>
      <c r="N25" s="11">
        <f t="shared" si="3"/>
        <v>36100</v>
      </c>
      <c r="O25" s="11">
        <f t="shared" si="3"/>
        <v>-190</v>
      </c>
      <c r="P25" s="11">
        <f t="shared" si="7"/>
        <v>0</v>
      </c>
    </row>
    <row r="26" spans="1:16" x14ac:dyDescent="0.25">
      <c r="A26" s="11">
        <f t="shared" si="6"/>
        <v>-29</v>
      </c>
      <c r="B26">
        <v>-48.072648501140385</v>
      </c>
      <c r="E26" s="11">
        <f>A26-'Mastercurve bestimmen'!$B$2</f>
        <v>-189</v>
      </c>
      <c r="F26" s="11">
        <f t="shared" si="4"/>
        <v>-48.072648501140385</v>
      </c>
      <c r="G26" s="11"/>
      <c r="H26" s="11">
        <f t="shared" si="5"/>
        <v>1.6281500743352054E+18</v>
      </c>
      <c r="I26" s="11">
        <f t="shared" si="3"/>
        <v>-8614550657858229</v>
      </c>
      <c r="J26" s="11">
        <f t="shared" si="3"/>
        <v>45579633110361</v>
      </c>
      <c r="K26" s="11">
        <f t="shared" si="3"/>
        <v>-241162079949</v>
      </c>
      <c r="L26" s="11">
        <f t="shared" si="3"/>
        <v>1275989841</v>
      </c>
      <c r="M26" s="11">
        <f t="shared" si="3"/>
        <v>-6751269</v>
      </c>
      <c r="N26" s="11">
        <f t="shared" si="3"/>
        <v>35721</v>
      </c>
      <c r="O26" s="11">
        <f t="shared" si="3"/>
        <v>-189</v>
      </c>
      <c r="P26" s="11">
        <f t="shared" si="7"/>
        <v>0</v>
      </c>
    </row>
    <row r="27" spans="1:16" x14ac:dyDescent="0.25">
      <c r="A27" s="11">
        <f t="shared" si="6"/>
        <v>-28</v>
      </c>
      <c r="B27">
        <v>-48.016950118159258</v>
      </c>
      <c r="E27" s="11">
        <f>A27-'Mastercurve bestimmen'!$B$2</f>
        <v>-188</v>
      </c>
      <c r="F27" s="11">
        <f t="shared" si="4"/>
        <v>-48.016950118159258</v>
      </c>
      <c r="G27" s="11"/>
      <c r="H27" s="11">
        <f t="shared" si="5"/>
        <v>1.5604964826651689E+18</v>
      </c>
      <c r="I27" s="11">
        <f t="shared" si="3"/>
        <v>-8300513205665792</v>
      </c>
      <c r="J27" s="11">
        <f t="shared" si="3"/>
        <v>44151665987584</v>
      </c>
      <c r="K27" s="11">
        <f t="shared" si="3"/>
        <v>-234849287168</v>
      </c>
      <c r="L27" s="11">
        <f t="shared" si="3"/>
        <v>1249198336</v>
      </c>
      <c r="M27" s="11">
        <f t="shared" si="3"/>
        <v>-6644672</v>
      </c>
      <c r="N27" s="11">
        <f t="shared" si="3"/>
        <v>35344</v>
      </c>
      <c r="O27" s="11">
        <f t="shared" si="3"/>
        <v>-188</v>
      </c>
      <c r="P27" s="11">
        <f t="shared" si="7"/>
        <v>0</v>
      </c>
    </row>
    <row r="28" spans="1:16" x14ac:dyDescent="0.25">
      <c r="A28" s="11">
        <f t="shared" si="6"/>
        <v>-27</v>
      </c>
      <c r="B28">
        <v>-47.960250625490644</v>
      </c>
      <c r="E28" s="11">
        <f>A28-'Mastercurve bestimmen'!$B$2</f>
        <v>-187</v>
      </c>
      <c r="F28" s="11">
        <f t="shared" si="4"/>
        <v>-47.960250625490644</v>
      </c>
      <c r="G28" s="11"/>
      <c r="H28" s="11">
        <f t="shared" si="5"/>
        <v>1.4953155591801836E+18</v>
      </c>
      <c r="I28" s="11">
        <f t="shared" si="3"/>
        <v>-7996339888664083</v>
      </c>
      <c r="J28" s="11">
        <f t="shared" si="3"/>
        <v>42761175875209</v>
      </c>
      <c r="K28" s="11">
        <f t="shared" si="3"/>
        <v>-228669389707</v>
      </c>
      <c r="L28" s="11">
        <f t="shared" si="3"/>
        <v>1222830961</v>
      </c>
      <c r="M28" s="11">
        <f t="shared" si="3"/>
        <v>-6539203</v>
      </c>
      <c r="N28" s="11">
        <f t="shared" si="3"/>
        <v>34969</v>
      </c>
      <c r="O28" s="11">
        <f t="shared" si="3"/>
        <v>-187</v>
      </c>
      <c r="P28" s="11">
        <f t="shared" si="7"/>
        <v>0</v>
      </c>
    </row>
    <row r="29" spans="1:16" x14ac:dyDescent="0.25">
      <c r="A29" s="11">
        <f t="shared" si="6"/>
        <v>-26</v>
      </c>
      <c r="B29">
        <v>-47.902466597327248</v>
      </c>
      <c r="E29" s="11">
        <f>A29-'Mastercurve bestimmen'!$B$2</f>
        <v>-186</v>
      </c>
      <c r="F29" s="11">
        <f t="shared" si="4"/>
        <v>-47.902466597327248</v>
      </c>
      <c r="G29" s="11"/>
      <c r="H29" s="11">
        <f t="shared" si="5"/>
        <v>1.4325294327425027E+18</v>
      </c>
      <c r="I29" s="11">
        <f t="shared" si="3"/>
        <v>-7701771143776896</v>
      </c>
      <c r="J29" s="11">
        <f t="shared" si="3"/>
        <v>41407371740736</v>
      </c>
      <c r="K29" s="11">
        <f t="shared" si="3"/>
        <v>-222620278176</v>
      </c>
      <c r="L29" s="11">
        <f t="shared" si="3"/>
        <v>1196883216</v>
      </c>
      <c r="M29" s="11">
        <f t="shared" si="3"/>
        <v>-6434856</v>
      </c>
      <c r="N29" s="11">
        <f t="shared" si="3"/>
        <v>34596</v>
      </c>
      <c r="O29" s="11">
        <f t="shared" si="3"/>
        <v>-186</v>
      </c>
      <c r="P29" s="11">
        <f t="shared" si="7"/>
        <v>0</v>
      </c>
    </row>
    <row r="30" spans="1:16" x14ac:dyDescent="0.25">
      <c r="A30" s="11">
        <f t="shared" si="6"/>
        <v>-25</v>
      </c>
      <c r="B30">
        <v>-47.843514607861771</v>
      </c>
      <c r="E30" s="11">
        <f>A30-'Mastercurve bestimmen'!$B$2</f>
        <v>-185</v>
      </c>
      <c r="F30" s="11">
        <f t="shared" si="4"/>
        <v>-47.843514607861771</v>
      </c>
      <c r="G30" s="11"/>
      <c r="H30" s="11">
        <f t="shared" si="5"/>
        <v>1.3720622866878907E+18</v>
      </c>
      <c r="I30" s="11">
        <f t="shared" si="3"/>
        <v>-7416552901015625</v>
      </c>
      <c r="J30" s="11">
        <f t="shared" si="3"/>
        <v>40089475140625</v>
      </c>
      <c r="K30" s="11">
        <f t="shared" si="3"/>
        <v>-216699865625</v>
      </c>
      <c r="L30" s="11">
        <f t="shared" si="3"/>
        <v>1171350625</v>
      </c>
      <c r="M30" s="11">
        <f t="shared" si="3"/>
        <v>-6331625</v>
      </c>
      <c r="N30" s="11">
        <f t="shared" si="3"/>
        <v>34225</v>
      </c>
      <c r="O30" s="11">
        <f t="shared" si="3"/>
        <v>-185</v>
      </c>
      <c r="P30" s="11">
        <f t="shared" si="7"/>
        <v>0</v>
      </c>
    </row>
    <row r="31" spans="1:16" x14ac:dyDescent="0.25">
      <c r="A31" s="11">
        <f t="shared" si="6"/>
        <v>-24</v>
      </c>
      <c r="B31">
        <v>-47.78331123128693</v>
      </c>
      <c r="E31" s="11">
        <f>A31-'Mastercurve bestimmen'!$B$2</f>
        <v>-184</v>
      </c>
      <c r="F31" s="11">
        <f t="shared" si="4"/>
        <v>-47.78331123128693</v>
      </c>
      <c r="G31" s="11"/>
      <c r="H31" s="11">
        <f t="shared" si="5"/>
        <v>1.3138403152321577E+18</v>
      </c>
      <c r="I31" s="11">
        <f t="shared" si="5"/>
        <v>-7140436495826944</v>
      </c>
      <c r="J31" s="11">
        <f t="shared" si="5"/>
        <v>38806720086016</v>
      </c>
      <c r="K31" s="11">
        <f t="shared" si="5"/>
        <v>-210906087424</v>
      </c>
      <c r="L31" s="11">
        <f t="shared" si="5"/>
        <v>1146228736</v>
      </c>
      <c r="M31" s="11">
        <f t="shared" si="5"/>
        <v>-6229504</v>
      </c>
      <c r="N31" s="11">
        <f t="shared" si="5"/>
        <v>33856</v>
      </c>
      <c r="O31" s="11">
        <f t="shared" si="5"/>
        <v>-184</v>
      </c>
      <c r="P31" s="11">
        <f t="shared" si="7"/>
        <v>0</v>
      </c>
    </row>
    <row r="32" spans="1:16" x14ac:dyDescent="0.25">
      <c r="A32" s="11">
        <f t="shared" si="6"/>
        <v>-23</v>
      </c>
      <c r="B32">
        <v>-47.72177304179543</v>
      </c>
      <c r="E32" s="11">
        <f>A32-'Mastercurve bestimmen'!$B$2</f>
        <v>-183</v>
      </c>
      <c r="F32" s="11">
        <f t="shared" si="4"/>
        <v>-47.72177304179543</v>
      </c>
      <c r="G32" s="11"/>
      <c r="H32" s="11">
        <f t="shared" si="5"/>
        <v>1.2577916805751606E+18</v>
      </c>
      <c r="I32" s="11">
        <f t="shared" si="5"/>
        <v>-6873178582377927</v>
      </c>
      <c r="J32" s="11">
        <f t="shared" si="5"/>
        <v>37558352909169</v>
      </c>
      <c r="K32" s="11">
        <f t="shared" si="5"/>
        <v>-205236901143</v>
      </c>
      <c r="L32" s="11">
        <f t="shared" si="5"/>
        <v>1121513121</v>
      </c>
      <c r="M32" s="11">
        <f t="shared" si="5"/>
        <v>-6128487</v>
      </c>
      <c r="N32" s="11">
        <f t="shared" si="5"/>
        <v>33489</v>
      </c>
      <c r="O32" s="11">
        <f t="shared" si="5"/>
        <v>-183</v>
      </c>
      <c r="P32" s="11">
        <f t="shared" si="7"/>
        <v>0</v>
      </c>
    </row>
    <row r="33" spans="1:16" x14ac:dyDescent="0.25">
      <c r="A33" s="11">
        <f t="shared" si="6"/>
        <v>-22</v>
      </c>
      <c r="B33">
        <v>-47.658816613579987</v>
      </c>
      <c r="E33" s="11">
        <f>A33-'Mastercurve bestimmen'!$B$2</f>
        <v>-182</v>
      </c>
      <c r="F33" s="11">
        <f t="shared" si="4"/>
        <v>-47.658816613579987</v>
      </c>
      <c r="G33" s="11"/>
      <c r="H33" s="11">
        <f t="shared" si="5"/>
        <v>1.2038464706947894E+18</v>
      </c>
      <c r="I33" s="11">
        <f t="shared" si="5"/>
        <v>-6614541047773568</v>
      </c>
      <c r="J33" s="11">
        <f t="shared" si="5"/>
        <v>36343632130624</v>
      </c>
      <c r="K33" s="11">
        <f t="shared" si="5"/>
        <v>-199690286432</v>
      </c>
      <c r="L33" s="11">
        <f t="shared" si="5"/>
        <v>1097199376</v>
      </c>
      <c r="M33" s="11">
        <f t="shared" si="5"/>
        <v>-6028568</v>
      </c>
      <c r="N33" s="11">
        <f t="shared" si="5"/>
        <v>33124</v>
      </c>
      <c r="O33" s="11">
        <f t="shared" si="5"/>
        <v>-182</v>
      </c>
      <c r="P33" s="11">
        <f t="shared" si="7"/>
        <v>0</v>
      </c>
    </row>
    <row r="34" spans="1:16" x14ac:dyDescent="0.25">
      <c r="A34" s="11">
        <f t="shared" si="6"/>
        <v>-21</v>
      </c>
      <c r="B34">
        <v>-47.594358520833303</v>
      </c>
      <c r="E34" s="11">
        <f>A34-'Mastercurve bestimmen'!$B$2</f>
        <v>-181</v>
      </c>
      <c r="F34" s="11">
        <f t="shared" si="4"/>
        <v>-47.594358520833303</v>
      </c>
      <c r="G34" s="11"/>
      <c r="H34" s="11">
        <f t="shared" si="5"/>
        <v>1.1519366578235007E+18</v>
      </c>
      <c r="I34" s="11">
        <f t="shared" si="5"/>
        <v>-6364290927201661</v>
      </c>
      <c r="J34" s="11">
        <f t="shared" si="5"/>
        <v>35161828327081</v>
      </c>
      <c r="K34" s="11">
        <f t="shared" si="5"/>
        <v>-194264244901</v>
      </c>
      <c r="L34" s="11">
        <f t="shared" si="5"/>
        <v>1073283121</v>
      </c>
      <c r="M34" s="11">
        <f t="shared" si="5"/>
        <v>-5929741</v>
      </c>
      <c r="N34" s="11">
        <f t="shared" si="5"/>
        <v>32761</v>
      </c>
      <c r="O34" s="11">
        <f t="shared" si="5"/>
        <v>-181</v>
      </c>
      <c r="P34" s="11">
        <f t="shared" si="7"/>
        <v>0</v>
      </c>
    </row>
    <row r="35" spans="1:16" x14ac:dyDescent="0.25">
      <c r="A35" s="11">
        <f t="shared" si="6"/>
        <v>-20</v>
      </c>
      <c r="B35">
        <v>-47.52831533774809</v>
      </c>
      <c r="E35" s="11">
        <f>A35-'Mastercurve bestimmen'!$B$2</f>
        <v>-180</v>
      </c>
      <c r="F35" s="11">
        <f t="shared" si="4"/>
        <v>-47.52831533774809</v>
      </c>
      <c r="G35" s="11"/>
      <c r="H35" s="11">
        <f t="shared" si="5"/>
        <v>1.1019960576E+18</v>
      </c>
      <c r="I35" s="11">
        <f t="shared" si="5"/>
        <v>-6122200320000000</v>
      </c>
      <c r="J35" s="11">
        <f t="shared" si="5"/>
        <v>34012224000000</v>
      </c>
      <c r="K35" s="11">
        <f t="shared" si="5"/>
        <v>-188956800000</v>
      </c>
      <c r="L35" s="11">
        <f t="shared" si="5"/>
        <v>1049760000</v>
      </c>
      <c r="M35" s="11">
        <f t="shared" si="5"/>
        <v>-5832000</v>
      </c>
      <c r="N35" s="11">
        <f t="shared" si="5"/>
        <v>32400</v>
      </c>
      <c r="O35" s="11">
        <f t="shared" si="5"/>
        <v>-180</v>
      </c>
      <c r="P35" s="11">
        <f t="shared" si="7"/>
        <v>0</v>
      </c>
    </row>
    <row r="36" spans="1:16" x14ac:dyDescent="0.25">
      <c r="A36" s="11">
        <f t="shared" si="6"/>
        <v>-19</v>
      </c>
      <c r="B36">
        <v>-47.460603638517057</v>
      </c>
      <c r="E36" s="11">
        <f>A36-'Mastercurve bestimmen'!$B$2</f>
        <v>-179</v>
      </c>
      <c r="F36" s="11">
        <f t="shared" si="4"/>
        <v>-47.460603638517057</v>
      </c>
      <c r="G36" s="11"/>
      <c r="H36" s="11">
        <f t="shared" si="5"/>
        <v>1.0539602888887137E+18</v>
      </c>
      <c r="I36" s="11">
        <f t="shared" si="5"/>
        <v>-5888046306640859</v>
      </c>
      <c r="J36" s="11">
        <f t="shared" si="5"/>
        <v>32894113444921</v>
      </c>
      <c r="K36" s="11">
        <f t="shared" si="5"/>
        <v>-183765996899</v>
      </c>
      <c r="L36" s="11">
        <f t="shared" si="5"/>
        <v>1026625681</v>
      </c>
      <c r="M36" s="11">
        <f t="shared" si="5"/>
        <v>-5735339</v>
      </c>
      <c r="N36" s="11">
        <f t="shared" si="5"/>
        <v>32041</v>
      </c>
      <c r="O36" s="11">
        <f t="shared" si="5"/>
        <v>-179</v>
      </c>
      <c r="P36" s="11">
        <f t="shared" si="7"/>
        <v>0</v>
      </c>
    </row>
    <row r="37" spans="1:16" x14ac:dyDescent="0.25">
      <c r="A37" s="11">
        <f t="shared" si="6"/>
        <v>-18</v>
      </c>
      <c r="B37">
        <v>-47.391139997332914</v>
      </c>
      <c r="E37" s="11">
        <f>A37-'Mastercurve bestimmen'!$B$2</f>
        <v>-178</v>
      </c>
      <c r="F37" s="11">
        <f t="shared" si="4"/>
        <v>-47.391139997332914</v>
      </c>
      <c r="G37" s="11"/>
      <c r="H37" s="11">
        <f t="shared" si="5"/>
        <v>1.0077667342597327E+18</v>
      </c>
      <c r="I37" s="11">
        <f t="shared" si="5"/>
        <v>-5661610866627712</v>
      </c>
      <c r="J37" s="11">
        <f t="shared" si="5"/>
        <v>31806802621504</v>
      </c>
      <c r="K37" s="11">
        <f t="shared" si="5"/>
        <v>-178689902368</v>
      </c>
      <c r="L37" s="11">
        <f t="shared" si="5"/>
        <v>1003875856</v>
      </c>
      <c r="M37" s="11">
        <f t="shared" si="5"/>
        <v>-5639752</v>
      </c>
      <c r="N37" s="11">
        <f t="shared" si="5"/>
        <v>31684</v>
      </c>
      <c r="O37" s="11">
        <f t="shared" si="5"/>
        <v>-178</v>
      </c>
      <c r="P37" s="11">
        <f t="shared" si="7"/>
        <v>0</v>
      </c>
    </row>
    <row r="38" spans="1:16" x14ac:dyDescent="0.25">
      <c r="A38" s="11">
        <f t="shared" si="6"/>
        <v>-17</v>
      </c>
      <c r="B38">
        <v>-47.319840988388364</v>
      </c>
      <c r="E38" s="11">
        <f>A38-'Mastercurve bestimmen'!$B$2</f>
        <v>-177</v>
      </c>
      <c r="F38" s="11">
        <f t="shared" si="4"/>
        <v>-47.319840988388364</v>
      </c>
      <c r="G38" s="11"/>
      <c r="H38" s="11">
        <f t="shared" si="5"/>
        <v>9.6335450112195008E+17</v>
      </c>
      <c r="I38" s="11">
        <f t="shared" si="5"/>
        <v>-5442680797299153</v>
      </c>
      <c r="J38" s="11">
        <f t="shared" si="5"/>
        <v>30749609024289</v>
      </c>
      <c r="K38" s="11">
        <f t="shared" si="5"/>
        <v>-173726604657</v>
      </c>
      <c r="L38" s="11">
        <f t="shared" si="5"/>
        <v>981506241</v>
      </c>
      <c r="M38" s="11">
        <f t="shared" si="5"/>
        <v>-5545233</v>
      </c>
      <c r="N38" s="11">
        <f t="shared" si="5"/>
        <v>31329</v>
      </c>
      <c r="O38" s="11">
        <f t="shared" si="5"/>
        <v>-177</v>
      </c>
      <c r="P38" s="11">
        <f t="shared" si="7"/>
        <v>0</v>
      </c>
    </row>
    <row r="39" spans="1:16" x14ac:dyDescent="0.25">
      <c r="A39" s="11">
        <f t="shared" si="6"/>
        <v>-16</v>
      </c>
      <c r="B39">
        <v>-47.246623185876125</v>
      </c>
      <c r="E39" s="11">
        <f>A39-'Mastercurve bestimmen'!$B$2</f>
        <v>-176</v>
      </c>
      <c r="F39" s="11">
        <f t="shared" si="4"/>
        <v>-47.246623185876125</v>
      </c>
      <c r="G39" s="11"/>
      <c r="H39" s="11">
        <f t="shared" si="5"/>
        <v>9.2066438350215578E+17</v>
      </c>
      <c r="I39" s="11">
        <f t="shared" si="5"/>
        <v>-5231047633534976</v>
      </c>
      <c r="J39" s="11">
        <f t="shared" si="5"/>
        <v>29721861554176</v>
      </c>
      <c r="K39" s="11">
        <f t="shared" si="5"/>
        <v>-168874213376</v>
      </c>
      <c r="L39" s="11">
        <f t="shared" si="5"/>
        <v>959512576</v>
      </c>
      <c r="M39" s="11">
        <f t="shared" si="5"/>
        <v>-5451776</v>
      </c>
      <c r="N39" s="11">
        <f t="shared" si="5"/>
        <v>30976</v>
      </c>
      <c r="O39" s="11">
        <f t="shared" si="5"/>
        <v>-176</v>
      </c>
      <c r="P39" s="11">
        <f t="shared" si="7"/>
        <v>0</v>
      </c>
    </row>
    <row r="40" spans="1:16" x14ac:dyDescent="0.25">
      <c r="A40" s="11">
        <f t="shared" si="6"/>
        <v>-15</v>
      </c>
      <c r="B40">
        <v>-47.171403163988899</v>
      </c>
      <c r="E40" s="11">
        <f>A40-'Mastercurve bestimmen'!$B$2</f>
        <v>-175</v>
      </c>
      <c r="F40" s="11">
        <f t="shared" si="4"/>
        <v>-47.171403163988899</v>
      </c>
      <c r="G40" s="11"/>
      <c r="H40" s="11">
        <f t="shared" si="5"/>
        <v>8.7963882446289062E+17</v>
      </c>
      <c r="I40" s="11">
        <f t="shared" si="5"/>
        <v>-5026507568359375</v>
      </c>
      <c r="J40" s="11">
        <f t="shared" si="5"/>
        <v>28722900390625</v>
      </c>
      <c r="K40" s="11">
        <f t="shared" si="5"/>
        <v>-164130859375</v>
      </c>
      <c r="L40" s="11">
        <f t="shared" si="5"/>
        <v>937890625</v>
      </c>
      <c r="M40" s="11">
        <f t="shared" si="5"/>
        <v>-5359375</v>
      </c>
      <c r="N40" s="11">
        <f t="shared" si="5"/>
        <v>30625</v>
      </c>
      <c r="O40" s="11">
        <f t="shared" si="5"/>
        <v>-175</v>
      </c>
      <c r="P40" s="11">
        <f t="shared" si="7"/>
        <v>0</v>
      </c>
    </row>
    <row r="41" spans="1:16" x14ac:dyDescent="0.25">
      <c r="A41" s="11">
        <f t="shared" si="6"/>
        <v>-14</v>
      </c>
      <c r="B41">
        <v>-47.094097496919396</v>
      </c>
      <c r="E41" s="11">
        <f>A41-'Mastercurve bestimmen'!$B$2</f>
        <v>-174</v>
      </c>
      <c r="F41" s="11">
        <f t="shared" si="4"/>
        <v>-47.094097496919396</v>
      </c>
      <c r="G41" s="11"/>
      <c r="H41" s="11">
        <f t="shared" si="5"/>
        <v>8.4022187915190298E+17</v>
      </c>
      <c r="I41" s="11">
        <f t="shared" si="5"/>
        <v>-4828861374436224</v>
      </c>
      <c r="J41" s="11">
        <f t="shared" si="5"/>
        <v>27752076864576</v>
      </c>
      <c r="K41" s="11">
        <f t="shared" si="5"/>
        <v>-159494694624</v>
      </c>
      <c r="L41" s="11">
        <f t="shared" si="5"/>
        <v>916636176</v>
      </c>
      <c r="M41" s="11">
        <f t="shared" si="5"/>
        <v>-5268024</v>
      </c>
      <c r="N41" s="11">
        <f t="shared" si="5"/>
        <v>30276</v>
      </c>
      <c r="O41" s="11">
        <f t="shared" si="5"/>
        <v>-174</v>
      </c>
      <c r="P41" s="11">
        <f t="shared" si="7"/>
        <v>0</v>
      </c>
    </row>
    <row r="42" spans="1:16" x14ac:dyDescent="0.25">
      <c r="A42" s="11">
        <f t="shared" si="6"/>
        <v>-13</v>
      </c>
      <c r="B42">
        <v>-47.014622758860334</v>
      </c>
      <c r="E42" s="11">
        <f>A42-'Mastercurve bestimmen'!$B$2</f>
        <v>-173</v>
      </c>
      <c r="F42" s="11">
        <f t="shared" si="4"/>
        <v>-47.014622758860334</v>
      </c>
      <c r="G42" s="11"/>
      <c r="H42" s="11">
        <f t="shared" si="5"/>
        <v>8.0235917847609165E+17</v>
      </c>
      <c r="I42" s="11">
        <f t="shared" si="5"/>
        <v>-4637914326451397</v>
      </c>
      <c r="J42" s="11">
        <f t="shared" si="5"/>
        <v>26808753332089</v>
      </c>
      <c r="K42" s="11">
        <f t="shared" si="5"/>
        <v>-154963892093</v>
      </c>
      <c r="L42" s="11">
        <f t="shared" si="5"/>
        <v>895745041</v>
      </c>
      <c r="M42" s="11">
        <f t="shared" si="5"/>
        <v>-5177717</v>
      </c>
      <c r="N42" s="11">
        <f t="shared" si="5"/>
        <v>29929</v>
      </c>
      <c r="O42" s="11">
        <f t="shared" si="5"/>
        <v>-173</v>
      </c>
      <c r="P42" s="11">
        <f t="shared" si="7"/>
        <v>0</v>
      </c>
    </row>
    <row r="43" spans="1:16" x14ac:dyDescent="0.25">
      <c r="A43" s="11">
        <f t="shared" si="6"/>
        <v>-12</v>
      </c>
      <c r="B43">
        <v>-46.932895524004408</v>
      </c>
      <c r="E43" s="11">
        <f>A43-'Mastercurve bestimmen'!$B$2</f>
        <v>-172</v>
      </c>
      <c r="F43" s="11">
        <f t="shared" si="4"/>
        <v>-46.932895524004408</v>
      </c>
      <c r="G43" s="11"/>
      <c r="H43" s="11">
        <f t="shared" si="5"/>
        <v>7.6599789339285914E+17</v>
      </c>
      <c r="I43" s="11">
        <f t="shared" si="5"/>
        <v>-4453476124377088</v>
      </c>
      <c r="J43" s="11">
        <f t="shared" si="5"/>
        <v>25892303048704</v>
      </c>
      <c r="K43" s="11">
        <f t="shared" si="5"/>
        <v>-150536645632</v>
      </c>
      <c r="L43" s="11">
        <f t="shared" si="5"/>
        <v>875213056</v>
      </c>
      <c r="M43" s="11">
        <f t="shared" si="5"/>
        <v>-5088448</v>
      </c>
      <c r="N43" s="11">
        <f t="shared" si="5"/>
        <v>29584</v>
      </c>
      <c r="O43" s="11">
        <f t="shared" si="5"/>
        <v>-172</v>
      </c>
      <c r="P43" s="11">
        <f t="shared" si="7"/>
        <v>0</v>
      </c>
    </row>
    <row r="44" spans="1:16" x14ac:dyDescent="0.25">
      <c r="A44" s="11">
        <f t="shared" si="6"/>
        <v>-11</v>
      </c>
      <c r="B44">
        <v>-46.848832366544329</v>
      </c>
      <c r="E44" s="11">
        <f>A44-'Mastercurve bestimmen'!$B$2</f>
        <v>-171</v>
      </c>
      <c r="F44" s="11">
        <f t="shared" si="4"/>
        <v>-46.848832366544329</v>
      </c>
      <c r="G44" s="11"/>
      <c r="H44" s="11">
        <f t="shared" si="5"/>
        <v>7.3108669981183859E+17</v>
      </c>
      <c r="I44" s="11">
        <f t="shared" si="5"/>
        <v>-4275360817613091</v>
      </c>
      <c r="J44" s="11">
        <f t="shared" si="5"/>
        <v>25002110044521</v>
      </c>
      <c r="K44" s="11">
        <f t="shared" si="5"/>
        <v>-146211169851</v>
      </c>
      <c r="L44" s="11">
        <f t="shared" si="5"/>
        <v>855036081</v>
      </c>
      <c r="M44" s="11">
        <f t="shared" si="5"/>
        <v>-5000211</v>
      </c>
      <c r="N44" s="11">
        <f t="shared" si="5"/>
        <v>29241</v>
      </c>
      <c r="O44" s="11">
        <f t="shared" si="5"/>
        <v>-171</v>
      </c>
      <c r="P44" s="11">
        <f t="shared" si="7"/>
        <v>0</v>
      </c>
    </row>
    <row r="45" spans="1:16" x14ac:dyDescent="0.25">
      <c r="A45" s="11">
        <f t="shared" si="6"/>
        <v>-10</v>
      </c>
      <c r="B45">
        <v>-46.762349860672821</v>
      </c>
      <c r="E45" s="11">
        <f>A45-'Mastercurve bestimmen'!$B$2</f>
        <v>-170</v>
      </c>
      <c r="F45" s="11">
        <f t="shared" si="4"/>
        <v>-46.762349860672821</v>
      </c>
      <c r="G45" s="11"/>
      <c r="H45" s="11">
        <f t="shared" si="5"/>
        <v>6.975757441E+17</v>
      </c>
      <c r="I45" s="11">
        <f t="shared" si="5"/>
        <v>-4103386730000000</v>
      </c>
      <c r="J45" s="11">
        <f t="shared" si="5"/>
        <v>24137569000000</v>
      </c>
      <c r="K45" s="11">
        <f t="shared" si="5"/>
        <v>-141985700000</v>
      </c>
      <c r="L45" s="11">
        <f t="shared" si="5"/>
        <v>835210000</v>
      </c>
      <c r="M45" s="11">
        <f t="shared" si="5"/>
        <v>-4913000</v>
      </c>
      <c r="N45" s="11">
        <f t="shared" si="5"/>
        <v>28900</v>
      </c>
      <c r="O45" s="11">
        <f t="shared" si="5"/>
        <v>-170</v>
      </c>
      <c r="P45" s="11">
        <f t="shared" si="7"/>
        <v>0</v>
      </c>
    </row>
    <row r="46" spans="1:16" x14ac:dyDescent="0.25">
      <c r="A46" s="11">
        <f t="shared" si="6"/>
        <v>-9</v>
      </c>
      <c r="B46">
        <v>-46.673364580582572</v>
      </c>
      <c r="E46" s="11">
        <f>A46-'Mastercurve bestimmen'!$B$2</f>
        <v>-169</v>
      </c>
      <c r="F46" s="11">
        <f t="shared" si="4"/>
        <v>-46.673364580582572</v>
      </c>
      <c r="G46" s="11"/>
      <c r="H46" s="11">
        <f t="shared" si="5"/>
        <v>6.654166091831799E+17</v>
      </c>
      <c r="I46" s="11">
        <f t="shared" si="5"/>
        <v>-3937376385699289</v>
      </c>
      <c r="J46" s="11">
        <f t="shared" si="5"/>
        <v>23298085122481</v>
      </c>
      <c r="K46" s="11">
        <f t="shared" si="5"/>
        <v>-137858491849</v>
      </c>
      <c r="L46" s="11">
        <f t="shared" si="5"/>
        <v>815730721</v>
      </c>
      <c r="M46" s="11">
        <f t="shared" si="5"/>
        <v>-4826809</v>
      </c>
      <c r="N46" s="11">
        <f t="shared" si="5"/>
        <v>28561</v>
      </c>
      <c r="O46" s="11">
        <f t="shared" si="5"/>
        <v>-169</v>
      </c>
      <c r="P46" s="11">
        <f t="shared" si="7"/>
        <v>0</v>
      </c>
    </row>
    <row r="47" spans="1:16" x14ac:dyDescent="0.25">
      <c r="A47" s="11">
        <f t="shared" si="6"/>
        <v>-8</v>
      </c>
      <c r="B47">
        <v>-46.581793100466307</v>
      </c>
      <c r="E47" s="11">
        <f>A47-'Mastercurve bestimmen'!$B$2</f>
        <v>-168</v>
      </c>
      <c r="F47" s="11">
        <f t="shared" si="4"/>
        <v>-46.581793100466307</v>
      </c>
      <c r="G47" s="11"/>
      <c r="H47" s="11">
        <f t="shared" si="5"/>
        <v>6.3456228123711898E+17</v>
      </c>
      <c r="I47" s="11">
        <f t="shared" si="5"/>
        <v>-3777156435935232</v>
      </c>
      <c r="J47" s="11">
        <f t="shared" si="5"/>
        <v>22483074023424</v>
      </c>
      <c r="K47" s="11">
        <f t="shared" si="5"/>
        <v>-133827821568</v>
      </c>
      <c r="L47" s="11">
        <f t="shared" si="5"/>
        <v>796594176</v>
      </c>
      <c r="M47" s="11">
        <f t="shared" si="5"/>
        <v>-4741632</v>
      </c>
      <c r="N47" s="11">
        <f t="shared" si="5"/>
        <v>28224</v>
      </c>
      <c r="O47" s="11">
        <f t="shared" si="5"/>
        <v>-168</v>
      </c>
      <c r="P47" s="11">
        <f t="shared" si="7"/>
        <v>0</v>
      </c>
    </row>
    <row r="48" spans="1:16" x14ac:dyDescent="0.25">
      <c r="A48" s="11">
        <f t="shared" si="6"/>
        <v>-7</v>
      </c>
      <c r="B48">
        <v>-46.487551994516728</v>
      </c>
      <c r="E48" s="11">
        <f>A48-'Mastercurve bestimmen'!$B$2</f>
        <v>-167</v>
      </c>
      <c r="F48" s="11">
        <f t="shared" si="4"/>
        <v>-46.487551994516728</v>
      </c>
      <c r="G48" s="11"/>
      <c r="H48" s="11">
        <f t="shared" ref="H48:O79" si="8">IF($H$12&gt;=H$14,$E48^H$14,0)</f>
        <v>6.049671169611351E+17</v>
      </c>
      <c r="I48" s="11">
        <f t="shared" si="8"/>
        <v>-3622557586593623</v>
      </c>
      <c r="J48" s="11">
        <f t="shared" si="8"/>
        <v>21691961596369</v>
      </c>
      <c r="K48" s="11">
        <f t="shared" si="8"/>
        <v>-129891985607</v>
      </c>
      <c r="L48" s="11">
        <f t="shared" si="8"/>
        <v>777796321</v>
      </c>
      <c r="M48" s="11">
        <f t="shared" si="8"/>
        <v>-4657463</v>
      </c>
      <c r="N48" s="11">
        <f t="shared" si="8"/>
        <v>27889</v>
      </c>
      <c r="O48" s="11">
        <f t="shared" si="8"/>
        <v>-167</v>
      </c>
      <c r="P48" s="11">
        <f t="shared" si="7"/>
        <v>0</v>
      </c>
    </row>
    <row r="49" spans="1:16" x14ac:dyDescent="0.25">
      <c r="A49" s="11">
        <f t="shared" si="6"/>
        <v>-6</v>
      </c>
      <c r="B49">
        <v>-46.39055783692654</v>
      </c>
      <c r="E49" s="11">
        <f>A49-'Mastercurve bestimmen'!$B$2</f>
        <v>-166</v>
      </c>
      <c r="F49" s="11">
        <f t="shared" si="4"/>
        <v>-46.39055783692654</v>
      </c>
      <c r="G49" s="11"/>
      <c r="H49" s="11">
        <f t="shared" si="8"/>
        <v>5.765868114275945E+17</v>
      </c>
      <c r="I49" s="11">
        <f t="shared" si="8"/>
        <v>-3473414526672256</v>
      </c>
      <c r="J49" s="11">
        <f t="shared" si="8"/>
        <v>20924183895616</v>
      </c>
      <c r="K49" s="11">
        <f t="shared" si="8"/>
        <v>-126049300576</v>
      </c>
      <c r="L49" s="11">
        <f t="shared" si="8"/>
        <v>759333136</v>
      </c>
      <c r="M49" s="11">
        <f t="shared" si="8"/>
        <v>-4574296</v>
      </c>
      <c r="N49" s="11">
        <f t="shared" si="8"/>
        <v>27556</v>
      </c>
      <c r="O49" s="11">
        <f t="shared" si="8"/>
        <v>-166</v>
      </c>
      <c r="P49" s="11">
        <f t="shared" si="7"/>
        <v>0</v>
      </c>
    </row>
    <row r="50" spans="1:16" x14ac:dyDescent="0.25">
      <c r="A50" s="11">
        <f t="shared" si="6"/>
        <v>-5</v>
      </c>
      <c r="B50">
        <v>-46.290727201888465</v>
      </c>
      <c r="E50" s="11">
        <f>A50-'Mastercurve bestimmen'!$B$2</f>
        <v>-165</v>
      </c>
      <c r="F50" s="11">
        <f t="shared" si="4"/>
        <v>-46.290727201888465</v>
      </c>
      <c r="G50" s="11"/>
      <c r="H50" s="11">
        <f t="shared" si="8"/>
        <v>5.4937836650039066E+17</v>
      </c>
      <c r="I50" s="11">
        <f t="shared" si="8"/>
        <v>-3329565857578125</v>
      </c>
      <c r="J50" s="11">
        <f t="shared" si="8"/>
        <v>20179187015625</v>
      </c>
      <c r="K50" s="11">
        <f t="shared" si="8"/>
        <v>-122298103125</v>
      </c>
      <c r="L50" s="11">
        <f t="shared" si="8"/>
        <v>741200625</v>
      </c>
      <c r="M50" s="11">
        <f t="shared" si="8"/>
        <v>-4492125</v>
      </c>
      <c r="N50" s="11">
        <f t="shared" si="8"/>
        <v>27225</v>
      </c>
      <c r="O50" s="11">
        <f t="shared" si="8"/>
        <v>-165</v>
      </c>
      <c r="P50" s="11">
        <f t="shared" si="7"/>
        <v>0</v>
      </c>
    </row>
    <row r="51" spans="1:16" x14ac:dyDescent="0.25">
      <c r="A51" s="11">
        <f t="shared" si="6"/>
        <v>-4</v>
      </c>
      <c r="B51">
        <v>-46.187976663595201</v>
      </c>
      <c r="E51" s="11">
        <f>A51-'Mastercurve bestimmen'!$B$2</f>
        <v>-164</v>
      </c>
      <c r="F51" s="11">
        <f t="shared" si="4"/>
        <v>-46.187976663595201</v>
      </c>
      <c r="G51" s="11"/>
      <c r="H51" s="11">
        <f t="shared" si="8"/>
        <v>5.2330005981567386E+17</v>
      </c>
      <c r="I51" s="11">
        <f t="shared" si="8"/>
        <v>-3190854023266304</v>
      </c>
      <c r="J51" s="11">
        <f t="shared" si="8"/>
        <v>19456426971136</v>
      </c>
      <c r="K51" s="11">
        <f t="shared" si="8"/>
        <v>-118636749824</v>
      </c>
      <c r="L51" s="11">
        <f t="shared" si="8"/>
        <v>723394816</v>
      </c>
      <c r="M51" s="11">
        <f t="shared" si="8"/>
        <v>-4410944</v>
      </c>
      <c r="N51" s="11">
        <f t="shared" si="8"/>
        <v>26896</v>
      </c>
      <c r="O51" s="11">
        <f t="shared" si="8"/>
        <v>-164</v>
      </c>
      <c r="P51" s="11">
        <f t="shared" si="7"/>
        <v>0</v>
      </c>
    </row>
    <row r="52" spans="1:16" x14ac:dyDescent="0.25">
      <c r="A52" s="11">
        <f t="shared" si="6"/>
        <v>-3</v>
      </c>
      <c r="B52">
        <v>-46.082222796239463</v>
      </c>
      <c r="E52" s="11">
        <f>A52-'Mastercurve bestimmen'!$B$2</f>
        <v>-163</v>
      </c>
      <c r="F52" s="11">
        <f t="shared" si="4"/>
        <v>-46.082222796239463</v>
      </c>
      <c r="G52" s="11"/>
      <c r="H52" s="11">
        <f t="shared" si="8"/>
        <v>4.9831141431812115E+17</v>
      </c>
      <c r="I52" s="11">
        <f t="shared" si="8"/>
        <v>-3057125241215467</v>
      </c>
      <c r="J52" s="11">
        <f t="shared" si="8"/>
        <v>18755369578009</v>
      </c>
      <c r="K52" s="11">
        <f t="shared" si="8"/>
        <v>-115063617043</v>
      </c>
      <c r="L52" s="11">
        <f t="shared" si="8"/>
        <v>705911761</v>
      </c>
      <c r="M52" s="11">
        <f t="shared" si="8"/>
        <v>-4330747</v>
      </c>
      <c r="N52" s="11">
        <f t="shared" si="8"/>
        <v>26569</v>
      </c>
      <c r="O52" s="11">
        <f t="shared" si="8"/>
        <v>-163</v>
      </c>
      <c r="P52" s="11">
        <f t="shared" si="7"/>
        <v>0</v>
      </c>
    </row>
    <row r="53" spans="1:16" x14ac:dyDescent="0.25">
      <c r="A53" s="11">
        <f t="shared" si="6"/>
        <v>-2</v>
      </c>
      <c r="B53">
        <v>-45.973382174013949</v>
      </c>
      <c r="E53" s="11">
        <f>A53-'Mastercurve bestimmen'!$B$2</f>
        <v>-162</v>
      </c>
      <c r="F53" s="11">
        <f t="shared" si="4"/>
        <v>-45.973382174013949</v>
      </c>
      <c r="G53" s="11"/>
      <c r="H53" s="11">
        <f t="shared" si="8"/>
        <v>4.743731683460713E+17</v>
      </c>
      <c r="I53" s="11">
        <f t="shared" si="8"/>
        <v>-2928229434235008</v>
      </c>
      <c r="J53" s="11">
        <f t="shared" si="8"/>
        <v>18075490334784</v>
      </c>
      <c r="K53" s="11">
        <f t="shared" si="8"/>
        <v>-111577100832</v>
      </c>
      <c r="L53" s="11">
        <f t="shared" si="8"/>
        <v>688747536</v>
      </c>
      <c r="M53" s="11">
        <f t="shared" si="8"/>
        <v>-4251528</v>
      </c>
      <c r="N53" s="11">
        <f t="shared" si="8"/>
        <v>26244</v>
      </c>
      <c r="O53" s="11">
        <f t="shared" si="8"/>
        <v>-162</v>
      </c>
      <c r="P53" s="11">
        <f t="shared" si="7"/>
        <v>0</v>
      </c>
    </row>
    <row r="54" spans="1:16" x14ac:dyDescent="0.25">
      <c r="A54" s="11">
        <f t="shared" si="6"/>
        <v>-1</v>
      </c>
      <c r="B54">
        <v>-45.861371371111389</v>
      </c>
      <c r="E54" s="11">
        <f>A54-'Mastercurve bestimmen'!$B$2</f>
        <v>-161</v>
      </c>
      <c r="F54" s="11">
        <f t="shared" si="4"/>
        <v>-45.861371371111389</v>
      </c>
      <c r="G54" s="11"/>
      <c r="H54" s="11">
        <f t="shared" si="8"/>
        <v>4.5144724625889408E+17</v>
      </c>
      <c r="I54" s="11">
        <f t="shared" si="8"/>
        <v>-2804020163098721</v>
      </c>
      <c r="J54" s="11">
        <f t="shared" si="8"/>
        <v>17416274304961</v>
      </c>
      <c r="K54" s="11">
        <f t="shared" si="8"/>
        <v>-108175616801</v>
      </c>
      <c r="L54" s="11">
        <f t="shared" si="8"/>
        <v>671898241</v>
      </c>
      <c r="M54" s="11">
        <f t="shared" si="8"/>
        <v>-4173281</v>
      </c>
      <c r="N54" s="11">
        <f t="shared" si="8"/>
        <v>25921</v>
      </c>
      <c r="O54" s="11">
        <f t="shared" si="8"/>
        <v>-161</v>
      </c>
      <c r="P54" s="11">
        <f t="shared" si="7"/>
        <v>0</v>
      </c>
    </row>
    <row r="55" spans="1:16" x14ac:dyDescent="0.25">
      <c r="A55" s="11">
        <f t="shared" si="6"/>
        <v>0</v>
      </c>
      <c r="B55">
        <v>-45.746106961724472</v>
      </c>
      <c r="E55" s="11">
        <f>A55-'Mastercurve bestimmen'!$B$2</f>
        <v>-160</v>
      </c>
      <c r="F55" s="11">
        <f t="shared" si="4"/>
        <v>-45.746106961724472</v>
      </c>
      <c r="G55" s="11"/>
      <c r="H55" s="11">
        <f t="shared" si="8"/>
        <v>4.294967296E+17</v>
      </c>
      <c r="I55" s="11">
        <f t="shared" si="8"/>
        <v>-2684354560000000</v>
      </c>
      <c r="J55" s="11">
        <f t="shared" si="8"/>
        <v>16777216000000</v>
      </c>
      <c r="K55" s="11">
        <f t="shared" si="8"/>
        <v>-104857600000</v>
      </c>
      <c r="L55" s="11">
        <f t="shared" si="8"/>
        <v>655360000</v>
      </c>
      <c r="M55" s="11">
        <f t="shared" si="8"/>
        <v>-4096000</v>
      </c>
      <c r="N55" s="11">
        <f t="shared" si="8"/>
        <v>25600</v>
      </c>
      <c r="O55" s="11">
        <f t="shared" si="8"/>
        <v>-160</v>
      </c>
      <c r="P55" s="11">
        <f t="shared" si="7"/>
        <v>0</v>
      </c>
    </row>
    <row r="56" spans="1:16" x14ac:dyDescent="0.25">
      <c r="A56" s="11">
        <f t="shared" si="6"/>
        <v>1</v>
      </c>
      <c r="B56">
        <v>-45.611943881020323</v>
      </c>
      <c r="E56" s="11">
        <f>A56-'Mastercurve bestimmen'!$B$2</f>
        <v>-159</v>
      </c>
      <c r="F56" s="11">
        <f t="shared" si="4"/>
        <v>-45.611943881020323</v>
      </c>
      <c r="G56" s="11"/>
      <c r="H56" s="11">
        <f t="shared" si="8"/>
        <v>4.0848582878893952E+17</v>
      </c>
      <c r="I56" s="11">
        <f t="shared" si="8"/>
        <v>-2569093262823519</v>
      </c>
      <c r="J56" s="11">
        <f t="shared" si="8"/>
        <v>16157819263041</v>
      </c>
      <c r="K56" s="11">
        <f t="shared" si="8"/>
        <v>-101621504799</v>
      </c>
      <c r="L56" s="11">
        <f t="shared" si="8"/>
        <v>639128961</v>
      </c>
      <c r="M56" s="11">
        <f t="shared" si="8"/>
        <v>-4019679</v>
      </c>
      <c r="N56" s="11">
        <f t="shared" si="8"/>
        <v>25281</v>
      </c>
      <c r="O56" s="11">
        <f t="shared" si="8"/>
        <v>-159</v>
      </c>
      <c r="P56" s="11">
        <f t="shared" si="7"/>
        <v>0</v>
      </c>
    </row>
    <row r="57" spans="1:16" x14ac:dyDescent="0.25">
      <c r="A57" s="11">
        <f t="shared" si="6"/>
        <v>2</v>
      </c>
      <c r="B57">
        <v>-45.474441697814903</v>
      </c>
      <c r="E57" s="11">
        <f>A57-'Mastercurve bestimmen'!$B$2</f>
        <v>-158</v>
      </c>
      <c r="F57" s="11">
        <f t="shared" si="4"/>
        <v>-45.474441697814903</v>
      </c>
      <c r="G57" s="11"/>
      <c r="H57" s="11">
        <f t="shared" si="8"/>
        <v>3.8837985533607962E+17</v>
      </c>
      <c r="I57" s="11">
        <f t="shared" si="8"/>
        <v>-2458100350228352</v>
      </c>
      <c r="J57" s="11">
        <f t="shared" si="8"/>
        <v>15557597153344</v>
      </c>
      <c r="K57" s="11">
        <f t="shared" si="8"/>
        <v>-98465804768</v>
      </c>
      <c r="L57" s="11">
        <f t="shared" si="8"/>
        <v>623201296</v>
      </c>
      <c r="M57" s="11">
        <f t="shared" si="8"/>
        <v>-3944312</v>
      </c>
      <c r="N57" s="11">
        <f t="shared" si="8"/>
        <v>24964</v>
      </c>
      <c r="O57" s="11">
        <f t="shared" si="8"/>
        <v>-158</v>
      </c>
      <c r="P57" s="11">
        <f t="shared" si="7"/>
        <v>0</v>
      </c>
    </row>
    <row r="58" spans="1:16" x14ac:dyDescent="0.25">
      <c r="A58" s="11">
        <f t="shared" si="6"/>
        <v>3</v>
      </c>
      <c r="B58">
        <v>-45.333598341898586</v>
      </c>
      <c r="E58" s="11">
        <f>A58-'Mastercurve bestimmen'!$B$2</f>
        <v>-157</v>
      </c>
      <c r="F58" s="11">
        <f t="shared" si="4"/>
        <v>-45.333598341898586</v>
      </c>
      <c r="G58" s="11"/>
      <c r="H58" s="11">
        <f t="shared" si="8"/>
        <v>3.6914519457338643E+17</v>
      </c>
      <c r="I58" s="11">
        <f t="shared" si="8"/>
        <v>-2351243277537493</v>
      </c>
      <c r="J58" s="11">
        <f t="shared" si="8"/>
        <v>14976071831449</v>
      </c>
      <c r="K58" s="11">
        <f t="shared" si="8"/>
        <v>-95388992557</v>
      </c>
      <c r="L58" s="11">
        <f t="shared" si="8"/>
        <v>607573201</v>
      </c>
      <c r="M58" s="11">
        <f t="shared" si="8"/>
        <v>-3869893</v>
      </c>
      <c r="N58" s="11">
        <f t="shared" si="8"/>
        <v>24649</v>
      </c>
      <c r="O58" s="11">
        <f t="shared" si="8"/>
        <v>-157</v>
      </c>
      <c r="P58" s="11">
        <f t="shared" si="7"/>
        <v>0</v>
      </c>
    </row>
    <row r="59" spans="1:16" x14ac:dyDescent="0.25">
      <c r="A59" s="11">
        <f t="shared" si="6"/>
        <v>4</v>
      </c>
      <c r="B59">
        <v>-45.189411743061726</v>
      </c>
      <c r="E59" s="11">
        <f>A59-'Mastercurve bestimmen'!$B$2</f>
        <v>-156</v>
      </c>
      <c r="F59" s="11">
        <f t="shared" si="4"/>
        <v>-45.189411743061726</v>
      </c>
      <c r="G59" s="11"/>
      <c r="H59" s="11">
        <f t="shared" si="8"/>
        <v>3.5074927889488282E+17</v>
      </c>
      <c r="I59" s="11">
        <f t="shared" si="8"/>
        <v>-2248392813428736</v>
      </c>
      <c r="J59" s="11">
        <f t="shared" si="8"/>
        <v>14412774445056</v>
      </c>
      <c r="K59" s="11">
        <f t="shared" si="8"/>
        <v>-92389579776</v>
      </c>
      <c r="L59" s="11">
        <f t="shared" si="8"/>
        <v>592240896</v>
      </c>
      <c r="M59" s="11">
        <f t="shared" si="8"/>
        <v>-3796416</v>
      </c>
      <c r="N59" s="11">
        <f t="shared" si="8"/>
        <v>24336</v>
      </c>
      <c r="O59" s="11">
        <f t="shared" si="8"/>
        <v>-156</v>
      </c>
      <c r="P59" s="11">
        <f t="shared" si="7"/>
        <v>0</v>
      </c>
    </row>
    <row r="60" spans="1:16" x14ac:dyDescent="0.25">
      <c r="A60" s="11">
        <f t="shared" si="6"/>
        <v>5</v>
      </c>
      <c r="B60">
        <v>-45.041879831094718</v>
      </c>
      <c r="E60" s="11">
        <f>A60-'Mastercurve bestimmen'!$B$2</f>
        <v>-155</v>
      </c>
      <c r="F60" s="11">
        <f t="shared" si="4"/>
        <v>-45.041879831094718</v>
      </c>
      <c r="G60" s="11"/>
      <c r="H60" s="11">
        <f t="shared" si="8"/>
        <v>3.3316056150039066E+17</v>
      </c>
      <c r="I60" s="11">
        <f t="shared" si="8"/>
        <v>-2149422977421875</v>
      </c>
      <c r="J60" s="11">
        <f t="shared" si="8"/>
        <v>13867245015625</v>
      </c>
      <c r="K60" s="11">
        <f t="shared" si="8"/>
        <v>-89466096875</v>
      </c>
      <c r="L60" s="11">
        <f t="shared" si="8"/>
        <v>577200625</v>
      </c>
      <c r="M60" s="11">
        <f t="shared" si="8"/>
        <v>-3723875</v>
      </c>
      <c r="N60" s="11">
        <f t="shared" si="8"/>
        <v>24025</v>
      </c>
      <c r="O60" s="11">
        <f t="shared" si="8"/>
        <v>-155</v>
      </c>
      <c r="P60" s="11">
        <f t="shared" si="7"/>
        <v>0</v>
      </c>
    </row>
    <row r="61" spans="1:16" x14ac:dyDescent="0.25">
      <c r="A61" s="11">
        <f t="shared" si="6"/>
        <v>6</v>
      </c>
      <c r="B61">
        <v>-44.891000535787896</v>
      </c>
      <c r="E61" s="11">
        <f>A61-'Mastercurve bestimmen'!$B$2</f>
        <v>-154</v>
      </c>
      <c r="F61" s="11">
        <f t="shared" si="4"/>
        <v>-44.891000535787896</v>
      </c>
      <c r="G61" s="11"/>
      <c r="H61" s="11">
        <f t="shared" si="8"/>
        <v>3.1634849063620634E+17</v>
      </c>
      <c r="I61" s="11">
        <f t="shared" si="8"/>
        <v>-2054210978157184</v>
      </c>
      <c r="J61" s="11">
        <f t="shared" si="8"/>
        <v>13339032325696</v>
      </c>
      <c r="K61" s="11">
        <f t="shared" si="8"/>
        <v>-86617093024</v>
      </c>
      <c r="L61" s="11">
        <f t="shared" si="8"/>
        <v>562448656</v>
      </c>
      <c r="M61" s="11">
        <f t="shared" si="8"/>
        <v>-3652264</v>
      </c>
      <c r="N61" s="11">
        <f t="shared" si="8"/>
        <v>23716</v>
      </c>
      <c r="O61" s="11">
        <f t="shared" si="8"/>
        <v>-154</v>
      </c>
      <c r="P61" s="11">
        <f t="shared" si="7"/>
        <v>0</v>
      </c>
    </row>
    <row r="62" spans="1:16" x14ac:dyDescent="0.25">
      <c r="A62" s="11">
        <f t="shared" si="6"/>
        <v>7</v>
      </c>
      <c r="B62">
        <v>-44.736771786931655</v>
      </c>
      <c r="E62" s="11">
        <f>A62-'Mastercurve bestimmen'!$B$2</f>
        <v>-153</v>
      </c>
      <c r="F62" s="11">
        <f t="shared" si="4"/>
        <v>-44.736771786931655</v>
      </c>
      <c r="G62" s="11"/>
      <c r="H62" s="11">
        <f t="shared" si="8"/>
        <v>3.0028348432640096E+17</v>
      </c>
      <c r="I62" s="11">
        <f t="shared" si="8"/>
        <v>-1962637152460137</v>
      </c>
      <c r="J62" s="11">
        <f t="shared" si="8"/>
        <v>12827693806929</v>
      </c>
      <c r="K62" s="11">
        <f t="shared" si="8"/>
        <v>-83841135993</v>
      </c>
      <c r="L62" s="11">
        <f t="shared" si="8"/>
        <v>547981281</v>
      </c>
      <c r="M62" s="11">
        <f t="shared" si="8"/>
        <v>-3581577</v>
      </c>
      <c r="N62" s="11">
        <f t="shared" si="8"/>
        <v>23409</v>
      </c>
      <c r="O62" s="11">
        <f t="shared" si="8"/>
        <v>-153</v>
      </c>
      <c r="P62" s="11">
        <f t="shared" si="7"/>
        <v>0</v>
      </c>
    </row>
    <row r="63" spans="1:16" x14ac:dyDescent="0.25">
      <c r="A63" s="11">
        <f t="shared" si="6"/>
        <v>8</v>
      </c>
      <c r="B63">
        <v>-44.579191514316349</v>
      </c>
      <c r="E63" s="11">
        <f>A63-'Mastercurve bestimmen'!$B$2</f>
        <v>-152</v>
      </c>
      <c r="F63" s="11">
        <f t="shared" si="4"/>
        <v>-44.579191514316349</v>
      </c>
      <c r="G63" s="11"/>
      <c r="H63" s="11">
        <f t="shared" si="8"/>
        <v>2.8493690558847386E+17</v>
      </c>
      <c r="I63" s="11">
        <f t="shared" si="8"/>
        <v>-1874584905187328</v>
      </c>
      <c r="J63" s="11">
        <f t="shared" si="8"/>
        <v>12332795428864</v>
      </c>
      <c r="K63" s="11">
        <f t="shared" si="8"/>
        <v>-81136812032</v>
      </c>
      <c r="L63" s="11">
        <f t="shared" si="8"/>
        <v>533794816</v>
      </c>
      <c r="M63" s="11">
        <f t="shared" si="8"/>
        <v>-3511808</v>
      </c>
      <c r="N63" s="11">
        <f t="shared" si="8"/>
        <v>23104</v>
      </c>
      <c r="O63" s="11">
        <f t="shared" si="8"/>
        <v>-152</v>
      </c>
      <c r="P63" s="11">
        <f t="shared" si="7"/>
        <v>0</v>
      </c>
    </row>
    <row r="64" spans="1:16" x14ac:dyDescent="0.25">
      <c r="A64" s="11">
        <f t="shared" si="6"/>
        <v>9</v>
      </c>
      <c r="B64">
        <v>-44.418257647732361</v>
      </c>
      <c r="E64" s="11">
        <f>A64-'Mastercurve bestimmen'!$B$2</f>
        <v>-151</v>
      </c>
      <c r="F64" s="11">
        <f t="shared" si="4"/>
        <v>-44.418257647732361</v>
      </c>
      <c r="G64" s="11"/>
      <c r="H64" s="11">
        <f t="shared" si="8"/>
        <v>2.702810381271312E+17</v>
      </c>
      <c r="I64" s="11">
        <f t="shared" si="8"/>
        <v>-1789940649848551</v>
      </c>
      <c r="J64" s="11">
        <f t="shared" si="8"/>
        <v>11853911588401</v>
      </c>
      <c r="K64" s="11">
        <f t="shared" si="8"/>
        <v>-78502725751</v>
      </c>
      <c r="L64" s="11">
        <f t="shared" si="8"/>
        <v>519885601</v>
      </c>
      <c r="M64" s="11">
        <f t="shared" si="8"/>
        <v>-3442951</v>
      </c>
      <c r="N64" s="11">
        <f t="shared" si="8"/>
        <v>22801</v>
      </c>
      <c r="O64" s="11">
        <f t="shared" si="8"/>
        <v>-151</v>
      </c>
      <c r="P64" s="11">
        <f t="shared" si="7"/>
        <v>0</v>
      </c>
    </row>
    <row r="65" spans="1:16" x14ac:dyDescent="0.25">
      <c r="A65" s="11">
        <f t="shared" si="6"/>
        <v>10</v>
      </c>
      <c r="B65">
        <v>-44.253968116970043</v>
      </c>
      <c r="E65" s="11">
        <f>A65-'Mastercurve bestimmen'!$B$2</f>
        <v>-150</v>
      </c>
      <c r="F65" s="11">
        <f t="shared" si="4"/>
        <v>-44.253968116970043</v>
      </c>
      <c r="G65" s="11"/>
      <c r="H65" s="11">
        <f t="shared" si="8"/>
        <v>2.562890625E+17</v>
      </c>
      <c r="I65" s="11">
        <f t="shared" si="8"/>
        <v>-1708593750000000</v>
      </c>
      <c r="J65" s="11">
        <f t="shared" si="8"/>
        <v>11390625000000</v>
      </c>
      <c r="K65" s="11">
        <f t="shared" si="8"/>
        <v>-75937500000</v>
      </c>
      <c r="L65" s="11">
        <f t="shared" si="8"/>
        <v>506250000</v>
      </c>
      <c r="M65" s="11">
        <f t="shared" si="8"/>
        <v>-3375000</v>
      </c>
      <c r="N65" s="11">
        <f t="shared" si="8"/>
        <v>22500</v>
      </c>
      <c r="O65" s="11">
        <f t="shared" si="8"/>
        <v>-150</v>
      </c>
      <c r="P65" s="11">
        <f t="shared" si="7"/>
        <v>0</v>
      </c>
    </row>
    <row r="66" spans="1:16" x14ac:dyDescent="0.25">
      <c r="A66" s="11">
        <f t="shared" si="6"/>
        <v>11</v>
      </c>
      <c r="B66">
        <v>-44.086320851819778</v>
      </c>
      <c r="E66" s="11">
        <f>A66-'Mastercurve bestimmen'!$B$2</f>
        <v>-149</v>
      </c>
      <c r="F66" s="11">
        <f t="shared" si="4"/>
        <v>-44.086320851819778</v>
      </c>
      <c r="G66" s="11"/>
      <c r="H66" s="11">
        <f t="shared" si="8"/>
        <v>2.429350327491288E+17</v>
      </c>
      <c r="I66" s="11">
        <f t="shared" si="8"/>
        <v>-1630436461403549</v>
      </c>
      <c r="J66" s="11">
        <f t="shared" si="8"/>
        <v>10942526586601</v>
      </c>
      <c r="K66" s="11">
        <f t="shared" si="8"/>
        <v>-73439775749</v>
      </c>
      <c r="L66" s="11">
        <f t="shared" si="8"/>
        <v>492884401</v>
      </c>
      <c r="M66" s="11">
        <f t="shared" si="8"/>
        <v>-3307949</v>
      </c>
      <c r="N66" s="11">
        <f t="shared" si="8"/>
        <v>22201</v>
      </c>
      <c r="O66" s="11">
        <f t="shared" si="8"/>
        <v>-149</v>
      </c>
      <c r="P66" s="11">
        <f t="shared" si="7"/>
        <v>0</v>
      </c>
    </row>
    <row r="67" spans="1:16" x14ac:dyDescent="0.25">
      <c r="A67" s="11">
        <f t="shared" si="6"/>
        <v>12</v>
      </c>
      <c r="B67">
        <v>-43.915313782071941</v>
      </c>
      <c r="E67" s="11">
        <f>A67-'Mastercurve bestimmen'!$B$2</f>
        <v>-148</v>
      </c>
      <c r="F67" s="11">
        <f t="shared" si="4"/>
        <v>-43.915313782071941</v>
      </c>
      <c r="G67" s="11"/>
      <c r="H67" s="11">
        <f t="shared" si="8"/>
        <v>2.3019385349216666E+17</v>
      </c>
      <c r="I67" s="11">
        <f t="shared" si="8"/>
        <v>-1555363874947072</v>
      </c>
      <c r="J67" s="11">
        <f t="shared" si="8"/>
        <v>10509215371264</v>
      </c>
      <c r="K67" s="11">
        <f t="shared" si="8"/>
        <v>-71008211968</v>
      </c>
      <c r="L67" s="11">
        <f t="shared" si="8"/>
        <v>479785216</v>
      </c>
      <c r="M67" s="11">
        <f t="shared" si="8"/>
        <v>-3241792</v>
      </c>
      <c r="N67" s="11">
        <f t="shared" si="8"/>
        <v>21904</v>
      </c>
      <c r="O67" s="11">
        <f t="shared" si="8"/>
        <v>-148</v>
      </c>
      <c r="P67" s="11">
        <f t="shared" si="7"/>
        <v>0</v>
      </c>
    </row>
    <row r="68" spans="1:16" x14ac:dyDescent="0.25">
      <c r="A68" s="11">
        <f t="shared" si="6"/>
        <v>13</v>
      </c>
      <c r="B68">
        <v>-43.740944837516878</v>
      </c>
      <c r="E68" s="11">
        <f>A68-'Mastercurve bestimmen'!$B$2</f>
        <v>-147</v>
      </c>
      <c r="F68" s="11">
        <f t="shared" si="4"/>
        <v>-43.740944837516878</v>
      </c>
      <c r="G68" s="11"/>
      <c r="H68" s="11">
        <f t="shared" si="8"/>
        <v>2.1804125746715216E+17</v>
      </c>
      <c r="I68" s="11">
        <f t="shared" si="8"/>
        <v>-1483273860320763</v>
      </c>
      <c r="J68" s="11">
        <f t="shared" si="8"/>
        <v>10090298369529</v>
      </c>
      <c r="K68" s="11">
        <f t="shared" si="8"/>
        <v>-68641485507</v>
      </c>
      <c r="L68" s="11">
        <f t="shared" si="8"/>
        <v>466948881</v>
      </c>
      <c r="M68" s="11">
        <f t="shared" si="8"/>
        <v>-3176523</v>
      </c>
      <c r="N68" s="11">
        <f t="shared" si="8"/>
        <v>21609</v>
      </c>
      <c r="O68" s="11">
        <f t="shared" si="8"/>
        <v>-147</v>
      </c>
      <c r="P68" s="11">
        <f t="shared" si="7"/>
        <v>0</v>
      </c>
    </row>
    <row r="69" spans="1:16" x14ac:dyDescent="0.25">
      <c r="A69" s="11">
        <f t="shared" si="6"/>
        <v>14</v>
      </c>
      <c r="B69">
        <v>-43.563211947944971</v>
      </c>
      <c r="E69" s="11">
        <f>A69-'Mastercurve bestimmen'!$B$2</f>
        <v>-146</v>
      </c>
      <c r="F69" s="11">
        <f t="shared" si="4"/>
        <v>-43.563211947944971</v>
      </c>
      <c r="G69" s="11"/>
      <c r="H69" s="11">
        <f t="shared" si="8"/>
        <v>2.0645378352488474E+17</v>
      </c>
      <c r="I69" s="11">
        <f t="shared" si="8"/>
        <v>-1414067010444416</v>
      </c>
      <c r="J69" s="11">
        <f t="shared" si="8"/>
        <v>9685390482496</v>
      </c>
      <c r="K69" s="11">
        <f t="shared" si="8"/>
        <v>-66338290976</v>
      </c>
      <c r="L69" s="11">
        <f t="shared" si="8"/>
        <v>454371856</v>
      </c>
      <c r="M69" s="11">
        <f t="shared" si="8"/>
        <v>-3112136</v>
      </c>
      <c r="N69" s="11">
        <f t="shared" si="8"/>
        <v>21316</v>
      </c>
      <c r="O69" s="11">
        <f t="shared" si="8"/>
        <v>-146</v>
      </c>
      <c r="P69" s="11">
        <f t="shared" si="7"/>
        <v>0</v>
      </c>
    </row>
    <row r="70" spans="1:16" x14ac:dyDescent="0.25">
      <c r="A70" s="11">
        <f t="shared" si="6"/>
        <v>15</v>
      </c>
      <c r="B70">
        <v>-43.382113043146589</v>
      </c>
      <c r="E70" s="11">
        <f>A70-'Mastercurve bestimmen'!$B$2</f>
        <v>-145</v>
      </c>
      <c r="F70" s="11">
        <f t="shared" si="4"/>
        <v>-43.382113043146589</v>
      </c>
      <c r="G70" s="11"/>
      <c r="H70" s="11">
        <f t="shared" si="8"/>
        <v>1.9540875506289062E+17</v>
      </c>
      <c r="I70" s="11">
        <f t="shared" si="8"/>
        <v>-1347646586640625</v>
      </c>
      <c r="J70" s="11">
        <f t="shared" si="8"/>
        <v>9294114390625</v>
      </c>
      <c r="K70" s="11">
        <f t="shared" si="8"/>
        <v>-64097340625</v>
      </c>
      <c r="L70" s="11">
        <f t="shared" si="8"/>
        <v>442050625</v>
      </c>
      <c r="M70" s="11">
        <f t="shared" si="8"/>
        <v>-3048625</v>
      </c>
      <c r="N70" s="11">
        <f t="shared" si="8"/>
        <v>21025</v>
      </c>
      <c r="O70" s="11">
        <f t="shared" si="8"/>
        <v>-145</v>
      </c>
      <c r="P70" s="11">
        <f t="shared" si="7"/>
        <v>0</v>
      </c>
    </row>
    <row r="71" spans="1:16" x14ac:dyDescent="0.25">
      <c r="A71" s="11">
        <f t="shared" si="6"/>
        <v>16</v>
      </c>
      <c r="B71">
        <v>-43.197646052912106</v>
      </c>
      <c r="E71" s="11">
        <f>A71-'Mastercurve bestimmen'!$B$2</f>
        <v>-144</v>
      </c>
      <c r="F71" s="11">
        <f t="shared" si="4"/>
        <v>-43.197646052912106</v>
      </c>
      <c r="G71" s="11"/>
      <c r="H71" s="11">
        <f t="shared" si="8"/>
        <v>1.8488425889503642E+17</v>
      </c>
      <c r="I71" s="11">
        <f t="shared" si="8"/>
        <v>-1283918464548864</v>
      </c>
      <c r="J71" s="11">
        <f t="shared" si="8"/>
        <v>8916100448256</v>
      </c>
      <c r="K71" s="11">
        <f t="shared" si="8"/>
        <v>-61917364224</v>
      </c>
      <c r="L71" s="11">
        <f t="shared" si="8"/>
        <v>429981696</v>
      </c>
      <c r="M71" s="11">
        <f t="shared" si="8"/>
        <v>-2985984</v>
      </c>
      <c r="N71" s="11">
        <f t="shared" si="8"/>
        <v>20736</v>
      </c>
      <c r="O71" s="11">
        <f t="shared" si="8"/>
        <v>-144</v>
      </c>
      <c r="P71" s="11">
        <f t="shared" si="7"/>
        <v>0</v>
      </c>
    </row>
    <row r="72" spans="1:16" x14ac:dyDescent="0.25">
      <c r="A72" s="11">
        <f t="shared" si="6"/>
        <v>17</v>
      </c>
      <c r="B72">
        <v>-43.009808907031868</v>
      </c>
      <c r="E72" s="11">
        <f>A72-'Mastercurve bestimmen'!$B$2</f>
        <v>-143</v>
      </c>
      <c r="F72" s="11">
        <f t="shared" si="4"/>
        <v>-43.009808907031868</v>
      </c>
      <c r="G72" s="11"/>
      <c r="H72" s="11">
        <f t="shared" si="8"/>
        <v>1.748591245508832E+17</v>
      </c>
      <c r="I72" s="11">
        <f t="shared" si="8"/>
        <v>-1222791080775407</v>
      </c>
      <c r="J72" s="11">
        <f t="shared" si="8"/>
        <v>8550986578849</v>
      </c>
      <c r="K72" s="11">
        <f t="shared" si="8"/>
        <v>-59797108943</v>
      </c>
      <c r="L72" s="11">
        <f t="shared" si="8"/>
        <v>418161601</v>
      </c>
      <c r="M72" s="11">
        <f t="shared" si="8"/>
        <v>-2924207</v>
      </c>
      <c r="N72" s="11">
        <f t="shared" si="8"/>
        <v>20449</v>
      </c>
      <c r="O72" s="11">
        <f t="shared" si="8"/>
        <v>-143</v>
      </c>
      <c r="P72" s="11">
        <f t="shared" si="7"/>
        <v>0</v>
      </c>
    </row>
    <row r="73" spans="1:16" x14ac:dyDescent="0.25">
      <c r="A73" s="11">
        <f t="shared" si="6"/>
        <v>18</v>
      </c>
      <c r="B73">
        <v>-42.818599535296272</v>
      </c>
      <c r="E73" s="11">
        <f>A73-'Mastercurve bestimmen'!$B$2</f>
        <v>-142</v>
      </c>
      <c r="F73" s="11">
        <f t="shared" si="4"/>
        <v>-42.818599535296272</v>
      </c>
      <c r="G73" s="11"/>
      <c r="H73" s="11">
        <f t="shared" si="8"/>
        <v>1.6531290399891482E+17</v>
      </c>
      <c r="I73" s="11">
        <f t="shared" si="8"/>
        <v>-1164175380274048</v>
      </c>
      <c r="J73" s="11">
        <f t="shared" si="8"/>
        <v>8198418170944</v>
      </c>
      <c r="K73" s="11">
        <f t="shared" si="8"/>
        <v>-57735339232</v>
      </c>
      <c r="L73" s="11">
        <f t="shared" si="8"/>
        <v>406586896</v>
      </c>
      <c r="M73" s="11">
        <f t="shared" si="8"/>
        <v>-2863288</v>
      </c>
      <c r="N73" s="11">
        <f t="shared" si="8"/>
        <v>20164</v>
      </c>
      <c r="O73" s="11">
        <f t="shared" si="8"/>
        <v>-142</v>
      </c>
      <c r="P73" s="11">
        <f t="shared" si="7"/>
        <v>0</v>
      </c>
    </row>
    <row r="74" spans="1:16" x14ac:dyDescent="0.25">
      <c r="A74" s="11">
        <f t="shared" si="6"/>
        <v>19</v>
      </c>
      <c r="B74">
        <v>-42.624015867495672</v>
      </c>
      <c r="E74" s="11">
        <f>A74-'Mastercurve bestimmen'!$B$2</f>
        <v>-141</v>
      </c>
      <c r="F74" s="11">
        <f t="shared" si="4"/>
        <v>-42.624015867495672</v>
      </c>
      <c r="G74" s="11"/>
      <c r="H74" s="11">
        <f t="shared" si="8"/>
        <v>1.5622585178781392E+17</v>
      </c>
      <c r="I74" s="11">
        <f t="shared" si="8"/>
        <v>-1107984764452581</v>
      </c>
      <c r="J74" s="11">
        <f t="shared" si="8"/>
        <v>7858047974841</v>
      </c>
      <c r="K74" s="11">
        <f t="shared" si="8"/>
        <v>-55730836701</v>
      </c>
      <c r="L74" s="11">
        <f t="shared" si="8"/>
        <v>395254161</v>
      </c>
      <c r="M74" s="11">
        <f t="shared" si="8"/>
        <v>-2803221</v>
      </c>
      <c r="N74" s="11">
        <f t="shared" si="8"/>
        <v>19881</v>
      </c>
      <c r="O74" s="11">
        <f t="shared" si="8"/>
        <v>-141</v>
      </c>
      <c r="P74" s="11">
        <f t="shared" si="7"/>
        <v>0</v>
      </c>
    </row>
    <row r="75" spans="1:16" x14ac:dyDescent="0.25">
      <c r="A75" s="11">
        <f t="shared" si="6"/>
        <v>20</v>
      </c>
      <c r="B75">
        <v>-42.426055833420449</v>
      </c>
      <c r="E75" s="11">
        <f>A75-'Mastercurve bestimmen'!$B$2</f>
        <v>-140</v>
      </c>
      <c r="F75" s="11">
        <f t="shared" si="4"/>
        <v>-42.426055833420449</v>
      </c>
      <c r="G75" s="11"/>
      <c r="H75" s="11">
        <f t="shared" si="8"/>
        <v>1.475789056E+17</v>
      </c>
      <c r="I75" s="11">
        <f t="shared" si="8"/>
        <v>-1054135040000000</v>
      </c>
      <c r="J75" s="11">
        <f t="shared" si="8"/>
        <v>7529536000000</v>
      </c>
      <c r="K75" s="11">
        <f t="shared" si="8"/>
        <v>-53782400000</v>
      </c>
      <c r="L75" s="11">
        <f t="shared" si="8"/>
        <v>384160000</v>
      </c>
      <c r="M75" s="11">
        <f t="shared" si="8"/>
        <v>-2744000</v>
      </c>
      <c r="N75" s="11">
        <f t="shared" si="8"/>
        <v>19600</v>
      </c>
      <c r="O75" s="11">
        <f t="shared" si="8"/>
        <v>-140</v>
      </c>
      <c r="P75" s="11">
        <f t="shared" si="7"/>
        <v>0</v>
      </c>
    </row>
    <row r="76" spans="1:16" x14ac:dyDescent="0.25">
      <c r="A76" s="11">
        <f t="shared" si="6"/>
        <v>21</v>
      </c>
      <c r="B76">
        <v>-42.224717362860957</v>
      </c>
      <c r="E76" s="11">
        <f>A76-'Mastercurve bestimmen'!$B$2</f>
        <v>-139</v>
      </c>
      <c r="F76" s="11">
        <f t="shared" si="4"/>
        <v>-42.224717362860957</v>
      </c>
      <c r="G76" s="11"/>
      <c r="H76" s="11">
        <f t="shared" si="8"/>
        <v>1.3935366721168368E+17</v>
      </c>
      <c r="I76" s="11">
        <f t="shared" si="8"/>
        <v>-1002544368429379</v>
      </c>
      <c r="J76" s="11">
        <f t="shared" si="8"/>
        <v>7212549413161</v>
      </c>
      <c r="K76" s="11">
        <f t="shared" si="8"/>
        <v>-51888844699</v>
      </c>
      <c r="L76" s="11">
        <f t="shared" si="8"/>
        <v>373301041</v>
      </c>
      <c r="M76" s="11">
        <f t="shared" si="8"/>
        <v>-2685619</v>
      </c>
      <c r="N76" s="11">
        <f t="shared" si="8"/>
        <v>19321</v>
      </c>
      <c r="O76" s="11">
        <f t="shared" si="8"/>
        <v>-139</v>
      </c>
      <c r="P76" s="11">
        <f t="shared" si="7"/>
        <v>0</v>
      </c>
    </row>
    <row r="77" spans="1:16" x14ac:dyDescent="0.25">
      <c r="A77" s="11">
        <f t="shared" si="6"/>
        <v>22</v>
      </c>
      <c r="B77">
        <v>-42.019998385607565</v>
      </c>
      <c r="E77" s="11">
        <f>A77-'Mastercurve bestimmen'!$B$2</f>
        <v>-138</v>
      </c>
      <c r="F77" s="11">
        <f t="shared" si="4"/>
        <v>-42.019998385607565</v>
      </c>
      <c r="G77" s="11"/>
      <c r="H77" s="11">
        <f t="shared" si="8"/>
        <v>1.315323838537321E+17</v>
      </c>
      <c r="I77" s="11">
        <f t="shared" si="8"/>
        <v>-953133216331392</v>
      </c>
      <c r="J77" s="11">
        <f t="shared" si="8"/>
        <v>6906762437184</v>
      </c>
      <c r="K77" s="11">
        <f t="shared" si="8"/>
        <v>-50049003168</v>
      </c>
      <c r="L77" s="11">
        <f t="shared" si="8"/>
        <v>362673936</v>
      </c>
      <c r="M77" s="11">
        <f t="shared" si="8"/>
        <v>-2628072</v>
      </c>
      <c r="N77" s="11">
        <f t="shared" si="8"/>
        <v>19044</v>
      </c>
      <c r="O77" s="11">
        <f t="shared" si="8"/>
        <v>-138</v>
      </c>
      <c r="P77" s="11">
        <f t="shared" si="7"/>
        <v>0</v>
      </c>
    </row>
    <row r="78" spans="1:16" x14ac:dyDescent="0.25">
      <c r="A78" s="11">
        <f t="shared" si="6"/>
        <v>23</v>
      </c>
      <c r="B78">
        <v>-41.81189683145066</v>
      </c>
      <c r="E78" s="11">
        <f>A78-'Mastercurve bestimmen'!$B$2</f>
        <v>-137</v>
      </c>
      <c r="F78" s="11">
        <f t="shared" si="4"/>
        <v>-41.81189683145066</v>
      </c>
      <c r="G78" s="11"/>
      <c r="H78" s="11">
        <f t="shared" si="8"/>
        <v>1.2409792996768032E+17</v>
      </c>
      <c r="I78" s="11">
        <f t="shared" si="8"/>
        <v>-905824306333433</v>
      </c>
      <c r="J78" s="11">
        <f t="shared" si="8"/>
        <v>6611856250609</v>
      </c>
      <c r="K78" s="11">
        <f t="shared" si="8"/>
        <v>-48261724457</v>
      </c>
      <c r="L78" s="11">
        <f t="shared" si="8"/>
        <v>352275361</v>
      </c>
      <c r="M78" s="11">
        <f t="shared" si="8"/>
        <v>-2571353</v>
      </c>
      <c r="N78" s="11">
        <f t="shared" si="8"/>
        <v>18769</v>
      </c>
      <c r="O78" s="11">
        <f t="shared" si="8"/>
        <v>-137</v>
      </c>
      <c r="P78" s="11">
        <f t="shared" si="7"/>
        <v>0</v>
      </c>
    </row>
    <row r="79" spans="1:16" x14ac:dyDescent="0.25">
      <c r="A79" s="11">
        <f t="shared" si="6"/>
        <v>24</v>
      </c>
      <c r="B79">
        <v>-41.600410630180598</v>
      </c>
      <c r="E79" s="11">
        <f>A79-'Mastercurve bestimmen'!$B$2</f>
        <v>-136</v>
      </c>
      <c r="F79" s="11">
        <f t="shared" si="4"/>
        <v>-41.600410630180598</v>
      </c>
      <c r="G79" s="11"/>
      <c r="H79" s="11">
        <f t="shared" si="8"/>
        <v>1.1703378935126426E+17</v>
      </c>
      <c r="I79" s="11">
        <f t="shared" si="8"/>
        <v>-860542568759296</v>
      </c>
      <c r="J79" s="11">
        <f t="shared" si="8"/>
        <v>6327518887936</v>
      </c>
      <c r="K79" s="11">
        <f t="shared" si="8"/>
        <v>-46525874176</v>
      </c>
      <c r="L79" s="11">
        <f t="shared" si="8"/>
        <v>342102016</v>
      </c>
      <c r="M79" s="11">
        <f t="shared" si="8"/>
        <v>-2515456</v>
      </c>
      <c r="N79" s="11">
        <f t="shared" si="8"/>
        <v>18496</v>
      </c>
      <c r="O79" s="11">
        <f t="shared" ref="I79:O116" si="9">IF($H$12&gt;=O$14,$E79^O$14,0)</f>
        <v>-136</v>
      </c>
      <c r="P79" s="11">
        <f t="shared" si="7"/>
        <v>0</v>
      </c>
    </row>
    <row r="80" spans="1:16" x14ac:dyDescent="0.25">
      <c r="A80" s="11">
        <f t="shared" si="6"/>
        <v>25</v>
      </c>
      <c r="B80">
        <v>-41.385537711587737</v>
      </c>
      <c r="E80" s="11">
        <f>A80-'Mastercurve bestimmen'!$B$2</f>
        <v>-135</v>
      </c>
      <c r="F80" s="11">
        <f t="shared" ref="F80:F143" si="10">B80</f>
        <v>-41.385537711587737</v>
      </c>
      <c r="G80" s="11"/>
      <c r="H80" s="11">
        <f t="shared" ref="H80:H143" si="11">IF($H$12&gt;=H$14,$E80^H$14,0)</f>
        <v>1.1032403768789062E+17</v>
      </c>
      <c r="I80" s="11">
        <f t="shared" si="9"/>
        <v>-817215093984375</v>
      </c>
      <c r="J80" s="11">
        <f t="shared" si="9"/>
        <v>6053445140625</v>
      </c>
      <c r="K80" s="11">
        <f t="shared" si="9"/>
        <v>-44840334375</v>
      </c>
      <c r="L80" s="11">
        <f t="shared" si="9"/>
        <v>332150625</v>
      </c>
      <c r="M80" s="11">
        <f t="shared" si="9"/>
        <v>-2460375</v>
      </c>
      <c r="N80" s="11">
        <f t="shared" si="9"/>
        <v>18225</v>
      </c>
      <c r="O80" s="11">
        <f t="shared" si="9"/>
        <v>-135</v>
      </c>
      <c r="P80" s="11">
        <f t="shared" si="7"/>
        <v>0</v>
      </c>
    </row>
    <row r="81" spans="1:16" x14ac:dyDescent="0.25">
      <c r="A81" s="11">
        <f t="shared" ref="A81:A144" si="12">A80+1</f>
        <v>26</v>
      </c>
      <c r="B81">
        <v>-41.167271683658612</v>
      </c>
      <c r="E81" s="11">
        <f>A81-'Mastercurve bestimmen'!$B$2</f>
        <v>-134</v>
      </c>
      <c r="F81" s="11">
        <f t="shared" si="10"/>
        <v>-41.167271683658612</v>
      </c>
      <c r="G81" s="11"/>
      <c r="H81" s="11">
        <f t="shared" si="11"/>
        <v>1.039533254545001E+17</v>
      </c>
      <c r="I81" s="11">
        <f t="shared" si="9"/>
        <v>-775771085481344</v>
      </c>
      <c r="J81" s="11">
        <f t="shared" si="9"/>
        <v>5789336458816</v>
      </c>
      <c r="K81" s="11">
        <f t="shared" si="9"/>
        <v>-43204003424</v>
      </c>
      <c r="L81" s="11">
        <f t="shared" si="9"/>
        <v>322417936</v>
      </c>
      <c r="M81" s="11">
        <f t="shared" si="9"/>
        <v>-2406104</v>
      </c>
      <c r="N81" s="11">
        <f t="shared" si="9"/>
        <v>17956</v>
      </c>
      <c r="O81" s="11">
        <f t="shared" si="9"/>
        <v>-134</v>
      </c>
      <c r="P81" s="11">
        <f t="shared" ref="P81:P144" si="13">P80</f>
        <v>0</v>
      </c>
    </row>
    <row r="82" spans="1:16" x14ac:dyDescent="0.25">
      <c r="A82" s="11">
        <f t="shared" si="12"/>
        <v>27</v>
      </c>
      <c r="B82">
        <v>-40.945588867164268</v>
      </c>
      <c r="E82" s="11">
        <f>A82-'Mastercurve bestimmen'!$B$2</f>
        <v>-133</v>
      </c>
      <c r="F82" s="11">
        <f t="shared" si="10"/>
        <v>-40.945588867164268</v>
      </c>
      <c r="G82" s="11"/>
      <c r="H82" s="11">
        <f t="shared" si="11"/>
        <v>9.790686120231984E+16</v>
      </c>
      <c r="I82" s="11">
        <f t="shared" si="9"/>
        <v>-736141813551277</v>
      </c>
      <c r="J82" s="11">
        <f t="shared" si="9"/>
        <v>5534900853769</v>
      </c>
      <c r="K82" s="11">
        <f t="shared" si="9"/>
        <v>-41615795893</v>
      </c>
      <c r="L82" s="11">
        <f t="shared" si="9"/>
        <v>312900721</v>
      </c>
      <c r="M82" s="11">
        <f t="shared" si="9"/>
        <v>-2352637</v>
      </c>
      <c r="N82" s="11">
        <f t="shared" si="9"/>
        <v>17689</v>
      </c>
      <c r="O82" s="11">
        <f t="shared" si="9"/>
        <v>-133</v>
      </c>
      <c r="P82" s="11">
        <f t="shared" si="13"/>
        <v>0</v>
      </c>
    </row>
    <row r="83" spans="1:16" x14ac:dyDescent="0.25">
      <c r="A83" s="11">
        <f t="shared" si="12"/>
        <v>28</v>
      </c>
      <c r="B83">
        <v>-40.720461261071918</v>
      </c>
      <c r="E83" s="11">
        <f>A83-'Mastercurve bestimmen'!$B$2</f>
        <v>-132</v>
      </c>
      <c r="F83" s="11">
        <f t="shared" si="10"/>
        <v>-40.720461261071918</v>
      </c>
      <c r="G83" s="11"/>
      <c r="H83" s="11">
        <f t="shared" si="11"/>
        <v>9.2170395205042176E+16</v>
      </c>
      <c r="I83" s="11">
        <f t="shared" si="9"/>
        <v>-698260569735168</v>
      </c>
      <c r="J83" s="11">
        <f t="shared" si="9"/>
        <v>5289852801024</v>
      </c>
      <c r="K83" s="11">
        <f t="shared" si="9"/>
        <v>-40074642432</v>
      </c>
      <c r="L83" s="11">
        <f t="shared" si="9"/>
        <v>303595776</v>
      </c>
      <c r="M83" s="11">
        <f t="shared" si="9"/>
        <v>-2299968</v>
      </c>
      <c r="N83" s="11">
        <f t="shared" si="9"/>
        <v>17424</v>
      </c>
      <c r="O83" s="11">
        <f t="shared" si="9"/>
        <v>-132</v>
      </c>
      <c r="P83" s="11">
        <f t="shared" si="13"/>
        <v>0</v>
      </c>
    </row>
    <row r="84" spans="1:16" x14ac:dyDescent="0.25">
      <c r="A84" s="11">
        <f t="shared" si="12"/>
        <v>29</v>
      </c>
      <c r="B84">
        <v>-40.491860864348773</v>
      </c>
      <c r="E84" s="11">
        <f>A84-'Mastercurve bestimmen'!$B$2</f>
        <v>-131</v>
      </c>
      <c r="F84" s="11">
        <f t="shared" si="10"/>
        <v>-40.491860864348773</v>
      </c>
      <c r="G84" s="11"/>
      <c r="H84" s="11">
        <f t="shared" si="11"/>
        <v>8.673020346900624E+16</v>
      </c>
      <c r="I84" s="11">
        <f t="shared" si="9"/>
        <v>-662062621900811</v>
      </c>
      <c r="J84" s="11">
        <f t="shared" si="9"/>
        <v>5053913144281</v>
      </c>
      <c r="K84" s="11">
        <f t="shared" si="9"/>
        <v>-38579489651</v>
      </c>
      <c r="L84" s="11">
        <f t="shared" si="9"/>
        <v>294499921</v>
      </c>
      <c r="M84" s="11">
        <f t="shared" si="9"/>
        <v>-2248091</v>
      </c>
      <c r="N84" s="11">
        <f t="shared" si="9"/>
        <v>17161</v>
      </c>
      <c r="O84" s="11">
        <f t="shared" si="9"/>
        <v>-131</v>
      </c>
      <c r="P84" s="11">
        <f t="shared" si="13"/>
        <v>0</v>
      </c>
    </row>
    <row r="85" spans="1:16" x14ac:dyDescent="0.25">
      <c r="A85" s="11">
        <f t="shared" si="12"/>
        <v>30</v>
      </c>
      <c r="B85">
        <v>-40.259759675962044</v>
      </c>
      <c r="E85" s="11">
        <f>A85-'Mastercurve bestimmen'!$B$2</f>
        <v>-130</v>
      </c>
      <c r="F85" s="11">
        <f t="shared" si="10"/>
        <v>-40.259759675962044</v>
      </c>
      <c r="G85" s="11"/>
      <c r="H85" s="11">
        <f t="shared" si="11"/>
        <v>8.15730721E+16</v>
      </c>
      <c r="I85" s="11">
        <f t="shared" si="9"/>
        <v>-627485170000000</v>
      </c>
      <c r="J85" s="11">
        <f t="shared" si="9"/>
        <v>4826809000000</v>
      </c>
      <c r="K85" s="11">
        <f t="shared" si="9"/>
        <v>-37129300000</v>
      </c>
      <c r="L85" s="11">
        <f t="shared" si="9"/>
        <v>285610000</v>
      </c>
      <c r="M85" s="11">
        <f t="shared" si="9"/>
        <v>-2197000</v>
      </c>
      <c r="N85" s="11">
        <f t="shared" si="9"/>
        <v>16900</v>
      </c>
      <c r="O85" s="11">
        <f t="shared" si="9"/>
        <v>-130</v>
      </c>
      <c r="P85" s="11">
        <f t="shared" si="13"/>
        <v>0</v>
      </c>
    </row>
    <row r="86" spans="1:16" x14ac:dyDescent="0.25">
      <c r="A86" s="11">
        <f t="shared" si="12"/>
        <v>31</v>
      </c>
      <c r="B86">
        <v>-40.02412969487893</v>
      </c>
      <c r="E86" s="11">
        <f>A86-'Mastercurve bestimmen'!$B$2</f>
        <v>-129</v>
      </c>
      <c r="F86" s="11">
        <f t="shared" si="10"/>
        <v>-40.02412969487893</v>
      </c>
      <c r="G86" s="11"/>
      <c r="H86" s="11">
        <f t="shared" si="11"/>
        <v>7.668628202134016E+16</v>
      </c>
      <c r="I86" s="11">
        <f t="shared" si="9"/>
        <v>-594467302491009</v>
      </c>
      <c r="J86" s="11">
        <f t="shared" si="9"/>
        <v>4608273662721</v>
      </c>
      <c r="K86" s="11">
        <f t="shared" si="9"/>
        <v>-35723051649</v>
      </c>
      <c r="L86" s="11">
        <f t="shared" si="9"/>
        <v>276922881</v>
      </c>
      <c r="M86" s="11">
        <f t="shared" si="9"/>
        <v>-2146689</v>
      </c>
      <c r="N86" s="11">
        <f t="shared" si="9"/>
        <v>16641</v>
      </c>
      <c r="O86" s="11">
        <f t="shared" si="9"/>
        <v>-129</v>
      </c>
      <c r="P86" s="11">
        <f t="shared" si="13"/>
        <v>0</v>
      </c>
    </row>
    <row r="87" spans="1:16" x14ac:dyDescent="0.25">
      <c r="A87" s="11">
        <f t="shared" si="12"/>
        <v>32</v>
      </c>
      <c r="B87">
        <v>-39.784942920066641</v>
      </c>
      <c r="E87" s="11">
        <f>A87-'Mastercurve bestimmen'!$B$2</f>
        <v>-128</v>
      </c>
      <c r="F87" s="11">
        <f t="shared" si="10"/>
        <v>-39.784942920066641</v>
      </c>
      <c r="G87" s="11"/>
      <c r="H87" s="11">
        <f t="shared" si="11"/>
        <v>7.2057594037927936E+16</v>
      </c>
      <c r="I87" s="11">
        <f t="shared" si="9"/>
        <v>-562949953421312</v>
      </c>
      <c r="J87" s="11">
        <f t="shared" si="9"/>
        <v>4398046511104</v>
      </c>
      <c r="K87" s="11">
        <f t="shared" si="9"/>
        <v>-34359738368</v>
      </c>
      <c r="L87" s="11">
        <f t="shared" si="9"/>
        <v>268435456</v>
      </c>
      <c r="M87" s="11">
        <f t="shared" si="9"/>
        <v>-2097152</v>
      </c>
      <c r="N87" s="11">
        <f t="shared" si="9"/>
        <v>16384</v>
      </c>
      <c r="O87" s="11">
        <f t="shared" si="9"/>
        <v>-128</v>
      </c>
      <c r="P87" s="11">
        <f t="shared" si="13"/>
        <v>0</v>
      </c>
    </row>
    <row r="88" spans="1:16" x14ac:dyDescent="0.25">
      <c r="A88" s="11">
        <f t="shared" si="12"/>
        <v>33</v>
      </c>
      <c r="B88">
        <v>-39.542171350492389</v>
      </c>
      <c r="E88" s="11">
        <f>A88-'Mastercurve bestimmen'!$B$2</f>
        <v>-127</v>
      </c>
      <c r="F88" s="11">
        <f t="shared" si="10"/>
        <v>-39.542171350492389</v>
      </c>
      <c r="G88" s="11"/>
      <c r="H88" s="11">
        <f t="shared" si="11"/>
        <v>6.767523424101888E+16</v>
      </c>
      <c r="I88" s="11">
        <f t="shared" si="9"/>
        <v>-532875860165503</v>
      </c>
      <c r="J88" s="11">
        <f t="shared" si="9"/>
        <v>4195872914689</v>
      </c>
      <c r="K88" s="11">
        <f t="shared" si="9"/>
        <v>-33038369407</v>
      </c>
      <c r="L88" s="11">
        <f t="shared" si="9"/>
        <v>260144641</v>
      </c>
      <c r="M88" s="11">
        <f t="shared" si="9"/>
        <v>-2048383</v>
      </c>
      <c r="N88" s="11">
        <f t="shared" si="9"/>
        <v>16129</v>
      </c>
      <c r="O88" s="11">
        <f t="shared" si="9"/>
        <v>-127</v>
      </c>
      <c r="P88" s="11">
        <f t="shared" si="13"/>
        <v>0</v>
      </c>
    </row>
    <row r="89" spans="1:16" x14ac:dyDescent="0.25">
      <c r="A89" s="11">
        <f t="shared" si="12"/>
        <v>34</v>
      </c>
      <c r="B89">
        <v>-39.295786985123371</v>
      </c>
      <c r="E89" s="11">
        <f>A89-'Mastercurve bestimmen'!$B$2</f>
        <v>-126</v>
      </c>
      <c r="F89" s="11">
        <f t="shared" si="10"/>
        <v>-39.295786985123371</v>
      </c>
      <c r="G89" s="11"/>
      <c r="H89" s="11">
        <f t="shared" si="11"/>
        <v>6.3527879748485376E+16</v>
      </c>
      <c r="I89" s="11">
        <f t="shared" si="9"/>
        <v>-504189521813376</v>
      </c>
      <c r="J89" s="11">
        <f t="shared" si="9"/>
        <v>4001504141376</v>
      </c>
      <c r="K89" s="11">
        <f t="shared" si="9"/>
        <v>-31757969376</v>
      </c>
      <c r="L89" s="11">
        <f t="shared" si="9"/>
        <v>252047376</v>
      </c>
      <c r="M89" s="11">
        <f t="shared" si="9"/>
        <v>-2000376</v>
      </c>
      <c r="N89" s="11">
        <f t="shared" si="9"/>
        <v>15876</v>
      </c>
      <c r="O89" s="11">
        <f t="shared" si="9"/>
        <v>-126</v>
      </c>
      <c r="P89" s="11">
        <f t="shared" si="13"/>
        <v>0</v>
      </c>
    </row>
    <row r="90" spans="1:16" x14ac:dyDescent="0.25">
      <c r="A90" s="11">
        <f t="shared" si="12"/>
        <v>35</v>
      </c>
      <c r="B90">
        <v>-39.045761822926806</v>
      </c>
      <c r="E90" s="11">
        <f>A90-'Mastercurve bestimmen'!$B$2</f>
        <v>-125</v>
      </c>
      <c r="F90" s="11">
        <f t="shared" si="10"/>
        <v>-39.045761822926806</v>
      </c>
      <c r="G90" s="11"/>
      <c r="H90" s="11">
        <f t="shared" si="11"/>
        <v>5.9604644775390624E+16</v>
      </c>
      <c r="I90" s="11">
        <f t="shared" si="9"/>
        <v>-476837158203125</v>
      </c>
      <c r="J90" s="11">
        <f t="shared" si="9"/>
        <v>3814697265625</v>
      </c>
      <c r="K90" s="11">
        <f t="shared" si="9"/>
        <v>-30517578125</v>
      </c>
      <c r="L90" s="11">
        <f t="shared" si="9"/>
        <v>244140625</v>
      </c>
      <c r="M90" s="11">
        <f t="shared" si="9"/>
        <v>-1953125</v>
      </c>
      <c r="N90" s="11">
        <f t="shared" si="9"/>
        <v>15625</v>
      </c>
      <c r="O90" s="11">
        <f t="shared" si="9"/>
        <v>-125</v>
      </c>
      <c r="P90" s="11">
        <f t="shared" si="13"/>
        <v>0</v>
      </c>
    </row>
    <row r="91" spans="1:16" x14ac:dyDescent="0.25">
      <c r="A91" s="11">
        <f t="shared" si="12"/>
        <v>36</v>
      </c>
      <c r="B91">
        <v>-38.792067862869892</v>
      </c>
      <c r="E91" s="11">
        <f>A91-'Mastercurve bestimmen'!$B$2</f>
        <v>-124</v>
      </c>
      <c r="F91" s="11">
        <f t="shared" si="10"/>
        <v>-38.792067862869892</v>
      </c>
      <c r="G91" s="11"/>
      <c r="H91" s="11">
        <f t="shared" si="11"/>
        <v>5.5895067029733376E+16</v>
      </c>
      <c r="I91" s="11">
        <f t="shared" si="9"/>
        <v>-450766669594624</v>
      </c>
      <c r="J91" s="11">
        <f t="shared" si="9"/>
        <v>3635215077376</v>
      </c>
      <c r="K91" s="11">
        <f t="shared" si="9"/>
        <v>-29316250624</v>
      </c>
      <c r="L91" s="11">
        <f t="shared" si="9"/>
        <v>236421376</v>
      </c>
      <c r="M91" s="11">
        <f t="shared" si="9"/>
        <v>-1906624</v>
      </c>
      <c r="N91" s="11">
        <f t="shared" si="9"/>
        <v>15376</v>
      </c>
      <c r="O91" s="11">
        <f t="shared" si="9"/>
        <v>-124</v>
      </c>
      <c r="P91" s="11">
        <f t="shared" si="13"/>
        <v>0</v>
      </c>
    </row>
    <row r="92" spans="1:16" x14ac:dyDescent="0.25">
      <c r="A92" s="11">
        <f t="shared" si="12"/>
        <v>37</v>
      </c>
      <c r="B92">
        <v>-38.534677103919847</v>
      </c>
      <c r="E92" s="11">
        <f>A92-'Mastercurve bestimmen'!$B$2</f>
        <v>-123</v>
      </c>
      <c r="F92" s="11">
        <f t="shared" si="10"/>
        <v>-38.534677103919847</v>
      </c>
      <c r="G92" s="11"/>
      <c r="H92" s="11">
        <f t="shared" si="11"/>
        <v>5.238909442826288E+16</v>
      </c>
      <c r="I92" s="11">
        <f t="shared" si="9"/>
        <v>-425927596977747</v>
      </c>
      <c r="J92" s="11">
        <f t="shared" si="9"/>
        <v>3462825991689</v>
      </c>
      <c r="K92" s="11">
        <f t="shared" si="9"/>
        <v>-28153056843</v>
      </c>
      <c r="L92" s="11">
        <f t="shared" si="9"/>
        <v>228886641</v>
      </c>
      <c r="M92" s="11">
        <f t="shared" si="9"/>
        <v>-1860867</v>
      </c>
      <c r="N92" s="11">
        <f t="shared" si="9"/>
        <v>15129</v>
      </c>
      <c r="O92" s="11">
        <f t="shared" si="9"/>
        <v>-123</v>
      </c>
      <c r="P92" s="11">
        <f t="shared" si="13"/>
        <v>0</v>
      </c>
    </row>
    <row r="93" spans="1:16" x14ac:dyDescent="0.25">
      <c r="A93" s="11">
        <f t="shared" si="12"/>
        <v>38</v>
      </c>
      <c r="B93">
        <v>-38.273561545043862</v>
      </c>
      <c r="E93" s="11">
        <f>A93-'Mastercurve bestimmen'!$B$2</f>
        <v>-122</v>
      </c>
      <c r="F93" s="11">
        <f t="shared" si="10"/>
        <v>-38.273561545043862</v>
      </c>
      <c r="G93" s="11"/>
      <c r="H93" s="11">
        <f t="shared" si="11"/>
        <v>4.9077072127303936E+16</v>
      </c>
      <c r="I93" s="11">
        <f t="shared" si="9"/>
        <v>-402271083010688</v>
      </c>
      <c r="J93" s="11">
        <f t="shared" si="9"/>
        <v>3297303959104</v>
      </c>
      <c r="K93" s="11">
        <f t="shared" si="9"/>
        <v>-27027081632</v>
      </c>
      <c r="L93" s="11">
        <f t="shared" si="9"/>
        <v>221533456</v>
      </c>
      <c r="M93" s="11">
        <f t="shared" si="9"/>
        <v>-1815848</v>
      </c>
      <c r="N93" s="11">
        <f t="shared" si="9"/>
        <v>14884</v>
      </c>
      <c r="O93" s="11">
        <f t="shared" si="9"/>
        <v>-122</v>
      </c>
      <c r="P93" s="11">
        <f t="shared" si="13"/>
        <v>0</v>
      </c>
    </row>
    <row r="94" spans="1:16" x14ac:dyDescent="0.25">
      <c r="A94" s="11">
        <f t="shared" si="12"/>
        <v>39</v>
      </c>
      <c r="B94">
        <v>-38.008693185209154</v>
      </c>
      <c r="E94" s="11">
        <f>A94-'Mastercurve bestimmen'!$B$2</f>
        <v>-121</v>
      </c>
      <c r="F94" s="11">
        <f t="shared" si="10"/>
        <v>-38.008693185209154</v>
      </c>
      <c r="G94" s="11"/>
      <c r="H94" s="11">
        <f t="shared" si="11"/>
        <v>4.594972986357216E+16</v>
      </c>
      <c r="I94" s="11">
        <f t="shared" si="9"/>
        <v>-379749833583241</v>
      </c>
      <c r="J94" s="11">
        <f t="shared" si="9"/>
        <v>3138428376721</v>
      </c>
      <c r="K94" s="11">
        <f t="shared" si="9"/>
        <v>-25937424601</v>
      </c>
      <c r="L94" s="11">
        <f t="shared" si="9"/>
        <v>214358881</v>
      </c>
      <c r="M94" s="11">
        <f t="shared" si="9"/>
        <v>-1771561</v>
      </c>
      <c r="N94" s="11">
        <f t="shared" si="9"/>
        <v>14641</v>
      </c>
      <c r="O94" s="11">
        <f t="shared" si="9"/>
        <v>-121</v>
      </c>
      <c r="P94" s="11">
        <f t="shared" si="13"/>
        <v>0</v>
      </c>
    </row>
    <row r="95" spans="1:16" x14ac:dyDescent="0.25">
      <c r="A95" s="11">
        <f t="shared" si="12"/>
        <v>40</v>
      </c>
      <c r="B95">
        <v>-37.740044023382929</v>
      </c>
      <c r="E95" s="11">
        <f>A95-'Mastercurve bestimmen'!$B$2</f>
        <v>-120</v>
      </c>
      <c r="F95" s="11">
        <f t="shared" si="10"/>
        <v>-37.740044023382929</v>
      </c>
      <c r="G95" s="11"/>
      <c r="H95" s="11">
        <f t="shared" si="11"/>
        <v>4.29981696E+16</v>
      </c>
      <c r="I95" s="11">
        <f t="shared" si="9"/>
        <v>-358318080000000</v>
      </c>
      <c r="J95" s="11">
        <f t="shared" si="9"/>
        <v>2985984000000</v>
      </c>
      <c r="K95" s="11">
        <f t="shared" si="9"/>
        <v>-24883200000</v>
      </c>
      <c r="L95" s="11">
        <f t="shared" si="9"/>
        <v>207360000</v>
      </c>
      <c r="M95" s="11">
        <f t="shared" si="9"/>
        <v>-1728000</v>
      </c>
      <c r="N95" s="11">
        <f t="shared" si="9"/>
        <v>14400</v>
      </c>
      <c r="O95" s="11">
        <f t="shared" si="9"/>
        <v>-120</v>
      </c>
      <c r="P95" s="11">
        <f t="shared" si="13"/>
        <v>0</v>
      </c>
    </row>
    <row r="96" spans="1:16" x14ac:dyDescent="0.25">
      <c r="A96" s="11">
        <f t="shared" si="12"/>
        <v>41</v>
      </c>
      <c r="B96">
        <v>-37.467586058532397</v>
      </c>
      <c r="E96" s="11">
        <f>A96-'Mastercurve bestimmen'!$B$2</f>
        <v>-119</v>
      </c>
      <c r="F96" s="11">
        <f t="shared" si="10"/>
        <v>-37.467586058532397</v>
      </c>
      <c r="G96" s="11"/>
      <c r="H96" s="11">
        <f t="shared" si="11"/>
        <v>4.021385347163424E+16</v>
      </c>
      <c r="I96" s="11">
        <f t="shared" si="9"/>
        <v>-337931541778439</v>
      </c>
      <c r="J96" s="11">
        <f t="shared" si="9"/>
        <v>2839760855281</v>
      </c>
      <c r="K96" s="11">
        <f t="shared" si="9"/>
        <v>-23863536599</v>
      </c>
      <c r="L96" s="11">
        <f t="shared" si="9"/>
        <v>200533921</v>
      </c>
      <c r="M96" s="11">
        <f t="shared" si="9"/>
        <v>-1685159</v>
      </c>
      <c r="N96" s="11">
        <f t="shared" si="9"/>
        <v>14161</v>
      </c>
      <c r="O96" s="11">
        <f t="shared" si="9"/>
        <v>-119</v>
      </c>
      <c r="P96" s="11">
        <f t="shared" si="13"/>
        <v>0</v>
      </c>
    </row>
    <row r="97" spans="1:16" x14ac:dyDescent="0.25">
      <c r="A97" s="11">
        <f t="shared" si="12"/>
        <v>42</v>
      </c>
      <c r="B97">
        <v>-37.191291289624772</v>
      </c>
      <c r="E97" s="11">
        <f>A97-'Mastercurve bestimmen'!$B$2</f>
        <v>-118</v>
      </c>
      <c r="F97" s="11">
        <f t="shared" si="10"/>
        <v>-37.191291289624772</v>
      </c>
      <c r="G97" s="11"/>
      <c r="H97" s="11">
        <f t="shared" si="11"/>
        <v>3.7588592026706176E+16</v>
      </c>
      <c r="I97" s="11">
        <f t="shared" si="9"/>
        <v>-318547390056832</v>
      </c>
      <c r="J97" s="11">
        <f t="shared" si="9"/>
        <v>2699554153024</v>
      </c>
      <c r="K97" s="11">
        <f t="shared" si="9"/>
        <v>-22877577568</v>
      </c>
      <c r="L97" s="11">
        <f t="shared" si="9"/>
        <v>193877776</v>
      </c>
      <c r="M97" s="11">
        <f t="shared" si="9"/>
        <v>-1643032</v>
      </c>
      <c r="N97" s="11">
        <f t="shared" si="9"/>
        <v>13924</v>
      </c>
      <c r="O97" s="11">
        <f t="shared" si="9"/>
        <v>-118</v>
      </c>
      <c r="P97" s="11">
        <f t="shared" si="13"/>
        <v>0</v>
      </c>
    </row>
    <row r="98" spans="1:16" x14ac:dyDescent="0.25">
      <c r="A98" s="11">
        <f t="shared" si="12"/>
        <v>43</v>
      </c>
      <c r="B98">
        <v>-36.911131715627235</v>
      </c>
      <c r="E98" s="11">
        <f>A98-'Mastercurve bestimmen'!$B$2</f>
        <v>-117</v>
      </c>
      <c r="F98" s="11">
        <f t="shared" si="10"/>
        <v>-36.911131715627235</v>
      </c>
      <c r="G98" s="11"/>
      <c r="H98" s="11">
        <f t="shared" si="11"/>
        <v>3.511453275801584E+16</v>
      </c>
      <c r="I98" s="11">
        <f t="shared" si="9"/>
        <v>-300124211606973</v>
      </c>
      <c r="J98" s="11">
        <f t="shared" si="9"/>
        <v>2565164201769</v>
      </c>
      <c r="K98" s="11">
        <f t="shared" si="9"/>
        <v>-21924480357</v>
      </c>
      <c r="L98" s="11">
        <f t="shared" si="9"/>
        <v>187388721</v>
      </c>
      <c r="M98" s="11">
        <f t="shared" si="9"/>
        <v>-1601613</v>
      </c>
      <c r="N98" s="11">
        <f t="shared" si="9"/>
        <v>13689</v>
      </c>
      <c r="O98" s="11">
        <f t="shared" si="9"/>
        <v>-117</v>
      </c>
      <c r="P98" s="11">
        <f t="shared" si="13"/>
        <v>0</v>
      </c>
    </row>
    <row r="99" spans="1:16" x14ac:dyDescent="0.25">
      <c r="A99" s="11">
        <f t="shared" si="12"/>
        <v>44</v>
      </c>
      <c r="B99">
        <v>-36.62707933550702</v>
      </c>
      <c r="E99" s="11">
        <f>A99-'Mastercurve bestimmen'!$B$2</f>
        <v>-116</v>
      </c>
      <c r="F99" s="11">
        <f t="shared" si="10"/>
        <v>-36.62707933550702</v>
      </c>
      <c r="G99" s="11"/>
      <c r="H99" s="11">
        <f t="shared" si="11"/>
        <v>3.2784148919812096E+16</v>
      </c>
      <c r="I99" s="11">
        <f t="shared" si="9"/>
        <v>-282621973446656</v>
      </c>
      <c r="J99" s="11">
        <f t="shared" si="9"/>
        <v>2436396322816</v>
      </c>
      <c r="K99" s="11">
        <f t="shared" si="9"/>
        <v>-21003416576</v>
      </c>
      <c r="L99" s="11">
        <f t="shared" si="9"/>
        <v>181063936</v>
      </c>
      <c r="M99" s="11">
        <f t="shared" si="9"/>
        <v>-1560896</v>
      </c>
      <c r="N99" s="11">
        <f t="shared" si="9"/>
        <v>13456</v>
      </c>
      <c r="O99" s="11">
        <f t="shared" si="9"/>
        <v>-116</v>
      </c>
      <c r="P99" s="11">
        <f t="shared" si="13"/>
        <v>0</v>
      </c>
    </row>
    <row r="100" spans="1:16" x14ac:dyDescent="0.25">
      <c r="A100" s="11">
        <f t="shared" si="12"/>
        <v>45</v>
      </c>
      <c r="B100">
        <v>-36.33910614823133</v>
      </c>
      <c r="E100" s="11">
        <f>A100-'Mastercurve bestimmen'!$B$2</f>
        <v>-115</v>
      </c>
      <c r="F100" s="11">
        <f t="shared" si="10"/>
        <v>-36.33910614823133</v>
      </c>
      <c r="G100" s="11"/>
      <c r="H100" s="11">
        <f t="shared" si="11"/>
        <v>3.0590228625390624E+16</v>
      </c>
      <c r="I100" s="11">
        <f t="shared" si="9"/>
        <v>-266001988046875</v>
      </c>
      <c r="J100" s="11">
        <f t="shared" si="9"/>
        <v>2313060765625</v>
      </c>
      <c r="K100" s="11">
        <f t="shared" si="9"/>
        <v>-20113571875</v>
      </c>
      <c r="L100" s="11">
        <f t="shared" si="9"/>
        <v>174900625</v>
      </c>
      <c r="M100" s="11">
        <f t="shared" si="9"/>
        <v>-1520875</v>
      </c>
      <c r="N100" s="11">
        <f t="shared" si="9"/>
        <v>13225</v>
      </c>
      <c r="O100" s="11">
        <f t="shared" si="9"/>
        <v>-115</v>
      </c>
      <c r="P100" s="11">
        <f t="shared" si="13"/>
        <v>0</v>
      </c>
    </row>
    <row r="101" spans="1:16" x14ac:dyDescent="0.25">
      <c r="A101" s="11">
        <f t="shared" si="12"/>
        <v>46</v>
      </c>
      <c r="B101">
        <v>-36.047184152767358</v>
      </c>
      <c r="E101" s="11">
        <f>A101-'Mastercurve bestimmen'!$B$2</f>
        <v>-114</v>
      </c>
      <c r="F101" s="11">
        <f t="shared" si="10"/>
        <v>-36.047184152767358</v>
      </c>
      <c r="G101" s="11"/>
      <c r="H101" s="11">
        <f t="shared" si="11"/>
        <v>2.8525864220672256E+16</v>
      </c>
      <c r="I101" s="11">
        <f t="shared" si="9"/>
        <v>-250226879128704</v>
      </c>
      <c r="J101" s="11">
        <f t="shared" si="9"/>
        <v>2194972623936</v>
      </c>
      <c r="K101" s="11">
        <f t="shared" si="9"/>
        <v>-19254145824</v>
      </c>
      <c r="L101" s="11">
        <f t="shared" si="9"/>
        <v>168896016</v>
      </c>
      <c r="M101" s="11">
        <f t="shared" si="9"/>
        <v>-1481544</v>
      </c>
      <c r="N101" s="11">
        <f t="shared" si="9"/>
        <v>12996</v>
      </c>
      <c r="O101" s="11">
        <f t="shared" si="9"/>
        <v>-114</v>
      </c>
      <c r="P101" s="11">
        <f t="shared" si="13"/>
        <v>0</v>
      </c>
    </row>
    <row r="102" spans="1:16" x14ac:dyDescent="0.25">
      <c r="A102" s="11">
        <f t="shared" si="12"/>
        <v>47</v>
      </c>
      <c r="B102">
        <v>-35.751285348082327</v>
      </c>
      <c r="E102" s="11">
        <f>A102-'Mastercurve bestimmen'!$B$2</f>
        <v>-113</v>
      </c>
      <c r="F102" s="11">
        <f t="shared" si="10"/>
        <v>-35.751285348082327</v>
      </c>
      <c r="G102" s="11"/>
      <c r="H102" s="11">
        <f t="shared" si="11"/>
        <v>2.658444192906432E+16</v>
      </c>
      <c r="I102" s="11">
        <f t="shared" si="9"/>
        <v>-235260548044817</v>
      </c>
      <c r="J102" s="11">
        <f t="shared" si="9"/>
        <v>2081951752609</v>
      </c>
      <c r="K102" s="11">
        <f t="shared" si="9"/>
        <v>-18424351793</v>
      </c>
      <c r="L102" s="11">
        <f t="shared" si="9"/>
        <v>163047361</v>
      </c>
      <c r="M102" s="11">
        <f t="shared" si="9"/>
        <v>-1442897</v>
      </c>
      <c r="N102" s="11">
        <f t="shared" si="9"/>
        <v>12769</v>
      </c>
      <c r="O102" s="11">
        <f t="shared" si="9"/>
        <v>-113</v>
      </c>
      <c r="P102" s="11">
        <f t="shared" si="13"/>
        <v>0</v>
      </c>
    </row>
    <row r="103" spans="1:16" x14ac:dyDescent="0.25">
      <c r="A103" s="11">
        <f t="shared" si="12"/>
        <v>48</v>
      </c>
      <c r="B103">
        <v>-35.451381733143435</v>
      </c>
      <c r="E103" s="11">
        <f>A103-'Mastercurve bestimmen'!$B$2</f>
        <v>-112</v>
      </c>
      <c r="F103" s="11">
        <f t="shared" si="10"/>
        <v>-35.451381733143435</v>
      </c>
      <c r="G103" s="11"/>
      <c r="H103" s="11">
        <f t="shared" si="11"/>
        <v>2.4759631762948096E+16</v>
      </c>
      <c r="I103" s="11">
        <f t="shared" si="9"/>
        <v>-221068140740608</v>
      </c>
      <c r="J103" s="11">
        <f t="shared" si="9"/>
        <v>1973822685184</v>
      </c>
      <c r="K103" s="11">
        <f t="shared" si="9"/>
        <v>-17623416832</v>
      </c>
      <c r="L103" s="11">
        <f t="shared" si="9"/>
        <v>157351936</v>
      </c>
      <c r="M103" s="11">
        <f t="shared" si="9"/>
        <v>-1404928</v>
      </c>
      <c r="N103" s="11">
        <f t="shared" si="9"/>
        <v>12544</v>
      </c>
      <c r="O103" s="11">
        <f t="shared" si="9"/>
        <v>-112</v>
      </c>
      <c r="P103" s="11">
        <f t="shared" si="13"/>
        <v>0</v>
      </c>
    </row>
    <row r="104" spans="1:16" x14ac:dyDescent="0.25">
      <c r="A104" s="11">
        <f t="shared" si="12"/>
        <v>49</v>
      </c>
      <c r="B104">
        <v>-35.147445306917888</v>
      </c>
      <c r="E104" s="11">
        <f>A104-'Mastercurve bestimmen'!$B$2</f>
        <v>-111</v>
      </c>
      <c r="F104" s="11">
        <f t="shared" si="10"/>
        <v>-35.147445306917888</v>
      </c>
      <c r="G104" s="11"/>
      <c r="H104" s="11">
        <f t="shared" si="11"/>
        <v>2.304537769717568E+16</v>
      </c>
      <c r="I104" s="11">
        <f t="shared" si="9"/>
        <v>-207616015289871</v>
      </c>
      <c r="J104" s="11">
        <f t="shared" si="9"/>
        <v>1870414552161</v>
      </c>
      <c r="K104" s="11">
        <f t="shared" si="9"/>
        <v>-16850581551</v>
      </c>
      <c r="L104" s="11">
        <f t="shared" si="9"/>
        <v>151807041</v>
      </c>
      <c r="M104" s="11">
        <f t="shared" si="9"/>
        <v>-1367631</v>
      </c>
      <c r="N104" s="11">
        <f t="shared" si="9"/>
        <v>12321</v>
      </c>
      <c r="O104" s="11">
        <f t="shared" si="9"/>
        <v>-111</v>
      </c>
      <c r="P104" s="11">
        <f t="shared" si="13"/>
        <v>0</v>
      </c>
    </row>
    <row r="105" spans="1:16" x14ac:dyDescent="0.25">
      <c r="A105" s="11">
        <f t="shared" si="12"/>
        <v>50</v>
      </c>
      <c r="B105">
        <v>-34.83944806837291</v>
      </c>
      <c r="E105" s="11">
        <f>A105-'Mastercurve bestimmen'!$B$2</f>
        <v>-110</v>
      </c>
      <c r="F105" s="11">
        <f t="shared" si="10"/>
        <v>-34.83944806837291</v>
      </c>
      <c r="G105" s="11"/>
      <c r="H105" s="11">
        <f t="shared" si="11"/>
        <v>2.14358881E+16</v>
      </c>
      <c r="I105" s="11">
        <f t="shared" si="9"/>
        <v>-194871710000000</v>
      </c>
      <c r="J105" s="11">
        <f t="shared" si="9"/>
        <v>1771561000000</v>
      </c>
      <c r="K105" s="11">
        <f t="shared" si="9"/>
        <v>-16105100000</v>
      </c>
      <c r="L105" s="11">
        <f t="shared" si="9"/>
        <v>146410000</v>
      </c>
      <c r="M105" s="11">
        <f t="shared" si="9"/>
        <v>-1331000</v>
      </c>
      <c r="N105" s="11">
        <f t="shared" si="9"/>
        <v>12100</v>
      </c>
      <c r="O105" s="11">
        <f t="shared" si="9"/>
        <v>-110</v>
      </c>
      <c r="P105" s="11">
        <f t="shared" si="13"/>
        <v>0</v>
      </c>
    </row>
    <row r="106" spans="1:16" x14ac:dyDescent="0.25">
      <c r="A106" s="11">
        <f t="shared" si="12"/>
        <v>51</v>
      </c>
      <c r="B106">
        <v>-34.527360311183998</v>
      </c>
      <c r="E106" s="11">
        <f>A106-'Mastercurve bestimmen'!$B$2</f>
        <v>-109</v>
      </c>
      <c r="F106" s="11">
        <f t="shared" si="10"/>
        <v>-34.527360311183998</v>
      </c>
      <c r="G106" s="11"/>
      <c r="H106" s="11">
        <f t="shared" si="11"/>
        <v>1.992562641690192E+16</v>
      </c>
      <c r="I106" s="11">
        <f t="shared" si="9"/>
        <v>-182803912081669</v>
      </c>
      <c r="J106" s="11">
        <f t="shared" si="9"/>
        <v>1677100110841</v>
      </c>
      <c r="K106" s="11">
        <f t="shared" si="9"/>
        <v>-15386239549</v>
      </c>
      <c r="L106" s="11">
        <f t="shared" si="9"/>
        <v>141158161</v>
      </c>
      <c r="M106" s="11">
        <f t="shared" si="9"/>
        <v>-1295029</v>
      </c>
      <c r="N106" s="11">
        <f t="shared" si="9"/>
        <v>11881</v>
      </c>
      <c r="O106" s="11">
        <f t="shared" si="9"/>
        <v>-109</v>
      </c>
      <c r="P106" s="11">
        <f t="shared" si="13"/>
        <v>0</v>
      </c>
    </row>
    <row r="107" spans="1:16" x14ac:dyDescent="0.25">
      <c r="A107" s="11">
        <f t="shared" si="12"/>
        <v>52</v>
      </c>
      <c r="B107">
        <v>-34.211145507859946</v>
      </c>
      <c r="E107" s="11">
        <f>A107-'Mastercurve bestimmen'!$B$2</f>
        <v>-108</v>
      </c>
      <c r="F107" s="11">
        <f t="shared" si="10"/>
        <v>-34.211145507859946</v>
      </c>
      <c r="G107" s="11"/>
      <c r="H107" s="11">
        <f t="shared" si="11"/>
        <v>1.8509302102818816E+16</v>
      </c>
      <c r="I107" s="11">
        <f t="shared" si="9"/>
        <v>-171382426877952</v>
      </c>
      <c r="J107" s="11">
        <f t="shared" si="9"/>
        <v>1586874322944</v>
      </c>
      <c r="K107" s="11">
        <f t="shared" si="9"/>
        <v>-14693280768</v>
      </c>
      <c r="L107" s="11">
        <f t="shared" si="9"/>
        <v>136048896</v>
      </c>
      <c r="M107" s="11">
        <f t="shared" si="9"/>
        <v>-1259712</v>
      </c>
      <c r="N107" s="11">
        <f t="shared" si="9"/>
        <v>11664</v>
      </c>
      <c r="O107" s="11">
        <f t="shared" si="9"/>
        <v>-108</v>
      </c>
      <c r="P107" s="11">
        <f t="shared" si="13"/>
        <v>0</v>
      </c>
    </row>
    <row r="108" spans="1:16" x14ac:dyDescent="0.25">
      <c r="A108" s="11">
        <f t="shared" si="12"/>
        <v>53</v>
      </c>
      <c r="B108">
        <v>-33.890765425617857</v>
      </c>
      <c r="E108" s="11">
        <f>A108-'Mastercurve bestimmen'!$B$2</f>
        <v>-107</v>
      </c>
      <c r="F108" s="11">
        <f t="shared" si="10"/>
        <v>-33.890765425617857</v>
      </c>
      <c r="G108" s="11"/>
      <c r="H108" s="11">
        <f t="shared" si="11"/>
        <v>1.71818617983192E+16</v>
      </c>
      <c r="I108" s="11">
        <f t="shared" si="9"/>
        <v>-160578147647843</v>
      </c>
      <c r="J108" s="11">
        <f t="shared" si="9"/>
        <v>1500730351849</v>
      </c>
      <c r="K108" s="11">
        <f t="shared" si="9"/>
        <v>-14025517307</v>
      </c>
      <c r="L108" s="11">
        <f t="shared" si="9"/>
        <v>131079601</v>
      </c>
      <c r="M108" s="11">
        <f t="shared" si="9"/>
        <v>-1225043</v>
      </c>
      <c r="N108" s="11">
        <f t="shared" si="9"/>
        <v>11449</v>
      </c>
      <c r="O108" s="11">
        <f t="shared" si="9"/>
        <v>-107</v>
      </c>
      <c r="P108" s="11">
        <f t="shared" si="13"/>
        <v>0</v>
      </c>
    </row>
    <row r="109" spans="1:16" x14ac:dyDescent="0.25">
      <c r="A109" s="11">
        <f t="shared" si="12"/>
        <v>54</v>
      </c>
      <c r="B109">
        <v>-33.566181831674811</v>
      </c>
      <c r="E109" s="11">
        <f>A109-'Mastercurve bestimmen'!$B$2</f>
        <v>-106</v>
      </c>
      <c r="F109" s="11">
        <f t="shared" si="10"/>
        <v>-33.566181831674811</v>
      </c>
      <c r="G109" s="11"/>
      <c r="H109" s="11">
        <f t="shared" si="11"/>
        <v>1.5938480745308416E+16</v>
      </c>
      <c r="I109" s="11">
        <f t="shared" si="9"/>
        <v>-150363025899136</v>
      </c>
      <c r="J109" s="11">
        <f t="shared" si="9"/>
        <v>1418519112256</v>
      </c>
      <c r="K109" s="11">
        <f t="shared" si="9"/>
        <v>-13382255776</v>
      </c>
      <c r="L109" s="11">
        <f t="shared" si="9"/>
        <v>126247696</v>
      </c>
      <c r="M109" s="11">
        <f t="shared" si="9"/>
        <v>-1191016</v>
      </c>
      <c r="N109" s="11">
        <f t="shared" si="9"/>
        <v>11236</v>
      </c>
      <c r="O109" s="11">
        <f t="shared" si="9"/>
        <v>-106</v>
      </c>
      <c r="P109" s="11">
        <f t="shared" si="13"/>
        <v>0</v>
      </c>
    </row>
    <row r="110" spans="1:16" x14ac:dyDescent="0.25">
      <c r="A110" s="11">
        <f t="shared" si="12"/>
        <v>55</v>
      </c>
      <c r="B110">
        <v>-33.237356493247916</v>
      </c>
      <c r="E110" s="11">
        <f>A110-'Mastercurve bestimmen'!$B$2</f>
        <v>-105</v>
      </c>
      <c r="F110" s="11">
        <f t="shared" si="10"/>
        <v>-33.237356493247916</v>
      </c>
      <c r="G110" s="11"/>
      <c r="H110" s="11">
        <f t="shared" si="11"/>
        <v>1.4774554437890624E+16</v>
      </c>
      <c r="I110" s="11">
        <f t="shared" si="9"/>
        <v>-140710042265625</v>
      </c>
      <c r="J110" s="11">
        <f t="shared" si="9"/>
        <v>1340095640625</v>
      </c>
      <c r="K110" s="11">
        <f t="shared" si="9"/>
        <v>-12762815625</v>
      </c>
      <c r="L110" s="11">
        <f t="shared" si="9"/>
        <v>121550625</v>
      </c>
      <c r="M110" s="11">
        <f t="shared" si="9"/>
        <v>-1157625</v>
      </c>
      <c r="N110" s="11">
        <f t="shared" si="9"/>
        <v>11025</v>
      </c>
      <c r="O110" s="11">
        <f t="shared" si="9"/>
        <v>-105</v>
      </c>
      <c r="P110" s="11">
        <f t="shared" si="13"/>
        <v>0</v>
      </c>
    </row>
    <row r="111" spans="1:16" x14ac:dyDescent="0.25">
      <c r="A111" s="11">
        <f t="shared" si="12"/>
        <v>56</v>
      </c>
      <c r="B111">
        <v>-32.904251177554258</v>
      </c>
      <c r="E111" s="11">
        <f>A111-'Mastercurve bestimmen'!$B$2</f>
        <v>-104</v>
      </c>
      <c r="F111" s="11">
        <f t="shared" si="10"/>
        <v>-32.904251177554258</v>
      </c>
      <c r="G111" s="11"/>
      <c r="H111" s="11">
        <f t="shared" si="11"/>
        <v>1.3685690504052736E+16</v>
      </c>
      <c r="I111" s="11">
        <f t="shared" si="9"/>
        <v>-131593177923584</v>
      </c>
      <c r="J111" s="11">
        <f t="shared" si="9"/>
        <v>1265319018496</v>
      </c>
      <c r="K111" s="11">
        <f t="shared" si="9"/>
        <v>-12166529024</v>
      </c>
      <c r="L111" s="11">
        <f t="shared" si="9"/>
        <v>116985856</v>
      </c>
      <c r="M111" s="11">
        <f t="shared" si="9"/>
        <v>-1124864</v>
      </c>
      <c r="N111" s="11">
        <f t="shared" si="9"/>
        <v>10816</v>
      </c>
      <c r="O111" s="11">
        <f t="shared" si="9"/>
        <v>-104</v>
      </c>
      <c r="P111" s="11">
        <f t="shared" si="13"/>
        <v>0</v>
      </c>
    </row>
    <row r="112" spans="1:16" x14ac:dyDescent="0.25">
      <c r="A112" s="11">
        <f t="shared" si="12"/>
        <v>57</v>
      </c>
      <c r="B112">
        <v>-32.566827651810954</v>
      </c>
      <c r="E112" s="11">
        <f>A112-'Mastercurve bestimmen'!$B$2</f>
        <v>-103</v>
      </c>
      <c r="F112" s="11">
        <f t="shared" si="10"/>
        <v>-32.566827651810954</v>
      </c>
      <c r="G112" s="11"/>
      <c r="H112" s="11">
        <f t="shared" si="11"/>
        <v>1.266770081387616E+16</v>
      </c>
      <c r="I112" s="11">
        <f t="shared" si="9"/>
        <v>-122987386542487</v>
      </c>
      <c r="J112" s="11">
        <f t="shared" si="9"/>
        <v>1194052296529</v>
      </c>
      <c r="K112" s="11">
        <f t="shared" si="9"/>
        <v>-11592740743</v>
      </c>
      <c r="L112" s="11">
        <f t="shared" si="9"/>
        <v>112550881</v>
      </c>
      <c r="M112" s="11">
        <f t="shared" si="9"/>
        <v>-1092727</v>
      </c>
      <c r="N112" s="11">
        <f t="shared" si="9"/>
        <v>10609</v>
      </c>
      <c r="O112" s="11">
        <f t="shared" si="9"/>
        <v>-103</v>
      </c>
      <c r="P112" s="11">
        <f t="shared" si="13"/>
        <v>0</v>
      </c>
    </row>
    <row r="113" spans="1:16" x14ac:dyDescent="0.25">
      <c r="A113" s="11">
        <f t="shared" si="12"/>
        <v>58</v>
      </c>
      <c r="B113">
        <v>-32.225047683235076</v>
      </c>
      <c r="E113" s="11">
        <f>A113-'Mastercurve bestimmen'!$B$2</f>
        <v>-102</v>
      </c>
      <c r="F113" s="11">
        <f t="shared" si="10"/>
        <v>-32.225047683235076</v>
      </c>
      <c r="G113" s="11"/>
      <c r="H113" s="11">
        <f t="shared" si="11"/>
        <v>1.1716593810022656E+16</v>
      </c>
      <c r="I113" s="11">
        <f t="shared" si="9"/>
        <v>-114868566764928</v>
      </c>
      <c r="J113" s="11">
        <f t="shared" si="9"/>
        <v>1126162419264</v>
      </c>
      <c r="K113" s="11">
        <f t="shared" si="9"/>
        <v>-11040808032</v>
      </c>
      <c r="L113" s="11">
        <f t="shared" si="9"/>
        <v>108243216</v>
      </c>
      <c r="M113" s="11">
        <f t="shared" si="9"/>
        <v>-1061208</v>
      </c>
      <c r="N113" s="11">
        <f t="shared" si="9"/>
        <v>10404</v>
      </c>
      <c r="O113" s="11">
        <f t="shared" si="9"/>
        <v>-102</v>
      </c>
      <c r="P113" s="11">
        <f t="shared" si="13"/>
        <v>0</v>
      </c>
    </row>
    <row r="114" spans="1:16" x14ac:dyDescent="0.25">
      <c r="A114" s="11">
        <f t="shared" si="12"/>
        <v>59</v>
      </c>
      <c r="B114">
        <v>-31.878873039043732</v>
      </c>
      <c r="E114" s="11">
        <f>A114-'Mastercurve bestimmen'!$B$2</f>
        <v>-101</v>
      </c>
      <c r="F114" s="11">
        <f t="shared" si="10"/>
        <v>-31.878873039043732</v>
      </c>
      <c r="G114" s="11"/>
      <c r="H114" s="11">
        <f t="shared" si="11"/>
        <v>1.08285670562808E+16</v>
      </c>
      <c r="I114" s="11">
        <f t="shared" si="9"/>
        <v>-107213535210701</v>
      </c>
      <c r="J114" s="11">
        <f t="shared" si="9"/>
        <v>1061520150601</v>
      </c>
      <c r="K114" s="11">
        <f t="shared" si="9"/>
        <v>-10510100501</v>
      </c>
      <c r="L114" s="11">
        <f t="shared" si="9"/>
        <v>104060401</v>
      </c>
      <c r="M114" s="11">
        <f t="shared" si="9"/>
        <v>-1030301</v>
      </c>
      <c r="N114" s="11">
        <f t="shared" si="9"/>
        <v>10201</v>
      </c>
      <c r="O114" s="11">
        <f t="shared" si="9"/>
        <v>-101</v>
      </c>
      <c r="P114" s="11">
        <f t="shared" si="13"/>
        <v>0</v>
      </c>
    </row>
    <row r="115" spans="1:16" x14ac:dyDescent="0.25">
      <c r="A115" s="11">
        <f t="shared" si="12"/>
        <v>60</v>
      </c>
      <c r="B115">
        <v>-31.528265486454018</v>
      </c>
      <c r="E115" s="11">
        <f>A115-'Mastercurve bestimmen'!$B$2</f>
        <v>-100</v>
      </c>
      <c r="F115" s="11">
        <f t="shared" si="10"/>
        <v>-31.528265486454018</v>
      </c>
      <c r="G115" s="11"/>
      <c r="H115" s="11">
        <f t="shared" si="11"/>
        <v>1E+16</v>
      </c>
      <c r="I115" s="11">
        <f t="shared" si="9"/>
        <v>-100000000000000</v>
      </c>
      <c r="J115" s="11">
        <f t="shared" si="9"/>
        <v>1000000000000</v>
      </c>
      <c r="K115" s="11">
        <f t="shared" si="9"/>
        <v>-10000000000</v>
      </c>
      <c r="L115" s="11">
        <f t="shared" si="9"/>
        <v>100000000</v>
      </c>
      <c r="M115" s="11">
        <f t="shared" si="9"/>
        <v>-1000000</v>
      </c>
      <c r="N115" s="11">
        <f t="shared" si="9"/>
        <v>10000</v>
      </c>
      <c r="O115" s="11">
        <f t="shared" si="9"/>
        <v>-100</v>
      </c>
      <c r="P115" s="11">
        <f t="shared" si="13"/>
        <v>0</v>
      </c>
    </row>
    <row r="116" spans="1:16" x14ac:dyDescent="0.25">
      <c r="A116" s="11">
        <f t="shared" si="12"/>
        <v>61</v>
      </c>
      <c r="B116">
        <v>-31.173186792683023</v>
      </c>
      <c r="E116" s="11">
        <f>A116-'Mastercurve bestimmen'!$B$2</f>
        <v>-99</v>
      </c>
      <c r="F116" s="11">
        <f t="shared" si="10"/>
        <v>-31.173186792683023</v>
      </c>
      <c r="G116" s="11"/>
      <c r="H116" s="11">
        <f t="shared" si="11"/>
        <v>9227446944279200</v>
      </c>
      <c r="I116" s="11">
        <f t="shared" si="9"/>
        <v>-93206534790699</v>
      </c>
      <c r="J116" s="11">
        <f t="shared" si="9"/>
        <v>941480149401</v>
      </c>
      <c r="K116" s="11">
        <f t="shared" ref="I116:O152" si="14">IF($H$12&gt;=K$14,$E116^K$14,0)</f>
        <v>-9509900499</v>
      </c>
      <c r="L116" s="11">
        <f t="shared" si="14"/>
        <v>96059601</v>
      </c>
      <c r="M116" s="11">
        <f t="shared" si="14"/>
        <v>-970299</v>
      </c>
      <c r="N116" s="11">
        <f t="shared" si="14"/>
        <v>9801</v>
      </c>
      <c r="O116" s="11">
        <f t="shared" si="14"/>
        <v>-99</v>
      </c>
      <c r="P116" s="11">
        <f t="shared" si="13"/>
        <v>0</v>
      </c>
    </row>
    <row r="117" spans="1:16" x14ac:dyDescent="0.25">
      <c r="A117" s="11">
        <f t="shared" si="12"/>
        <v>62</v>
      </c>
      <c r="B117">
        <v>-30.813598724947848</v>
      </c>
      <c r="E117" s="11">
        <f>A117-'Mastercurve bestimmen'!$B$2</f>
        <v>-98</v>
      </c>
      <c r="F117" s="11">
        <f t="shared" si="10"/>
        <v>-30.813598724947848</v>
      </c>
      <c r="G117" s="11"/>
      <c r="H117" s="11">
        <f t="shared" si="11"/>
        <v>8507630225817856</v>
      </c>
      <c r="I117" s="11">
        <f t="shared" si="14"/>
        <v>-86812553324672</v>
      </c>
      <c r="J117" s="11">
        <f t="shared" si="14"/>
        <v>885842380864</v>
      </c>
      <c r="K117" s="11">
        <f t="shared" si="14"/>
        <v>-9039207968</v>
      </c>
      <c r="L117" s="11">
        <f t="shared" si="14"/>
        <v>92236816</v>
      </c>
      <c r="M117" s="11">
        <f t="shared" si="14"/>
        <v>-941192</v>
      </c>
      <c r="N117" s="11">
        <f t="shared" si="14"/>
        <v>9604</v>
      </c>
      <c r="O117" s="11">
        <f t="shared" si="14"/>
        <v>-98</v>
      </c>
      <c r="P117" s="11">
        <f t="shared" si="13"/>
        <v>0</v>
      </c>
    </row>
    <row r="118" spans="1:16" x14ac:dyDescent="0.25">
      <c r="A118" s="11">
        <f t="shared" si="12"/>
        <v>63</v>
      </c>
      <c r="B118">
        <v>-30.449463050465592</v>
      </c>
      <c r="E118" s="11">
        <f>A118-'Mastercurve bestimmen'!$B$2</f>
        <v>-97</v>
      </c>
      <c r="F118" s="11">
        <f t="shared" si="10"/>
        <v>-30.449463050465592</v>
      </c>
      <c r="G118" s="11"/>
      <c r="H118" s="11">
        <f t="shared" si="11"/>
        <v>7837433594376961</v>
      </c>
      <c r="I118" s="11">
        <f t="shared" si="14"/>
        <v>-80798284478113</v>
      </c>
      <c r="J118" s="11">
        <f t="shared" si="14"/>
        <v>832972004929</v>
      </c>
      <c r="K118" s="11">
        <f t="shared" si="14"/>
        <v>-8587340257</v>
      </c>
      <c r="L118" s="11">
        <f t="shared" si="14"/>
        <v>88529281</v>
      </c>
      <c r="M118" s="11">
        <f t="shared" si="14"/>
        <v>-912673</v>
      </c>
      <c r="N118" s="11">
        <f t="shared" si="14"/>
        <v>9409</v>
      </c>
      <c r="O118" s="11">
        <f t="shared" si="14"/>
        <v>-97</v>
      </c>
      <c r="P118" s="11">
        <f t="shared" si="13"/>
        <v>0</v>
      </c>
    </row>
    <row r="119" spans="1:16" x14ac:dyDescent="0.25">
      <c r="A119" s="11">
        <f t="shared" si="12"/>
        <v>64</v>
      </c>
      <c r="B119">
        <v>-30.080741536453342</v>
      </c>
      <c r="E119" s="11">
        <f>A119-'Mastercurve bestimmen'!$B$2</f>
        <v>-96</v>
      </c>
      <c r="F119" s="11">
        <f t="shared" si="10"/>
        <v>-30.080741536453342</v>
      </c>
      <c r="G119" s="11"/>
      <c r="H119" s="11">
        <f t="shared" si="11"/>
        <v>7213895789838336</v>
      </c>
      <c r="I119" s="11">
        <f t="shared" si="14"/>
        <v>-75144747810816</v>
      </c>
      <c r="J119" s="11">
        <f t="shared" si="14"/>
        <v>782757789696</v>
      </c>
      <c r="K119" s="11">
        <f t="shared" si="14"/>
        <v>-8153726976</v>
      </c>
      <c r="L119" s="11">
        <f t="shared" si="14"/>
        <v>84934656</v>
      </c>
      <c r="M119" s="11">
        <f t="shared" si="14"/>
        <v>-884736</v>
      </c>
      <c r="N119" s="11">
        <f t="shared" si="14"/>
        <v>9216</v>
      </c>
      <c r="O119" s="11">
        <f t="shared" si="14"/>
        <v>-96</v>
      </c>
      <c r="P119" s="11">
        <f t="shared" si="13"/>
        <v>0</v>
      </c>
    </row>
    <row r="120" spans="1:16" x14ac:dyDescent="0.25">
      <c r="A120" s="11">
        <f t="shared" si="12"/>
        <v>65</v>
      </c>
      <c r="B120">
        <v>-29.707395950128202</v>
      </c>
      <c r="E120" s="11">
        <f>A120-'Mastercurve bestimmen'!$B$2</f>
        <v>-95</v>
      </c>
      <c r="F120" s="11">
        <f t="shared" si="10"/>
        <v>-29.707395950128202</v>
      </c>
      <c r="G120" s="11"/>
      <c r="H120" s="11">
        <f t="shared" si="11"/>
        <v>6634204312890625</v>
      </c>
      <c r="I120" s="11">
        <f t="shared" si="14"/>
        <v>-69833729609375</v>
      </c>
      <c r="J120" s="11">
        <f t="shared" si="14"/>
        <v>735091890625</v>
      </c>
      <c r="K120" s="11">
        <f t="shared" si="14"/>
        <v>-7737809375</v>
      </c>
      <c r="L120" s="11">
        <f t="shared" si="14"/>
        <v>81450625</v>
      </c>
      <c r="M120" s="11">
        <f t="shared" si="14"/>
        <v>-857375</v>
      </c>
      <c r="N120" s="11">
        <f t="shared" si="14"/>
        <v>9025</v>
      </c>
      <c r="O120" s="11">
        <f t="shared" si="14"/>
        <v>-95</v>
      </c>
      <c r="P120" s="11">
        <f t="shared" si="13"/>
        <v>0</v>
      </c>
    </row>
    <row r="121" spans="1:16" x14ac:dyDescent="0.25">
      <c r="A121" s="11">
        <f t="shared" si="12"/>
        <v>66</v>
      </c>
      <c r="B121">
        <v>-29.32938805870727</v>
      </c>
      <c r="E121" s="11">
        <f>A121-'Mastercurve bestimmen'!$B$2</f>
        <v>-94</v>
      </c>
      <c r="F121" s="11">
        <f t="shared" si="10"/>
        <v>-29.32938805870727</v>
      </c>
      <c r="G121" s="11"/>
      <c r="H121" s="11">
        <f t="shared" si="11"/>
        <v>6095689385410816</v>
      </c>
      <c r="I121" s="11">
        <f t="shared" si="14"/>
        <v>-64847759419264</v>
      </c>
      <c r="J121" s="11">
        <f t="shared" si="14"/>
        <v>689869781056</v>
      </c>
      <c r="K121" s="11">
        <f t="shared" si="14"/>
        <v>-7339040224</v>
      </c>
      <c r="L121" s="11">
        <f t="shared" si="14"/>
        <v>78074896</v>
      </c>
      <c r="M121" s="11">
        <f t="shared" si="14"/>
        <v>-830584</v>
      </c>
      <c r="N121" s="11">
        <f t="shared" si="14"/>
        <v>8836</v>
      </c>
      <c r="O121" s="11">
        <f t="shared" si="14"/>
        <v>-94</v>
      </c>
      <c r="P121" s="11">
        <f t="shared" si="13"/>
        <v>0</v>
      </c>
    </row>
    <row r="122" spans="1:16" x14ac:dyDescent="0.25">
      <c r="A122" s="11">
        <f t="shared" si="12"/>
        <v>67</v>
      </c>
      <c r="B122">
        <v>-28.946679629407633</v>
      </c>
      <c r="E122" s="11">
        <f>A122-'Mastercurve bestimmen'!$B$2</f>
        <v>-93</v>
      </c>
      <c r="F122" s="11">
        <f t="shared" si="10"/>
        <v>-28.946679629407633</v>
      </c>
      <c r="G122" s="11"/>
      <c r="H122" s="11">
        <f t="shared" si="11"/>
        <v>5595818096650401</v>
      </c>
      <c r="I122" s="11">
        <f t="shared" si="14"/>
        <v>-60170087060757</v>
      </c>
      <c r="J122" s="11">
        <f t="shared" si="14"/>
        <v>646990183449</v>
      </c>
      <c r="K122" s="11">
        <f t="shared" si="14"/>
        <v>-6956883693</v>
      </c>
      <c r="L122" s="11">
        <f t="shared" si="14"/>
        <v>74805201</v>
      </c>
      <c r="M122" s="11">
        <f t="shared" si="14"/>
        <v>-804357</v>
      </c>
      <c r="N122" s="11">
        <f t="shared" si="14"/>
        <v>8649</v>
      </c>
      <c r="O122" s="11">
        <f t="shared" si="14"/>
        <v>-93</v>
      </c>
      <c r="P122" s="11">
        <f t="shared" si="13"/>
        <v>0</v>
      </c>
    </row>
    <row r="123" spans="1:16" x14ac:dyDescent="0.25">
      <c r="A123" s="11">
        <f t="shared" si="12"/>
        <v>68</v>
      </c>
      <c r="B123">
        <v>-28.559232429446389</v>
      </c>
      <c r="E123" s="11">
        <f>A123-'Mastercurve bestimmen'!$B$2</f>
        <v>-92</v>
      </c>
      <c r="F123" s="11">
        <f t="shared" si="10"/>
        <v>-28.559232429446389</v>
      </c>
      <c r="G123" s="11"/>
      <c r="H123" s="11">
        <f t="shared" si="11"/>
        <v>5132188731375616</v>
      </c>
      <c r="I123" s="11">
        <f t="shared" si="14"/>
        <v>-55784660123648</v>
      </c>
      <c r="J123" s="11">
        <f t="shared" si="14"/>
        <v>606355001344</v>
      </c>
      <c r="K123" s="11">
        <f t="shared" si="14"/>
        <v>-6590815232</v>
      </c>
      <c r="L123" s="11">
        <f t="shared" si="14"/>
        <v>71639296</v>
      </c>
      <c r="M123" s="11">
        <f t="shared" si="14"/>
        <v>-778688</v>
      </c>
      <c r="N123" s="11">
        <f t="shared" si="14"/>
        <v>8464</v>
      </c>
      <c r="O123" s="11">
        <f t="shared" si="14"/>
        <v>-92</v>
      </c>
      <c r="P123" s="11">
        <f t="shared" si="13"/>
        <v>0</v>
      </c>
    </row>
    <row r="124" spans="1:16" x14ac:dyDescent="0.25">
      <c r="A124" s="11">
        <f t="shared" si="12"/>
        <v>69</v>
      </c>
      <c r="B124">
        <v>-28.167008226040643</v>
      </c>
      <c r="E124" s="11">
        <f>A124-'Mastercurve bestimmen'!$B$2</f>
        <v>-91</v>
      </c>
      <c r="F124" s="11">
        <f t="shared" si="10"/>
        <v>-28.167008226040643</v>
      </c>
      <c r="G124" s="11"/>
      <c r="H124" s="11">
        <f t="shared" si="11"/>
        <v>4702525276151521</v>
      </c>
      <c r="I124" s="11">
        <f t="shared" si="14"/>
        <v>-51676101935731</v>
      </c>
      <c r="J124" s="11">
        <f t="shared" si="14"/>
        <v>567869252041</v>
      </c>
      <c r="K124" s="11">
        <f t="shared" si="14"/>
        <v>-6240321451</v>
      </c>
      <c r="L124" s="11">
        <f t="shared" si="14"/>
        <v>68574961</v>
      </c>
      <c r="M124" s="11">
        <f t="shared" si="14"/>
        <v>-753571</v>
      </c>
      <c r="N124" s="11">
        <f t="shared" si="14"/>
        <v>8281</v>
      </c>
      <c r="O124" s="11">
        <f t="shared" si="14"/>
        <v>-91</v>
      </c>
      <c r="P124" s="11">
        <f t="shared" si="13"/>
        <v>0</v>
      </c>
    </row>
    <row r="125" spans="1:16" x14ac:dyDescent="0.25">
      <c r="A125" s="11">
        <f t="shared" si="12"/>
        <v>70</v>
      </c>
      <c r="B125">
        <v>-27.769968786407482</v>
      </c>
      <c r="E125" s="11">
        <f>A125-'Mastercurve bestimmen'!$B$2</f>
        <v>-90</v>
      </c>
      <c r="F125" s="11">
        <f t="shared" si="10"/>
        <v>-27.769968786407482</v>
      </c>
      <c r="G125" s="11"/>
      <c r="H125" s="11">
        <f t="shared" si="11"/>
        <v>4304672100000000</v>
      </c>
      <c r="I125" s="11">
        <f t="shared" si="14"/>
        <v>-47829690000000</v>
      </c>
      <c r="J125" s="11">
        <f t="shared" si="14"/>
        <v>531441000000</v>
      </c>
      <c r="K125" s="11">
        <f t="shared" si="14"/>
        <v>-5904900000</v>
      </c>
      <c r="L125" s="11">
        <f t="shared" si="14"/>
        <v>65610000</v>
      </c>
      <c r="M125" s="11">
        <f t="shared" si="14"/>
        <v>-729000</v>
      </c>
      <c r="N125" s="11">
        <f t="shared" si="14"/>
        <v>8100</v>
      </c>
      <c r="O125" s="11">
        <f t="shared" si="14"/>
        <v>-90</v>
      </c>
      <c r="P125" s="11">
        <f t="shared" si="13"/>
        <v>0</v>
      </c>
    </row>
    <row r="126" spans="1:16" x14ac:dyDescent="0.25">
      <c r="A126" s="11">
        <f t="shared" si="12"/>
        <v>71</v>
      </c>
      <c r="B126">
        <v>-27.368075877764003</v>
      </c>
      <c r="E126" s="11">
        <f>A126-'Mastercurve bestimmen'!$B$2</f>
        <v>-89</v>
      </c>
      <c r="F126" s="11">
        <f t="shared" si="10"/>
        <v>-27.368075877764003</v>
      </c>
      <c r="G126" s="11"/>
      <c r="H126" s="11">
        <f t="shared" si="11"/>
        <v>3936588805702081</v>
      </c>
      <c r="I126" s="11">
        <f t="shared" si="14"/>
        <v>-44231334895529</v>
      </c>
      <c r="J126" s="11">
        <f t="shared" si="14"/>
        <v>496981290961</v>
      </c>
      <c r="K126" s="11">
        <f t="shared" si="14"/>
        <v>-5584059449</v>
      </c>
      <c r="L126" s="11">
        <f t="shared" si="14"/>
        <v>62742241</v>
      </c>
      <c r="M126" s="11">
        <f t="shared" si="14"/>
        <v>-704969</v>
      </c>
      <c r="N126" s="11">
        <f t="shared" si="14"/>
        <v>7921</v>
      </c>
      <c r="O126" s="11">
        <f t="shared" si="14"/>
        <v>-89</v>
      </c>
      <c r="P126" s="11">
        <f t="shared" si="13"/>
        <v>0</v>
      </c>
    </row>
    <row r="127" spans="1:16" x14ac:dyDescent="0.25">
      <c r="A127" s="11">
        <f t="shared" si="12"/>
        <v>72</v>
      </c>
      <c r="B127">
        <v>-26.961291267327304</v>
      </c>
      <c r="E127" s="11">
        <f>A127-'Mastercurve bestimmen'!$B$2</f>
        <v>-88</v>
      </c>
      <c r="F127" s="11">
        <f t="shared" si="10"/>
        <v>-26.961291267327304</v>
      </c>
      <c r="G127" s="11"/>
      <c r="H127" s="11">
        <f t="shared" si="11"/>
        <v>3596345248055296</v>
      </c>
      <c r="I127" s="11">
        <f t="shared" si="14"/>
        <v>-40867559636992</v>
      </c>
      <c r="J127" s="11">
        <f t="shared" si="14"/>
        <v>464404086784</v>
      </c>
      <c r="K127" s="11">
        <f t="shared" si="14"/>
        <v>-5277319168</v>
      </c>
      <c r="L127" s="11">
        <f t="shared" si="14"/>
        <v>59969536</v>
      </c>
      <c r="M127" s="11">
        <f t="shared" si="14"/>
        <v>-681472</v>
      </c>
      <c r="N127" s="11">
        <f t="shared" si="14"/>
        <v>7744</v>
      </c>
      <c r="O127" s="11">
        <f t="shared" si="14"/>
        <v>-88</v>
      </c>
      <c r="P127" s="11">
        <f t="shared" si="13"/>
        <v>0</v>
      </c>
    </row>
    <row r="128" spans="1:16" x14ac:dyDescent="0.25">
      <c r="A128" s="11">
        <f t="shared" si="12"/>
        <v>73</v>
      </c>
      <c r="B128">
        <v>-26.549576722314484</v>
      </c>
      <c r="E128" s="11">
        <f>A128-'Mastercurve bestimmen'!$B$2</f>
        <v>-87</v>
      </c>
      <c r="F128" s="11">
        <f t="shared" si="10"/>
        <v>-26.549576722314484</v>
      </c>
      <c r="G128" s="11"/>
      <c r="H128" s="11">
        <f t="shared" si="11"/>
        <v>3282116715437121</v>
      </c>
      <c r="I128" s="11">
        <f t="shared" si="14"/>
        <v>-37725479487783</v>
      </c>
      <c r="J128" s="11">
        <f t="shared" si="14"/>
        <v>433626201009</v>
      </c>
      <c r="K128" s="11">
        <f t="shared" si="14"/>
        <v>-4984209207</v>
      </c>
      <c r="L128" s="11">
        <f t="shared" si="14"/>
        <v>57289761</v>
      </c>
      <c r="M128" s="11">
        <f t="shared" si="14"/>
        <v>-658503</v>
      </c>
      <c r="N128" s="11">
        <f t="shared" si="14"/>
        <v>7569</v>
      </c>
      <c r="O128" s="11">
        <f t="shared" si="14"/>
        <v>-87</v>
      </c>
      <c r="P128" s="11">
        <f t="shared" si="13"/>
        <v>0</v>
      </c>
    </row>
    <row r="129" spans="1:16" x14ac:dyDescent="0.25">
      <c r="A129" s="11">
        <f t="shared" si="12"/>
        <v>74</v>
      </c>
      <c r="B129">
        <v>-26.132894009942632</v>
      </c>
      <c r="E129" s="11">
        <f>A129-'Mastercurve bestimmen'!$B$2</f>
        <v>-86</v>
      </c>
      <c r="F129" s="11">
        <f t="shared" si="10"/>
        <v>-26.132894009942632</v>
      </c>
      <c r="G129" s="11"/>
      <c r="H129" s="11">
        <f t="shared" si="11"/>
        <v>2992179271065856</v>
      </c>
      <c r="I129" s="11">
        <f t="shared" si="14"/>
        <v>-34792782221696</v>
      </c>
      <c r="J129" s="11">
        <f t="shared" si="14"/>
        <v>404567235136</v>
      </c>
      <c r="K129" s="11">
        <f t="shared" si="14"/>
        <v>-4704270176</v>
      </c>
      <c r="L129" s="11">
        <f t="shared" si="14"/>
        <v>54700816</v>
      </c>
      <c r="M129" s="11">
        <f t="shared" si="14"/>
        <v>-636056</v>
      </c>
      <c r="N129" s="11">
        <f t="shared" si="14"/>
        <v>7396</v>
      </c>
      <c r="O129" s="11">
        <f t="shared" si="14"/>
        <v>-86</v>
      </c>
      <c r="P129" s="11">
        <f t="shared" si="13"/>
        <v>0</v>
      </c>
    </row>
    <row r="130" spans="1:16" x14ac:dyDescent="0.25">
      <c r="A130" s="11">
        <f t="shared" si="12"/>
        <v>75</v>
      </c>
      <c r="B130">
        <v>-25.71120489742885</v>
      </c>
      <c r="E130" s="11">
        <f>A130-'Mastercurve bestimmen'!$B$2</f>
        <v>-85</v>
      </c>
      <c r="F130" s="11">
        <f t="shared" si="10"/>
        <v>-25.71120489742885</v>
      </c>
      <c r="G130" s="11"/>
      <c r="H130" s="11">
        <f t="shared" si="11"/>
        <v>2724905250390625</v>
      </c>
      <c r="I130" s="11">
        <f t="shared" si="14"/>
        <v>-32057708828125</v>
      </c>
      <c r="J130" s="11">
        <f t="shared" si="14"/>
        <v>377149515625</v>
      </c>
      <c r="K130" s="11">
        <f t="shared" si="14"/>
        <v>-4437053125</v>
      </c>
      <c r="L130" s="11">
        <f t="shared" si="14"/>
        <v>52200625</v>
      </c>
      <c r="M130" s="11">
        <f t="shared" si="14"/>
        <v>-614125</v>
      </c>
      <c r="N130" s="11">
        <f t="shared" si="14"/>
        <v>7225</v>
      </c>
      <c r="O130" s="11">
        <f t="shared" si="14"/>
        <v>-85</v>
      </c>
      <c r="P130" s="11">
        <f t="shared" si="13"/>
        <v>0</v>
      </c>
    </row>
    <row r="131" spans="1:16" x14ac:dyDescent="0.25">
      <c r="A131" s="11">
        <f t="shared" si="12"/>
        <v>76</v>
      </c>
      <c r="B131">
        <v>-25.284471151990232</v>
      </c>
      <c r="E131" s="11">
        <f>A131-'Mastercurve bestimmen'!$B$2</f>
        <v>-84</v>
      </c>
      <c r="F131" s="11">
        <f t="shared" si="10"/>
        <v>-25.284471151990232</v>
      </c>
      <c r="G131" s="11"/>
      <c r="H131" s="11">
        <f t="shared" si="11"/>
        <v>2478758911082496</v>
      </c>
      <c r="I131" s="11">
        <f t="shared" si="14"/>
        <v>-29509034655744</v>
      </c>
      <c r="J131" s="11">
        <f t="shared" si="14"/>
        <v>351298031616</v>
      </c>
      <c r="K131" s="11">
        <f t="shared" si="14"/>
        <v>-4182119424</v>
      </c>
      <c r="L131" s="11">
        <f t="shared" si="14"/>
        <v>49787136</v>
      </c>
      <c r="M131" s="11">
        <f t="shared" si="14"/>
        <v>-592704</v>
      </c>
      <c r="N131" s="11">
        <f t="shared" si="14"/>
        <v>7056</v>
      </c>
      <c r="O131" s="11">
        <f t="shared" si="14"/>
        <v>-84</v>
      </c>
      <c r="P131" s="11">
        <f t="shared" si="13"/>
        <v>0</v>
      </c>
    </row>
    <row r="132" spans="1:16" x14ac:dyDescent="0.25">
      <c r="A132" s="11">
        <f t="shared" si="12"/>
        <v>77</v>
      </c>
      <c r="B132">
        <v>-24.852654540843869</v>
      </c>
      <c r="E132" s="11">
        <f>A132-'Mastercurve bestimmen'!$B$2</f>
        <v>-83</v>
      </c>
      <c r="F132" s="11">
        <f t="shared" si="10"/>
        <v>-24.852654540843869</v>
      </c>
      <c r="G132" s="11"/>
      <c r="H132" s="11">
        <f t="shared" si="11"/>
        <v>2252292232139041</v>
      </c>
      <c r="I132" s="11">
        <f t="shared" si="14"/>
        <v>-27136050989627</v>
      </c>
      <c r="J132" s="11">
        <f t="shared" si="14"/>
        <v>326940373369</v>
      </c>
      <c r="K132" s="11">
        <f t="shared" si="14"/>
        <v>-3939040643</v>
      </c>
      <c r="L132" s="11">
        <f t="shared" si="14"/>
        <v>47458321</v>
      </c>
      <c r="M132" s="11">
        <f t="shared" si="14"/>
        <v>-571787</v>
      </c>
      <c r="N132" s="11">
        <f t="shared" si="14"/>
        <v>6889</v>
      </c>
      <c r="O132" s="11">
        <f t="shared" si="14"/>
        <v>-83</v>
      </c>
      <c r="P132" s="11">
        <f t="shared" si="13"/>
        <v>0</v>
      </c>
    </row>
    <row r="133" spans="1:16" x14ac:dyDescent="0.25">
      <c r="A133" s="11">
        <f t="shared" si="12"/>
        <v>78</v>
      </c>
      <c r="B133">
        <v>-24.415716831206865</v>
      </c>
      <c r="E133" s="11">
        <f>A133-'Mastercurve bestimmen'!$B$2</f>
        <v>-82</v>
      </c>
      <c r="F133" s="11">
        <f t="shared" si="10"/>
        <v>-24.415716831206865</v>
      </c>
      <c r="G133" s="11"/>
      <c r="H133" s="11">
        <f t="shared" si="11"/>
        <v>2044140858654976</v>
      </c>
      <c r="I133" s="11">
        <f t="shared" si="14"/>
        <v>-24928547056768</v>
      </c>
      <c r="J133" s="11">
        <f t="shared" si="14"/>
        <v>304006671424</v>
      </c>
      <c r="K133" s="11">
        <f t="shared" si="14"/>
        <v>-3707398432</v>
      </c>
      <c r="L133" s="11">
        <f t="shared" si="14"/>
        <v>45212176</v>
      </c>
      <c r="M133" s="11">
        <f t="shared" si="14"/>
        <v>-551368</v>
      </c>
      <c r="N133" s="11">
        <f t="shared" si="14"/>
        <v>6724</v>
      </c>
      <c r="O133" s="11">
        <f t="shared" si="14"/>
        <v>-82</v>
      </c>
      <c r="P133" s="11">
        <f t="shared" si="13"/>
        <v>0</v>
      </c>
    </row>
    <row r="134" spans="1:16" x14ac:dyDescent="0.25">
      <c r="A134" s="11">
        <f t="shared" si="12"/>
        <v>79</v>
      </c>
      <c r="B134">
        <v>-23.973619790296311</v>
      </c>
      <c r="E134" s="11">
        <f>A134-'Mastercurve bestimmen'!$B$2</f>
        <v>-81</v>
      </c>
      <c r="F134" s="11">
        <f t="shared" si="10"/>
        <v>-23.973619790296311</v>
      </c>
      <c r="G134" s="11"/>
      <c r="H134" s="11">
        <f t="shared" si="11"/>
        <v>1853020188851841</v>
      </c>
      <c r="I134" s="11">
        <f t="shared" si="14"/>
        <v>-22876792454961</v>
      </c>
      <c r="J134" s="11">
        <f t="shared" si="14"/>
        <v>282429536481</v>
      </c>
      <c r="K134" s="11">
        <f t="shared" si="14"/>
        <v>-3486784401</v>
      </c>
      <c r="L134" s="11">
        <f t="shared" si="14"/>
        <v>43046721</v>
      </c>
      <c r="M134" s="11">
        <f t="shared" si="14"/>
        <v>-531441</v>
      </c>
      <c r="N134" s="11">
        <f t="shared" si="14"/>
        <v>6561</v>
      </c>
      <c r="O134" s="11">
        <f t="shared" si="14"/>
        <v>-81</v>
      </c>
      <c r="P134" s="11">
        <f t="shared" si="13"/>
        <v>0</v>
      </c>
    </row>
    <row r="135" spans="1:16" x14ac:dyDescent="0.25">
      <c r="A135" s="11">
        <f t="shared" si="12"/>
        <v>80</v>
      </c>
      <c r="B135">
        <v>-23.526325185329309</v>
      </c>
      <c r="E135" s="11">
        <f>A135-'Mastercurve bestimmen'!$B$2</f>
        <v>-80</v>
      </c>
      <c r="F135" s="11">
        <f t="shared" si="10"/>
        <v>-23.526325185329309</v>
      </c>
      <c r="G135" s="11"/>
      <c r="H135" s="11">
        <f t="shared" si="11"/>
        <v>1677721600000000</v>
      </c>
      <c r="I135" s="11">
        <f t="shared" si="14"/>
        <v>-20971520000000</v>
      </c>
      <c r="J135" s="11">
        <f t="shared" si="14"/>
        <v>262144000000</v>
      </c>
      <c r="K135" s="11">
        <f t="shared" si="14"/>
        <v>-3276800000</v>
      </c>
      <c r="L135" s="11">
        <f t="shared" si="14"/>
        <v>40960000</v>
      </c>
      <c r="M135" s="11">
        <f t="shared" si="14"/>
        <v>-512000</v>
      </c>
      <c r="N135" s="11">
        <f t="shared" si="14"/>
        <v>6400</v>
      </c>
      <c r="O135" s="11">
        <f t="shared" si="14"/>
        <v>-80</v>
      </c>
      <c r="P135" s="11">
        <f t="shared" si="13"/>
        <v>0</v>
      </c>
    </row>
    <row r="136" spans="1:16" x14ac:dyDescent="0.25">
      <c r="A136" s="11">
        <f t="shared" si="12"/>
        <v>81</v>
      </c>
      <c r="B136">
        <v>-23.073869155025445</v>
      </c>
      <c r="E136" s="11">
        <f>A136-'Mastercurve bestimmen'!$B$2</f>
        <v>-79</v>
      </c>
      <c r="F136" s="11">
        <f t="shared" si="10"/>
        <v>-23.073869155025445</v>
      </c>
      <c r="G136" s="11"/>
      <c r="H136" s="11">
        <f t="shared" si="11"/>
        <v>1517108809906561</v>
      </c>
      <c r="I136" s="11">
        <f t="shared" si="14"/>
        <v>-19203908986159</v>
      </c>
      <c r="J136" s="11">
        <f t="shared" si="14"/>
        <v>243087455521</v>
      </c>
      <c r="K136" s="11">
        <f t="shared" si="14"/>
        <v>-3077056399</v>
      </c>
      <c r="L136" s="11">
        <f t="shared" si="14"/>
        <v>38950081</v>
      </c>
      <c r="M136" s="11">
        <f t="shared" si="14"/>
        <v>-493039</v>
      </c>
      <c r="N136" s="11">
        <f t="shared" si="14"/>
        <v>6241</v>
      </c>
      <c r="O136" s="11">
        <f t="shared" si="14"/>
        <v>-79</v>
      </c>
      <c r="P136" s="11">
        <f t="shared" si="13"/>
        <v>0</v>
      </c>
    </row>
    <row r="137" spans="1:16" x14ac:dyDescent="0.25">
      <c r="A137" s="11">
        <f t="shared" si="12"/>
        <v>82</v>
      </c>
      <c r="B137">
        <v>-22.616585324114297</v>
      </c>
      <c r="E137" s="11">
        <f>A137-'Mastercurve bestimmen'!$B$2</f>
        <v>-78</v>
      </c>
      <c r="F137" s="11">
        <f t="shared" si="10"/>
        <v>-22.616585324114297</v>
      </c>
      <c r="G137" s="11"/>
      <c r="H137" s="11">
        <f t="shared" si="11"/>
        <v>1370114370683136</v>
      </c>
      <c r="I137" s="11">
        <f t="shared" si="14"/>
        <v>-17565568854912</v>
      </c>
      <c r="J137" s="11">
        <f t="shared" si="14"/>
        <v>225199600704</v>
      </c>
      <c r="K137" s="11">
        <f t="shared" si="14"/>
        <v>-2887174368</v>
      </c>
      <c r="L137" s="11">
        <f t="shared" si="14"/>
        <v>37015056</v>
      </c>
      <c r="M137" s="11">
        <f t="shared" si="14"/>
        <v>-474552</v>
      </c>
      <c r="N137" s="11">
        <f t="shared" si="14"/>
        <v>6084</v>
      </c>
      <c r="O137" s="11">
        <f t="shared" si="14"/>
        <v>-78</v>
      </c>
      <c r="P137" s="11">
        <f t="shared" si="13"/>
        <v>0</v>
      </c>
    </row>
    <row r="138" spans="1:16" x14ac:dyDescent="0.25">
      <c r="A138" s="11">
        <f t="shared" si="12"/>
        <v>83</v>
      </c>
      <c r="B138">
        <v>-22.154881688827938</v>
      </c>
      <c r="E138" s="11">
        <f>A138-'Mastercurve bestimmen'!$B$2</f>
        <v>-77</v>
      </c>
      <c r="F138" s="11">
        <f t="shared" si="10"/>
        <v>-22.154881688827938</v>
      </c>
      <c r="G138" s="11"/>
      <c r="H138" s="11">
        <f t="shared" si="11"/>
        <v>1235736291547681</v>
      </c>
      <c r="I138" s="11">
        <f t="shared" si="14"/>
        <v>-16048523266853</v>
      </c>
      <c r="J138" s="11">
        <f t="shared" si="14"/>
        <v>208422380089</v>
      </c>
      <c r="K138" s="11">
        <f t="shared" si="14"/>
        <v>-2706784157</v>
      </c>
      <c r="L138" s="11">
        <f t="shared" si="14"/>
        <v>35153041</v>
      </c>
      <c r="M138" s="11">
        <f t="shared" si="14"/>
        <v>-456533</v>
      </c>
      <c r="N138" s="11">
        <f t="shared" si="14"/>
        <v>5929</v>
      </c>
      <c r="O138" s="11">
        <f t="shared" si="14"/>
        <v>-77</v>
      </c>
      <c r="P138" s="11">
        <f t="shared" si="13"/>
        <v>0</v>
      </c>
    </row>
    <row r="139" spans="1:16" x14ac:dyDescent="0.25">
      <c r="A139" s="11">
        <f t="shared" si="12"/>
        <v>84</v>
      </c>
      <c r="B139">
        <v>-21.689166245398447</v>
      </c>
      <c r="E139" s="11">
        <f>A139-'Mastercurve bestimmen'!$B$2</f>
        <v>-76</v>
      </c>
      <c r="F139" s="11">
        <f t="shared" si="10"/>
        <v>-21.689166245398447</v>
      </c>
      <c r="G139" s="11"/>
      <c r="H139" s="11">
        <f t="shared" si="11"/>
        <v>1113034787454976</v>
      </c>
      <c r="I139" s="11">
        <f t="shared" si="14"/>
        <v>-14645194571776</v>
      </c>
      <c r="J139" s="11">
        <f t="shared" si="14"/>
        <v>192699928576</v>
      </c>
      <c r="K139" s="11">
        <f t="shared" si="14"/>
        <v>-2535525376</v>
      </c>
      <c r="L139" s="11">
        <f t="shared" si="14"/>
        <v>33362176</v>
      </c>
      <c r="M139" s="11">
        <f t="shared" si="14"/>
        <v>-438976</v>
      </c>
      <c r="N139" s="11">
        <f t="shared" si="14"/>
        <v>5776</v>
      </c>
      <c r="O139" s="11">
        <f t="shared" si="14"/>
        <v>-76</v>
      </c>
      <c r="P139" s="11">
        <f t="shared" si="13"/>
        <v>0</v>
      </c>
    </row>
    <row r="140" spans="1:16" x14ac:dyDescent="0.25">
      <c r="A140" s="11">
        <f t="shared" si="12"/>
        <v>85</v>
      </c>
      <c r="B140">
        <v>-21.219846990057889</v>
      </c>
      <c r="E140" s="11">
        <f>A140-'Mastercurve bestimmen'!$B$2</f>
        <v>-75</v>
      </c>
      <c r="F140" s="11">
        <f t="shared" si="10"/>
        <v>-21.219846990057889</v>
      </c>
      <c r="G140" s="11"/>
      <c r="H140" s="11">
        <f t="shared" si="11"/>
        <v>1001129150390625</v>
      </c>
      <c r="I140" s="11">
        <f t="shared" si="14"/>
        <v>-13348388671875</v>
      </c>
      <c r="J140" s="11">
        <f t="shared" si="14"/>
        <v>177978515625</v>
      </c>
      <c r="K140" s="11">
        <f t="shared" si="14"/>
        <v>-2373046875</v>
      </c>
      <c r="L140" s="11">
        <f t="shared" si="14"/>
        <v>31640625</v>
      </c>
      <c r="M140" s="11">
        <f t="shared" si="14"/>
        <v>-421875</v>
      </c>
      <c r="N140" s="11">
        <f t="shared" si="14"/>
        <v>5625</v>
      </c>
      <c r="O140" s="11">
        <f t="shared" si="14"/>
        <v>-75</v>
      </c>
      <c r="P140" s="11">
        <f t="shared" si="13"/>
        <v>0</v>
      </c>
    </row>
    <row r="141" spans="1:16" x14ac:dyDescent="0.25">
      <c r="A141" s="11">
        <f t="shared" si="12"/>
        <v>86</v>
      </c>
      <c r="B141">
        <v>-20.747331919038345</v>
      </c>
      <c r="E141" s="11">
        <f>A141-'Mastercurve bestimmen'!$B$2</f>
        <v>-74</v>
      </c>
      <c r="F141" s="11">
        <f t="shared" si="10"/>
        <v>-20.747331919038345</v>
      </c>
      <c r="G141" s="11"/>
      <c r="H141" s="11">
        <f t="shared" si="11"/>
        <v>899194740203776</v>
      </c>
      <c r="I141" s="11">
        <f t="shared" si="14"/>
        <v>-12151280273024</v>
      </c>
      <c r="J141" s="11">
        <f t="shared" si="14"/>
        <v>164206490176</v>
      </c>
      <c r="K141" s="11">
        <f t="shared" si="14"/>
        <v>-2219006624</v>
      </c>
      <c r="L141" s="11">
        <f t="shared" si="14"/>
        <v>29986576</v>
      </c>
      <c r="M141" s="11">
        <f t="shared" si="14"/>
        <v>-405224</v>
      </c>
      <c r="N141" s="11">
        <f t="shared" si="14"/>
        <v>5476</v>
      </c>
      <c r="O141" s="11">
        <f t="shared" si="14"/>
        <v>-74</v>
      </c>
      <c r="P141" s="11">
        <f t="shared" si="13"/>
        <v>0</v>
      </c>
    </row>
    <row r="142" spans="1:16" x14ac:dyDescent="0.25">
      <c r="A142" s="11">
        <f t="shared" si="12"/>
        <v>87</v>
      </c>
      <c r="B142">
        <v>-20.272029028571886</v>
      </c>
      <c r="E142" s="11">
        <f>A142-'Mastercurve bestimmen'!$B$2</f>
        <v>-73</v>
      </c>
      <c r="F142" s="11">
        <f t="shared" si="10"/>
        <v>-20.272029028571886</v>
      </c>
      <c r="G142" s="11"/>
      <c r="H142" s="11">
        <f t="shared" si="11"/>
        <v>806460091894081</v>
      </c>
      <c r="I142" s="11">
        <f t="shared" si="14"/>
        <v>-11047398519097</v>
      </c>
      <c r="J142" s="11">
        <f t="shared" si="14"/>
        <v>151334226289</v>
      </c>
      <c r="K142" s="11">
        <f t="shared" si="14"/>
        <v>-2073071593</v>
      </c>
      <c r="L142" s="11">
        <f t="shared" si="14"/>
        <v>28398241</v>
      </c>
      <c r="M142" s="11">
        <f t="shared" si="14"/>
        <v>-389017</v>
      </c>
      <c r="N142" s="11">
        <f t="shared" si="14"/>
        <v>5329</v>
      </c>
      <c r="O142" s="11">
        <f t="shared" si="14"/>
        <v>-73</v>
      </c>
      <c r="P142" s="11">
        <f t="shared" si="13"/>
        <v>0</v>
      </c>
    </row>
    <row r="143" spans="1:16" x14ac:dyDescent="0.25">
      <c r="A143" s="11">
        <f t="shared" si="12"/>
        <v>88</v>
      </c>
      <c r="B143">
        <v>-19.794346314890586</v>
      </c>
      <c r="E143" s="11">
        <f>A143-'Mastercurve bestimmen'!$B$2</f>
        <v>-72</v>
      </c>
      <c r="F143" s="11">
        <f t="shared" si="10"/>
        <v>-19.794346314890586</v>
      </c>
      <c r="G143" s="11"/>
      <c r="H143" s="11">
        <f t="shared" si="11"/>
        <v>722204136308736</v>
      </c>
      <c r="I143" s="11">
        <f t="shared" si="14"/>
        <v>-10030613004288</v>
      </c>
      <c r="J143" s="11">
        <f t="shared" si="14"/>
        <v>139314069504</v>
      </c>
      <c r="K143" s="11">
        <f t="shared" si="14"/>
        <v>-1934917632</v>
      </c>
      <c r="L143" s="11">
        <f t="shared" si="14"/>
        <v>26873856</v>
      </c>
      <c r="M143" s="11">
        <f t="shared" si="14"/>
        <v>-373248</v>
      </c>
      <c r="N143" s="11">
        <f t="shared" si="14"/>
        <v>5184</v>
      </c>
      <c r="O143" s="11">
        <f t="shared" si="14"/>
        <v>-72</v>
      </c>
      <c r="P143" s="11">
        <f t="shared" si="13"/>
        <v>0</v>
      </c>
    </row>
    <row r="144" spans="1:16" x14ac:dyDescent="0.25">
      <c r="A144" s="11">
        <f t="shared" si="12"/>
        <v>89</v>
      </c>
      <c r="B144">
        <v>-19.314691774226514</v>
      </c>
      <c r="E144" s="11">
        <f>A144-'Mastercurve bestimmen'!$B$2</f>
        <v>-71</v>
      </c>
      <c r="F144" s="11">
        <f t="shared" ref="F144:F207" si="15">B144</f>
        <v>-19.314691774226514</v>
      </c>
      <c r="G144" s="11"/>
      <c r="H144" s="11">
        <f t="shared" ref="H144:H207" si="16">IF($H$12&gt;=H$14,$E144^H$14,0)</f>
        <v>645753531245761</v>
      </c>
      <c r="I144" s="11">
        <f t="shared" si="14"/>
        <v>-9095120158391</v>
      </c>
      <c r="J144" s="11">
        <f t="shared" si="14"/>
        <v>128100283921</v>
      </c>
      <c r="K144" s="11">
        <f t="shared" si="14"/>
        <v>-1804229351</v>
      </c>
      <c r="L144" s="11">
        <f t="shared" si="14"/>
        <v>25411681</v>
      </c>
      <c r="M144" s="11">
        <f t="shared" si="14"/>
        <v>-357911</v>
      </c>
      <c r="N144" s="11">
        <f t="shared" si="14"/>
        <v>5041</v>
      </c>
      <c r="O144" s="11">
        <f t="shared" si="14"/>
        <v>-71</v>
      </c>
      <c r="P144" s="11">
        <f t="shared" si="13"/>
        <v>0</v>
      </c>
    </row>
    <row r="145" spans="1:16" x14ac:dyDescent="0.25">
      <c r="A145" s="11">
        <f t="shared" ref="A145:A208" si="17">A144+1</f>
        <v>90</v>
      </c>
      <c r="B145">
        <v>-18.833473402811752</v>
      </c>
      <c r="E145" s="11">
        <f>A145-'Mastercurve bestimmen'!$B$2</f>
        <v>-70</v>
      </c>
      <c r="F145" s="11">
        <f t="shared" si="15"/>
        <v>-18.833473402811752</v>
      </c>
      <c r="G145" s="11"/>
      <c r="H145" s="11">
        <f t="shared" si="16"/>
        <v>576480100000000</v>
      </c>
      <c r="I145" s="11">
        <f t="shared" si="14"/>
        <v>-8235430000000</v>
      </c>
      <c r="J145" s="11">
        <f t="shared" si="14"/>
        <v>117649000000</v>
      </c>
      <c r="K145" s="11">
        <f t="shared" si="14"/>
        <v>-1680700000</v>
      </c>
      <c r="L145" s="11">
        <f t="shared" si="14"/>
        <v>24010000</v>
      </c>
      <c r="M145" s="11">
        <f t="shared" si="14"/>
        <v>-343000</v>
      </c>
      <c r="N145" s="11">
        <f t="shared" si="14"/>
        <v>4900</v>
      </c>
      <c r="O145" s="11">
        <f t="shared" si="14"/>
        <v>-70</v>
      </c>
      <c r="P145" s="11">
        <f t="shared" ref="P145:P208" si="18">P144</f>
        <v>0</v>
      </c>
    </row>
    <row r="146" spans="1:16" x14ac:dyDescent="0.25">
      <c r="A146" s="11">
        <f t="shared" si="17"/>
        <v>91</v>
      </c>
      <c r="B146">
        <v>-18.351099196878366</v>
      </c>
      <c r="E146" s="11">
        <f>A146-'Mastercurve bestimmen'!$B$2</f>
        <v>-69</v>
      </c>
      <c r="F146" s="11">
        <f t="shared" si="15"/>
        <v>-18.351099196878366</v>
      </c>
      <c r="G146" s="11"/>
      <c r="H146" s="11">
        <f t="shared" si="16"/>
        <v>513798374428641</v>
      </c>
      <c r="I146" s="11">
        <f t="shared" si="14"/>
        <v>-7446353252589</v>
      </c>
      <c r="J146" s="11">
        <f t="shared" si="14"/>
        <v>107918163081</v>
      </c>
      <c r="K146" s="11">
        <f t="shared" si="14"/>
        <v>-1564031349</v>
      </c>
      <c r="L146" s="11">
        <f t="shared" si="14"/>
        <v>22667121</v>
      </c>
      <c r="M146" s="11">
        <f t="shared" si="14"/>
        <v>-328509</v>
      </c>
      <c r="N146" s="11">
        <f t="shared" si="14"/>
        <v>4761</v>
      </c>
      <c r="O146" s="11">
        <f t="shared" si="14"/>
        <v>-69</v>
      </c>
      <c r="P146" s="11">
        <f t="shared" si="18"/>
        <v>0</v>
      </c>
    </row>
    <row r="147" spans="1:16" x14ac:dyDescent="0.25">
      <c r="A147" s="11">
        <f t="shared" si="17"/>
        <v>92</v>
      </c>
      <c r="B147">
        <v>-17.86797715265843</v>
      </c>
      <c r="E147" s="11">
        <f>A147-'Mastercurve bestimmen'!$B$2</f>
        <v>-68</v>
      </c>
      <c r="F147" s="11">
        <f t="shared" si="15"/>
        <v>-17.86797715265843</v>
      </c>
      <c r="G147" s="11"/>
      <c r="H147" s="11">
        <f t="shared" si="16"/>
        <v>457163239653376</v>
      </c>
      <c r="I147" s="11">
        <f t="shared" si="14"/>
        <v>-6722988818432</v>
      </c>
      <c r="J147" s="11">
        <f t="shared" si="14"/>
        <v>98867482624</v>
      </c>
      <c r="K147" s="11">
        <f t="shared" si="14"/>
        <v>-1453933568</v>
      </c>
      <c r="L147" s="11">
        <f t="shared" si="14"/>
        <v>21381376</v>
      </c>
      <c r="M147" s="11">
        <f t="shared" si="14"/>
        <v>-314432</v>
      </c>
      <c r="N147" s="11">
        <f t="shared" si="14"/>
        <v>4624</v>
      </c>
      <c r="O147" s="11">
        <f t="shared" si="14"/>
        <v>-68</v>
      </c>
      <c r="P147" s="11">
        <f t="shared" si="18"/>
        <v>0</v>
      </c>
    </row>
    <row r="148" spans="1:16" x14ac:dyDescent="0.25">
      <c r="A148" s="11">
        <f t="shared" si="17"/>
        <v>93</v>
      </c>
      <c r="B148">
        <v>-17.384515266384021</v>
      </c>
      <c r="E148" s="11">
        <f>A148-'Mastercurve bestimmen'!$B$2</f>
        <v>-67</v>
      </c>
      <c r="F148" s="11">
        <f t="shared" si="15"/>
        <v>-17.384515266384021</v>
      </c>
      <c r="G148" s="11"/>
      <c r="H148" s="11">
        <f t="shared" si="16"/>
        <v>406067677556641</v>
      </c>
      <c r="I148" s="11">
        <f t="shared" si="14"/>
        <v>-6060711605323</v>
      </c>
      <c r="J148" s="11">
        <f t="shared" si="14"/>
        <v>90458382169</v>
      </c>
      <c r="K148" s="11">
        <f t="shared" si="14"/>
        <v>-1350125107</v>
      </c>
      <c r="L148" s="11">
        <f t="shared" si="14"/>
        <v>20151121</v>
      </c>
      <c r="M148" s="11">
        <f t="shared" si="14"/>
        <v>-300763</v>
      </c>
      <c r="N148" s="11">
        <f t="shared" si="14"/>
        <v>4489</v>
      </c>
      <c r="O148" s="11">
        <f t="shared" si="14"/>
        <v>-67</v>
      </c>
      <c r="P148" s="11">
        <f t="shared" si="18"/>
        <v>0</v>
      </c>
    </row>
    <row r="149" spans="1:16" x14ac:dyDescent="0.25">
      <c r="A149" s="11">
        <f t="shared" si="17"/>
        <v>94</v>
      </c>
      <c r="B149">
        <v>-16.901121534287213</v>
      </c>
      <c r="E149" s="11">
        <f>A149-'Mastercurve bestimmen'!$B$2</f>
        <v>-66</v>
      </c>
      <c r="F149" s="11">
        <f t="shared" si="15"/>
        <v>-16.901121534287213</v>
      </c>
      <c r="G149" s="11"/>
      <c r="H149" s="11">
        <f t="shared" si="16"/>
        <v>360040606269696</v>
      </c>
      <c r="I149" s="11">
        <f t="shared" si="14"/>
        <v>-5455160701056</v>
      </c>
      <c r="J149" s="11">
        <f t="shared" si="14"/>
        <v>82653950016</v>
      </c>
      <c r="K149" s="11">
        <f t="shared" si="14"/>
        <v>-1252332576</v>
      </c>
      <c r="L149" s="11">
        <f t="shared" si="14"/>
        <v>18974736</v>
      </c>
      <c r="M149" s="11">
        <f t="shared" si="14"/>
        <v>-287496</v>
      </c>
      <c r="N149" s="11">
        <f t="shared" si="14"/>
        <v>4356</v>
      </c>
      <c r="O149" s="11">
        <f t="shared" si="14"/>
        <v>-66</v>
      </c>
      <c r="P149" s="11">
        <f t="shared" si="18"/>
        <v>0</v>
      </c>
    </row>
    <row r="150" spans="1:16" x14ac:dyDescent="0.25">
      <c r="A150" s="11">
        <f t="shared" si="17"/>
        <v>95</v>
      </c>
      <c r="B150">
        <v>-16.418203952600077</v>
      </c>
      <c r="E150" s="11">
        <f>A150-'Mastercurve bestimmen'!$B$2</f>
        <v>-65</v>
      </c>
      <c r="F150" s="11">
        <f t="shared" si="15"/>
        <v>-16.418203952600077</v>
      </c>
      <c r="G150" s="11"/>
      <c r="H150" s="11">
        <f t="shared" si="16"/>
        <v>318644812890625</v>
      </c>
      <c r="I150" s="11">
        <f t="shared" si="14"/>
        <v>-4902227890625</v>
      </c>
      <c r="J150" s="11">
        <f t="shared" si="14"/>
        <v>75418890625</v>
      </c>
      <c r="K150" s="11">
        <f t="shared" si="14"/>
        <v>-1160290625</v>
      </c>
      <c r="L150" s="11">
        <f t="shared" si="14"/>
        <v>17850625</v>
      </c>
      <c r="M150" s="11">
        <f t="shared" si="14"/>
        <v>-274625</v>
      </c>
      <c r="N150" s="11">
        <f t="shared" si="14"/>
        <v>4225</v>
      </c>
      <c r="O150" s="11">
        <f t="shared" si="14"/>
        <v>-65</v>
      </c>
      <c r="P150" s="11">
        <f t="shared" si="18"/>
        <v>0</v>
      </c>
    </row>
    <row r="151" spans="1:16" x14ac:dyDescent="0.25">
      <c r="A151" s="11">
        <f t="shared" si="17"/>
        <v>96</v>
      </c>
      <c r="B151">
        <v>-15.936170517554688</v>
      </c>
      <c r="E151" s="11">
        <f>A151-'Mastercurve bestimmen'!$B$2</f>
        <v>-64</v>
      </c>
      <c r="F151" s="11">
        <f t="shared" si="15"/>
        <v>-15.936170517554688</v>
      </c>
      <c r="G151" s="11"/>
      <c r="H151" s="11">
        <f t="shared" si="16"/>
        <v>281474976710656</v>
      </c>
      <c r="I151" s="11">
        <f t="shared" si="14"/>
        <v>-4398046511104</v>
      </c>
      <c r="J151" s="11">
        <f t="shared" si="14"/>
        <v>68719476736</v>
      </c>
      <c r="K151" s="11">
        <f t="shared" si="14"/>
        <v>-1073741824</v>
      </c>
      <c r="L151" s="11">
        <f t="shared" si="14"/>
        <v>16777216</v>
      </c>
      <c r="M151" s="11">
        <f t="shared" si="14"/>
        <v>-262144</v>
      </c>
      <c r="N151" s="11">
        <f t="shared" si="14"/>
        <v>4096</v>
      </c>
      <c r="O151" s="11">
        <f t="shared" si="14"/>
        <v>-64</v>
      </c>
      <c r="P151" s="11">
        <f t="shared" si="18"/>
        <v>0</v>
      </c>
    </row>
    <row r="152" spans="1:16" x14ac:dyDescent="0.25">
      <c r="A152" s="11">
        <f t="shared" si="17"/>
        <v>97</v>
      </c>
      <c r="B152">
        <v>-15.455429225383117</v>
      </c>
      <c r="E152" s="11">
        <f>A152-'Mastercurve bestimmen'!$B$2</f>
        <v>-63</v>
      </c>
      <c r="F152" s="11">
        <f t="shared" si="15"/>
        <v>-15.455429225383117</v>
      </c>
      <c r="G152" s="11"/>
      <c r="H152" s="11">
        <f t="shared" si="16"/>
        <v>248155780267521</v>
      </c>
      <c r="I152" s="11">
        <f t="shared" si="14"/>
        <v>-3938980639167</v>
      </c>
      <c r="J152" s="11">
        <f t="shared" si="14"/>
        <v>62523502209</v>
      </c>
      <c r="K152" s="11">
        <f t="shared" si="14"/>
        <v>-992436543</v>
      </c>
      <c r="L152" s="11">
        <f t="shared" si="14"/>
        <v>15752961</v>
      </c>
      <c r="M152" s="11">
        <f t="shared" si="14"/>
        <v>-250047</v>
      </c>
      <c r="N152" s="11">
        <f t="shared" ref="I152:O189" si="19">IF($H$12&gt;=N$14,$E152^N$14,0)</f>
        <v>3969</v>
      </c>
      <c r="O152" s="11">
        <f t="shared" si="19"/>
        <v>-63</v>
      </c>
      <c r="P152" s="11">
        <f t="shared" si="18"/>
        <v>0</v>
      </c>
    </row>
    <row r="153" spans="1:16" x14ac:dyDescent="0.25">
      <c r="A153" s="11">
        <f t="shared" si="17"/>
        <v>98</v>
      </c>
      <c r="B153">
        <v>-14.976388072317437</v>
      </c>
      <c r="E153" s="11">
        <f>A153-'Mastercurve bestimmen'!$B$2</f>
        <v>-62</v>
      </c>
      <c r="F153" s="11">
        <f t="shared" si="15"/>
        <v>-14.976388072317437</v>
      </c>
      <c r="G153" s="11"/>
      <c r="H153" s="11">
        <f t="shared" si="16"/>
        <v>218340105584896</v>
      </c>
      <c r="I153" s="11">
        <f t="shared" si="19"/>
        <v>-3521614606208</v>
      </c>
      <c r="J153" s="11">
        <f t="shared" si="19"/>
        <v>56800235584</v>
      </c>
      <c r="K153" s="11">
        <f t="shared" si="19"/>
        <v>-916132832</v>
      </c>
      <c r="L153" s="11">
        <f t="shared" si="19"/>
        <v>14776336</v>
      </c>
      <c r="M153" s="11">
        <f t="shared" si="19"/>
        <v>-238328</v>
      </c>
      <c r="N153" s="11">
        <f t="shared" si="19"/>
        <v>3844</v>
      </c>
      <c r="O153" s="11">
        <f t="shared" si="19"/>
        <v>-62</v>
      </c>
      <c r="P153" s="11">
        <f t="shared" si="18"/>
        <v>0</v>
      </c>
    </row>
    <row r="154" spans="1:16" x14ac:dyDescent="0.25">
      <c r="A154" s="11">
        <f t="shared" si="17"/>
        <v>99</v>
      </c>
      <c r="B154">
        <v>-14.499455054589729</v>
      </c>
      <c r="E154" s="11">
        <f>A154-'Mastercurve bestimmen'!$B$2</f>
        <v>-61</v>
      </c>
      <c r="F154" s="11">
        <f t="shared" si="15"/>
        <v>-14.499455054589729</v>
      </c>
      <c r="G154" s="11"/>
      <c r="H154" s="11">
        <f t="shared" si="16"/>
        <v>191707312997281</v>
      </c>
      <c r="I154" s="11">
        <f t="shared" si="19"/>
        <v>-3142742836021</v>
      </c>
      <c r="J154" s="11">
        <f t="shared" si="19"/>
        <v>51520374361</v>
      </c>
      <c r="K154" s="11">
        <f t="shared" si="19"/>
        <v>-844596301</v>
      </c>
      <c r="L154" s="11">
        <f t="shared" si="19"/>
        <v>13845841</v>
      </c>
      <c r="M154" s="11">
        <f t="shared" si="19"/>
        <v>-226981</v>
      </c>
      <c r="N154" s="11">
        <f t="shared" si="19"/>
        <v>3721</v>
      </c>
      <c r="O154" s="11">
        <f t="shared" si="19"/>
        <v>-61</v>
      </c>
      <c r="P154" s="11">
        <f t="shared" si="18"/>
        <v>0</v>
      </c>
    </row>
    <row r="155" spans="1:16" x14ac:dyDescent="0.25">
      <c r="A155" s="11">
        <f t="shared" si="17"/>
        <v>100</v>
      </c>
      <c r="B155">
        <v>-14.02503816843206</v>
      </c>
      <c r="E155" s="11">
        <f>A155-'Mastercurve bestimmen'!$B$2</f>
        <v>-60</v>
      </c>
      <c r="F155" s="11">
        <f t="shared" si="15"/>
        <v>-14.02503816843206</v>
      </c>
      <c r="G155" s="11"/>
      <c r="H155" s="11">
        <f t="shared" si="16"/>
        <v>167961600000000</v>
      </c>
      <c r="I155" s="11">
        <f t="shared" si="19"/>
        <v>-2799360000000</v>
      </c>
      <c r="J155" s="11">
        <f t="shared" si="19"/>
        <v>46656000000</v>
      </c>
      <c r="K155" s="11">
        <f t="shared" si="19"/>
        <v>-777600000</v>
      </c>
      <c r="L155" s="11">
        <f t="shared" si="19"/>
        <v>12960000</v>
      </c>
      <c r="M155" s="11">
        <f t="shared" si="19"/>
        <v>-216000</v>
      </c>
      <c r="N155" s="11">
        <f t="shared" si="19"/>
        <v>3600</v>
      </c>
      <c r="O155" s="11">
        <f t="shared" si="19"/>
        <v>-60</v>
      </c>
      <c r="P155" s="11">
        <f t="shared" si="18"/>
        <v>0</v>
      </c>
    </row>
    <row r="156" spans="1:16" x14ac:dyDescent="0.25">
      <c r="A156" s="11">
        <f t="shared" si="17"/>
        <v>101</v>
      </c>
      <c r="B156">
        <v>-13.553545410076502</v>
      </c>
      <c r="E156" s="11">
        <f>A156-'Mastercurve bestimmen'!$B$2</f>
        <v>-59</v>
      </c>
      <c r="F156" s="11">
        <f t="shared" si="15"/>
        <v>-13.553545410076502</v>
      </c>
      <c r="G156" s="11"/>
      <c r="H156" s="11">
        <f t="shared" si="16"/>
        <v>146830437604321</v>
      </c>
      <c r="I156" s="11">
        <f t="shared" si="19"/>
        <v>-2488651484819</v>
      </c>
      <c r="J156" s="11">
        <f t="shared" si="19"/>
        <v>42180533641</v>
      </c>
      <c r="K156" s="11">
        <f t="shared" si="19"/>
        <v>-714924299</v>
      </c>
      <c r="L156" s="11">
        <f t="shared" si="19"/>
        <v>12117361</v>
      </c>
      <c r="M156" s="11">
        <f t="shared" si="19"/>
        <v>-205379</v>
      </c>
      <c r="N156" s="11">
        <f t="shared" si="19"/>
        <v>3481</v>
      </c>
      <c r="O156" s="11">
        <f t="shared" si="19"/>
        <v>-59</v>
      </c>
      <c r="P156" s="11">
        <f t="shared" si="18"/>
        <v>0</v>
      </c>
    </row>
    <row r="157" spans="1:16" x14ac:dyDescent="0.25">
      <c r="A157" s="11">
        <f t="shared" si="17"/>
        <v>102</v>
      </c>
      <c r="B157">
        <v>-13.085384775755132</v>
      </c>
      <c r="E157" s="11">
        <f>A157-'Mastercurve bestimmen'!$B$2</f>
        <v>-58</v>
      </c>
      <c r="F157" s="11">
        <f t="shared" si="15"/>
        <v>-13.085384775755132</v>
      </c>
      <c r="G157" s="11"/>
      <c r="H157" s="11">
        <f t="shared" si="16"/>
        <v>128063081718016</v>
      </c>
      <c r="I157" s="11">
        <f t="shared" si="19"/>
        <v>-2207984167552</v>
      </c>
      <c r="J157" s="11">
        <f t="shared" si="19"/>
        <v>38068692544</v>
      </c>
      <c r="K157" s="11">
        <f t="shared" si="19"/>
        <v>-656356768</v>
      </c>
      <c r="L157" s="11">
        <f t="shared" si="19"/>
        <v>11316496</v>
      </c>
      <c r="M157" s="11">
        <f t="shared" si="19"/>
        <v>-195112</v>
      </c>
      <c r="N157" s="11">
        <f t="shared" si="19"/>
        <v>3364</v>
      </c>
      <c r="O157" s="11">
        <f t="shared" si="19"/>
        <v>-58</v>
      </c>
      <c r="P157" s="11">
        <f t="shared" si="18"/>
        <v>0</v>
      </c>
    </row>
    <row r="158" spans="1:16" x14ac:dyDescent="0.25">
      <c r="A158" s="11">
        <f t="shared" si="17"/>
        <v>103</v>
      </c>
      <c r="B158">
        <v>-12.620964261700024</v>
      </c>
      <c r="E158" s="11">
        <f>A158-'Mastercurve bestimmen'!$B$2</f>
        <v>-57</v>
      </c>
      <c r="F158" s="11">
        <f t="shared" si="15"/>
        <v>-12.620964261700024</v>
      </c>
      <c r="G158" s="11"/>
      <c r="H158" s="11">
        <f t="shared" si="16"/>
        <v>111429157112001</v>
      </c>
      <c r="I158" s="11">
        <f t="shared" si="19"/>
        <v>-1954897493193</v>
      </c>
      <c r="J158" s="11">
        <f t="shared" si="19"/>
        <v>34296447249</v>
      </c>
      <c r="K158" s="11">
        <f t="shared" si="19"/>
        <v>-601692057</v>
      </c>
      <c r="L158" s="11">
        <f t="shared" si="19"/>
        <v>10556001</v>
      </c>
      <c r="M158" s="11">
        <f t="shared" si="19"/>
        <v>-185193</v>
      </c>
      <c r="N158" s="11">
        <f t="shared" si="19"/>
        <v>3249</v>
      </c>
      <c r="O158" s="11">
        <f t="shared" si="19"/>
        <v>-57</v>
      </c>
      <c r="P158" s="11">
        <f t="shared" si="18"/>
        <v>0</v>
      </c>
    </row>
    <row r="159" spans="1:16" x14ac:dyDescent="0.25">
      <c r="A159" s="11">
        <f t="shared" si="17"/>
        <v>104</v>
      </c>
      <c r="B159">
        <v>-12.160691864143251</v>
      </c>
      <c r="E159" s="11">
        <f>A159-'Mastercurve bestimmen'!$B$2</f>
        <v>-56</v>
      </c>
      <c r="F159" s="11">
        <f t="shared" si="15"/>
        <v>-12.160691864143251</v>
      </c>
      <c r="G159" s="11"/>
      <c r="H159" s="11">
        <f t="shared" si="16"/>
        <v>96717311574016</v>
      </c>
      <c r="I159" s="11">
        <f t="shared" si="19"/>
        <v>-1727094849536</v>
      </c>
      <c r="J159" s="11">
        <f t="shared" si="19"/>
        <v>30840979456</v>
      </c>
      <c r="K159" s="11">
        <f t="shared" si="19"/>
        <v>-550731776</v>
      </c>
      <c r="L159" s="11">
        <f t="shared" si="19"/>
        <v>9834496</v>
      </c>
      <c r="M159" s="11">
        <f t="shared" si="19"/>
        <v>-175616</v>
      </c>
      <c r="N159" s="11">
        <f t="shared" si="19"/>
        <v>3136</v>
      </c>
      <c r="O159" s="11">
        <f t="shared" si="19"/>
        <v>-56</v>
      </c>
      <c r="P159" s="11">
        <f t="shared" si="18"/>
        <v>0</v>
      </c>
    </row>
    <row r="160" spans="1:16" x14ac:dyDescent="0.25">
      <c r="A160" s="11">
        <f t="shared" si="17"/>
        <v>105</v>
      </c>
      <c r="B160">
        <v>-11.704975579316883</v>
      </c>
      <c r="E160" s="11">
        <f>A160-'Mastercurve bestimmen'!$B$2</f>
        <v>-55</v>
      </c>
      <c r="F160" s="11">
        <f t="shared" si="15"/>
        <v>-11.704975579316883</v>
      </c>
      <c r="G160" s="11"/>
      <c r="H160" s="11">
        <f t="shared" si="16"/>
        <v>83733937890625</v>
      </c>
      <c r="I160" s="11">
        <f t="shared" si="19"/>
        <v>-1522435234375</v>
      </c>
      <c r="J160" s="11">
        <f t="shared" si="19"/>
        <v>27680640625</v>
      </c>
      <c r="K160" s="11">
        <f t="shared" si="19"/>
        <v>-503284375</v>
      </c>
      <c r="L160" s="11">
        <f t="shared" si="19"/>
        <v>9150625</v>
      </c>
      <c r="M160" s="11">
        <f t="shared" si="19"/>
        <v>-166375</v>
      </c>
      <c r="N160" s="11">
        <f t="shared" si="19"/>
        <v>3025</v>
      </c>
      <c r="O160" s="11">
        <f t="shared" si="19"/>
        <v>-55</v>
      </c>
      <c r="P160" s="11">
        <f t="shared" si="18"/>
        <v>0</v>
      </c>
    </row>
    <row r="161" spans="1:16" x14ac:dyDescent="0.25">
      <c r="A161" s="11">
        <f t="shared" si="17"/>
        <v>106</v>
      </c>
      <c r="B161">
        <v>-11.254223403452999</v>
      </c>
      <c r="E161" s="11">
        <f>A161-'Mastercurve bestimmen'!$B$2</f>
        <v>-54</v>
      </c>
      <c r="F161" s="11">
        <f t="shared" si="15"/>
        <v>-11.254223403452999</v>
      </c>
      <c r="G161" s="11"/>
      <c r="H161" s="11">
        <f t="shared" si="16"/>
        <v>72301961339136</v>
      </c>
      <c r="I161" s="11">
        <f t="shared" si="19"/>
        <v>-1338925209984</v>
      </c>
      <c r="J161" s="11">
        <f t="shared" si="19"/>
        <v>24794911296</v>
      </c>
      <c r="K161" s="11">
        <f t="shared" si="19"/>
        <v>-459165024</v>
      </c>
      <c r="L161" s="11">
        <f t="shared" si="19"/>
        <v>8503056</v>
      </c>
      <c r="M161" s="11">
        <f t="shared" si="19"/>
        <v>-157464</v>
      </c>
      <c r="N161" s="11">
        <f t="shared" si="19"/>
        <v>2916</v>
      </c>
      <c r="O161" s="11">
        <f t="shared" si="19"/>
        <v>-54</v>
      </c>
      <c r="P161" s="11">
        <f t="shared" si="18"/>
        <v>0</v>
      </c>
    </row>
    <row r="162" spans="1:16" x14ac:dyDescent="0.25">
      <c r="A162" s="11">
        <f t="shared" si="17"/>
        <v>107</v>
      </c>
      <c r="B162">
        <v>-10.808843332783667</v>
      </c>
      <c r="E162" s="11">
        <f>A162-'Mastercurve bestimmen'!$B$2</f>
        <v>-53</v>
      </c>
      <c r="F162" s="11">
        <f t="shared" si="15"/>
        <v>-10.808843332783667</v>
      </c>
      <c r="G162" s="11"/>
      <c r="H162" s="11">
        <f t="shared" si="16"/>
        <v>62259690411361</v>
      </c>
      <c r="I162" s="11">
        <f t="shared" si="19"/>
        <v>-1174711139837</v>
      </c>
      <c r="J162" s="11">
        <f t="shared" si="19"/>
        <v>22164361129</v>
      </c>
      <c r="K162" s="11">
        <f t="shared" si="19"/>
        <v>-418195493</v>
      </c>
      <c r="L162" s="11">
        <f t="shared" si="19"/>
        <v>7890481</v>
      </c>
      <c r="M162" s="11">
        <f t="shared" si="19"/>
        <v>-148877</v>
      </c>
      <c r="N162" s="11">
        <f t="shared" si="19"/>
        <v>2809</v>
      </c>
      <c r="O162" s="11">
        <f t="shared" si="19"/>
        <v>-53</v>
      </c>
      <c r="P162" s="11">
        <f t="shared" si="18"/>
        <v>0</v>
      </c>
    </row>
    <row r="163" spans="1:16" x14ac:dyDescent="0.25">
      <c r="A163" s="11">
        <f t="shared" si="17"/>
        <v>108</v>
      </c>
      <c r="B163">
        <v>-10.369243363540965</v>
      </c>
      <c r="E163" s="11">
        <f>A163-'Mastercurve bestimmen'!$B$2</f>
        <v>-52</v>
      </c>
      <c r="F163" s="11">
        <f t="shared" si="15"/>
        <v>-10.369243363540965</v>
      </c>
      <c r="G163" s="11"/>
      <c r="H163" s="11">
        <f t="shared" si="16"/>
        <v>53459728531456</v>
      </c>
      <c r="I163" s="11">
        <f t="shared" si="19"/>
        <v>-1028071702528</v>
      </c>
      <c r="J163" s="11">
        <f t="shared" si="19"/>
        <v>19770609664</v>
      </c>
      <c r="K163" s="11">
        <f t="shared" si="19"/>
        <v>-380204032</v>
      </c>
      <c r="L163" s="11">
        <f t="shared" si="19"/>
        <v>7311616</v>
      </c>
      <c r="M163" s="11">
        <f t="shared" si="19"/>
        <v>-140608</v>
      </c>
      <c r="N163" s="11">
        <f t="shared" si="19"/>
        <v>2704</v>
      </c>
      <c r="O163" s="11">
        <f t="shared" si="19"/>
        <v>-52</v>
      </c>
      <c r="P163" s="11">
        <f t="shared" si="18"/>
        <v>0</v>
      </c>
    </row>
    <row r="164" spans="1:16" x14ac:dyDescent="0.25">
      <c r="A164" s="11">
        <f t="shared" si="17"/>
        <v>109</v>
      </c>
      <c r="B164">
        <v>-9.9358314919569644</v>
      </c>
      <c r="E164" s="11">
        <f>A164-'Mastercurve bestimmen'!$B$2</f>
        <v>-51</v>
      </c>
      <c r="F164" s="11">
        <f t="shared" si="15"/>
        <v>-9.9358314919569644</v>
      </c>
      <c r="G164" s="11"/>
      <c r="H164" s="11">
        <f t="shared" si="16"/>
        <v>45767944570401</v>
      </c>
      <c r="I164" s="11">
        <f t="shared" si="19"/>
        <v>-897410677851</v>
      </c>
      <c r="J164" s="11">
        <f t="shared" si="19"/>
        <v>17596287801</v>
      </c>
      <c r="K164" s="11">
        <f t="shared" si="19"/>
        <v>-345025251</v>
      </c>
      <c r="L164" s="11">
        <f t="shared" si="19"/>
        <v>6765201</v>
      </c>
      <c r="M164" s="11">
        <f t="shared" si="19"/>
        <v>-132651</v>
      </c>
      <c r="N164" s="11">
        <f t="shared" si="19"/>
        <v>2601</v>
      </c>
      <c r="O164" s="11">
        <f t="shared" si="19"/>
        <v>-51</v>
      </c>
      <c r="P164" s="11">
        <f t="shared" si="18"/>
        <v>0</v>
      </c>
    </row>
    <row r="165" spans="1:16" x14ac:dyDescent="0.25">
      <c r="A165" s="11">
        <f t="shared" si="17"/>
        <v>110</v>
      </c>
      <c r="B165">
        <v>-9.5090157142637377</v>
      </c>
      <c r="E165" s="11">
        <f>A165-'Mastercurve bestimmen'!$B$2</f>
        <v>-50</v>
      </c>
      <c r="F165" s="11">
        <f t="shared" si="15"/>
        <v>-9.5090157142637377</v>
      </c>
      <c r="G165" s="11"/>
      <c r="H165" s="11">
        <f t="shared" si="16"/>
        <v>39062500000000</v>
      </c>
      <c r="I165" s="11">
        <f t="shared" si="19"/>
        <v>-781250000000</v>
      </c>
      <c r="J165" s="11">
        <f t="shared" si="19"/>
        <v>15625000000</v>
      </c>
      <c r="K165" s="11">
        <f t="shared" si="19"/>
        <v>-312500000</v>
      </c>
      <c r="L165" s="11">
        <f t="shared" si="19"/>
        <v>6250000</v>
      </c>
      <c r="M165" s="11">
        <f t="shared" si="19"/>
        <v>-125000</v>
      </c>
      <c r="N165" s="11">
        <f t="shared" si="19"/>
        <v>2500</v>
      </c>
      <c r="O165" s="11">
        <f t="shared" si="19"/>
        <v>-50</v>
      </c>
      <c r="P165" s="11">
        <f t="shared" si="18"/>
        <v>0</v>
      </c>
    </row>
    <row r="166" spans="1:16" x14ac:dyDescent="0.25">
      <c r="A166" s="11">
        <f t="shared" si="17"/>
        <v>111</v>
      </c>
      <c r="B166">
        <v>-9.0892040266933609</v>
      </c>
      <c r="E166" s="11">
        <f>A166-'Mastercurve bestimmen'!$B$2</f>
        <v>-49</v>
      </c>
      <c r="F166" s="11">
        <f t="shared" si="15"/>
        <v>-9.0892040266933609</v>
      </c>
      <c r="G166" s="11"/>
      <c r="H166" s="11">
        <f t="shared" si="16"/>
        <v>33232930569601</v>
      </c>
      <c r="I166" s="11">
        <f t="shared" si="19"/>
        <v>-678223072849</v>
      </c>
      <c r="J166" s="11">
        <f t="shared" si="19"/>
        <v>13841287201</v>
      </c>
      <c r="K166" s="11">
        <f t="shared" si="19"/>
        <v>-282475249</v>
      </c>
      <c r="L166" s="11">
        <f t="shared" si="19"/>
        <v>5764801</v>
      </c>
      <c r="M166" s="11">
        <f t="shared" si="19"/>
        <v>-117649</v>
      </c>
      <c r="N166" s="11">
        <f t="shared" si="19"/>
        <v>2401</v>
      </c>
      <c r="O166" s="11">
        <f t="shared" si="19"/>
        <v>-49</v>
      </c>
      <c r="P166" s="11">
        <f t="shared" si="18"/>
        <v>0</v>
      </c>
    </row>
    <row r="167" spans="1:16" x14ac:dyDescent="0.25">
      <c r="A167" s="11">
        <f t="shared" si="17"/>
        <v>112</v>
      </c>
      <c r="B167">
        <v>-8.6768044254779078</v>
      </c>
      <c r="E167" s="11">
        <f>A167-'Mastercurve bestimmen'!$B$2</f>
        <v>-48</v>
      </c>
      <c r="F167" s="11">
        <f t="shared" si="15"/>
        <v>-8.6768044254779078</v>
      </c>
      <c r="G167" s="11"/>
      <c r="H167" s="11">
        <f t="shared" si="16"/>
        <v>28179280429056</v>
      </c>
      <c r="I167" s="11">
        <f t="shared" si="19"/>
        <v>-587068342272</v>
      </c>
      <c r="J167" s="11">
        <f t="shared" si="19"/>
        <v>12230590464</v>
      </c>
      <c r="K167" s="11">
        <f t="shared" si="19"/>
        <v>-254803968</v>
      </c>
      <c r="L167" s="11">
        <f t="shared" si="19"/>
        <v>5308416</v>
      </c>
      <c r="M167" s="11">
        <f t="shared" si="19"/>
        <v>-110592</v>
      </c>
      <c r="N167" s="11">
        <f t="shared" si="19"/>
        <v>2304</v>
      </c>
      <c r="O167" s="11">
        <f t="shared" si="19"/>
        <v>-48</v>
      </c>
      <c r="P167" s="11">
        <f t="shared" si="18"/>
        <v>0</v>
      </c>
    </row>
    <row r="168" spans="1:16" x14ac:dyDescent="0.25">
      <c r="A168" s="11">
        <f t="shared" si="17"/>
        <v>113</v>
      </c>
      <c r="B168">
        <v>-8.2722249068494484</v>
      </c>
      <c r="E168" s="11">
        <f>A168-'Mastercurve bestimmen'!$B$2</f>
        <v>-47</v>
      </c>
      <c r="F168" s="11">
        <f t="shared" si="15"/>
        <v>-8.2722249068494484</v>
      </c>
      <c r="G168" s="11"/>
      <c r="H168" s="11">
        <f t="shared" si="16"/>
        <v>23811286661761</v>
      </c>
      <c r="I168" s="11">
        <f t="shared" si="19"/>
        <v>-506623120463</v>
      </c>
      <c r="J168" s="11">
        <f t="shared" si="19"/>
        <v>10779215329</v>
      </c>
      <c r="K168" s="11">
        <f t="shared" si="19"/>
        <v>-229345007</v>
      </c>
      <c r="L168" s="11">
        <f t="shared" si="19"/>
        <v>4879681</v>
      </c>
      <c r="M168" s="11">
        <f t="shared" si="19"/>
        <v>-103823</v>
      </c>
      <c r="N168" s="11">
        <f t="shared" si="19"/>
        <v>2209</v>
      </c>
      <c r="O168" s="11">
        <f t="shared" si="19"/>
        <v>-47</v>
      </c>
      <c r="P168" s="11">
        <f t="shared" si="18"/>
        <v>0</v>
      </c>
    </row>
    <row r="169" spans="1:16" x14ac:dyDescent="0.25">
      <c r="A169" s="11">
        <f t="shared" si="17"/>
        <v>114</v>
      </c>
      <c r="B169">
        <v>-7.8758734670400594</v>
      </c>
      <c r="E169" s="11">
        <f>A169-'Mastercurve bestimmen'!$B$2</f>
        <v>-46</v>
      </c>
      <c r="F169" s="11">
        <f t="shared" si="15"/>
        <v>-7.8758734670400594</v>
      </c>
      <c r="G169" s="11"/>
      <c r="H169" s="11">
        <f t="shared" si="16"/>
        <v>20047612231936</v>
      </c>
      <c r="I169" s="11">
        <f t="shared" si="19"/>
        <v>-435817657216</v>
      </c>
      <c r="J169" s="11">
        <f t="shared" si="19"/>
        <v>9474296896</v>
      </c>
      <c r="K169" s="11">
        <f t="shared" si="19"/>
        <v>-205962976</v>
      </c>
      <c r="L169" s="11">
        <f t="shared" si="19"/>
        <v>4477456</v>
      </c>
      <c r="M169" s="11">
        <f t="shared" si="19"/>
        <v>-97336</v>
      </c>
      <c r="N169" s="11">
        <f t="shared" si="19"/>
        <v>2116</v>
      </c>
      <c r="O169" s="11">
        <f t="shared" si="19"/>
        <v>-46</v>
      </c>
      <c r="P169" s="11">
        <f t="shared" si="18"/>
        <v>0</v>
      </c>
    </row>
    <row r="170" spans="1:16" x14ac:dyDescent="0.25">
      <c r="A170" s="11">
        <f t="shared" si="17"/>
        <v>115</v>
      </c>
      <c r="B170">
        <v>-7.4881581022818109</v>
      </c>
      <c r="E170" s="11">
        <f>A170-'Mastercurve bestimmen'!$B$2</f>
        <v>-45</v>
      </c>
      <c r="F170" s="11">
        <f t="shared" si="15"/>
        <v>-7.4881581022818109</v>
      </c>
      <c r="G170" s="11"/>
      <c r="H170" s="11">
        <f t="shared" si="16"/>
        <v>16815125390625</v>
      </c>
      <c r="I170" s="11">
        <f t="shared" si="19"/>
        <v>-373669453125</v>
      </c>
      <c r="J170" s="11">
        <f t="shared" si="19"/>
        <v>8303765625</v>
      </c>
      <c r="K170" s="11">
        <f t="shared" si="19"/>
        <v>-184528125</v>
      </c>
      <c r="L170" s="11">
        <f t="shared" si="19"/>
        <v>4100625</v>
      </c>
      <c r="M170" s="11">
        <f t="shared" si="19"/>
        <v>-91125</v>
      </c>
      <c r="N170" s="11">
        <f t="shared" si="19"/>
        <v>2025</v>
      </c>
      <c r="O170" s="11">
        <f t="shared" si="19"/>
        <v>-45</v>
      </c>
      <c r="P170" s="11">
        <f t="shared" si="18"/>
        <v>0</v>
      </c>
    </row>
    <row r="171" spans="1:16" x14ac:dyDescent="0.25">
      <c r="A171" s="11">
        <f t="shared" si="17"/>
        <v>116</v>
      </c>
      <c r="B171">
        <v>-7.109486808806782</v>
      </c>
      <c r="E171" s="11">
        <f>A171-'Mastercurve bestimmen'!$B$2</f>
        <v>-44</v>
      </c>
      <c r="F171" s="11">
        <f t="shared" si="15"/>
        <v>-7.109486808806782</v>
      </c>
      <c r="G171" s="11"/>
      <c r="H171" s="11">
        <f t="shared" si="16"/>
        <v>14048223625216</v>
      </c>
      <c r="I171" s="11">
        <f t="shared" si="19"/>
        <v>-319277809664</v>
      </c>
      <c r="J171" s="11">
        <f t="shared" si="19"/>
        <v>7256313856</v>
      </c>
      <c r="K171" s="11">
        <f t="shared" si="19"/>
        <v>-164916224</v>
      </c>
      <c r="L171" s="11">
        <f t="shared" si="19"/>
        <v>3748096</v>
      </c>
      <c r="M171" s="11">
        <f t="shared" si="19"/>
        <v>-85184</v>
      </c>
      <c r="N171" s="11">
        <f t="shared" si="19"/>
        <v>1936</v>
      </c>
      <c r="O171" s="11">
        <f t="shared" si="19"/>
        <v>-44</v>
      </c>
      <c r="P171" s="11">
        <f t="shared" si="18"/>
        <v>0</v>
      </c>
    </row>
    <row r="172" spans="1:16" x14ac:dyDescent="0.25">
      <c r="A172" s="11">
        <f t="shared" si="17"/>
        <v>117</v>
      </c>
      <c r="B172">
        <v>-6.7402675828470402</v>
      </c>
      <c r="E172" s="11">
        <f>A172-'Mastercurve bestimmen'!$B$2</f>
        <v>-43</v>
      </c>
      <c r="F172" s="11">
        <f t="shared" si="15"/>
        <v>-6.7402675828470402</v>
      </c>
      <c r="G172" s="11"/>
      <c r="H172" s="11">
        <f t="shared" si="16"/>
        <v>11688200277601</v>
      </c>
      <c r="I172" s="11">
        <f t="shared" si="19"/>
        <v>-271818611107</v>
      </c>
      <c r="J172" s="11">
        <f t="shared" si="19"/>
        <v>6321363049</v>
      </c>
      <c r="K172" s="11">
        <f t="shared" si="19"/>
        <v>-147008443</v>
      </c>
      <c r="L172" s="11">
        <f t="shared" si="19"/>
        <v>3418801</v>
      </c>
      <c r="M172" s="11">
        <f t="shared" si="19"/>
        <v>-79507</v>
      </c>
      <c r="N172" s="11">
        <f t="shared" si="19"/>
        <v>1849</v>
      </c>
      <c r="O172" s="11">
        <f t="shared" si="19"/>
        <v>-43</v>
      </c>
      <c r="P172" s="11">
        <f t="shared" si="18"/>
        <v>0</v>
      </c>
    </row>
    <row r="173" spans="1:16" x14ac:dyDescent="0.25">
      <c r="A173" s="11">
        <f t="shared" si="17"/>
        <v>118</v>
      </c>
      <c r="B173">
        <v>-6.380908420634662</v>
      </c>
      <c r="E173" s="11">
        <f>A173-'Mastercurve bestimmen'!$B$2</f>
        <v>-42</v>
      </c>
      <c r="F173" s="11">
        <f t="shared" si="15"/>
        <v>-6.380908420634662</v>
      </c>
      <c r="G173" s="11"/>
      <c r="H173" s="11">
        <f t="shared" si="16"/>
        <v>9682651996416</v>
      </c>
      <c r="I173" s="11">
        <f t="shared" si="19"/>
        <v>-230539333248</v>
      </c>
      <c r="J173" s="11">
        <f t="shared" si="19"/>
        <v>5489031744</v>
      </c>
      <c r="K173" s="11">
        <f t="shared" si="19"/>
        <v>-130691232</v>
      </c>
      <c r="L173" s="11">
        <f t="shared" si="19"/>
        <v>3111696</v>
      </c>
      <c r="M173" s="11">
        <f t="shared" si="19"/>
        <v>-74088</v>
      </c>
      <c r="N173" s="11">
        <f t="shared" si="19"/>
        <v>1764</v>
      </c>
      <c r="O173" s="11">
        <f t="shared" si="19"/>
        <v>-42</v>
      </c>
      <c r="P173" s="11">
        <f t="shared" si="18"/>
        <v>0</v>
      </c>
    </row>
    <row r="174" spans="1:16" x14ac:dyDescent="0.25">
      <c r="A174" s="11">
        <f t="shared" si="17"/>
        <v>119</v>
      </c>
      <c r="B174">
        <v>-6.0318173184017221</v>
      </c>
      <c r="E174" s="11">
        <f>A174-'Mastercurve bestimmen'!$B$2</f>
        <v>-41</v>
      </c>
      <c r="F174" s="11">
        <f t="shared" si="15"/>
        <v>-6.0318173184017221</v>
      </c>
      <c r="G174" s="11"/>
      <c r="H174" s="11">
        <f t="shared" si="16"/>
        <v>7984925229121</v>
      </c>
      <c r="I174" s="11">
        <f t="shared" si="19"/>
        <v>-194754273881</v>
      </c>
      <c r="J174" s="11">
        <f t="shared" si="19"/>
        <v>4750104241</v>
      </c>
      <c r="K174" s="11">
        <f t="shared" si="19"/>
        <v>-115856201</v>
      </c>
      <c r="L174" s="11">
        <f t="shared" si="19"/>
        <v>2825761</v>
      </c>
      <c r="M174" s="11">
        <f t="shared" si="19"/>
        <v>-68921</v>
      </c>
      <c r="N174" s="11">
        <f t="shared" si="19"/>
        <v>1681</v>
      </c>
      <c r="O174" s="11">
        <f t="shared" si="19"/>
        <v>-41</v>
      </c>
      <c r="P174" s="11">
        <f t="shared" si="18"/>
        <v>0</v>
      </c>
    </row>
    <row r="175" spans="1:16" x14ac:dyDescent="0.25">
      <c r="A175" s="11">
        <f t="shared" si="17"/>
        <v>120</v>
      </c>
      <c r="B175">
        <v>-5.6934022723802897</v>
      </c>
      <c r="E175" s="11">
        <f>A175-'Mastercurve bestimmen'!$B$2</f>
        <v>-40</v>
      </c>
      <c r="F175" s="11">
        <f t="shared" si="15"/>
        <v>-5.6934022723802897</v>
      </c>
      <c r="G175" s="11"/>
      <c r="H175" s="11">
        <f t="shared" si="16"/>
        <v>6553600000000</v>
      </c>
      <c r="I175" s="11">
        <f t="shared" si="19"/>
        <v>-163840000000</v>
      </c>
      <c r="J175" s="11">
        <f t="shared" si="19"/>
        <v>4096000000</v>
      </c>
      <c r="K175" s="11">
        <f t="shared" si="19"/>
        <v>-102400000</v>
      </c>
      <c r="L175" s="11">
        <f t="shared" si="19"/>
        <v>2560000</v>
      </c>
      <c r="M175" s="11">
        <f t="shared" si="19"/>
        <v>-64000</v>
      </c>
      <c r="N175" s="11">
        <f t="shared" si="19"/>
        <v>1600</v>
      </c>
      <c r="O175" s="11">
        <f t="shared" si="19"/>
        <v>-40</v>
      </c>
      <c r="P175" s="11">
        <f t="shared" si="18"/>
        <v>0</v>
      </c>
    </row>
    <row r="176" spans="1:16" x14ac:dyDescent="0.25">
      <c r="A176" s="11">
        <f t="shared" si="17"/>
        <v>121</v>
      </c>
      <c r="B176">
        <v>-5.3660712788024441</v>
      </c>
      <c r="E176" s="11">
        <f>A176-'Mastercurve bestimmen'!$B$2</f>
        <v>-39</v>
      </c>
      <c r="F176" s="11">
        <f t="shared" si="15"/>
        <v>-5.3660712788024441</v>
      </c>
      <c r="G176" s="11"/>
      <c r="H176" s="11">
        <f t="shared" si="16"/>
        <v>5352009260481</v>
      </c>
      <c r="I176" s="11">
        <f t="shared" si="19"/>
        <v>-137231006679</v>
      </c>
      <c r="J176" s="11">
        <f t="shared" si="19"/>
        <v>3518743761</v>
      </c>
      <c r="K176" s="11">
        <f t="shared" si="19"/>
        <v>-90224199</v>
      </c>
      <c r="L176" s="11">
        <f t="shared" si="19"/>
        <v>2313441</v>
      </c>
      <c r="M176" s="11">
        <f t="shared" si="19"/>
        <v>-59319</v>
      </c>
      <c r="N176" s="11">
        <f t="shared" si="19"/>
        <v>1521</v>
      </c>
      <c r="O176" s="11">
        <f t="shared" si="19"/>
        <v>-39</v>
      </c>
      <c r="P176" s="11">
        <f t="shared" si="18"/>
        <v>0</v>
      </c>
    </row>
    <row r="177" spans="1:16" x14ac:dyDescent="0.25">
      <c r="A177" s="11">
        <f t="shared" si="17"/>
        <v>122</v>
      </c>
      <c r="B177">
        <v>-5.0502323339002544</v>
      </c>
      <c r="E177" s="11">
        <f>A177-'Mastercurve bestimmen'!$B$2</f>
        <v>-38</v>
      </c>
      <c r="F177" s="11">
        <f t="shared" si="15"/>
        <v>-5.0502323339002544</v>
      </c>
      <c r="G177" s="11"/>
      <c r="H177" s="11">
        <f t="shared" si="16"/>
        <v>4347792138496</v>
      </c>
      <c r="I177" s="11">
        <f t="shared" si="19"/>
        <v>-114415582592</v>
      </c>
      <c r="J177" s="11">
        <f t="shared" si="19"/>
        <v>3010936384</v>
      </c>
      <c r="K177" s="11">
        <f t="shared" si="19"/>
        <v>-79235168</v>
      </c>
      <c r="L177" s="11">
        <f t="shared" si="19"/>
        <v>2085136</v>
      </c>
      <c r="M177" s="11">
        <f t="shared" si="19"/>
        <v>-54872</v>
      </c>
      <c r="N177" s="11">
        <f t="shared" si="19"/>
        <v>1444</v>
      </c>
      <c r="O177" s="11">
        <f t="shared" si="19"/>
        <v>-38</v>
      </c>
      <c r="P177" s="11">
        <f t="shared" si="18"/>
        <v>0</v>
      </c>
    </row>
    <row r="178" spans="1:16" x14ac:dyDescent="0.25">
      <c r="A178" s="11">
        <f t="shared" si="17"/>
        <v>123</v>
      </c>
      <c r="B178">
        <v>-4.7462934339057954</v>
      </c>
      <c r="E178" s="11">
        <f>A178-'Mastercurve bestimmen'!$B$2</f>
        <v>-37</v>
      </c>
      <c r="F178" s="11">
        <f t="shared" si="15"/>
        <v>-4.7462934339057954</v>
      </c>
      <c r="G178" s="11"/>
      <c r="H178" s="11">
        <f t="shared" si="16"/>
        <v>3512479453921</v>
      </c>
      <c r="I178" s="11">
        <f t="shared" si="19"/>
        <v>-94931877133</v>
      </c>
      <c r="J178" s="11">
        <f t="shared" si="19"/>
        <v>2565726409</v>
      </c>
      <c r="K178" s="11">
        <f t="shared" si="19"/>
        <v>-69343957</v>
      </c>
      <c r="L178" s="11">
        <f t="shared" si="19"/>
        <v>1874161</v>
      </c>
      <c r="M178" s="11">
        <f t="shared" si="19"/>
        <v>-50653</v>
      </c>
      <c r="N178" s="11">
        <f t="shared" si="19"/>
        <v>1369</v>
      </c>
      <c r="O178" s="11">
        <f t="shared" si="19"/>
        <v>-37</v>
      </c>
      <c r="P178" s="11">
        <f t="shared" si="18"/>
        <v>0</v>
      </c>
    </row>
    <row r="179" spans="1:16" x14ac:dyDescent="0.25">
      <c r="A179" s="11">
        <f t="shared" si="17"/>
        <v>124</v>
      </c>
      <c r="B179">
        <v>-4.4546625750511408</v>
      </c>
      <c r="E179" s="11">
        <f>A179-'Mastercurve bestimmen'!$B$2</f>
        <v>-36</v>
      </c>
      <c r="F179" s="11">
        <f t="shared" si="15"/>
        <v>-4.4546625750511408</v>
      </c>
      <c r="G179" s="11"/>
      <c r="H179" s="11">
        <f t="shared" si="16"/>
        <v>2821109907456</v>
      </c>
      <c r="I179" s="11">
        <f t="shared" si="19"/>
        <v>-78364164096</v>
      </c>
      <c r="J179" s="11">
        <f t="shared" si="19"/>
        <v>2176782336</v>
      </c>
      <c r="K179" s="11">
        <f t="shared" si="19"/>
        <v>-60466176</v>
      </c>
      <c r="L179" s="11">
        <f t="shared" si="19"/>
        <v>1679616</v>
      </c>
      <c r="M179" s="11">
        <f t="shared" si="19"/>
        <v>-46656</v>
      </c>
      <c r="N179" s="11">
        <f t="shared" si="19"/>
        <v>1296</v>
      </c>
      <c r="O179" s="11">
        <f t="shared" si="19"/>
        <v>-36</v>
      </c>
      <c r="P179" s="11">
        <f t="shared" si="18"/>
        <v>0</v>
      </c>
    </row>
    <row r="180" spans="1:16" x14ac:dyDescent="0.25">
      <c r="A180" s="11">
        <f t="shared" si="17"/>
        <v>125</v>
      </c>
      <c r="B180">
        <v>-4.1757477535683636</v>
      </c>
      <c r="E180" s="11">
        <f>A180-'Mastercurve bestimmen'!$B$2</f>
        <v>-35</v>
      </c>
      <c r="F180" s="11">
        <f t="shared" si="15"/>
        <v>-4.1757477535683636</v>
      </c>
      <c r="G180" s="11"/>
      <c r="H180" s="11">
        <f t="shared" si="16"/>
        <v>2251875390625</v>
      </c>
      <c r="I180" s="11">
        <f t="shared" si="19"/>
        <v>-64339296875</v>
      </c>
      <c r="J180" s="11">
        <f t="shared" si="19"/>
        <v>1838265625</v>
      </c>
      <c r="K180" s="11">
        <f t="shared" si="19"/>
        <v>-52521875</v>
      </c>
      <c r="L180" s="11">
        <f t="shared" si="19"/>
        <v>1500625</v>
      </c>
      <c r="M180" s="11">
        <f t="shared" si="19"/>
        <v>-42875</v>
      </c>
      <c r="N180" s="11">
        <f t="shared" si="19"/>
        <v>1225</v>
      </c>
      <c r="O180" s="11">
        <f t="shared" si="19"/>
        <v>-35</v>
      </c>
      <c r="P180" s="11">
        <f t="shared" si="18"/>
        <v>0</v>
      </c>
    </row>
    <row r="181" spans="1:16" x14ac:dyDescent="0.25">
      <c r="A181" s="11">
        <f t="shared" si="17"/>
        <v>126</v>
      </c>
      <c r="B181">
        <v>-3.909826470919413</v>
      </c>
      <c r="E181" s="11">
        <f>A181-'Mastercurve bestimmen'!$B$2</f>
        <v>-34</v>
      </c>
      <c r="F181" s="11">
        <f t="shared" si="15"/>
        <v>-3.909826470919413</v>
      </c>
      <c r="G181" s="11"/>
      <c r="H181" s="11">
        <f t="shared" si="16"/>
        <v>1785793904896</v>
      </c>
      <c r="I181" s="11">
        <f t="shared" si="19"/>
        <v>-52523350144</v>
      </c>
      <c r="J181" s="11">
        <f t="shared" si="19"/>
        <v>1544804416</v>
      </c>
      <c r="K181" s="11">
        <f t="shared" si="19"/>
        <v>-45435424</v>
      </c>
      <c r="L181" s="11">
        <f t="shared" si="19"/>
        <v>1336336</v>
      </c>
      <c r="M181" s="11">
        <f t="shared" si="19"/>
        <v>-39304</v>
      </c>
      <c r="N181" s="11">
        <f t="shared" si="19"/>
        <v>1156</v>
      </c>
      <c r="O181" s="11">
        <f t="shared" si="19"/>
        <v>-34</v>
      </c>
      <c r="P181" s="11">
        <f t="shared" si="18"/>
        <v>0</v>
      </c>
    </row>
    <row r="182" spans="1:16" x14ac:dyDescent="0.25">
      <c r="A182" s="11">
        <f t="shared" si="17"/>
        <v>127</v>
      </c>
      <c r="B182">
        <v>-3.6566542494857277</v>
      </c>
      <c r="E182" s="11">
        <f>A182-'Mastercurve bestimmen'!$B$2</f>
        <v>-33</v>
      </c>
      <c r="F182" s="11">
        <f t="shared" si="15"/>
        <v>-3.6566542494857277</v>
      </c>
      <c r="G182" s="11"/>
      <c r="H182" s="11">
        <f t="shared" si="16"/>
        <v>1406408618241</v>
      </c>
      <c r="I182" s="11">
        <f t="shared" si="19"/>
        <v>-42618442977</v>
      </c>
      <c r="J182" s="11">
        <f t="shared" si="19"/>
        <v>1291467969</v>
      </c>
      <c r="K182" s="11">
        <f t="shared" si="19"/>
        <v>-39135393</v>
      </c>
      <c r="L182" s="11">
        <f t="shared" si="19"/>
        <v>1185921</v>
      </c>
      <c r="M182" s="11">
        <f t="shared" si="19"/>
        <v>-35937</v>
      </c>
      <c r="N182" s="11">
        <f t="shared" si="19"/>
        <v>1089</v>
      </c>
      <c r="O182" s="11">
        <f t="shared" si="19"/>
        <v>-33</v>
      </c>
      <c r="P182" s="11">
        <f t="shared" si="18"/>
        <v>0</v>
      </c>
    </row>
    <row r="183" spans="1:16" x14ac:dyDescent="0.25">
      <c r="A183" s="11">
        <f t="shared" si="17"/>
        <v>128</v>
      </c>
      <c r="B183">
        <v>-3.4158561168786257</v>
      </c>
      <c r="E183" s="11">
        <f>A183-'Mastercurve bestimmen'!$B$2</f>
        <v>-32</v>
      </c>
      <c r="F183" s="11">
        <f t="shared" si="15"/>
        <v>-3.4158561168786257</v>
      </c>
      <c r="G183" s="11"/>
      <c r="H183" s="11">
        <f t="shared" si="16"/>
        <v>1099511627776</v>
      </c>
      <c r="I183" s="11">
        <f t="shared" si="19"/>
        <v>-34359738368</v>
      </c>
      <c r="J183" s="11">
        <f t="shared" si="19"/>
        <v>1073741824</v>
      </c>
      <c r="K183" s="11">
        <f t="shared" si="19"/>
        <v>-33554432</v>
      </c>
      <c r="L183" s="11">
        <f t="shared" si="19"/>
        <v>1048576</v>
      </c>
      <c r="M183" s="11">
        <f t="shared" si="19"/>
        <v>-32768</v>
      </c>
      <c r="N183" s="11">
        <f t="shared" si="19"/>
        <v>1024</v>
      </c>
      <c r="O183" s="11">
        <f t="shared" si="19"/>
        <v>-32</v>
      </c>
      <c r="P183" s="11">
        <f t="shared" si="18"/>
        <v>0</v>
      </c>
    </row>
    <row r="184" spans="1:16" x14ac:dyDescent="0.25">
      <c r="A184" s="11">
        <f t="shared" si="17"/>
        <v>129</v>
      </c>
      <c r="B184">
        <v>-3.1870571007094215</v>
      </c>
      <c r="E184" s="11">
        <f>A184-'Mastercurve bestimmen'!$B$2</f>
        <v>-31</v>
      </c>
      <c r="F184" s="11">
        <f t="shared" si="15"/>
        <v>-3.1870571007094215</v>
      </c>
      <c r="G184" s="11"/>
      <c r="H184" s="11">
        <f t="shared" si="16"/>
        <v>852891037441</v>
      </c>
      <c r="I184" s="11">
        <f t="shared" si="19"/>
        <v>-27512614111</v>
      </c>
      <c r="J184" s="11">
        <f t="shared" si="19"/>
        <v>887503681</v>
      </c>
      <c r="K184" s="11">
        <f t="shared" si="19"/>
        <v>-28629151</v>
      </c>
      <c r="L184" s="11">
        <f t="shared" si="19"/>
        <v>923521</v>
      </c>
      <c r="M184" s="11">
        <f t="shared" si="19"/>
        <v>-29791</v>
      </c>
      <c r="N184" s="11">
        <f t="shared" si="19"/>
        <v>961</v>
      </c>
      <c r="O184" s="11">
        <f t="shared" si="19"/>
        <v>-31</v>
      </c>
      <c r="P184" s="11">
        <f t="shared" si="18"/>
        <v>0</v>
      </c>
    </row>
    <row r="185" spans="1:16" x14ac:dyDescent="0.25">
      <c r="A185" s="11">
        <f t="shared" si="17"/>
        <v>130</v>
      </c>
      <c r="B185">
        <v>-2.969882228589432</v>
      </c>
      <c r="E185" s="11">
        <f>A185-'Mastercurve bestimmen'!$B$2</f>
        <v>-30</v>
      </c>
      <c r="F185" s="11">
        <f t="shared" si="15"/>
        <v>-2.969882228589432</v>
      </c>
      <c r="G185" s="11"/>
      <c r="H185" s="11">
        <f t="shared" si="16"/>
        <v>656100000000</v>
      </c>
      <c r="I185" s="11">
        <f t="shared" si="19"/>
        <v>-21870000000</v>
      </c>
      <c r="J185" s="11">
        <f t="shared" si="19"/>
        <v>729000000</v>
      </c>
      <c r="K185" s="11">
        <f t="shared" si="19"/>
        <v>-24300000</v>
      </c>
      <c r="L185" s="11">
        <f t="shared" si="19"/>
        <v>810000</v>
      </c>
      <c r="M185" s="11">
        <f t="shared" si="19"/>
        <v>-27000</v>
      </c>
      <c r="N185" s="11">
        <f t="shared" si="19"/>
        <v>900</v>
      </c>
      <c r="O185" s="11">
        <f t="shared" si="19"/>
        <v>-30</v>
      </c>
      <c r="P185" s="11">
        <f t="shared" si="18"/>
        <v>0</v>
      </c>
    </row>
    <row r="186" spans="1:16" x14ac:dyDescent="0.25">
      <c r="A186" s="11">
        <f t="shared" si="17"/>
        <v>131</v>
      </c>
      <c r="B186">
        <v>-2.7639565281299716</v>
      </c>
      <c r="E186" s="11">
        <f>A186-'Mastercurve bestimmen'!$B$2</f>
        <v>-29</v>
      </c>
      <c r="F186" s="11">
        <f t="shared" si="15"/>
        <v>-2.7639565281299716</v>
      </c>
      <c r="G186" s="11"/>
      <c r="H186" s="11">
        <f t="shared" si="16"/>
        <v>500246412961</v>
      </c>
      <c r="I186" s="11">
        <f t="shared" si="19"/>
        <v>-17249876309</v>
      </c>
      <c r="J186" s="11">
        <f t="shared" si="19"/>
        <v>594823321</v>
      </c>
      <c r="K186" s="11">
        <f t="shared" si="19"/>
        <v>-20511149</v>
      </c>
      <c r="L186" s="11">
        <f t="shared" si="19"/>
        <v>707281</v>
      </c>
      <c r="M186" s="11">
        <f t="shared" si="19"/>
        <v>-24389</v>
      </c>
      <c r="N186" s="11">
        <f t="shared" si="19"/>
        <v>841</v>
      </c>
      <c r="O186" s="11">
        <f t="shared" si="19"/>
        <v>-29</v>
      </c>
      <c r="P186" s="11">
        <f t="shared" si="18"/>
        <v>0</v>
      </c>
    </row>
    <row r="187" spans="1:16" x14ac:dyDescent="0.25">
      <c r="A187" s="11">
        <f t="shared" si="17"/>
        <v>132</v>
      </c>
      <c r="B187">
        <v>-2.5689050269423568</v>
      </c>
      <c r="E187" s="11">
        <f>A187-'Mastercurve bestimmen'!$B$2</f>
        <v>-28</v>
      </c>
      <c r="F187" s="11">
        <f t="shared" si="15"/>
        <v>-2.5689050269423568</v>
      </c>
      <c r="G187" s="11"/>
      <c r="H187" s="11">
        <f t="shared" si="16"/>
        <v>377801998336</v>
      </c>
      <c r="I187" s="11">
        <f t="shared" si="19"/>
        <v>-13492928512</v>
      </c>
      <c r="J187" s="11">
        <f t="shared" si="19"/>
        <v>481890304</v>
      </c>
      <c r="K187" s="11">
        <f t="shared" si="19"/>
        <v>-17210368</v>
      </c>
      <c r="L187" s="11">
        <f t="shared" si="19"/>
        <v>614656</v>
      </c>
      <c r="M187" s="11">
        <f t="shared" si="19"/>
        <v>-21952</v>
      </c>
      <c r="N187" s="11">
        <f t="shared" si="19"/>
        <v>784</v>
      </c>
      <c r="O187" s="11">
        <f t="shared" si="19"/>
        <v>-28</v>
      </c>
      <c r="P187" s="11">
        <f t="shared" si="18"/>
        <v>0</v>
      </c>
    </row>
    <row r="188" spans="1:16" x14ac:dyDescent="0.25">
      <c r="A188" s="11">
        <f t="shared" si="17"/>
        <v>133</v>
      </c>
      <c r="B188">
        <v>-2.3843527526379029</v>
      </c>
      <c r="E188" s="11">
        <f>A188-'Mastercurve bestimmen'!$B$2</f>
        <v>-27</v>
      </c>
      <c r="F188" s="11">
        <f t="shared" si="15"/>
        <v>-2.3843527526379029</v>
      </c>
      <c r="G188" s="11"/>
      <c r="H188" s="11">
        <f t="shared" si="16"/>
        <v>282429536481</v>
      </c>
      <c r="I188" s="11">
        <f t="shared" si="19"/>
        <v>-10460353203</v>
      </c>
      <c r="J188" s="11">
        <f t="shared" si="19"/>
        <v>387420489</v>
      </c>
      <c r="K188" s="11">
        <f t="shared" si="19"/>
        <v>-14348907</v>
      </c>
      <c r="L188" s="11">
        <f t="shared" si="19"/>
        <v>531441</v>
      </c>
      <c r="M188" s="11">
        <f t="shared" si="19"/>
        <v>-19683</v>
      </c>
      <c r="N188" s="11">
        <f t="shared" si="19"/>
        <v>729</v>
      </c>
      <c r="O188" s="11">
        <f t="shared" si="19"/>
        <v>-27</v>
      </c>
      <c r="P188" s="11">
        <f t="shared" si="18"/>
        <v>0</v>
      </c>
    </row>
    <row r="189" spans="1:16" x14ac:dyDescent="0.25">
      <c r="A189" s="11">
        <f t="shared" si="17"/>
        <v>134</v>
      </c>
      <c r="B189">
        <v>-2.2099247328279255</v>
      </c>
      <c r="E189" s="11">
        <f>A189-'Mastercurve bestimmen'!$B$2</f>
        <v>-26</v>
      </c>
      <c r="F189" s="11">
        <f t="shared" si="15"/>
        <v>-2.2099247328279255</v>
      </c>
      <c r="G189" s="11"/>
      <c r="H189" s="11">
        <f t="shared" si="16"/>
        <v>208827064576</v>
      </c>
      <c r="I189" s="11">
        <f t="shared" si="19"/>
        <v>-8031810176</v>
      </c>
      <c r="J189" s="11">
        <f t="shared" ref="I189:O215" si="20">IF($H$12&gt;=J$14,$E189^J$14,0)</f>
        <v>308915776</v>
      </c>
      <c r="K189" s="11">
        <f t="shared" si="20"/>
        <v>-11881376</v>
      </c>
      <c r="L189" s="11">
        <f t="shared" si="20"/>
        <v>456976</v>
      </c>
      <c r="M189" s="11">
        <f t="shared" si="20"/>
        <v>-17576</v>
      </c>
      <c r="N189" s="11">
        <f t="shared" si="20"/>
        <v>676</v>
      </c>
      <c r="O189" s="11">
        <f t="shared" si="20"/>
        <v>-26</v>
      </c>
      <c r="P189" s="11">
        <f t="shared" si="18"/>
        <v>0</v>
      </c>
    </row>
    <row r="190" spans="1:16" x14ac:dyDescent="0.25">
      <c r="A190" s="11">
        <f t="shared" si="17"/>
        <v>135</v>
      </c>
      <c r="B190">
        <v>-2.0452459951237407</v>
      </c>
      <c r="E190" s="11">
        <f>A190-'Mastercurve bestimmen'!$B$2</f>
        <v>-25</v>
      </c>
      <c r="F190" s="11">
        <f t="shared" si="15"/>
        <v>-2.0452459951237407</v>
      </c>
      <c r="G190" s="11"/>
      <c r="H190" s="11">
        <f t="shared" si="16"/>
        <v>152587890625</v>
      </c>
      <c r="I190" s="11">
        <f t="shared" si="20"/>
        <v>-6103515625</v>
      </c>
      <c r="J190" s="11">
        <f t="shared" si="20"/>
        <v>244140625</v>
      </c>
      <c r="K190" s="11">
        <f t="shared" si="20"/>
        <v>-9765625</v>
      </c>
      <c r="L190" s="11">
        <f t="shared" si="20"/>
        <v>390625</v>
      </c>
      <c r="M190" s="11">
        <f t="shared" si="20"/>
        <v>-15625</v>
      </c>
      <c r="N190" s="11">
        <f t="shared" si="20"/>
        <v>625</v>
      </c>
      <c r="O190" s="11">
        <f t="shared" si="20"/>
        <v>-25</v>
      </c>
      <c r="P190" s="11">
        <f t="shared" si="18"/>
        <v>0</v>
      </c>
    </row>
    <row r="191" spans="1:16" x14ac:dyDescent="0.25">
      <c r="A191" s="11">
        <f t="shared" si="17"/>
        <v>136</v>
      </c>
      <c r="B191">
        <v>-1.8899415671366639</v>
      </c>
      <c r="E191" s="11">
        <f>A191-'Mastercurve bestimmen'!$B$2</f>
        <v>-24</v>
      </c>
      <c r="F191" s="11">
        <f t="shared" si="15"/>
        <v>-1.8899415671366639</v>
      </c>
      <c r="G191" s="11"/>
      <c r="H191" s="11">
        <f t="shared" si="16"/>
        <v>110075314176</v>
      </c>
      <c r="I191" s="11">
        <f t="shared" si="20"/>
        <v>-4586471424</v>
      </c>
      <c r="J191" s="11">
        <f t="shared" si="20"/>
        <v>191102976</v>
      </c>
      <c r="K191" s="11">
        <f t="shared" si="20"/>
        <v>-7962624</v>
      </c>
      <c r="L191" s="11">
        <f t="shared" si="20"/>
        <v>331776</v>
      </c>
      <c r="M191" s="11">
        <f t="shared" si="20"/>
        <v>-13824</v>
      </c>
      <c r="N191" s="11">
        <f t="shared" si="20"/>
        <v>576</v>
      </c>
      <c r="O191" s="11">
        <f t="shared" si="20"/>
        <v>-24</v>
      </c>
      <c r="P191" s="11">
        <f t="shared" si="18"/>
        <v>0</v>
      </c>
    </row>
    <row r="192" spans="1:16" x14ac:dyDescent="0.25">
      <c r="A192" s="11">
        <f t="shared" si="17"/>
        <v>137</v>
      </c>
      <c r="B192">
        <v>-1.7436364764780108</v>
      </c>
      <c r="E192" s="11">
        <f>A192-'Mastercurve bestimmen'!$B$2</f>
        <v>-23</v>
      </c>
      <c r="F192" s="11">
        <f t="shared" si="15"/>
        <v>-1.7436364764780108</v>
      </c>
      <c r="G192" s="11"/>
      <c r="H192" s="11">
        <f t="shared" si="16"/>
        <v>78310985281</v>
      </c>
      <c r="I192" s="11">
        <f t="shared" si="20"/>
        <v>-3404825447</v>
      </c>
      <c r="J192" s="11">
        <f t="shared" si="20"/>
        <v>148035889</v>
      </c>
      <c r="K192" s="11">
        <f t="shared" si="20"/>
        <v>-6436343</v>
      </c>
      <c r="L192" s="11">
        <f t="shared" si="20"/>
        <v>279841</v>
      </c>
      <c r="M192" s="11">
        <f t="shared" si="20"/>
        <v>-12167</v>
      </c>
      <c r="N192" s="11">
        <f t="shared" si="20"/>
        <v>529</v>
      </c>
      <c r="O192" s="11">
        <f t="shared" si="20"/>
        <v>-23</v>
      </c>
      <c r="P192" s="11">
        <f t="shared" si="18"/>
        <v>0</v>
      </c>
    </row>
    <row r="193" spans="1:16" x14ac:dyDescent="0.25">
      <c r="A193" s="11">
        <f t="shared" si="17"/>
        <v>138</v>
      </c>
      <c r="B193">
        <v>-1.6059557507590974</v>
      </c>
      <c r="E193" s="11">
        <f>A193-'Mastercurve bestimmen'!$B$2</f>
        <v>-22</v>
      </c>
      <c r="F193" s="11">
        <f t="shared" si="15"/>
        <v>-1.6059557507590974</v>
      </c>
      <c r="G193" s="11"/>
      <c r="H193" s="11">
        <f t="shared" si="16"/>
        <v>54875873536</v>
      </c>
      <c r="I193" s="11">
        <f t="shared" si="20"/>
        <v>-2494357888</v>
      </c>
      <c r="J193" s="11">
        <f t="shared" si="20"/>
        <v>113379904</v>
      </c>
      <c r="K193" s="11">
        <f t="shared" si="20"/>
        <v>-5153632</v>
      </c>
      <c r="L193" s="11">
        <f t="shared" si="20"/>
        <v>234256</v>
      </c>
      <c r="M193" s="11">
        <f t="shared" si="20"/>
        <v>-10648</v>
      </c>
      <c r="N193" s="11">
        <f t="shared" si="20"/>
        <v>484</v>
      </c>
      <c r="O193" s="11">
        <f t="shared" si="20"/>
        <v>-22</v>
      </c>
      <c r="P193" s="11">
        <f t="shared" si="18"/>
        <v>0</v>
      </c>
    </row>
    <row r="194" spans="1:16" x14ac:dyDescent="0.25">
      <c r="A194" s="11">
        <f t="shared" si="17"/>
        <v>139</v>
      </c>
      <c r="B194">
        <v>-1.4765244175912389</v>
      </c>
      <c r="E194" s="11">
        <f>A194-'Mastercurve bestimmen'!$B$2</f>
        <v>-21</v>
      </c>
      <c r="F194" s="11">
        <f t="shared" si="15"/>
        <v>-1.4765244175912389</v>
      </c>
      <c r="G194" s="11"/>
      <c r="H194" s="11">
        <f t="shared" si="16"/>
        <v>37822859361</v>
      </c>
      <c r="I194" s="11">
        <f t="shared" si="20"/>
        <v>-1801088541</v>
      </c>
      <c r="J194" s="11">
        <f t="shared" si="20"/>
        <v>85766121</v>
      </c>
      <c r="K194" s="11">
        <f t="shared" si="20"/>
        <v>-4084101</v>
      </c>
      <c r="L194" s="11">
        <f t="shared" si="20"/>
        <v>194481</v>
      </c>
      <c r="M194" s="11">
        <f t="shared" si="20"/>
        <v>-9261</v>
      </c>
      <c r="N194" s="11">
        <f t="shared" si="20"/>
        <v>441</v>
      </c>
      <c r="O194" s="11">
        <f t="shared" si="20"/>
        <v>-21</v>
      </c>
      <c r="P194" s="11">
        <f t="shared" si="18"/>
        <v>0</v>
      </c>
    </row>
    <row r="195" spans="1:16" x14ac:dyDescent="0.25">
      <c r="A195" s="11">
        <f t="shared" si="17"/>
        <v>140</v>
      </c>
      <c r="B195">
        <v>-1.354967504585751</v>
      </c>
      <c r="E195" s="11">
        <f>A195-'Mastercurve bestimmen'!$B$2</f>
        <v>-20</v>
      </c>
      <c r="F195" s="11">
        <f t="shared" si="15"/>
        <v>-1.354967504585751</v>
      </c>
      <c r="G195" s="11"/>
      <c r="H195" s="11">
        <f t="shared" si="16"/>
        <v>25600000000</v>
      </c>
      <c r="I195" s="11">
        <f t="shared" si="20"/>
        <v>-1280000000</v>
      </c>
      <c r="J195" s="11">
        <f t="shared" si="20"/>
        <v>64000000</v>
      </c>
      <c r="K195" s="11">
        <f t="shared" si="20"/>
        <v>-3200000</v>
      </c>
      <c r="L195" s="11">
        <f t="shared" si="20"/>
        <v>160000</v>
      </c>
      <c r="M195" s="11">
        <f t="shared" si="20"/>
        <v>-8000</v>
      </c>
      <c r="N195" s="11">
        <f t="shared" si="20"/>
        <v>400</v>
      </c>
      <c r="O195" s="11">
        <f t="shared" si="20"/>
        <v>-20</v>
      </c>
      <c r="P195" s="11">
        <f t="shared" si="18"/>
        <v>0</v>
      </c>
    </row>
    <row r="196" spans="1:16" x14ac:dyDescent="0.25">
      <c r="A196" s="11">
        <f t="shared" si="17"/>
        <v>141</v>
      </c>
      <c r="B196">
        <v>-1.2409100393539496</v>
      </c>
      <c r="E196" s="11">
        <f>A196-'Mastercurve bestimmen'!$B$2</f>
        <v>-19</v>
      </c>
      <c r="F196" s="11">
        <f t="shared" si="15"/>
        <v>-1.2409100393539496</v>
      </c>
      <c r="G196" s="11"/>
      <c r="H196" s="11">
        <f t="shared" si="16"/>
        <v>16983563041</v>
      </c>
      <c r="I196" s="11">
        <f t="shared" si="20"/>
        <v>-893871739</v>
      </c>
      <c r="J196" s="11">
        <f t="shared" si="20"/>
        <v>47045881</v>
      </c>
      <c r="K196" s="11">
        <f t="shared" si="20"/>
        <v>-2476099</v>
      </c>
      <c r="L196" s="11">
        <f t="shared" si="20"/>
        <v>130321</v>
      </c>
      <c r="M196" s="11">
        <f t="shared" si="20"/>
        <v>-6859</v>
      </c>
      <c r="N196" s="11">
        <f t="shared" si="20"/>
        <v>361</v>
      </c>
      <c r="O196" s="11">
        <f t="shared" si="20"/>
        <v>-19</v>
      </c>
      <c r="P196" s="11">
        <f t="shared" si="18"/>
        <v>0</v>
      </c>
    </row>
    <row r="197" spans="1:16" x14ac:dyDescent="0.25">
      <c r="A197" s="11">
        <f t="shared" si="17"/>
        <v>142</v>
      </c>
      <c r="B197">
        <v>-1.1339770495071504</v>
      </c>
      <c r="E197" s="11">
        <f>A197-'Mastercurve bestimmen'!$B$2</f>
        <v>-18</v>
      </c>
      <c r="F197" s="11">
        <f t="shared" si="15"/>
        <v>-1.1339770495071504</v>
      </c>
      <c r="G197" s="11"/>
      <c r="H197" s="11">
        <f t="shared" si="16"/>
        <v>11019960576</v>
      </c>
      <c r="I197" s="11">
        <f t="shared" si="20"/>
        <v>-612220032</v>
      </c>
      <c r="J197" s="11">
        <f t="shared" si="20"/>
        <v>34012224</v>
      </c>
      <c r="K197" s="11">
        <f t="shared" si="20"/>
        <v>-1889568</v>
      </c>
      <c r="L197" s="11">
        <f t="shared" si="20"/>
        <v>104976</v>
      </c>
      <c r="M197" s="11">
        <f t="shared" si="20"/>
        <v>-5832</v>
      </c>
      <c r="N197" s="11">
        <f t="shared" si="20"/>
        <v>324</v>
      </c>
      <c r="O197" s="11">
        <f t="shared" si="20"/>
        <v>-18</v>
      </c>
      <c r="P197" s="11">
        <f t="shared" si="18"/>
        <v>0</v>
      </c>
    </row>
    <row r="198" spans="1:16" x14ac:dyDescent="0.25">
      <c r="A198" s="11">
        <f t="shared" si="17"/>
        <v>143</v>
      </c>
      <c r="B198">
        <v>-1.033793562656669</v>
      </c>
      <c r="E198" s="11">
        <f>A198-'Mastercurve bestimmen'!$B$2</f>
        <v>-17</v>
      </c>
      <c r="F198" s="11">
        <f t="shared" si="15"/>
        <v>-1.033793562656669</v>
      </c>
      <c r="G198" s="11"/>
      <c r="H198" s="11">
        <f t="shared" si="16"/>
        <v>6975757441</v>
      </c>
      <c r="I198" s="11">
        <f t="shared" si="20"/>
        <v>-410338673</v>
      </c>
      <c r="J198" s="11">
        <f t="shared" si="20"/>
        <v>24137569</v>
      </c>
      <c r="K198" s="11">
        <f t="shared" si="20"/>
        <v>-1419857</v>
      </c>
      <c r="L198" s="11">
        <f t="shared" si="20"/>
        <v>83521</v>
      </c>
      <c r="M198" s="11">
        <f t="shared" si="20"/>
        <v>-4913</v>
      </c>
      <c r="N198" s="11">
        <f t="shared" si="20"/>
        <v>289</v>
      </c>
      <c r="O198" s="11">
        <f t="shared" si="20"/>
        <v>-17</v>
      </c>
      <c r="P198" s="11">
        <f t="shared" si="18"/>
        <v>0</v>
      </c>
    </row>
    <row r="199" spans="1:16" x14ac:dyDescent="0.25">
      <c r="A199" s="11">
        <f t="shared" si="17"/>
        <v>144</v>
      </c>
      <c r="B199">
        <v>-0.93998460641382109</v>
      </c>
      <c r="E199" s="11">
        <f>A199-'Mastercurve bestimmen'!$B$2</f>
        <v>-16</v>
      </c>
      <c r="F199" s="11">
        <f t="shared" si="15"/>
        <v>-0.93998460641382109</v>
      </c>
      <c r="G199" s="11"/>
      <c r="H199" s="11">
        <f t="shared" si="16"/>
        <v>4294967296</v>
      </c>
      <c r="I199" s="11">
        <f t="shared" si="20"/>
        <v>-268435456</v>
      </c>
      <c r="J199" s="11">
        <f t="shared" si="20"/>
        <v>16777216</v>
      </c>
      <c r="K199" s="11">
        <f t="shared" si="20"/>
        <v>-1048576</v>
      </c>
      <c r="L199" s="11">
        <f t="shared" si="20"/>
        <v>65536</v>
      </c>
      <c r="M199" s="11">
        <f t="shared" si="20"/>
        <v>-4096</v>
      </c>
      <c r="N199" s="11">
        <f t="shared" si="20"/>
        <v>256</v>
      </c>
      <c r="O199" s="11">
        <f t="shared" si="20"/>
        <v>-16</v>
      </c>
      <c r="P199" s="11">
        <f t="shared" si="18"/>
        <v>0</v>
      </c>
    </row>
    <row r="200" spans="1:16" x14ac:dyDescent="0.25">
      <c r="A200" s="11">
        <f t="shared" si="17"/>
        <v>145</v>
      </c>
      <c r="B200">
        <v>-0.85217520838992222</v>
      </c>
      <c r="E200" s="11">
        <f>A200-'Mastercurve bestimmen'!$B$2</f>
        <v>-15</v>
      </c>
      <c r="F200" s="11">
        <f t="shared" si="15"/>
        <v>-0.85217520838992222</v>
      </c>
      <c r="G200" s="11"/>
      <c r="H200" s="11">
        <f t="shared" si="16"/>
        <v>2562890625</v>
      </c>
      <c r="I200" s="11">
        <f t="shared" si="20"/>
        <v>-170859375</v>
      </c>
      <c r="J200" s="11">
        <f t="shared" si="20"/>
        <v>11390625</v>
      </c>
      <c r="K200" s="11">
        <f t="shared" si="20"/>
        <v>-759375</v>
      </c>
      <c r="L200" s="11">
        <f t="shared" si="20"/>
        <v>50625</v>
      </c>
      <c r="M200" s="11">
        <f t="shared" si="20"/>
        <v>-3375</v>
      </c>
      <c r="N200" s="11">
        <f t="shared" si="20"/>
        <v>225</v>
      </c>
      <c r="O200" s="11">
        <f t="shared" si="20"/>
        <v>-15</v>
      </c>
      <c r="P200" s="11">
        <f t="shared" si="18"/>
        <v>0</v>
      </c>
    </row>
    <row r="201" spans="1:16" x14ac:dyDescent="0.25">
      <c r="A201" s="11">
        <f t="shared" si="17"/>
        <v>146</v>
      </c>
      <c r="B201">
        <v>-0.7699903961962884</v>
      </c>
      <c r="E201" s="11">
        <f>A201-'Mastercurve bestimmen'!$B$2</f>
        <v>-14</v>
      </c>
      <c r="F201" s="11">
        <f t="shared" si="15"/>
        <v>-0.7699903961962884</v>
      </c>
      <c r="G201" s="11"/>
      <c r="H201" s="11">
        <f t="shared" si="16"/>
        <v>1475789056</v>
      </c>
      <c r="I201" s="11">
        <f t="shared" si="20"/>
        <v>-105413504</v>
      </c>
      <c r="J201" s="11">
        <f t="shared" si="20"/>
        <v>7529536</v>
      </c>
      <c r="K201" s="11">
        <f t="shared" si="20"/>
        <v>-537824</v>
      </c>
      <c r="L201" s="11">
        <f t="shared" si="20"/>
        <v>38416</v>
      </c>
      <c r="M201" s="11">
        <f t="shared" si="20"/>
        <v>-2744</v>
      </c>
      <c r="N201" s="11">
        <f t="shared" si="20"/>
        <v>196</v>
      </c>
      <c r="O201" s="11">
        <f t="shared" si="20"/>
        <v>-14</v>
      </c>
      <c r="P201" s="11">
        <f t="shared" si="18"/>
        <v>0</v>
      </c>
    </row>
    <row r="202" spans="1:16" x14ac:dyDescent="0.25">
      <c r="A202" s="11">
        <f t="shared" si="17"/>
        <v>147</v>
      </c>
      <c r="B202">
        <v>-0.69305519744423494</v>
      </c>
      <c r="E202" s="11">
        <f>A202-'Mastercurve bestimmen'!$B$2</f>
        <v>-13</v>
      </c>
      <c r="F202" s="11">
        <f t="shared" si="15"/>
        <v>-0.69305519744423494</v>
      </c>
      <c r="G202" s="11"/>
      <c r="H202" s="11">
        <f t="shared" si="16"/>
        <v>815730721</v>
      </c>
      <c r="I202" s="11">
        <f t="shared" si="20"/>
        <v>-62748517</v>
      </c>
      <c r="J202" s="11">
        <f t="shared" si="20"/>
        <v>4826809</v>
      </c>
      <c r="K202" s="11">
        <f t="shared" si="20"/>
        <v>-371293</v>
      </c>
      <c r="L202" s="11">
        <f t="shared" si="20"/>
        <v>28561</v>
      </c>
      <c r="M202" s="11">
        <f t="shared" si="20"/>
        <v>-2197</v>
      </c>
      <c r="N202" s="11">
        <f t="shared" si="20"/>
        <v>169</v>
      </c>
      <c r="O202" s="11">
        <f t="shared" si="20"/>
        <v>-13</v>
      </c>
      <c r="P202" s="11">
        <f t="shared" si="18"/>
        <v>0</v>
      </c>
    </row>
    <row r="203" spans="1:16" x14ac:dyDescent="0.25">
      <c r="A203" s="11">
        <f t="shared" si="17"/>
        <v>148</v>
      </c>
      <c r="B203">
        <v>-0.62099463974507763</v>
      </c>
      <c r="E203" s="11">
        <f>A203-'Mastercurve bestimmen'!$B$2</f>
        <v>-12</v>
      </c>
      <c r="F203" s="11">
        <f t="shared" si="15"/>
        <v>-0.62099463974507763</v>
      </c>
      <c r="G203" s="11"/>
      <c r="H203" s="11">
        <f t="shared" si="16"/>
        <v>429981696</v>
      </c>
      <c r="I203" s="11">
        <f t="shared" si="20"/>
        <v>-35831808</v>
      </c>
      <c r="J203" s="11">
        <f t="shared" si="20"/>
        <v>2985984</v>
      </c>
      <c r="K203" s="11">
        <f t="shared" si="20"/>
        <v>-248832</v>
      </c>
      <c r="L203" s="11">
        <f t="shared" si="20"/>
        <v>20736</v>
      </c>
      <c r="M203" s="11">
        <f t="shared" si="20"/>
        <v>-1728</v>
      </c>
      <c r="N203" s="11">
        <f t="shared" si="20"/>
        <v>144</v>
      </c>
      <c r="O203" s="11">
        <f t="shared" si="20"/>
        <v>-12</v>
      </c>
      <c r="P203" s="11">
        <f t="shared" si="18"/>
        <v>0</v>
      </c>
    </row>
    <row r="204" spans="1:16" x14ac:dyDescent="0.25">
      <c r="A204" s="11">
        <f t="shared" si="17"/>
        <v>149</v>
      </c>
      <c r="B204">
        <v>-0.55343375071013223</v>
      </c>
      <c r="E204" s="11">
        <f>A204-'Mastercurve bestimmen'!$B$2</f>
        <v>-11</v>
      </c>
      <c r="F204" s="11">
        <f t="shared" si="15"/>
        <v>-0.55343375071013223</v>
      </c>
      <c r="G204" s="11"/>
      <c r="H204" s="11">
        <f t="shared" si="16"/>
        <v>214358881</v>
      </c>
      <c r="I204" s="11">
        <f t="shared" si="20"/>
        <v>-19487171</v>
      </c>
      <c r="J204" s="11">
        <f t="shared" si="20"/>
        <v>1771561</v>
      </c>
      <c r="K204" s="11">
        <f t="shared" si="20"/>
        <v>-161051</v>
      </c>
      <c r="L204" s="11">
        <f t="shared" si="20"/>
        <v>14641</v>
      </c>
      <c r="M204" s="11">
        <f t="shared" si="20"/>
        <v>-1331</v>
      </c>
      <c r="N204" s="11">
        <f t="shared" si="20"/>
        <v>121</v>
      </c>
      <c r="O204" s="11">
        <f t="shared" si="20"/>
        <v>-11</v>
      </c>
      <c r="P204" s="11">
        <f t="shared" si="18"/>
        <v>0</v>
      </c>
    </row>
    <row r="205" spans="1:16" x14ac:dyDescent="0.25">
      <c r="A205" s="11">
        <f t="shared" si="17"/>
        <v>150</v>
      </c>
      <c r="B205">
        <v>-0.48999755795071442</v>
      </c>
      <c r="E205" s="11">
        <f>A205-'Mastercurve bestimmen'!$B$2</f>
        <v>-10</v>
      </c>
      <c r="F205" s="11">
        <f t="shared" si="15"/>
        <v>-0.48999755795071442</v>
      </c>
      <c r="G205" s="11"/>
      <c r="H205" s="11">
        <f t="shared" si="16"/>
        <v>100000000</v>
      </c>
      <c r="I205" s="11">
        <f t="shared" si="20"/>
        <v>-10000000</v>
      </c>
      <c r="J205" s="11">
        <f t="shared" si="20"/>
        <v>1000000</v>
      </c>
      <c r="K205" s="11">
        <f t="shared" si="20"/>
        <v>-100000</v>
      </c>
      <c r="L205" s="11">
        <f t="shared" si="20"/>
        <v>10000</v>
      </c>
      <c r="M205" s="11">
        <f t="shared" si="20"/>
        <v>-1000</v>
      </c>
      <c r="N205" s="11">
        <f t="shared" si="20"/>
        <v>100</v>
      </c>
      <c r="O205" s="11">
        <f t="shared" si="20"/>
        <v>-10</v>
      </c>
      <c r="P205" s="11">
        <f t="shared" si="18"/>
        <v>0</v>
      </c>
    </row>
    <row r="206" spans="1:16" x14ac:dyDescent="0.25">
      <c r="A206" s="11">
        <f t="shared" si="17"/>
        <v>151</v>
      </c>
      <c r="B206">
        <v>-0.43031108907813981</v>
      </c>
      <c r="E206" s="11">
        <f>A206-'Mastercurve bestimmen'!$B$2</f>
        <v>-9</v>
      </c>
      <c r="F206" s="11">
        <f t="shared" si="15"/>
        <v>-0.43031108907813981</v>
      </c>
      <c r="G206" s="11"/>
      <c r="H206" s="11">
        <f t="shared" si="16"/>
        <v>43046721</v>
      </c>
      <c r="I206" s="11">
        <f t="shared" si="20"/>
        <v>-4782969</v>
      </c>
      <c r="J206" s="11">
        <f t="shared" si="20"/>
        <v>531441</v>
      </c>
      <c r="K206" s="11">
        <f t="shared" si="20"/>
        <v>-59049</v>
      </c>
      <c r="L206" s="11">
        <f t="shared" si="20"/>
        <v>6561</v>
      </c>
      <c r="M206" s="11">
        <f t="shared" si="20"/>
        <v>-729</v>
      </c>
      <c r="N206" s="11">
        <f t="shared" si="20"/>
        <v>81</v>
      </c>
      <c r="O206" s="11">
        <f t="shared" si="20"/>
        <v>-9</v>
      </c>
      <c r="P206" s="11">
        <f t="shared" si="18"/>
        <v>0</v>
      </c>
    </row>
    <row r="207" spans="1:16" x14ac:dyDescent="0.25">
      <c r="A207" s="11">
        <f t="shared" si="17"/>
        <v>152</v>
      </c>
      <c r="B207">
        <v>-0.3739993717037241</v>
      </c>
      <c r="E207" s="11">
        <f>A207-'Mastercurve bestimmen'!$B$2</f>
        <v>-8</v>
      </c>
      <c r="F207" s="11">
        <f t="shared" si="15"/>
        <v>-0.3739993717037241</v>
      </c>
      <c r="G207" s="11"/>
      <c r="H207" s="11">
        <f t="shared" si="16"/>
        <v>16777216</v>
      </c>
      <c r="I207" s="11">
        <f t="shared" si="20"/>
        <v>-2097152</v>
      </c>
      <c r="J207" s="11">
        <f t="shared" si="20"/>
        <v>262144</v>
      </c>
      <c r="K207" s="11">
        <f t="shared" si="20"/>
        <v>-32768</v>
      </c>
      <c r="L207" s="11">
        <f t="shared" si="20"/>
        <v>4096</v>
      </c>
      <c r="M207" s="11">
        <f t="shared" si="20"/>
        <v>-512</v>
      </c>
      <c r="N207" s="11">
        <f t="shared" si="20"/>
        <v>64</v>
      </c>
      <c r="O207" s="11">
        <f t="shared" si="20"/>
        <v>-8</v>
      </c>
      <c r="P207" s="11">
        <f t="shared" si="18"/>
        <v>0</v>
      </c>
    </row>
    <row r="208" spans="1:16" x14ac:dyDescent="0.25">
      <c r="A208" s="11">
        <f t="shared" si="17"/>
        <v>153</v>
      </c>
      <c r="B208">
        <v>-0.32068743343878292</v>
      </c>
      <c r="E208" s="11">
        <f>A208-'Mastercurve bestimmen'!$B$2</f>
        <v>-7</v>
      </c>
      <c r="F208" s="11">
        <f t="shared" ref="F208:F215" si="21">B208</f>
        <v>-0.32068743343878292</v>
      </c>
      <c r="G208" s="11"/>
      <c r="H208" s="11">
        <f t="shared" ref="H208:H215" si="22">IF($H$12&gt;=H$14,$E208^H$14,0)</f>
        <v>5764801</v>
      </c>
      <c r="I208" s="11">
        <f t="shared" si="20"/>
        <v>-823543</v>
      </c>
      <c r="J208" s="11">
        <f t="shared" si="20"/>
        <v>117649</v>
      </c>
      <c r="K208" s="11">
        <f t="shared" si="20"/>
        <v>-16807</v>
      </c>
      <c r="L208" s="11">
        <f t="shared" si="20"/>
        <v>2401</v>
      </c>
      <c r="M208" s="11">
        <f t="shared" si="20"/>
        <v>-343</v>
      </c>
      <c r="N208" s="11">
        <f t="shared" si="20"/>
        <v>49</v>
      </c>
      <c r="O208" s="11">
        <f t="shared" si="20"/>
        <v>-7</v>
      </c>
      <c r="P208" s="11">
        <f t="shared" si="18"/>
        <v>0</v>
      </c>
    </row>
    <row r="209" spans="1:16" x14ac:dyDescent="0.25">
      <c r="A209" s="11">
        <f t="shared" ref="A209:A215" si="23">A208+1</f>
        <v>154</v>
      </c>
      <c r="B209">
        <v>-0.27000030189463203</v>
      </c>
      <c r="E209" s="11">
        <f>A209-'Mastercurve bestimmen'!$B$2</f>
        <v>-6</v>
      </c>
      <c r="F209" s="11">
        <f t="shared" si="21"/>
        <v>-0.27000030189463203</v>
      </c>
      <c r="G209" s="11"/>
      <c r="H209" s="11">
        <f t="shared" si="22"/>
        <v>1679616</v>
      </c>
      <c r="I209" s="11">
        <f t="shared" si="20"/>
        <v>-279936</v>
      </c>
      <c r="J209" s="11">
        <f t="shared" si="20"/>
        <v>46656</v>
      </c>
      <c r="K209" s="11">
        <f t="shared" si="20"/>
        <v>-7776</v>
      </c>
      <c r="L209" s="11">
        <f t="shared" si="20"/>
        <v>1296</v>
      </c>
      <c r="M209" s="11">
        <f t="shared" si="20"/>
        <v>-216</v>
      </c>
      <c r="N209" s="11">
        <f t="shared" si="20"/>
        <v>36</v>
      </c>
      <c r="O209" s="11">
        <f t="shared" si="20"/>
        <v>-6</v>
      </c>
      <c r="P209" s="11">
        <f t="shared" ref="P209:P215" si="24">P208</f>
        <v>0</v>
      </c>
    </row>
    <row r="210" spans="1:16" x14ac:dyDescent="0.25">
      <c r="A210" s="11">
        <f t="shared" si="23"/>
        <v>155</v>
      </c>
      <c r="B210">
        <v>-0.22156300468258708</v>
      </c>
      <c r="E210" s="11">
        <f>A210-'Mastercurve bestimmen'!$B$2</f>
        <v>-5</v>
      </c>
      <c r="F210" s="11">
        <f t="shared" si="21"/>
        <v>-0.22156300468258708</v>
      </c>
      <c r="G210" s="11"/>
      <c r="H210" s="11">
        <f t="shared" si="22"/>
        <v>390625</v>
      </c>
      <c r="I210" s="11">
        <f t="shared" si="20"/>
        <v>-78125</v>
      </c>
      <c r="J210" s="11">
        <f t="shared" si="20"/>
        <v>15625</v>
      </c>
      <c r="K210" s="11">
        <f t="shared" si="20"/>
        <v>-3125</v>
      </c>
      <c r="L210" s="11">
        <f t="shared" si="20"/>
        <v>625</v>
      </c>
      <c r="M210" s="11">
        <f t="shared" si="20"/>
        <v>-125</v>
      </c>
      <c r="N210" s="11">
        <f t="shared" si="20"/>
        <v>25</v>
      </c>
      <c r="O210" s="11">
        <f t="shared" si="20"/>
        <v>-5</v>
      </c>
      <c r="P210" s="11">
        <f t="shared" si="24"/>
        <v>0</v>
      </c>
    </row>
    <row r="211" spans="1:16" x14ac:dyDescent="0.25">
      <c r="A211" s="11">
        <f t="shared" si="23"/>
        <v>156</v>
      </c>
      <c r="B211">
        <v>-0.17500056941396372</v>
      </c>
      <c r="E211" s="11">
        <f>A211-'Mastercurve bestimmen'!$B$2</f>
        <v>-4</v>
      </c>
      <c r="F211" s="11">
        <f t="shared" si="21"/>
        <v>-0.17500056941396372</v>
      </c>
      <c r="G211" s="11"/>
      <c r="H211" s="11">
        <f t="shared" si="22"/>
        <v>65536</v>
      </c>
      <c r="I211" s="11">
        <f t="shared" si="20"/>
        <v>-16384</v>
      </c>
      <c r="J211" s="11">
        <f t="shared" si="20"/>
        <v>4096</v>
      </c>
      <c r="K211" s="11">
        <f t="shared" si="20"/>
        <v>-1024</v>
      </c>
      <c r="L211" s="11">
        <f t="shared" si="20"/>
        <v>256</v>
      </c>
      <c r="M211" s="11">
        <f t="shared" si="20"/>
        <v>-64</v>
      </c>
      <c r="N211" s="11">
        <f t="shared" si="20"/>
        <v>16</v>
      </c>
      <c r="O211" s="11">
        <f t="shared" si="20"/>
        <v>-4</v>
      </c>
      <c r="P211" s="11">
        <f t="shared" si="24"/>
        <v>0</v>
      </c>
    </row>
    <row r="212" spans="1:16" x14ac:dyDescent="0.25">
      <c r="A212" s="11">
        <f t="shared" si="23"/>
        <v>157</v>
      </c>
      <c r="B212">
        <v>-0.12993802370007768</v>
      </c>
      <c r="E212" s="11">
        <f>A212-'Mastercurve bestimmen'!$B$2</f>
        <v>-3</v>
      </c>
      <c r="F212" s="11">
        <f t="shared" si="21"/>
        <v>-0.12993802370007768</v>
      </c>
      <c r="G212" s="11"/>
      <c r="H212" s="11">
        <f t="shared" si="22"/>
        <v>6561</v>
      </c>
      <c r="I212" s="11">
        <f t="shared" si="20"/>
        <v>-2187</v>
      </c>
      <c r="J212" s="11">
        <f t="shared" si="20"/>
        <v>729</v>
      </c>
      <c r="K212" s="11">
        <f t="shared" si="20"/>
        <v>-243</v>
      </c>
      <c r="L212" s="11">
        <f t="shared" si="20"/>
        <v>81</v>
      </c>
      <c r="M212" s="11">
        <f t="shared" si="20"/>
        <v>-27</v>
      </c>
      <c r="N212" s="11">
        <f t="shared" si="20"/>
        <v>9</v>
      </c>
      <c r="O212" s="11">
        <f t="shared" si="20"/>
        <v>-3</v>
      </c>
      <c r="P212" s="11">
        <f t="shared" si="24"/>
        <v>0</v>
      </c>
    </row>
    <row r="213" spans="1:16" x14ac:dyDescent="0.25">
      <c r="A213" s="11">
        <f t="shared" si="23"/>
        <v>158</v>
      </c>
      <c r="B213">
        <v>-8.6000395152244571E-2</v>
      </c>
      <c r="E213" s="11">
        <f>A213-'Mastercurve bestimmen'!$B$2</f>
        <v>-2</v>
      </c>
      <c r="F213" s="11">
        <f t="shared" si="21"/>
        <v>-8.6000395152244571E-2</v>
      </c>
      <c r="G213" s="11"/>
      <c r="H213" s="11">
        <f t="shared" si="22"/>
        <v>256</v>
      </c>
      <c r="I213" s="11">
        <f t="shared" si="20"/>
        <v>-128</v>
      </c>
      <c r="J213" s="11">
        <f t="shared" si="20"/>
        <v>64</v>
      </c>
      <c r="K213" s="11">
        <f t="shared" si="20"/>
        <v>-32</v>
      </c>
      <c r="L213" s="11">
        <f t="shared" si="20"/>
        <v>16</v>
      </c>
      <c r="M213" s="11">
        <f t="shared" si="20"/>
        <v>-8</v>
      </c>
      <c r="N213" s="11">
        <f t="shared" si="20"/>
        <v>4</v>
      </c>
      <c r="O213" s="11">
        <f t="shared" si="20"/>
        <v>-2</v>
      </c>
      <c r="P213" s="11">
        <f t="shared" si="24"/>
        <v>0</v>
      </c>
    </row>
    <row r="214" spans="1:16" x14ac:dyDescent="0.25">
      <c r="A214" s="11">
        <f t="shared" si="23"/>
        <v>159</v>
      </c>
      <c r="B214">
        <v>-4.2812711381780125E-2</v>
      </c>
      <c r="E214" s="11">
        <f>A214-'Mastercurve bestimmen'!$B$2</f>
        <v>-1</v>
      </c>
      <c r="F214" s="11">
        <f t="shared" si="21"/>
        <v>-4.2812711381780125E-2</v>
      </c>
      <c r="G214" s="11"/>
      <c r="H214" s="11">
        <f t="shared" si="22"/>
        <v>1</v>
      </c>
      <c r="I214" s="11">
        <f t="shared" si="20"/>
        <v>-1</v>
      </c>
      <c r="J214" s="11">
        <f t="shared" si="20"/>
        <v>1</v>
      </c>
      <c r="K214" s="11">
        <f t="shared" si="20"/>
        <v>-1</v>
      </c>
      <c r="L214" s="11">
        <f t="shared" si="20"/>
        <v>1</v>
      </c>
      <c r="M214" s="11">
        <f t="shared" si="20"/>
        <v>-1</v>
      </c>
      <c r="N214" s="11">
        <f t="shared" si="20"/>
        <v>1</v>
      </c>
      <c r="O214" s="11">
        <f t="shared" si="20"/>
        <v>-1</v>
      </c>
      <c r="P214" s="11">
        <f t="shared" si="24"/>
        <v>0</v>
      </c>
    </row>
    <row r="215" spans="1:16" x14ac:dyDescent="0.25">
      <c r="A215" s="11">
        <f t="shared" si="23"/>
        <v>160</v>
      </c>
      <c r="B215">
        <v>0</v>
      </c>
      <c r="E215" s="11">
        <f>A215-'Mastercurve bestimmen'!$B$2</f>
        <v>0</v>
      </c>
      <c r="F215" s="11">
        <f t="shared" si="21"/>
        <v>0</v>
      </c>
      <c r="G215" s="11"/>
      <c r="H215" s="11">
        <f t="shared" si="22"/>
        <v>0</v>
      </c>
      <c r="I215" s="11">
        <f t="shared" si="20"/>
        <v>0</v>
      </c>
      <c r="J215" s="11">
        <f t="shared" si="20"/>
        <v>0</v>
      </c>
      <c r="K215" s="11">
        <f t="shared" si="20"/>
        <v>0</v>
      </c>
      <c r="L215" s="11">
        <f t="shared" si="20"/>
        <v>0</v>
      </c>
      <c r="M215" s="11">
        <f t="shared" si="20"/>
        <v>0</v>
      </c>
      <c r="N215" s="11">
        <f t="shared" si="20"/>
        <v>0</v>
      </c>
      <c r="O215" s="11">
        <f t="shared" si="20"/>
        <v>0</v>
      </c>
      <c r="P215" s="11">
        <f t="shared" si="24"/>
        <v>0</v>
      </c>
    </row>
    <row r="216" spans="1:16" x14ac:dyDescent="0.25">
      <c r="G216" s="11"/>
      <c r="H216" s="13">
        <v>1</v>
      </c>
      <c r="I216" s="97" t="s">
        <v>138</v>
      </c>
      <c r="J216" s="97" t="s">
        <v>139</v>
      </c>
      <c r="K216" s="97" t="s">
        <v>140</v>
      </c>
      <c r="L216" s="97" t="s">
        <v>141</v>
      </c>
      <c r="M216" s="97" t="s">
        <v>142</v>
      </c>
      <c r="N216" s="97" t="s">
        <v>143</v>
      </c>
      <c r="O216" s="97" t="s">
        <v>144</v>
      </c>
      <c r="P216" s="97" t="s">
        <v>145</v>
      </c>
    </row>
    <row r="217" spans="1:16" x14ac:dyDescent="0.25">
      <c r="G217" s="35" t="s">
        <v>146</v>
      </c>
      <c r="H217" s="98">
        <f t="array" ref="H217:P219">LINEST(F15:F215,H15:P215,FALSE,TRUE)</f>
        <v>0</v>
      </c>
      <c r="I217" s="98">
        <v>0.10492210301683248</v>
      </c>
      <c r="J217" s="98">
        <v>8.260659383952703E-3</v>
      </c>
      <c r="K217" s="98">
        <v>4.1173372095884602E-4</v>
      </c>
      <c r="L217" s="98">
        <v>5.9091087352515111E-6</v>
      </c>
      <c r="M217" s="98">
        <v>3.9336506351585157E-8</v>
      </c>
      <c r="N217" s="98">
        <v>1.2514804860287318E-10</v>
      </c>
      <c r="O217" s="98">
        <v>1.4125431797838395E-13</v>
      </c>
      <c r="P217" s="98">
        <v>-5.1824184816417648E-17</v>
      </c>
    </row>
    <row r="218" spans="1:16" x14ac:dyDescent="0.25">
      <c r="G218" s="11"/>
      <c r="H218" s="11">
        <v>0</v>
      </c>
      <c r="I218" s="11">
        <v>4.336842335310437E-3</v>
      </c>
      <c r="J218" s="11">
        <v>4.3010287594093607E-4</v>
      </c>
      <c r="K218" s="3">
        <v>1.631933768722942E-5</v>
      </c>
      <c r="L218" s="3">
        <v>3.1110161314588676E-7</v>
      </c>
      <c r="M218" s="3">
        <v>3.2753071857691875E-9</v>
      </c>
      <c r="N218" s="3">
        <v>1.9322684541138238E-11</v>
      </c>
      <c r="O218" s="11">
        <v>5.9820047479909592E-14</v>
      </c>
      <c r="P218" s="11">
        <v>7.5634337456511643E-17</v>
      </c>
    </row>
    <row r="219" spans="1:16" x14ac:dyDescent="0.25">
      <c r="G219" s="11"/>
      <c r="H219" s="11">
        <v>0.99999681922213735</v>
      </c>
      <c r="I219" s="11">
        <v>5.9223776197970958E-2</v>
      </c>
      <c r="J219" s="11" t="e">
        <v>#N/A</v>
      </c>
      <c r="K219" s="11" t="e">
        <v>#N/A</v>
      </c>
      <c r="L219" s="11" t="e">
        <v>#N/A</v>
      </c>
      <c r="M219" s="11" t="e">
        <v>#N/A</v>
      </c>
      <c r="N219" s="11" t="e">
        <v>#N/A</v>
      </c>
      <c r="O219" s="11" t="e">
        <v>#N/A</v>
      </c>
      <c r="P219" s="11" t="e">
        <v>#N/A</v>
      </c>
    </row>
    <row r="222" spans="1:16" x14ac:dyDescent="0.25">
      <c r="E222">
        <f>E15</f>
        <v>-200</v>
      </c>
      <c r="F222">
        <f>$H$217*0+E222*$I$217+E222^2*$J$217+E222^3*$K$217+E222^4*$L$217+E222^5*$M$217+E222^6*$N$217+E222^7*$O$217+E222^8*$P$217</f>
        <v>-48.78594169031831</v>
      </c>
      <c r="G222">
        <f>F15</f>
        <v>-48.643117255443507</v>
      </c>
    </row>
    <row r="223" spans="1:16" x14ac:dyDescent="0.25">
      <c r="E223" s="11">
        <f t="shared" ref="E223:E286" si="25">E16</f>
        <v>-199</v>
      </c>
      <c r="F223" s="11">
        <f t="shared" ref="F223:F286" si="26">$H$217*0+E223*$I$217+E223^2*$J$217+E223^3*$K$217+E223^4*$L$217+E223^5*$M$217+E223^6*$N$217+E223^7*$O$217+E223^8*$P$217</f>
        <v>-48.678016024075262</v>
      </c>
      <c r="G223" s="11">
        <f t="shared" ref="G223:G286" si="27">F16</f>
        <v>-48.592924975743593</v>
      </c>
    </row>
    <row r="224" spans="1:16" x14ac:dyDescent="0.25">
      <c r="E224" s="11">
        <f t="shared" si="25"/>
        <v>-198</v>
      </c>
      <c r="F224" s="11">
        <f t="shared" si="26"/>
        <v>-48.580852944829914</v>
      </c>
      <c r="G224" s="11">
        <f t="shared" si="27"/>
        <v>-48.542649270236375</v>
      </c>
    </row>
    <row r="225" spans="5:7" x14ac:dyDescent="0.25">
      <c r="E225" s="11">
        <f t="shared" si="25"/>
        <v>-197</v>
      </c>
      <c r="F225" s="11">
        <f t="shared" si="26"/>
        <v>-48.49317509921184</v>
      </c>
      <c r="G225" s="11">
        <f t="shared" si="27"/>
        <v>-48.492206713114584</v>
      </c>
    </row>
    <row r="226" spans="5:7" x14ac:dyDescent="0.25">
      <c r="E226" s="11">
        <f t="shared" si="25"/>
        <v>-196</v>
      </c>
      <c r="F226" s="11">
        <f t="shared" si="26"/>
        <v>-48.413786546708295</v>
      </c>
      <c r="G226" s="11">
        <f t="shared" si="27"/>
        <v>-48.44151387857093</v>
      </c>
    </row>
    <row r="227" spans="5:7" x14ac:dyDescent="0.25">
      <c r="E227" s="11">
        <f t="shared" si="25"/>
        <v>-195</v>
      </c>
      <c r="F227" s="11">
        <f t="shared" si="26"/>
        <v>-48.341569267528683</v>
      </c>
      <c r="G227" s="11">
        <f t="shared" si="27"/>
        <v>-48.390487340798103</v>
      </c>
    </row>
    <row r="228" spans="5:7" x14ac:dyDescent="0.25">
      <c r="E228" s="11">
        <f t="shared" si="25"/>
        <v>-194</v>
      </c>
      <c r="F228" s="11">
        <f t="shared" si="26"/>
        <v>-48.275479761148674</v>
      </c>
      <c r="G228" s="11">
        <f t="shared" si="27"/>
        <v>-48.339043673988812</v>
      </c>
    </row>
    <row r="229" spans="5:7" x14ac:dyDescent="0.25">
      <c r="E229" s="11">
        <f t="shared" si="25"/>
        <v>-193</v>
      </c>
      <c r="F229" s="11">
        <f t="shared" si="26"/>
        <v>-48.214545734392615</v>
      </c>
      <c r="G229" s="11">
        <f t="shared" si="27"/>
        <v>-48.287099452335788</v>
      </c>
    </row>
    <row r="230" spans="5:7" x14ac:dyDescent="0.25">
      <c r="E230" s="11">
        <f t="shared" si="25"/>
        <v>-192</v>
      </c>
      <c r="F230" s="11">
        <f t="shared" si="26"/>
        <v>-48.157862877997189</v>
      </c>
      <c r="G230" s="11">
        <f t="shared" si="27"/>
        <v>-48.234571250031721</v>
      </c>
    </row>
    <row r="231" spans="5:7" x14ac:dyDescent="0.25">
      <c r="E231" s="11">
        <f t="shared" si="25"/>
        <v>-191</v>
      </c>
      <c r="F231" s="11">
        <f t="shared" si="26"/>
        <v>-48.104591730487414</v>
      </c>
      <c r="G231" s="11">
        <f t="shared" si="27"/>
        <v>-48.181375641269327</v>
      </c>
    </row>
    <row r="232" spans="5:7" x14ac:dyDescent="0.25">
      <c r="E232" s="11">
        <f t="shared" si="25"/>
        <v>-190</v>
      </c>
      <c r="F232" s="11">
        <f t="shared" si="26"/>
        <v>-48.053954628263099</v>
      </c>
      <c r="G232" s="11">
        <f t="shared" si="27"/>
        <v>-48.127429200241309</v>
      </c>
    </row>
    <row r="233" spans="5:7" x14ac:dyDescent="0.25">
      <c r="E233" s="11">
        <f t="shared" si="25"/>
        <v>-189</v>
      </c>
      <c r="F233" s="11">
        <f t="shared" si="26"/>
        <v>-48.005232740781523</v>
      </c>
      <c r="G233" s="11">
        <f t="shared" si="27"/>
        <v>-48.072648501140385</v>
      </c>
    </row>
    <row r="234" spans="5:7" x14ac:dyDescent="0.25">
      <c r="E234" s="11">
        <f t="shared" si="25"/>
        <v>-188</v>
      </c>
      <c r="F234" s="11">
        <f t="shared" si="26"/>
        <v>-47.95776318973769</v>
      </c>
      <c r="G234" s="11">
        <f t="shared" si="27"/>
        <v>-48.016950118159258</v>
      </c>
    </row>
    <row r="235" spans="5:7" x14ac:dyDescent="0.25">
      <c r="E235" s="11">
        <f t="shared" si="25"/>
        <v>-187</v>
      </c>
      <c r="F235" s="11">
        <f t="shared" si="26"/>
        <v>-47.910936251108524</v>
      </c>
      <c r="G235" s="11">
        <f t="shared" si="27"/>
        <v>-47.960250625490644</v>
      </c>
    </row>
    <row r="236" spans="5:7" x14ac:dyDescent="0.25">
      <c r="E236" s="11">
        <f t="shared" si="25"/>
        <v>-186</v>
      </c>
      <c r="F236" s="11">
        <f t="shared" si="26"/>
        <v>-47.864192638957505</v>
      </c>
      <c r="G236" s="11">
        <f t="shared" si="27"/>
        <v>-47.902466597327248</v>
      </c>
    </row>
    <row r="237" spans="5:7" x14ac:dyDescent="0.25">
      <c r="E237" s="11">
        <f t="shared" si="25"/>
        <v>-185</v>
      </c>
      <c r="F237" s="11">
        <f t="shared" si="26"/>
        <v>-47.817020869935178</v>
      </c>
      <c r="G237" s="11">
        <f t="shared" si="27"/>
        <v>-47.843514607861771</v>
      </c>
    </row>
    <row r="238" spans="5:7" x14ac:dyDescent="0.25">
      <c r="E238" s="11">
        <f t="shared" si="25"/>
        <v>-184</v>
      </c>
      <c r="F238" s="11">
        <f t="shared" si="26"/>
        <v>-47.768954707284635</v>
      </c>
      <c r="G238" s="11">
        <f t="shared" si="27"/>
        <v>-47.78331123128693</v>
      </c>
    </row>
    <row r="239" spans="5:7" x14ac:dyDescent="0.25">
      <c r="E239" s="11">
        <f t="shared" si="25"/>
        <v>-183</v>
      </c>
      <c r="F239" s="11">
        <f t="shared" si="26"/>
        <v>-47.719570683357134</v>
      </c>
      <c r="G239" s="11">
        <f t="shared" si="27"/>
        <v>-47.72177304179543</v>
      </c>
    </row>
    <row r="240" spans="5:7" x14ac:dyDescent="0.25">
      <c r="E240" s="11">
        <f t="shared" si="25"/>
        <v>-182</v>
      </c>
      <c r="F240" s="11">
        <f t="shared" si="26"/>
        <v>-47.668485699445704</v>
      </c>
      <c r="G240" s="11">
        <f t="shared" si="27"/>
        <v>-47.658816613579987</v>
      </c>
    </row>
    <row r="241" spans="5:7" x14ac:dyDescent="0.25">
      <c r="E241" s="11">
        <f t="shared" si="25"/>
        <v>-181</v>
      </c>
      <c r="F241" s="11">
        <f t="shared" si="26"/>
        <v>-47.615354701900607</v>
      </c>
      <c r="G241" s="11">
        <f t="shared" si="27"/>
        <v>-47.594358520833303</v>
      </c>
    </row>
    <row r="242" spans="5:7" x14ac:dyDescent="0.25">
      <c r="E242" s="11">
        <f t="shared" si="25"/>
        <v>-180</v>
      </c>
      <c r="F242" s="11">
        <f t="shared" si="26"/>
        <v>-47.559868433392921</v>
      </c>
      <c r="G242" s="11">
        <f t="shared" si="27"/>
        <v>-47.52831533774809</v>
      </c>
    </row>
    <row r="243" spans="5:7" x14ac:dyDescent="0.25">
      <c r="E243" s="11">
        <f t="shared" si="25"/>
        <v>-179</v>
      </c>
      <c r="F243" s="11">
        <f t="shared" si="26"/>
        <v>-47.501751258264939</v>
      </c>
      <c r="G243" s="11">
        <f t="shared" si="27"/>
        <v>-47.460603638517057</v>
      </c>
    </row>
    <row r="244" spans="5:7" x14ac:dyDescent="0.25">
      <c r="E244" s="11">
        <f t="shared" si="25"/>
        <v>-178</v>
      </c>
      <c r="F244" s="11">
        <f t="shared" si="26"/>
        <v>-47.440759060848769</v>
      </c>
      <c r="G244" s="11">
        <f t="shared" si="27"/>
        <v>-47.391139997332914</v>
      </c>
    </row>
    <row r="245" spans="5:7" x14ac:dyDescent="0.25">
      <c r="E245" s="11">
        <f t="shared" si="25"/>
        <v>-177</v>
      </c>
      <c r="F245" s="11">
        <f t="shared" si="26"/>
        <v>-47.376677215682413</v>
      </c>
      <c r="G245" s="11">
        <f t="shared" si="27"/>
        <v>-47.319840988388364</v>
      </c>
    </row>
    <row r="246" spans="5:7" x14ac:dyDescent="0.25">
      <c r="E246" s="11">
        <f t="shared" si="25"/>
        <v>-176</v>
      </c>
      <c r="F246" s="11">
        <f t="shared" si="26"/>
        <v>-47.30931862851368</v>
      </c>
      <c r="G246" s="11">
        <f t="shared" si="27"/>
        <v>-47.246623185876125</v>
      </c>
    </row>
    <row r="247" spans="5:7" x14ac:dyDescent="0.25">
      <c r="E247" s="11">
        <f t="shared" si="25"/>
        <v>-175</v>
      </c>
      <c r="F247" s="11">
        <f t="shared" si="26"/>
        <v>-47.238521847055765</v>
      </c>
      <c r="G247" s="11">
        <f t="shared" si="27"/>
        <v>-47.171403163988899</v>
      </c>
    </row>
    <row r="248" spans="5:7" x14ac:dyDescent="0.25">
      <c r="E248" s="11">
        <f t="shared" si="25"/>
        <v>-174</v>
      </c>
      <c r="F248" s="11">
        <f t="shared" si="26"/>
        <v>-47.164149240337117</v>
      </c>
      <c r="G248" s="11">
        <f t="shared" si="27"/>
        <v>-47.094097496919396</v>
      </c>
    </row>
    <row r="249" spans="5:7" x14ac:dyDescent="0.25">
      <c r="E249" s="11">
        <f t="shared" si="25"/>
        <v>-173</v>
      </c>
      <c r="F249" s="11">
        <f t="shared" si="26"/>
        <v>-47.086085245643474</v>
      </c>
      <c r="G249" s="11">
        <f t="shared" si="27"/>
        <v>-47.014622758860334</v>
      </c>
    </row>
    <row r="250" spans="5:7" x14ac:dyDescent="0.25">
      <c r="E250" s="11">
        <f t="shared" si="25"/>
        <v>-172</v>
      </c>
      <c r="F250" s="11">
        <f t="shared" si="26"/>
        <v>-47.004234681909601</v>
      </c>
      <c r="G250" s="11">
        <f t="shared" si="27"/>
        <v>-46.932895524004408</v>
      </c>
    </row>
    <row r="251" spans="5:7" x14ac:dyDescent="0.25">
      <c r="E251" s="11">
        <f t="shared" si="25"/>
        <v>-171</v>
      </c>
      <c r="F251" s="11">
        <f t="shared" si="26"/>
        <v>-46.918521128527807</v>
      </c>
      <c r="G251" s="11">
        <f t="shared" si="27"/>
        <v>-46.848832366544329</v>
      </c>
    </row>
    <row r="252" spans="5:7" x14ac:dyDescent="0.25">
      <c r="E252" s="11">
        <f t="shared" si="25"/>
        <v>-170</v>
      </c>
      <c r="F252" s="11">
        <f t="shared" si="26"/>
        <v>-46.828885368473635</v>
      </c>
      <c r="G252" s="11">
        <f t="shared" si="27"/>
        <v>-46.762349860672821</v>
      </c>
    </row>
    <row r="253" spans="5:7" x14ac:dyDescent="0.25">
      <c r="E253" s="11">
        <f t="shared" si="25"/>
        <v>-169</v>
      </c>
      <c r="F253" s="11">
        <f t="shared" si="26"/>
        <v>-46.735283894685473</v>
      </c>
      <c r="G253" s="11">
        <f t="shared" si="27"/>
        <v>-46.673364580582572</v>
      </c>
    </row>
    <row r="254" spans="5:7" x14ac:dyDescent="0.25">
      <c r="E254" s="11">
        <f t="shared" si="25"/>
        <v>-168</v>
      </c>
      <c r="F254" s="11">
        <f t="shared" si="26"/>
        <v>-46.637687478631328</v>
      </c>
      <c r="G254" s="11">
        <f t="shared" si="27"/>
        <v>-46.581793100466307</v>
      </c>
    </row>
    <row r="255" spans="5:7" x14ac:dyDescent="0.25">
      <c r="E255" s="11">
        <f t="shared" si="25"/>
        <v>-167</v>
      </c>
      <c r="F255" s="11">
        <f t="shared" si="26"/>
        <v>-46.536079799985345</v>
      </c>
      <c r="G255" s="11">
        <f t="shared" si="27"/>
        <v>-46.487551994516728</v>
      </c>
    </row>
    <row r="256" spans="5:7" x14ac:dyDescent="0.25">
      <c r="E256" s="11">
        <f t="shared" si="25"/>
        <v>-166</v>
      </c>
      <c r="F256" s="11">
        <f t="shared" si="26"/>
        <v>-46.430456136352149</v>
      </c>
      <c r="G256" s="11">
        <f t="shared" si="27"/>
        <v>-46.39055783692654</v>
      </c>
    </row>
    <row r="257" spans="5:7" x14ac:dyDescent="0.25">
      <c r="E257" s="11">
        <f t="shared" si="25"/>
        <v>-165</v>
      </c>
      <c r="F257" s="11">
        <f t="shared" si="26"/>
        <v>-46.320822111985308</v>
      </c>
      <c r="G257" s="11">
        <f t="shared" si="27"/>
        <v>-46.290727201888465</v>
      </c>
    </row>
    <row r="258" spans="5:7" x14ac:dyDescent="0.25">
      <c r="E258" s="11">
        <f t="shared" si="25"/>
        <v>-164</v>
      </c>
      <c r="F258" s="11">
        <f t="shared" si="26"/>
        <v>-46.207192504413356</v>
      </c>
      <c r="G258" s="11">
        <f t="shared" si="27"/>
        <v>-46.187976663595201</v>
      </c>
    </row>
    <row r="259" spans="5:7" x14ac:dyDescent="0.25">
      <c r="E259" s="11">
        <f t="shared" si="25"/>
        <v>-163</v>
      </c>
      <c r="F259" s="11">
        <f t="shared" si="26"/>
        <v>-46.089590107945085</v>
      </c>
      <c r="G259" s="11">
        <f t="shared" si="27"/>
        <v>-46.082222796239463</v>
      </c>
    </row>
    <row r="260" spans="5:7" x14ac:dyDescent="0.25">
      <c r="E260" s="11">
        <f t="shared" si="25"/>
        <v>-162</v>
      </c>
      <c r="F260" s="11">
        <f t="shared" si="26"/>
        <v>-45.968044652962213</v>
      </c>
      <c r="G260" s="11">
        <f t="shared" si="27"/>
        <v>-45.973382174013949</v>
      </c>
    </row>
    <row r="261" spans="5:7" x14ac:dyDescent="0.25">
      <c r="E261" s="11">
        <f t="shared" si="25"/>
        <v>-161</v>
      </c>
      <c r="F261" s="11">
        <f t="shared" si="26"/>
        <v>-45.842591779979628</v>
      </c>
      <c r="G261" s="11">
        <f t="shared" si="27"/>
        <v>-45.861371371111389</v>
      </c>
    </row>
    <row r="262" spans="5:7" x14ac:dyDescent="0.25">
      <c r="E262" s="11">
        <f t="shared" si="25"/>
        <v>-160</v>
      </c>
      <c r="F262" s="11">
        <f t="shared" si="26"/>
        <v>-45.713272067383016</v>
      </c>
      <c r="G262" s="11">
        <f t="shared" si="27"/>
        <v>-45.746106961724472</v>
      </c>
    </row>
    <row r="263" spans="5:7" x14ac:dyDescent="0.25">
      <c r="E263" s="11">
        <f t="shared" si="25"/>
        <v>-159</v>
      </c>
      <c r="F263" s="11">
        <f t="shared" si="26"/>
        <v>-45.580130111830854</v>
      </c>
      <c r="G263" s="11">
        <f t="shared" si="27"/>
        <v>-45.611943881020323</v>
      </c>
    </row>
    <row r="264" spans="5:7" x14ac:dyDescent="0.25">
      <c r="E264" s="11">
        <f t="shared" si="25"/>
        <v>-158</v>
      </c>
      <c r="F264" s="11">
        <f t="shared" si="26"/>
        <v>-45.443213660233006</v>
      </c>
      <c r="G264" s="11">
        <f t="shared" si="27"/>
        <v>-45.474441697814903</v>
      </c>
    </row>
    <row r="265" spans="5:7" x14ac:dyDescent="0.25">
      <c r="E265" s="11">
        <f t="shared" si="25"/>
        <v>-157</v>
      </c>
      <c r="F265" s="11">
        <f t="shared" si="26"/>
        <v>-45.30257279228482</v>
      </c>
      <c r="G265" s="11">
        <f t="shared" si="27"/>
        <v>-45.333598341898586</v>
      </c>
    </row>
    <row r="266" spans="5:7" x14ac:dyDescent="0.25">
      <c r="E266" s="11">
        <f t="shared" si="25"/>
        <v>-156</v>
      </c>
      <c r="F266" s="11">
        <f t="shared" si="26"/>
        <v>-45.158259152509544</v>
      </c>
      <c r="G266" s="11">
        <f t="shared" si="27"/>
        <v>-45.189411743061726</v>
      </c>
    </row>
    <row r="267" spans="5:7" x14ac:dyDescent="0.25">
      <c r="E267" s="11">
        <f t="shared" si="25"/>
        <v>-155</v>
      </c>
      <c r="F267" s="11">
        <f t="shared" si="26"/>
        <v>-45.010325230750482</v>
      </c>
      <c r="G267" s="11">
        <f t="shared" si="27"/>
        <v>-45.041879831094718</v>
      </c>
    </row>
    <row r="268" spans="5:7" x14ac:dyDescent="0.25">
      <c r="E268" s="11">
        <f t="shared" si="25"/>
        <v>-154</v>
      </c>
      <c r="F268" s="11">
        <f t="shared" si="26"/>
        <v>-44.858823690082914</v>
      </c>
      <c r="G268" s="11">
        <f t="shared" si="27"/>
        <v>-44.891000535787896</v>
      </c>
    </row>
    <row r="269" spans="5:7" x14ac:dyDescent="0.25">
      <c r="E269" s="11">
        <f t="shared" si="25"/>
        <v>-153</v>
      </c>
      <c r="F269" s="11">
        <f t="shared" si="26"/>
        <v>-44.703806741111961</v>
      </c>
      <c r="G269" s="11">
        <f t="shared" si="27"/>
        <v>-44.736771786931655</v>
      </c>
    </row>
    <row r="270" spans="5:7" x14ac:dyDescent="0.25">
      <c r="E270" s="11">
        <f t="shared" si="25"/>
        <v>-152</v>
      </c>
      <c r="F270" s="11">
        <f t="shared" si="26"/>
        <v>-44.54532556160504</v>
      </c>
      <c r="G270" s="11">
        <f t="shared" si="27"/>
        <v>-44.579191514316349</v>
      </c>
    </row>
    <row r="271" spans="5:7" x14ac:dyDescent="0.25">
      <c r="E271" s="11">
        <f t="shared" si="25"/>
        <v>-151</v>
      </c>
      <c r="F271" s="11">
        <f t="shared" si="26"/>
        <v>-44.383429760439149</v>
      </c>
      <c r="G271" s="11">
        <f t="shared" si="27"/>
        <v>-44.418257647732361</v>
      </c>
    </row>
    <row r="272" spans="5:7" x14ac:dyDescent="0.25">
      <c r="E272" s="11">
        <f t="shared" si="25"/>
        <v>-150</v>
      </c>
      <c r="F272" s="11">
        <f t="shared" si="26"/>
        <v>-44.218166884818118</v>
      </c>
      <c r="G272" s="11">
        <f t="shared" si="27"/>
        <v>-44.253968116970043</v>
      </c>
    </row>
    <row r="273" spans="5:7" x14ac:dyDescent="0.25">
      <c r="E273" s="11">
        <f t="shared" si="25"/>
        <v>-149</v>
      </c>
      <c r="F273" s="11">
        <f t="shared" si="26"/>
        <v>-44.049581969734476</v>
      </c>
      <c r="G273" s="11">
        <f t="shared" si="27"/>
        <v>-44.086320851819778</v>
      </c>
    </row>
    <row r="274" spans="5:7" x14ac:dyDescent="0.25">
      <c r="E274" s="11">
        <f t="shared" si="25"/>
        <v>-148</v>
      </c>
      <c r="F274" s="11">
        <f t="shared" si="26"/>
        <v>-43.877717128652371</v>
      </c>
      <c r="G274" s="11">
        <f t="shared" si="27"/>
        <v>-43.915313782071941</v>
      </c>
    </row>
    <row r="275" spans="5:7" x14ac:dyDescent="0.25">
      <c r="E275" s="11">
        <f t="shared" si="25"/>
        <v>-147</v>
      </c>
      <c r="F275" s="11">
        <f t="shared" si="26"/>
        <v>-43.702611184373318</v>
      </c>
      <c r="G275" s="11">
        <f t="shared" si="27"/>
        <v>-43.740944837516878</v>
      </c>
    </row>
    <row r="276" spans="5:7" x14ac:dyDescent="0.25">
      <c r="E276" s="11">
        <f t="shared" si="25"/>
        <v>-146</v>
      </c>
      <c r="F276" s="11">
        <f t="shared" si="26"/>
        <v>-43.524299339072904</v>
      </c>
      <c r="G276" s="11">
        <f t="shared" si="27"/>
        <v>-43.563211947944971</v>
      </c>
    </row>
    <row r="277" spans="5:7" x14ac:dyDescent="0.25">
      <c r="E277" s="11">
        <f t="shared" si="25"/>
        <v>-145</v>
      </c>
      <c r="F277" s="11">
        <f t="shared" si="26"/>
        <v>-43.342812882479876</v>
      </c>
      <c r="G277" s="11">
        <f t="shared" si="27"/>
        <v>-43.382113043146589</v>
      </c>
    </row>
    <row r="278" spans="5:7" x14ac:dyDescent="0.25">
      <c r="E278" s="11">
        <f t="shared" si="25"/>
        <v>-144</v>
      </c>
      <c r="F278" s="11">
        <f t="shared" si="26"/>
        <v>-43.158178937172167</v>
      </c>
      <c r="G278" s="11">
        <f t="shared" si="27"/>
        <v>-43.197646052912106</v>
      </c>
    </row>
    <row r="279" spans="5:7" x14ac:dyDescent="0.25">
      <c r="E279" s="11">
        <f t="shared" si="25"/>
        <v>-143</v>
      </c>
      <c r="F279" s="11">
        <f t="shared" si="26"/>
        <v>-42.970420239986829</v>
      </c>
      <c r="G279" s="11">
        <f t="shared" si="27"/>
        <v>-43.009808907031868</v>
      </c>
    </row>
    <row r="280" spans="5:7" x14ac:dyDescent="0.25">
      <c r="E280" s="11">
        <f t="shared" si="25"/>
        <v>-142</v>
      </c>
      <c r="F280" s="11">
        <f t="shared" si="26"/>
        <v>-42.779554958510722</v>
      </c>
      <c r="G280" s="11">
        <f t="shared" si="27"/>
        <v>-42.818599535296272</v>
      </c>
    </row>
    <row r="281" spans="5:7" x14ac:dyDescent="0.25">
      <c r="E281" s="11">
        <f t="shared" si="25"/>
        <v>-141</v>
      </c>
      <c r="F281" s="11">
        <f t="shared" si="26"/>
        <v>-42.58559654165434</v>
      </c>
      <c r="G281" s="11">
        <f t="shared" si="27"/>
        <v>-42.624015867495672</v>
      </c>
    </row>
    <row r="282" spans="5:7" x14ac:dyDescent="0.25">
      <c r="E282" s="11">
        <f t="shared" si="25"/>
        <v>-140</v>
      </c>
      <c r="F282" s="11">
        <f t="shared" si="26"/>
        <v>-42.388553603282098</v>
      </c>
      <c r="G282" s="11">
        <f t="shared" si="27"/>
        <v>-42.426055833420449</v>
      </c>
    </row>
    <row r="283" spans="5:7" x14ac:dyDescent="0.25">
      <c r="E283" s="11">
        <f t="shared" si="25"/>
        <v>-139</v>
      </c>
      <c r="F283" s="11">
        <f t="shared" si="26"/>
        <v>-42.188429837899434</v>
      </c>
      <c r="G283" s="11">
        <f t="shared" si="27"/>
        <v>-42.224717362860957</v>
      </c>
    </row>
    <row r="284" spans="5:7" x14ac:dyDescent="0.25">
      <c r="E284" s="11">
        <f t="shared" si="25"/>
        <v>-138</v>
      </c>
      <c r="F284" s="11">
        <f t="shared" si="26"/>
        <v>-41.985223967386325</v>
      </c>
      <c r="G284" s="11">
        <f t="shared" si="27"/>
        <v>-42.019998385607565</v>
      </c>
    </row>
    <row r="285" spans="5:7" x14ac:dyDescent="0.25">
      <c r="E285" s="11">
        <f t="shared" si="25"/>
        <v>-137</v>
      </c>
      <c r="F285" s="11">
        <f t="shared" si="26"/>
        <v>-41.778929717768591</v>
      </c>
      <c r="G285" s="11">
        <f t="shared" si="27"/>
        <v>-41.81189683145066</v>
      </c>
    </row>
    <row r="286" spans="5:7" x14ac:dyDescent="0.25">
      <c r="E286" s="11">
        <f t="shared" si="25"/>
        <v>-136</v>
      </c>
      <c r="F286" s="11">
        <f t="shared" si="26"/>
        <v>-41.569535825032354</v>
      </c>
      <c r="G286" s="11">
        <f t="shared" si="27"/>
        <v>-41.600410630180598</v>
      </c>
    </row>
    <row r="287" spans="5:7" x14ac:dyDescent="0.25">
      <c r="E287" s="11">
        <f t="shared" ref="E287:E350" si="28">E80</f>
        <v>-135</v>
      </c>
      <c r="F287" s="11">
        <f t="shared" ref="F287:F350" si="29">$H$217*0+E287*$I$217+E287^2*$J$217+E287^3*$K$217+E287^4*$L$217+E287^5*$M$217+E287^6*$N$217+E287^7*$O$217+E287^8*$P$217</f>
        <v>-41.357026068966498</v>
      </c>
      <c r="G287" s="11">
        <f t="shared" ref="G287:G350" si="30">F80</f>
        <v>-41.385537711587737</v>
      </c>
    </row>
    <row r="288" spans="5:7" x14ac:dyDescent="0.25">
      <c r="E288" s="11">
        <f t="shared" si="28"/>
        <v>-134</v>
      </c>
      <c r="F288" s="11">
        <f t="shared" si="29"/>
        <v>-41.14137933404696</v>
      </c>
      <c r="G288" s="11">
        <f t="shared" si="30"/>
        <v>-41.167271683658612</v>
      </c>
    </row>
    <row r="289" spans="5:7" x14ac:dyDescent="0.25">
      <c r="E289" s="11">
        <f t="shared" si="28"/>
        <v>-133</v>
      </c>
      <c r="F289" s="11">
        <f t="shared" si="29"/>
        <v>-40.922569696359503</v>
      </c>
      <c r="G289" s="11">
        <f t="shared" si="30"/>
        <v>-40.945588867164268</v>
      </c>
    </row>
    <row r="290" spans="5:7" x14ac:dyDescent="0.25">
      <c r="E290" s="11">
        <f t="shared" si="28"/>
        <v>-132</v>
      </c>
      <c r="F290" s="11">
        <f t="shared" si="29"/>
        <v>-40.700566535566963</v>
      </c>
      <c r="G290" s="11">
        <f t="shared" si="30"/>
        <v>-40.720461261071918</v>
      </c>
    </row>
    <row r="291" spans="5:7" x14ac:dyDescent="0.25">
      <c r="E291" s="11">
        <f t="shared" si="28"/>
        <v>-131</v>
      </c>
      <c r="F291" s="11">
        <f t="shared" si="29"/>
        <v>-40.475334670926038</v>
      </c>
      <c r="G291" s="11">
        <f t="shared" si="30"/>
        <v>-40.491860864348773</v>
      </c>
    </row>
    <row r="292" spans="5:7" x14ac:dyDescent="0.25">
      <c r="E292" s="11">
        <f t="shared" si="28"/>
        <v>-130</v>
      </c>
      <c r="F292" s="11">
        <f t="shared" si="29"/>
        <v>-40.246834520366782</v>
      </c>
      <c r="G292" s="11">
        <f t="shared" si="30"/>
        <v>-40.259759675962044</v>
      </c>
    </row>
    <row r="293" spans="5:7" x14ac:dyDescent="0.25">
      <c r="E293" s="11">
        <f t="shared" si="28"/>
        <v>-129</v>
      </c>
      <c r="F293" s="11">
        <f t="shared" si="29"/>
        <v>-40.015022281643787</v>
      </c>
      <c r="G293" s="11">
        <f t="shared" si="30"/>
        <v>-40.02412969487893</v>
      </c>
    </row>
    <row r="294" spans="5:7" x14ac:dyDescent="0.25">
      <c r="E294" s="11">
        <f t="shared" si="28"/>
        <v>-128</v>
      </c>
      <c r="F294" s="11">
        <f t="shared" si="29"/>
        <v>-39.779850134571021</v>
      </c>
      <c r="G294" s="11">
        <f t="shared" si="30"/>
        <v>-39.784942920066641</v>
      </c>
    </row>
    <row r="295" spans="5:7" x14ac:dyDescent="0.25">
      <c r="E295" s="11">
        <f t="shared" si="28"/>
        <v>-127</v>
      </c>
      <c r="F295" s="11">
        <f t="shared" si="29"/>
        <v>-39.54126646335785</v>
      </c>
      <c r="G295" s="11">
        <f t="shared" si="30"/>
        <v>-39.542171350492389</v>
      </c>
    </row>
    <row r="296" spans="5:7" x14ac:dyDescent="0.25">
      <c r="E296" s="11">
        <f t="shared" si="28"/>
        <v>-126</v>
      </c>
      <c r="F296" s="11">
        <f t="shared" si="29"/>
        <v>-39.299216098063852</v>
      </c>
      <c r="G296" s="11">
        <f t="shared" si="30"/>
        <v>-39.295786985123371</v>
      </c>
    </row>
    <row r="297" spans="5:7" x14ac:dyDescent="0.25">
      <c r="E297" s="11">
        <f t="shared" si="28"/>
        <v>-125</v>
      </c>
      <c r="F297" s="11">
        <f t="shared" si="29"/>
        <v>-39.053640574189529</v>
      </c>
      <c r="G297" s="11">
        <f t="shared" si="30"/>
        <v>-39.045761822926806</v>
      </c>
    </row>
    <row r="298" spans="5:7" x14ac:dyDescent="0.25">
      <c r="E298" s="11">
        <f t="shared" si="28"/>
        <v>-124</v>
      </c>
      <c r="F298" s="11">
        <f t="shared" si="29"/>
        <v>-38.804478409427546</v>
      </c>
      <c r="G298" s="11">
        <f t="shared" si="30"/>
        <v>-38.792067862869892</v>
      </c>
    </row>
    <row r="299" spans="5:7" x14ac:dyDescent="0.25">
      <c r="E299" s="11">
        <f t="shared" si="28"/>
        <v>-123</v>
      </c>
      <c r="F299" s="11">
        <f t="shared" si="29"/>
        <v>-38.551665396596945</v>
      </c>
      <c r="G299" s="11">
        <f t="shared" si="30"/>
        <v>-38.534677103919847</v>
      </c>
    </row>
    <row r="300" spans="5:7" x14ac:dyDescent="0.25">
      <c r="E300" s="11">
        <f t="shared" si="28"/>
        <v>-122</v>
      </c>
      <c r="F300" s="11">
        <f t="shared" si="29"/>
        <v>-38.295134911783613</v>
      </c>
      <c r="G300" s="11">
        <f t="shared" si="30"/>
        <v>-38.273561545043862</v>
      </c>
    </row>
    <row r="301" spans="5:7" x14ac:dyDescent="0.25">
      <c r="E301" s="11">
        <f t="shared" si="28"/>
        <v>-121</v>
      </c>
      <c r="F301" s="11">
        <f t="shared" si="29"/>
        <v>-38.034818236721513</v>
      </c>
      <c r="G301" s="11">
        <f t="shared" si="30"/>
        <v>-38.008693185209154</v>
      </c>
    </row>
    <row r="302" spans="5:7" x14ac:dyDescent="0.25">
      <c r="E302" s="11">
        <f t="shared" si="28"/>
        <v>-120</v>
      </c>
      <c r="F302" s="11">
        <f t="shared" si="29"/>
        <v>-37.77064489443778</v>
      </c>
      <c r="G302" s="11">
        <f t="shared" si="30"/>
        <v>-37.740044023382929</v>
      </c>
    </row>
    <row r="303" spans="5:7" x14ac:dyDescent="0.25">
      <c r="E303" s="11">
        <f t="shared" si="28"/>
        <v>-119</v>
      </c>
      <c r="F303" s="11">
        <f t="shared" si="29"/>
        <v>-37.502542997197018</v>
      </c>
      <c r="G303" s="11">
        <f t="shared" si="30"/>
        <v>-37.467586058532397</v>
      </c>
    </row>
    <row r="304" spans="5:7" x14ac:dyDescent="0.25">
      <c r="E304" s="11">
        <f t="shared" si="28"/>
        <v>-118</v>
      </c>
      <c r="F304" s="11">
        <f t="shared" si="29"/>
        <v>-37.230439605779225</v>
      </c>
      <c r="G304" s="11">
        <f t="shared" si="30"/>
        <v>-37.191291289624772</v>
      </c>
    </row>
    <row r="305" spans="5:7" x14ac:dyDescent="0.25">
      <c r="E305" s="11">
        <f t="shared" si="28"/>
        <v>-117</v>
      </c>
      <c r="F305" s="11">
        <f t="shared" si="29"/>
        <v>-36.95426109912669</v>
      </c>
      <c r="G305" s="11">
        <f t="shared" si="30"/>
        <v>-36.911131715627235</v>
      </c>
    </row>
    <row r="306" spans="5:7" x14ac:dyDescent="0.25">
      <c r="E306" s="11">
        <f t="shared" si="28"/>
        <v>-116</v>
      </c>
      <c r="F306" s="11">
        <f t="shared" si="29"/>
        <v>-36.673933553399706</v>
      </c>
      <c r="G306" s="11">
        <f t="shared" si="30"/>
        <v>-36.62707933550702</v>
      </c>
    </row>
    <row r="307" spans="5:7" x14ac:dyDescent="0.25">
      <c r="E307" s="11">
        <f t="shared" si="28"/>
        <v>-115</v>
      </c>
      <c r="F307" s="11">
        <f t="shared" si="29"/>
        <v>-36.389383129477082</v>
      </c>
      <c r="G307" s="11">
        <f t="shared" si="30"/>
        <v>-36.33910614823133</v>
      </c>
    </row>
    <row r="308" spans="5:7" x14ac:dyDescent="0.25">
      <c r="E308" s="11">
        <f t="shared" si="28"/>
        <v>-114</v>
      </c>
      <c r="F308" s="11">
        <f t="shared" si="29"/>
        <v>-36.100536467952139</v>
      </c>
      <c r="G308" s="11">
        <f t="shared" si="30"/>
        <v>-36.047184152767358</v>
      </c>
    </row>
    <row r="309" spans="5:7" x14ac:dyDescent="0.25">
      <c r="E309" s="11">
        <f t="shared" si="28"/>
        <v>-113</v>
      </c>
      <c r="F309" s="11">
        <f t="shared" si="29"/>
        <v>-35.807321090659975</v>
      </c>
      <c r="G309" s="11">
        <f t="shared" si="30"/>
        <v>-35.751285348082327</v>
      </c>
    </row>
    <row r="310" spans="5:7" x14ac:dyDescent="0.25">
      <c r="E310" s="11">
        <f t="shared" si="28"/>
        <v>-112</v>
      </c>
      <c r="F310" s="11">
        <f t="shared" si="29"/>
        <v>-35.5096658077887</v>
      </c>
      <c r="G310" s="11">
        <f t="shared" si="30"/>
        <v>-35.451381733143435</v>
      </c>
    </row>
    <row r="311" spans="5:7" x14ac:dyDescent="0.25">
      <c r="E311" s="11">
        <f t="shared" si="28"/>
        <v>-111</v>
      </c>
      <c r="F311" s="11">
        <f t="shared" si="29"/>
        <v>-35.207501129622507</v>
      </c>
      <c r="G311" s="11">
        <f t="shared" si="30"/>
        <v>-35.147445306917888</v>
      </c>
    </row>
    <row r="312" spans="5:7" x14ac:dyDescent="0.25">
      <c r="E312" s="11">
        <f t="shared" si="28"/>
        <v>-110</v>
      </c>
      <c r="F312" s="11">
        <f t="shared" si="29"/>
        <v>-34.900759681963564</v>
      </c>
      <c r="G312" s="11">
        <f t="shared" si="30"/>
        <v>-34.83944806837291</v>
      </c>
    </row>
    <row r="313" spans="5:7" x14ac:dyDescent="0.25">
      <c r="E313" s="11">
        <f t="shared" si="28"/>
        <v>-109</v>
      </c>
      <c r="F313" s="11">
        <f t="shared" si="29"/>
        <v>-34.589376624291702</v>
      </c>
      <c r="G313" s="11">
        <f t="shared" si="30"/>
        <v>-34.527360311183998</v>
      </c>
    </row>
    <row r="314" spans="5:7" x14ac:dyDescent="0.25">
      <c r="E314" s="11">
        <f t="shared" si="28"/>
        <v>-108</v>
      </c>
      <c r="F314" s="11">
        <f t="shared" si="29"/>
        <v>-34.27329006971258</v>
      </c>
      <c r="G314" s="11">
        <f t="shared" si="30"/>
        <v>-34.211145507859946</v>
      </c>
    </row>
    <row r="315" spans="5:7" x14ac:dyDescent="0.25">
      <c r="E315" s="11">
        <f t="shared" si="28"/>
        <v>-107</v>
      </c>
      <c r="F315" s="11">
        <f t="shared" si="29"/>
        <v>-33.952441505753491</v>
      </c>
      <c r="G315" s="11">
        <f t="shared" si="30"/>
        <v>-33.890765425617857</v>
      </c>
    </row>
    <row r="316" spans="5:7" x14ac:dyDescent="0.25">
      <c r="E316" s="11">
        <f t="shared" si="28"/>
        <v>-106</v>
      </c>
      <c r="F316" s="11">
        <f t="shared" si="29"/>
        <v>-33.62677621506441</v>
      </c>
      <c r="G316" s="11">
        <f t="shared" si="30"/>
        <v>-33.566181831674811</v>
      </c>
    </row>
    <row r="317" spans="5:7" x14ac:dyDescent="0.25">
      <c r="E317" s="11">
        <f t="shared" si="28"/>
        <v>-105</v>
      </c>
      <c r="F317" s="11">
        <f t="shared" si="29"/>
        <v>-33.296243695088947</v>
      </c>
      <c r="G317" s="11">
        <f t="shared" si="30"/>
        <v>-33.237356493247916</v>
      </c>
    </row>
    <row r="318" spans="5:7" x14ac:dyDescent="0.25">
      <c r="E318" s="11">
        <f t="shared" si="28"/>
        <v>-104</v>
      </c>
      <c r="F318" s="11">
        <f t="shared" si="29"/>
        <v>-32.960798075764387</v>
      </c>
      <c r="G318" s="11">
        <f t="shared" si="30"/>
        <v>-32.904251177554258</v>
      </c>
    </row>
    <row r="319" spans="5:7" x14ac:dyDescent="0.25">
      <c r="E319" s="11">
        <f t="shared" si="28"/>
        <v>-103</v>
      </c>
      <c r="F319" s="11">
        <f t="shared" si="29"/>
        <v>-32.620398534319328</v>
      </c>
      <c r="G319" s="11">
        <f t="shared" si="30"/>
        <v>-32.566827651810954</v>
      </c>
    </row>
    <row r="320" spans="5:7" x14ac:dyDescent="0.25">
      <c r="E320" s="11">
        <f t="shared" si="28"/>
        <v>-102</v>
      </c>
      <c r="F320" s="11">
        <f t="shared" si="29"/>
        <v>-32.275009706235899</v>
      </c>
      <c r="G320" s="11">
        <f t="shared" si="30"/>
        <v>-32.225047683235076</v>
      </c>
    </row>
    <row r="321" spans="5:7" x14ac:dyDescent="0.25">
      <c r="E321" s="11">
        <f t="shared" si="28"/>
        <v>-101</v>
      </c>
      <c r="F321" s="11">
        <f t="shared" si="29"/>
        <v>-31.924602091445756</v>
      </c>
      <c r="G321" s="11">
        <f t="shared" si="30"/>
        <v>-31.878873039043732</v>
      </c>
    </row>
    <row r="322" spans="5:7" x14ac:dyDescent="0.25">
      <c r="E322" s="11">
        <f t="shared" si="28"/>
        <v>-100</v>
      </c>
      <c r="F322" s="11">
        <f t="shared" si="29"/>
        <v>-31.569152454832025</v>
      </c>
      <c r="G322" s="11">
        <f t="shared" si="30"/>
        <v>-31.528265486454018</v>
      </c>
    </row>
    <row r="323" spans="5:7" x14ac:dyDescent="0.25">
      <c r="E323" s="11">
        <f t="shared" si="28"/>
        <v>-99</v>
      </c>
      <c r="F323" s="11">
        <f t="shared" si="29"/>
        <v>-31.208644220110866</v>
      </c>
      <c r="G323" s="11">
        <f t="shared" si="30"/>
        <v>-31.173186792683023</v>
      </c>
    </row>
    <row r="324" spans="5:7" x14ac:dyDescent="0.25">
      <c r="E324" s="11">
        <f t="shared" si="28"/>
        <v>-98</v>
      </c>
      <c r="F324" s="11">
        <f t="shared" si="29"/>
        <v>-30.843067856169259</v>
      </c>
      <c r="G324" s="11">
        <f t="shared" si="30"/>
        <v>-30.813598724947848</v>
      </c>
    </row>
    <row r="325" spans="5:7" x14ac:dyDescent="0.25">
      <c r="E325" s="11">
        <f t="shared" si="28"/>
        <v>-97</v>
      </c>
      <c r="F325" s="11">
        <f t="shared" si="29"/>
        <v>-30.472421254935863</v>
      </c>
      <c r="G325" s="11">
        <f t="shared" si="30"/>
        <v>-30.449463050465592</v>
      </c>
    </row>
    <row r="326" spans="5:7" x14ac:dyDescent="0.25">
      <c r="E326" s="11">
        <f t="shared" si="28"/>
        <v>-96</v>
      </c>
      <c r="F326" s="11">
        <f t="shared" si="29"/>
        <v>-30.096710099867281</v>
      </c>
      <c r="G326" s="11">
        <f t="shared" si="30"/>
        <v>-30.080741536453342</v>
      </c>
    </row>
    <row r="327" spans="5:7" x14ac:dyDescent="0.25">
      <c r="E327" s="11">
        <f t="shared" si="28"/>
        <v>-95</v>
      </c>
      <c r="F327" s="11">
        <f t="shared" si="29"/>
        <v>-29.715948224128944</v>
      </c>
      <c r="G327" s="11">
        <f t="shared" si="30"/>
        <v>-29.707395950128202</v>
      </c>
    </row>
    <row r="328" spans="5:7" x14ac:dyDescent="0.25">
      <c r="E328" s="11">
        <f t="shared" si="28"/>
        <v>-94</v>
      </c>
      <c r="F328" s="11">
        <f t="shared" si="29"/>
        <v>-29.33015795755767</v>
      </c>
      <c r="G328" s="11">
        <f t="shared" si="30"/>
        <v>-29.32938805870727</v>
      </c>
    </row>
    <row r="329" spans="5:7" x14ac:dyDescent="0.25">
      <c r="E329" s="11">
        <f t="shared" si="28"/>
        <v>-93</v>
      </c>
      <c r="F329" s="11">
        <f t="shared" si="29"/>
        <v>-28.939370461491325</v>
      </c>
      <c r="G329" s="11">
        <f t="shared" si="30"/>
        <v>-28.946679629407633</v>
      </c>
    </row>
    <row r="330" spans="5:7" x14ac:dyDescent="0.25">
      <c r="E330" s="11">
        <f t="shared" si="28"/>
        <v>-92</v>
      </c>
      <c r="F330" s="11">
        <f t="shared" si="29"/>
        <v>-28.543626050553637</v>
      </c>
      <c r="G330" s="11">
        <f t="shared" si="30"/>
        <v>-28.559232429446389</v>
      </c>
    </row>
    <row r="331" spans="5:7" x14ac:dyDescent="0.25">
      <c r="E331" s="11">
        <f t="shared" si="28"/>
        <v>-91</v>
      </c>
      <c r="F331" s="11">
        <f t="shared" si="29"/>
        <v>-28.142974500484804</v>
      </c>
      <c r="G331" s="11">
        <f t="shared" si="30"/>
        <v>-28.167008226040643</v>
      </c>
    </row>
    <row r="332" spans="5:7" x14ac:dyDescent="0.25">
      <c r="E332" s="11">
        <f t="shared" si="28"/>
        <v>-90</v>
      </c>
      <c r="F332" s="11">
        <f t="shared" si="29"/>
        <v>-27.73747534111282</v>
      </c>
      <c r="G332" s="11">
        <f t="shared" si="30"/>
        <v>-27.769968786407482</v>
      </c>
    </row>
    <row r="333" spans="5:7" x14ac:dyDescent="0.25">
      <c r="E333" s="11">
        <f t="shared" si="28"/>
        <v>-89</v>
      </c>
      <c r="F333" s="11">
        <f t="shared" si="29"/>
        <v>-27.327198133556006</v>
      </c>
      <c r="G333" s="11">
        <f t="shared" si="30"/>
        <v>-27.368075877764003</v>
      </c>
    </row>
    <row r="334" spans="5:7" x14ac:dyDescent="0.25">
      <c r="E334" s="11">
        <f t="shared" si="28"/>
        <v>-88</v>
      </c>
      <c r="F334" s="11">
        <f t="shared" si="29"/>
        <v>-26.912222730758479</v>
      </c>
      <c r="G334" s="11">
        <f t="shared" si="30"/>
        <v>-26.961291267327304</v>
      </c>
    </row>
    <row r="335" spans="5:7" x14ac:dyDescent="0.25">
      <c r="E335" s="11">
        <f t="shared" si="28"/>
        <v>-87</v>
      </c>
      <c r="F335" s="11">
        <f t="shared" si="29"/>
        <v>-26.49263952045337</v>
      </c>
      <c r="G335" s="11">
        <f t="shared" si="30"/>
        <v>-26.549576722314484</v>
      </c>
    </row>
    <row r="336" spans="5:7" x14ac:dyDescent="0.25">
      <c r="E336" s="11">
        <f t="shared" si="28"/>
        <v>-86</v>
      </c>
      <c r="F336" s="11">
        <f t="shared" si="29"/>
        <v>-26.068549649657722</v>
      </c>
      <c r="G336" s="11">
        <f t="shared" si="30"/>
        <v>-26.132894009942632</v>
      </c>
    </row>
    <row r="337" spans="5:7" x14ac:dyDescent="0.25">
      <c r="E337" s="11">
        <f t="shared" si="28"/>
        <v>-85</v>
      </c>
      <c r="F337" s="11">
        <f t="shared" si="29"/>
        <v>-25.640065229800953</v>
      </c>
      <c r="G337" s="11">
        <f t="shared" si="30"/>
        <v>-25.71120489742885</v>
      </c>
    </row>
    <row r="338" spans="5:7" x14ac:dyDescent="0.25">
      <c r="E338" s="11">
        <f t="shared" si="28"/>
        <v>-84</v>
      </c>
      <c r="F338" s="11">
        <f t="shared" si="29"/>
        <v>-25.207309521592254</v>
      </c>
      <c r="G338" s="11">
        <f t="shared" si="30"/>
        <v>-25.284471151990232</v>
      </c>
    </row>
    <row r="339" spans="5:7" x14ac:dyDescent="0.25">
      <c r="E339" s="11">
        <f t="shared" si="28"/>
        <v>-83</v>
      </c>
      <c r="F339" s="11">
        <f t="shared" si="29"/>
        <v>-24.770417098734235</v>
      </c>
      <c r="G339" s="11">
        <f t="shared" si="30"/>
        <v>-24.852654540843869</v>
      </c>
    </row>
    <row r="340" spans="5:7" x14ac:dyDescent="0.25">
      <c r="E340" s="11">
        <f t="shared" si="28"/>
        <v>-82</v>
      </c>
      <c r="F340" s="11">
        <f t="shared" si="29"/>
        <v>-24.329533989592491</v>
      </c>
      <c r="G340" s="11">
        <f t="shared" si="30"/>
        <v>-24.415716831206865</v>
      </c>
    </row>
    <row r="341" spans="5:7" x14ac:dyDescent="0.25">
      <c r="E341" s="11">
        <f t="shared" si="28"/>
        <v>-81</v>
      </c>
      <c r="F341" s="11">
        <f t="shared" si="29"/>
        <v>-23.884817795932719</v>
      </c>
      <c r="G341" s="11">
        <f t="shared" si="30"/>
        <v>-23.973619790296311</v>
      </c>
    </row>
    <row r="342" spans="5:7" x14ac:dyDescent="0.25">
      <c r="E342" s="11">
        <f t="shared" si="28"/>
        <v>-80</v>
      </c>
      <c r="F342" s="11">
        <f t="shared" si="29"/>
        <v>-23.436437787838177</v>
      </c>
      <c r="G342" s="11">
        <f t="shared" si="30"/>
        <v>-23.526325185329309</v>
      </c>
    </row>
    <row r="343" spans="5:7" x14ac:dyDescent="0.25">
      <c r="E343" s="11">
        <f t="shared" si="28"/>
        <v>-79</v>
      </c>
      <c r="F343" s="11">
        <f t="shared" si="29"/>
        <v>-22.984574973923994</v>
      </c>
      <c r="G343" s="11">
        <f t="shared" si="30"/>
        <v>-23.073869155025445</v>
      </c>
    </row>
    <row r="344" spans="5:7" x14ac:dyDescent="0.25">
      <c r="E344" s="11">
        <f t="shared" si="28"/>
        <v>-78</v>
      </c>
      <c r="F344" s="11">
        <f t="shared" si="29"/>
        <v>-22.529422145965999</v>
      </c>
      <c r="G344" s="11">
        <f t="shared" si="30"/>
        <v>-22.616585324114297</v>
      </c>
    </row>
    <row r="345" spans="5:7" x14ac:dyDescent="0.25">
      <c r="E345" s="11">
        <f t="shared" si="28"/>
        <v>-77</v>
      </c>
      <c r="F345" s="11">
        <f t="shared" si="29"/>
        <v>-22.071183897063833</v>
      </c>
      <c r="G345" s="11">
        <f t="shared" si="30"/>
        <v>-22.154881688827938</v>
      </c>
    </row>
    <row r="346" spans="5:7" x14ac:dyDescent="0.25">
      <c r="E346" s="11">
        <f t="shared" si="28"/>
        <v>-76</v>
      </c>
      <c r="F346" s="11">
        <f t="shared" si="29"/>
        <v>-21.610076612459569</v>
      </c>
      <c r="G346" s="11">
        <f t="shared" si="30"/>
        <v>-21.689166245398447</v>
      </c>
    </row>
    <row r="347" spans="5:7" x14ac:dyDescent="0.25">
      <c r="E347" s="11">
        <f t="shared" si="28"/>
        <v>-75</v>
      </c>
      <c r="F347" s="11">
        <f t="shared" si="29"/>
        <v>-21.146328432137413</v>
      </c>
      <c r="G347" s="11">
        <f t="shared" si="30"/>
        <v>-21.219846990057889</v>
      </c>
    </row>
    <row r="348" spans="5:7" x14ac:dyDescent="0.25">
      <c r="E348" s="11">
        <f t="shared" si="28"/>
        <v>-74</v>
      </c>
      <c r="F348" s="11">
        <f t="shared" si="29"/>
        <v>-20.680179184329461</v>
      </c>
      <c r="G348" s="11">
        <f t="shared" si="30"/>
        <v>-20.747331919038345</v>
      </c>
    </row>
    <row r="349" spans="5:7" x14ac:dyDescent="0.25">
      <c r="E349" s="11">
        <f t="shared" si="28"/>
        <v>-73</v>
      </c>
      <c r="F349" s="11">
        <f t="shared" si="29"/>
        <v>-20.21188028905571</v>
      </c>
      <c r="G349" s="11">
        <f t="shared" si="30"/>
        <v>-20.272029028571886</v>
      </c>
    </row>
    <row r="350" spans="5:7" x14ac:dyDescent="0.25">
      <c r="E350" s="11">
        <f t="shared" si="28"/>
        <v>-72</v>
      </c>
      <c r="F350" s="11">
        <f t="shared" si="29"/>
        <v>-19.741694630829755</v>
      </c>
      <c r="G350" s="11">
        <f t="shared" si="30"/>
        <v>-19.794346314890586</v>
      </c>
    </row>
    <row r="351" spans="5:7" x14ac:dyDescent="0.25">
      <c r="E351" s="11">
        <f t="shared" ref="E351:E414" si="31">E144</f>
        <v>-71</v>
      </c>
      <c r="F351" s="11">
        <f t="shared" ref="F351:F414" si="32">$H$217*0+E351*$I$217+E351^2*$J$217+E351^3*$K$217+E351^4*$L$217+E351^5*$M$217+E351^6*$N$217+E351^7*$O$217+E351^8*$P$217</f>
        <v>-19.269896399661025</v>
      </c>
      <c r="G351" s="11">
        <f t="shared" ref="G351:G414" si="33">F144</f>
        <v>-19.314691774226514</v>
      </c>
    </row>
    <row r="352" spans="5:7" x14ac:dyDescent="0.25">
      <c r="E352" s="11">
        <f t="shared" si="31"/>
        <v>-70</v>
      </c>
      <c r="F352" s="11">
        <f t="shared" si="32"/>
        <v>-18.796770899489275</v>
      </c>
      <c r="G352" s="11">
        <f t="shared" si="33"/>
        <v>-18.833473402811752</v>
      </c>
    </row>
    <row r="353" spans="5:7" x14ac:dyDescent="0.25">
      <c r="E353" s="11">
        <f t="shared" si="31"/>
        <v>-69</v>
      </c>
      <c r="F353" s="11">
        <f t="shared" si="32"/>
        <v>-18.322614323187576</v>
      </c>
      <c r="G353" s="11">
        <f t="shared" si="33"/>
        <v>-18.351099196878366</v>
      </c>
    </row>
    <row r="354" spans="5:7" x14ac:dyDescent="0.25">
      <c r="E354" s="11">
        <f t="shared" si="31"/>
        <v>-68</v>
      </c>
      <c r="F354" s="11">
        <f t="shared" si="32"/>
        <v>-17.847733493271946</v>
      </c>
      <c r="G354" s="11">
        <f t="shared" si="33"/>
        <v>-17.86797715265843</v>
      </c>
    </row>
    <row r="355" spans="5:7" x14ac:dyDescent="0.25">
      <c r="E355" s="11">
        <f t="shared" si="31"/>
        <v>-67</v>
      </c>
      <c r="F355" s="11">
        <f t="shared" si="32"/>
        <v>-17.372445567459376</v>
      </c>
      <c r="G355" s="11">
        <f t="shared" si="33"/>
        <v>-17.384515266384021</v>
      </c>
    </row>
    <row r="356" spans="5:7" x14ac:dyDescent="0.25">
      <c r="E356" s="11">
        <f t="shared" si="31"/>
        <v>-66</v>
      </c>
      <c r="F356" s="11">
        <f t="shared" si="32"/>
        <v>-16.897077708216116</v>
      </c>
      <c r="G356" s="11">
        <f t="shared" si="33"/>
        <v>-16.901121534287213</v>
      </c>
    </row>
    <row r="357" spans="5:7" x14ac:dyDescent="0.25">
      <c r="E357" s="11">
        <f t="shared" si="31"/>
        <v>-65</v>
      </c>
      <c r="F357" s="11">
        <f t="shared" si="32"/>
        <v>-16.42196671544184</v>
      </c>
      <c r="G357" s="11">
        <f t="shared" si="33"/>
        <v>-16.418203952600077</v>
      </c>
    </row>
    <row r="358" spans="5:7" x14ac:dyDescent="0.25">
      <c r="E358" s="11">
        <f t="shared" si="31"/>
        <v>-64</v>
      </c>
      <c r="F358" s="11">
        <f t="shared" si="32"/>
        <v>-15.947458621436475</v>
      </c>
      <c r="G358" s="11">
        <f t="shared" si="33"/>
        <v>-15.936170517554688</v>
      </c>
    </row>
    <row r="359" spans="5:7" x14ac:dyDescent="0.25">
      <c r="E359" s="11">
        <f t="shared" si="31"/>
        <v>-63</v>
      </c>
      <c r="F359" s="11">
        <f t="shared" si="32"/>
        <v>-15.473908247298734</v>
      </c>
      <c r="G359" s="11">
        <f t="shared" si="33"/>
        <v>-15.455429225383117</v>
      </c>
    </row>
    <row r="360" spans="5:7" x14ac:dyDescent="0.25">
      <c r="E360" s="11">
        <f t="shared" si="31"/>
        <v>-62</v>
      </c>
      <c r="F360" s="11">
        <f t="shared" si="32"/>
        <v>-15.001678719907812</v>
      </c>
      <c r="G360" s="11">
        <f t="shared" si="33"/>
        <v>-14.976388072317437</v>
      </c>
    </row>
    <row r="361" spans="5:7" x14ac:dyDescent="0.25">
      <c r="E361" s="11">
        <f t="shared" si="31"/>
        <v>-61</v>
      </c>
      <c r="F361" s="11">
        <f t="shared" si="32"/>
        <v>-14.531140948641303</v>
      </c>
      <c r="G361" s="11">
        <f t="shared" si="33"/>
        <v>-14.499455054589729</v>
      </c>
    </row>
    <row r="362" spans="5:7" x14ac:dyDescent="0.25">
      <c r="E362" s="11">
        <f t="shared" si="31"/>
        <v>-60</v>
      </c>
      <c r="F362" s="11">
        <f t="shared" si="32"/>
        <v>-14.062673060984782</v>
      </c>
      <c r="G362" s="11">
        <f t="shared" si="33"/>
        <v>-14.02503816843206</v>
      </c>
    </row>
    <row r="363" spans="5:7" x14ac:dyDescent="0.25">
      <c r="E363" s="11">
        <f t="shared" si="31"/>
        <v>-59</v>
      </c>
      <c r="F363" s="11">
        <f t="shared" si="32"/>
        <v>-13.596659796190764</v>
      </c>
      <c r="G363" s="11">
        <f t="shared" si="33"/>
        <v>-13.553545410076502</v>
      </c>
    </row>
    <row r="364" spans="5:7" x14ac:dyDescent="0.25">
      <c r="E364" s="11">
        <f t="shared" si="31"/>
        <v>-58</v>
      </c>
      <c r="F364" s="11">
        <f t="shared" si="32"/>
        <v>-13.133491856146268</v>
      </c>
      <c r="G364" s="11">
        <f t="shared" si="33"/>
        <v>-13.085384775755132</v>
      </c>
    </row>
    <row r="365" spans="5:7" x14ac:dyDescent="0.25">
      <c r="E365" s="11">
        <f t="shared" si="31"/>
        <v>-57</v>
      </c>
      <c r="F365" s="11">
        <f t="shared" si="32"/>
        <v>-12.673565212610853</v>
      </c>
      <c r="G365" s="11">
        <f t="shared" si="33"/>
        <v>-12.620964261700024</v>
      </c>
    </row>
    <row r="366" spans="5:7" x14ac:dyDescent="0.25">
      <c r="E366" s="11">
        <f t="shared" si="31"/>
        <v>-56</v>
      </c>
      <c r="F366" s="11">
        <f t="shared" si="32"/>
        <v>-12.217280369988821</v>
      </c>
      <c r="G366" s="11">
        <f t="shared" si="33"/>
        <v>-12.160691864143251</v>
      </c>
    </row>
    <row r="367" spans="5:7" x14ac:dyDescent="0.25">
      <c r="E367" s="11">
        <f t="shared" si="31"/>
        <v>-55</v>
      </c>
      <c r="F367" s="11">
        <f t="shared" si="32"/>
        <v>-11.765041582801461</v>
      </c>
      <c r="G367" s="11">
        <f t="shared" si="33"/>
        <v>-11.704975579316883</v>
      </c>
    </row>
    <row r="368" spans="5:7" x14ac:dyDescent="0.25">
      <c r="E368" s="11">
        <f t="shared" si="31"/>
        <v>-54</v>
      </c>
      <c r="F368" s="11">
        <f t="shared" si="32"/>
        <v>-11.31725602702722</v>
      </c>
      <c r="G368" s="11">
        <f t="shared" si="33"/>
        <v>-11.254223403452999</v>
      </c>
    </row>
    <row r="369" spans="5:7" x14ac:dyDescent="0.25">
      <c r="E369" s="11">
        <f t="shared" si="31"/>
        <v>-53</v>
      </c>
      <c r="F369" s="11">
        <f t="shared" si="32"/>
        <v>-10.874332924479853</v>
      </c>
      <c r="G369" s="11">
        <f t="shared" si="33"/>
        <v>-10.808843332783667</v>
      </c>
    </row>
    <row r="370" spans="5:7" x14ac:dyDescent="0.25">
      <c r="E370" s="11">
        <f t="shared" si="31"/>
        <v>-52</v>
      </c>
      <c r="F370" s="11">
        <f t="shared" si="32"/>
        <v>-10.436682619396594</v>
      </c>
      <c r="G370" s="11">
        <f t="shared" si="33"/>
        <v>-10.369243363540965</v>
      </c>
    </row>
    <row r="371" spans="5:7" x14ac:dyDescent="0.25">
      <c r="E371" s="11">
        <f t="shared" si="31"/>
        <v>-51</v>
      </c>
      <c r="F371" s="11">
        <f t="shared" si="32"/>
        <v>-10.004715606410617</v>
      </c>
      <c r="G371" s="11">
        <f t="shared" si="33"/>
        <v>-9.9358314919569644</v>
      </c>
    </row>
    <row r="372" spans="5:7" x14ac:dyDescent="0.25">
      <c r="E372" s="11">
        <f t="shared" si="31"/>
        <v>-50</v>
      </c>
      <c r="F372" s="11">
        <f t="shared" si="32"/>
        <v>-9.5788415090841408</v>
      </c>
      <c r="G372" s="11">
        <f t="shared" si="33"/>
        <v>-9.5090157142637377</v>
      </c>
    </row>
    <row r="373" spans="5:7" x14ac:dyDescent="0.25">
      <c r="E373" s="11">
        <f t="shared" si="31"/>
        <v>-49</v>
      </c>
      <c r="F373" s="11">
        <f t="shared" si="32"/>
        <v>-9.1594680081803261</v>
      </c>
      <c r="G373" s="11">
        <f t="shared" si="33"/>
        <v>-9.0892040266933609</v>
      </c>
    </row>
    <row r="374" spans="5:7" x14ac:dyDescent="0.25">
      <c r="E374" s="11">
        <f t="shared" si="31"/>
        <v>-48</v>
      </c>
      <c r="F374" s="11">
        <f t="shared" si="32"/>
        <v>-8.7469997188546174</v>
      </c>
      <c r="G374" s="11">
        <f t="shared" si="33"/>
        <v>-8.6768044254779078</v>
      </c>
    </row>
    <row r="375" spans="5:7" x14ac:dyDescent="0.25">
      <c r="E375" s="11">
        <f t="shared" si="31"/>
        <v>-47</v>
      </c>
      <c r="F375" s="11">
        <f t="shared" si="32"/>
        <v>-8.3418370159481174</v>
      </c>
      <c r="G375" s="11">
        <f t="shared" si="33"/>
        <v>-8.2722249068494484</v>
      </c>
    </row>
    <row r="376" spans="5:7" x14ac:dyDescent="0.25">
      <c r="E376" s="11">
        <f t="shared" si="31"/>
        <v>-46</v>
      </c>
      <c r="F376" s="11">
        <f t="shared" si="32"/>
        <v>-7.9443748065674651</v>
      </c>
      <c r="G376" s="11">
        <f t="shared" si="33"/>
        <v>-7.8758734670400594</v>
      </c>
    </row>
    <row r="377" spans="5:7" x14ac:dyDescent="0.25">
      <c r="E377" s="11">
        <f t="shared" si="31"/>
        <v>-45</v>
      </c>
      <c r="F377" s="11">
        <f t="shared" si="32"/>
        <v>-7.5550012491380727</v>
      </c>
      <c r="G377" s="11">
        <f t="shared" si="33"/>
        <v>-7.4881581022818109</v>
      </c>
    </row>
    <row r="378" spans="5:7" x14ac:dyDescent="0.25">
      <c r="E378" s="11">
        <f t="shared" si="31"/>
        <v>-44</v>
      </c>
      <c r="F378" s="11">
        <f t="shared" si="32"/>
        <v>-7.1740964181195519</v>
      </c>
      <c r="G378" s="11">
        <f t="shared" si="33"/>
        <v>-7.109486808806782</v>
      </c>
    </row>
    <row r="379" spans="5:7" x14ac:dyDescent="0.25">
      <c r="E379" s="11">
        <f t="shared" si="31"/>
        <v>-43</v>
      </c>
      <c r="F379" s="11">
        <f t="shared" si="32"/>
        <v>-6.8020309135742156</v>
      </c>
      <c r="G379" s="11">
        <f t="shared" si="33"/>
        <v>-6.7402675828470402</v>
      </c>
    </row>
    <row r="380" spans="5:7" x14ac:dyDescent="0.25">
      <c r="E380" s="11">
        <f t="shared" si="31"/>
        <v>-42</v>
      </c>
      <c r="F380" s="11">
        <f t="shared" si="32"/>
        <v>-6.439164414781569</v>
      </c>
      <c r="G380" s="11">
        <f t="shared" si="33"/>
        <v>-6.380908420634662</v>
      </c>
    </row>
    <row r="381" spans="5:7" x14ac:dyDescent="0.25">
      <c r="E381" s="11">
        <f t="shared" si="31"/>
        <v>-41</v>
      </c>
      <c r="F381" s="11">
        <f t="shared" si="32"/>
        <v>-6.0858441770941196</v>
      </c>
      <c r="G381" s="11">
        <f t="shared" si="33"/>
        <v>-6.0318173184017221</v>
      </c>
    </row>
    <row r="382" spans="5:7" x14ac:dyDescent="0.25">
      <c r="E382" s="11">
        <f t="shared" si="31"/>
        <v>-40</v>
      </c>
      <c r="F382" s="11">
        <f t="shared" si="32"/>
        <v>-5.7424034712313974</v>
      </c>
      <c r="G382" s="11">
        <f t="shared" si="33"/>
        <v>-5.6934022723802897</v>
      </c>
    </row>
    <row r="383" spans="5:7" x14ac:dyDescent="0.25">
      <c r="E383" s="11">
        <f t="shared" si="31"/>
        <v>-39</v>
      </c>
      <c r="F383" s="11">
        <f t="shared" si="32"/>
        <v>-5.4091599642116819</v>
      </c>
      <c r="G383" s="11">
        <f t="shared" si="33"/>
        <v>-5.3660712788024441</v>
      </c>
    </row>
    <row r="384" spans="5:7" x14ac:dyDescent="0.25">
      <c r="E384" s="11">
        <f t="shared" si="31"/>
        <v>-38</v>
      </c>
      <c r="F384" s="11">
        <f t="shared" si="32"/>
        <v>-5.0864140411227243</v>
      </c>
      <c r="G384" s="11">
        <f t="shared" si="33"/>
        <v>-5.0502323339002544</v>
      </c>
    </row>
    <row r="385" spans="5:7" x14ac:dyDescent="0.25">
      <c r="E385" s="11">
        <f t="shared" si="31"/>
        <v>-37</v>
      </c>
      <c r="F385" s="11">
        <f t="shared" si="32"/>
        <v>-4.7744470669348278</v>
      </c>
      <c r="G385" s="11">
        <f t="shared" si="33"/>
        <v>-4.7462934339057954</v>
      </c>
    </row>
    <row r="386" spans="5:7" x14ac:dyDescent="0.25">
      <c r="E386" s="11">
        <f t="shared" si="31"/>
        <v>-36</v>
      </c>
      <c r="F386" s="11">
        <f t="shared" si="32"/>
        <v>-4.473519587562004</v>
      </c>
      <c r="G386" s="11">
        <f t="shared" si="33"/>
        <v>-4.4546625750511408</v>
      </c>
    </row>
    <row r="387" spans="5:7" x14ac:dyDescent="0.25">
      <c r="E387" s="11">
        <f t="shared" si="31"/>
        <v>-35</v>
      </c>
      <c r="F387" s="11">
        <f t="shared" si="32"/>
        <v>-4.183869469378684</v>
      </c>
      <c r="G387" s="11">
        <f t="shared" si="33"/>
        <v>-4.1757477535683636</v>
      </c>
    </row>
    <row r="388" spans="5:7" x14ac:dyDescent="0.25">
      <c r="E388" s="11">
        <f t="shared" si="31"/>
        <v>-34</v>
      </c>
      <c r="F388" s="11">
        <f t="shared" si="32"/>
        <v>-3.9057099764017642</v>
      </c>
      <c r="G388" s="11">
        <f t="shared" si="33"/>
        <v>-3.909826470919413</v>
      </c>
    </row>
    <row r="389" spans="5:7" x14ac:dyDescent="0.25">
      <c r="E389" s="11">
        <f t="shared" si="31"/>
        <v>-33</v>
      </c>
      <c r="F389" s="11">
        <f t="shared" si="32"/>
        <v>-3.6392277843498122</v>
      </c>
      <c r="G389" s="11">
        <f t="shared" si="33"/>
        <v>-3.6566542494857277</v>
      </c>
    </row>
    <row r="390" spans="5:7" x14ac:dyDescent="0.25">
      <c r="E390" s="11">
        <f t="shared" si="31"/>
        <v>-32</v>
      </c>
      <c r="F390" s="11">
        <f t="shared" si="32"/>
        <v>-3.3845809307932844</v>
      </c>
      <c r="G390" s="11">
        <f t="shared" si="33"/>
        <v>-3.4158561168786257</v>
      </c>
    </row>
    <row r="391" spans="5:7" x14ac:dyDescent="0.25">
      <c r="E391" s="11">
        <f t="shared" si="31"/>
        <v>-31</v>
      </c>
      <c r="F391" s="11">
        <f t="shared" si="32"/>
        <v>-3.1418967006118081</v>
      </c>
      <c r="G391" s="11">
        <f t="shared" si="33"/>
        <v>-3.1870571007094215</v>
      </c>
    </row>
    <row r="392" spans="5:7" x14ac:dyDescent="0.25">
      <c r="E392" s="11">
        <f t="shared" si="31"/>
        <v>-30</v>
      </c>
      <c r="F392" s="11">
        <f t="shared" si="32"/>
        <v>-2.9112694459765303</v>
      </c>
      <c r="G392" s="11">
        <f t="shared" si="33"/>
        <v>-2.969882228589432</v>
      </c>
    </row>
    <row r="393" spans="5:7" x14ac:dyDescent="0.25">
      <c r="E393" s="11">
        <f t="shared" si="31"/>
        <v>-29</v>
      </c>
      <c r="F393" s="11">
        <f t="shared" si="32"/>
        <v>-2.6927583400777677</v>
      </c>
      <c r="G393" s="11">
        <f t="shared" si="33"/>
        <v>-2.7639565281299716</v>
      </c>
    </row>
    <row r="394" spans="5:7" x14ac:dyDescent="0.25">
      <c r="E394" s="11">
        <f t="shared" si="31"/>
        <v>-28</v>
      </c>
      <c r="F394" s="11">
        <f t="shared" si="32"/>
        <v>-2.4863850638201774</v>
      </c>
      <c r="G394" s="11">
        <f t="shared" si="33"/>
        <v>-2.5689050269423568</v>
      </c>
    </row>
    <row r="395" spans="5:7" x14ac:dyDescent="0.25">
      <c r="E395" s="11">
        <f t="shared" si="31"/>
        <v>-27</v>
      </c>
      <c r="F395" s="11">
        <f t="shared" si="32"/>
        <v>-2.2921314247098072</v>
      </c>
      <c r="G395" s="11">
        <f t="shared" si="33"/>
        <v>-2.3843527526379029</v>
      </c>
    </row>
    <row r="396" spans="5:7" x14ac:dyDescent="0.25">
      <c r="E396" s="11">
        <f t="shared" si="31"/>
        <v>-26</v>
      </c>
      <c r="F396" s="11">
        <f t="shared" si="32"/>
        <v>-2.109936907159462</v>
      </c>
      <c r="G396" s="11">
        <f t="shared" si="33"/>
        <v>-2.2099247328279255</v>
      </c>
    </row>
    <row r="397" spans="5:7" x14ac:dyDescent="0.25">
      <c r="E397" s="11">
        <f t="shared" si="31"/>
        <v>-25</v>
      </c>
      <c r="F397" s="11">
        <f t="shared" si="32"/>
        <v>-1.9396961534409067</v>
      </c>
      <c r="G397" s="11">
        <f t="shared" si="33"/>
        <v>-2.0452459951237407</v>
      </c>
    </row>
    <row r="398" spans="5:7" x14ac:dyDescent="0.25">
      <c r="E398" s="11">
        <f t="shared" si="31"/>
        <v>-24</v>
      </c>
      <c r="F398" s="11">
        <f t="shared" si="32"/>
        <v>-1.7812563745145373</v>
      </c>
      <c r="G398" s="11">
        <f t="shared" si="33"/>
        <v>-1.8899415671366639</v>
      </c>
    </row>
    <row r="399" spans="5:7" x14ac:dyDescent="0.25">
      <c r="E399" s="11">
        <f t="shared" si="31"/>
        <v>-23</v>
      </c>
      <c r="F399" s="11">
        <f t="shared" si="32"/>
        <v>-1.6344146899691938</v>
      </c>
      <c r="G399" s="11">
        <f t="shared" si="33"/>
        <v>-1.7436364764780108</v>
      </c>
    </row>
    <row r="400" spans="5:7" x14ac:dyDescent="0.25">
      <c r="E400" s="11">
        <f t="shared" si="31"/>
        <v>-22</v>
      </c>
      <c r="F400" s="11">
        <f t="shared" si="32"/>
        <v>-1.4989153963069473</v>
      </c>
      <c r="G400" s="11">
        <f t="shared" si="33"/>
        <v>-1.6059557507590974</v>
      </c>
    </row>
    <row r="401" spans="5:7" x14ac:dyDescent="0.25">
      <c r="E401" s="11">
        <f t="shared" si="31"/>
        <v>-21</v>
      </c>
      <c r="F401" s="11">
        <f t="shared" si="32"/>
        <v>-1.3744471628097228</v>
      </c>
      <c r="G401" s="11">
        <f t="shared" si="33"/>
        <v>-1.4765244175912389</v>
      </c>
    </row>
    <row r="402" spans="5:7" x14ac:dyDescent="0.25">
      <c r="E402" s="11">
        <f t="shared" si="31"/>
        <v>-20</v>
      </c>
      <c r="F402" s="11">
        <f t="shared" si="32"/>
        <v>-1.2606401542267269</v>
      </c>
      <c r="G402" s="11">
        <f t="shared" si="33"/>
        <v>-1.354967504585751</v>
      </c>
    </row>
    <row r="403" spans="5:7" x14ac:dyDescent="0.25">
      <c r="E403" s="11">
        <f t="shared" si="31"/>
        <v>-19</v>
      </c>
      <c r="F403" s="11">
        <f t="shared" si="32"/>
        <v>-1.1570630795237675</v>
      </c>
      <c r="G403" s="11">
        <f t="shared" si="33"/>
        <v>-1.2409100393539496</v>
      </c>
    </row>
    <row r="404" spans="5:7" x14ac:dyDescent="0.25">
      <c r="E404" s="11">
        <f t="shared" si="31"/>
        <v>-18</v>
      </c>
      <c r="F404" s="11">
        <f t="shared" si="32"/>
        <v>-1.0632201659375908</v>
      </c>
      <c r="G404" s="11">
        <f t="shared" si="33"/>
        <v>-1.1339770495071504</v>
      </c>
    </row>
    <row r="405" spans="5:7" x14ac:dyDescent="0.25">
      <c r="E405" s="11">
        <f t="shared" si="31"/>
        <v>-17</v>
      </c>
      <c r="F405" s="11">
        <f t="shared" si="32"/>
        <v>-0.97854805758050301</v>
      </c>
      <c r="G405" s="11">
        <f t="shared" si="33"/>
        <v>-1.033793562656669</v>
      </c>
    </row>
    <row r="406" spans="5:7" x14ac:dyDescent="0.25">
      <c r="E406" s="11">
        <f t="shared" si="31"/>
        <v>-16</v>
      </c>
      <c r="F406" s="11">
        <f t="shared" si="32"/>
        <v>-0.90241263784258618</v>
      </c>
      <c r="G406" s="11">
        <f t="shared" si="33"/>
        <v>-0.93998460641382109</v>
      </c>
    </row>
    <row r="407" spans="5:7" x14ac:dyDescent="0.25">
      <c r="E407" s="11">
        <f t="shared" si="31"/>
        <v>-15</v>
      </c>
      <c r="F407" s="11">
        <f t="shared" si="32"/>
        <v>-0.83410577484094783</v>
      </c>
      <c r="G407" s="11">
        <f t="shared" si="33"/>
        <v>-0.85217520838992222</v>
      </c>
    </row>
    <row r="408" spans="5:7" x14ac:dyDescent="0.25">
      <c r="E408" s="11">
        <f t="shared" si="31"/>
        <v>-14</v>
      </c>
      <c r="F408" s="11">
        <f t="shared" si="32"/>
        <v>-0.77284198916750424</v>
      </c>
      <c r="G408" s="11">
        <f t="shared" si="33"/>
        <v>-0.7699903961962884</v>
      </c>
    </row>
    <row r="409" spans="5:7" x14ac:dyDescent="0.25">
      <c r="E409" s="11">
        <f t="shared" si="31"/>
        <v>-13</v>
      </c>
      <c r="F409" s="11">
        <f t="shared" si="32"/>
        <v>-0.71775504318890482</v>
      </c>
      <c r="G409" s="11">
        <f t="shared" si="33"/>
        <v>-0.69305519744423494</v>
      </c>
    </row>
    <row r="410" spans="5:7" x14ac:dyDescent="0.25">
      <c r="E410" s="11">
        <f t="shared" si="31"/>
        <v>-12</v>
      </c>
      <c r="F410" s="11">
        <f t="shared" si="32"/>
        <v>-0.66789445115428114</v>
      </c>
      <c r="G410" s="11">
        <f t="shared" si="33"/>
        <v>-0.62099463974507763</v>
      </c>
    </row>
    <row r="411" spans="5:7" x14ac:dyDescent="0.25">
      <c r="E411" s="11">
        <f t="shared" si="31"/>
        <v>-11</v>
      </c>
      <c r="F411" s="11">
        <f t="shared" si="32"/>
        <v>-0.62222190936860833</v>
      </c>
      <c r="G411" s="11">
        <f t="shared" si="33"/>
        <v>-0.55343375071013223</v>
      </c>
    </row>
    <row r="412" spans="5:7" x14ac:dyDescent="0.25">
      <c r="E412" s="11">
        <f t="shared" si="31"/>
        <v>-10</v>
      </c>
      <c r="F412" s="11">
        <f t="shared" si="32"/>
        <v>-0.57960764569153933</v>
      </c>
      <c r="G412" s="11">
        <f t="shared" si="33"/>
        <v>-0.48999755795071442</v>
      </c>
    </row>
    <row r="413" spans="5:7" x14ac:dyDescent="0.25">
      <c r="E413" s="11">
        <f t="shared" si="31"/>
        <v>-9</v>
      </c>
      <c r="F413" s="11">
        <f t="shared" si="32"/>
        <v>-0.53882668762367958</v>
      </c>
      <c r="G413" s="11">
        <f t="shared" si="33"/>
        <v>-0.43031108907813981</v>
      </c>
    </row>
    <row r="414" spans="5:7" x14ac:dyDescent="0.25">
      <c r="E414" s="11">
        <f t="shared" si="31"/>
        <v>-8</v>
      </c>
      <c r="F414" s="11">
        <f t="shared" si="32"/>
        <v>-0.4985550482443426</v>
      </c>
      <c r="G414" s="11">
        <f t="shared" si="33"/>
        <v>-0.3739993717037241</v>
      </c>
    </row>
    <row r="415" spans="5:7" x14ac:dyDescent="0.25">
      <c r="E415" s="11">
        <f t="shared" ref="E415:E422" si="34">E208</f>
        <v>-7</v>
      </c>
      <c r="F415" s="11">
        <f t="shared" ref="F415:F422" si="35">$H$217*0+E415*$I$217+E415^2*$J$217+E415^3*$K$217+E415^4*$L$217+E415^5*$M$217+E415^6*$N$217+E415^7*$O$217+E415^8*$P$217</f>
        <v>-0.4573658292669322</v>
      </c>
      <c r="G415" s="11">
        <f t="shared" ref="G415:G422" si="36">F208</f>
        <v>-0.32068743343878292</v>
      </c>
    </row>
    <row r="416" spans="5:7" x14ac:dyDescent="0.25">
      <c r="E416" s="11">
        <f t="shared" si="34"/>
        <v>-6</v>
      </c>
      <c r="F416" s="11">
        <f t="shared" si="35"/>
        <v>-0.41372524048017018</v>
      </c>
      <c r="G416" s="11">
        <f t="shared" si="36"/>
        <v>-0.27000030189463203</v>
      </c>
    </row>
    <row r="417" spans="5:7" x14ac:dyDescent="0.25">
      <c r="E417" s="11">
        <f t="shared" si="34"/>
        <v>-5</v>
      </c>
      <c r="F417" s="11">
        <f t="shared" si="35"/>
        <v>-0.36598853484549509</v>
      </c>
      <c r="G417" s="11">
        <f t="shared" si="36"/>
        <v>-0.22156300468258708</v>
      </c>
    </row>
    <row r="418" spans="5:7" x14ac:dyDescent="0.25">
      <c r="E418" s="11">
        <f t="shared" si="34"/>
        <v>-4</v>
      </c>
      <c r="F418" s="11">
        <f t="shared" si="35"/>
        <v>-0.31239585852303242</v>
      </c>
      <c r="G418" s="11">
        <f t="shared" si="36"/>
        <v>-0.17500056941396372</v>
      </c>
    </row>
    <row r="419" spans="5:7" x14ac:dyDescent="0.25">
      <c r="E419" s="11">
        <f t="shared" si="34"/>
        <v>-3</v>
      </c>
      <c r="F419" s="11">
        <f t="shared" si="35"/>
        <v>-0.25106801510063581</v>
      </c>
      <c r="G419" s="11">
        <f t="shared" si="36"/>
        <v>-0.12993802370007768</v>
      </c>
    </row>
    <row r="420" spans="5:7" x14ac:dyDescent="0.25">
      <c r="E420" s="11">
        <f t="shared" si="34"/>
        <v>-2</v>
      </c>
      <c r="F420" s="11">
        <f t="shared" si="35"/>
        <v>-0.18000214330258288</v>
      </c>
      <c r="G420" s="11">
        <f t="shared" si="36"/>
        <v>-8.6000395152244571E-2</v>
      </c>
    </row>
    <row r="421" spans="5:7" x14ac:dyDescent="0.25">
      <c r="E421" s="11">
        <f t="shared" si="34"/>
        <v>-1</v>
      </c>
      <c r="F421" s="11">
        <f t="shared" si="35"/>
        <v>-9.7067307456602983E-2</v>
      </c>
      <c r="G421" s="11">
        <f t="shared" si="36"/>
        <v>-4.2812711381780125E-2</v>
      </c>
    </row>
    <row r="422" spans="5:7" x14ac:dyDescent="0.25">
      <c r="E422" s="11">
        <f t="shared" si="34"/>
        <v>0</v>
      </c>
      <c r="F422" s="11">
        <f t="shared" si="35"/>
        <v>0</v>
      </c>
      <c r="G422" s="11">
        <f t="shared" si="36"/>
        <v>0</v>
      </c>
    </row>
  </sheetData>
  <pageMargins left="0.7" right="0.7" top="0.78740157499999996" bottom="0.78740157499999996" header="0.3" footer="0.3"/>
  <drawing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8"/>
  <dimension ref="A1:W42"/>
  <sheetViews>
    <sheetView workbookViewId="0">
      <selection activeCell="J32" sqref="J32"/>
    </sheetView>
  </sheetViews>
  <sheetFormatPr baseColWidth="10" defaultColWidth="9.140625" defaultRowHeight="15" x14ac:dyDescent="0.25"/>
  <cols>
    <col min="1" max="1" width="8.5703125" style="28" customWidth="1"/>
    <col min="2" max="3" width="8.28515625" style="28" customWidth="1"/>
    <col min="4" max="4" width="9" style="28" customWidth="1"/>
    <col min="5" max="7" width="8.5703125" style="28" customWidth="1"/>
    <col min="8" max="8" width="8.28515625" style="28" customWidth="1"/>
    <col min="9" max="9" width="12.28515625" style="28" bestFit="1" customWidth="1"/>
    <col min="10" max="10" width="9" style="28" customWidth="1"/>
    <col min="11" max="16384" width="9.140625" style="1"/>
  </cols>
  <sheetData>
    <row r="1" spans="1:23" x14ac:dyDescent="0.25">
      <c r="A1" s="28" t="s">
        <v>13</v>
      </c>
      <c r="L1" s="1" t="s">
        <v>117</v>
      </c>
      <c r="N1" s="1" t="s">
        <v>39</v>
      </c>
      <c r="O1" s="3" t="s">
        <v>116</v>
      </c>
      <c r="P1" s="28" t="s">
        <v>117</v>
      </c>
      <c r="Q1" s="4"/>
      <c r="R1" s="4"/>
      <c r="S1" s="4"/>
      <c r="T1" s="4"/>
      <c r="U1" s="4"/>
      <c r="V1" s="4"/>
      <c r="W1" s="4"/>
    </row>
    <row r="2" spans="1:23" x14ac:dyDescent="0.25">
      <c r="A2" s="28" t="s">
        <v>32</v>
      </c>
      <c r="B2" s="28" t="s">
        <v>14</v>
      </c>
      <c r="C2" s="28" t="s">
        <v>15</v>
      </c>
      <c r="D2" s="28" t="s">
        <v>16</v>
      </c>
      <c r="E2" s="28" t="s">
        <v>33</v>
      </c>
      <c r="F2" s="28" t="s">
        <v>34</v>
      </c>
      <c r="G2" s="28" t="s">
        <v>35</v>
      </c>
      <c r="H2" s="28" t="s">
        <v>36</v>
      </c>
      <c r="I2" s="28" t="s">
        <v>37</v>
      </c>
      <c r="J2" s="28" t="s">
        <v>38</v>
      </c>
      <c r="K2" s="3"/>
      <c r="L2" s="3"/>
      <c r="M2" s="3"/>
      <c r="P2" s="3"/>
      <c r="Q2" s="3"/>
      <c r="R2" s="3"/>
      <c r="S2" s="3"/>
      <c r="T2" s="3"/>
      <c r="U2" s="3"/>
      <c r="V2" s="3"/>
      <c r="W2" s="3"/>
    </row>
    <row r="3" spans="1:23" x14ac:dyDescent="0.25">
      <c r="A3" s="2">
        <v>1.0000000000000001E-15</v>
      </c>
      <c r="B3" s="2">
        <v>3.8009999999999997E-5</v>
      </c>
      <c r="C3" s="2">
        <v>1.4990000000000001E-4</v>
      </c>
      <c r="D3" s="2">
        <v>-4.6210000000000001E-4</v>
      </c>
      <c r="E3" s="2">
        <v>0</v>
      </c>
      <c r="F3" s="2">
        <v>0</v>
      </c>
      <c r="G3" s="2">
        <v>0</v>
      </c>
      <c r="H3" s="2">
        <v>7.0572289999999994E-5</v>
      </c>
      <c r="I3" s="2">
        <v>1.5235524000000001E-5</v>
      </c>
      <c r="J3" s="2">
        <v>-1.9562213E-4</v>
      </c>
      <c r="K3" s="3"/>
      <c r="L3" s="3">
        <f>-B3/D3</f>
        <v>8.2254923176801553E-2</v>
      </c>
      <c r="M3" s="3"/>
      <c r="N3" s="2">
        <f>IF('Modell einstellen'!$B$1="Voll",H3/0.35,H3/0.35*2)</f>
        <v>2.0163511428571428E-4</v>
      </c>
      <c r="O3" s="2">
        <f>IF('Modell einstellen'!$B$1="Voll",J3/0.35,J3/0.35*2)</f>
        <v>-5.5892037142857146E-4</v>
      </c>
      <c r="P3" s="3">
        <f>-N3/O3</f>
        <v>0.36075821278502584</v>
      </c>
      <c r="Q3" s="3"/>
      <c r="R3" s="3"/>
      <c r="S3" s="3"/>
      <c r="T3" s="3"/>
      <c r="U3" s="3"/>
      <c r="V3" s="3"/>
      <c r="W3" s="3"/>
    </row>
    <row r="4" spans="1:23" x14ac:dyDescent="0.25">
      <c r="A4" s="2">
        <v>1E-14</v>
      </c>
      <c r="B4" s="2">
        <v>3.8000000000000002E-5</v>
      </c>
      <c r="C4" s="2">
        <v>1.4990000000000001E-4</v>
      </c>
      <c r="D4" s="2">
        <v>-4.6210000000000001E-4</v>
      </c>
      <c r="E4" s="2">
        <v>0</v>
      </c>
      <c r="F4" s="2">
        <v>0</v>
      </c>
      <c r="G4" s="2">
        <v>0</v>
      </c>
      <c r="H4" s="2">
        <v>7.0573720999999996E-5</v>
      </c>
      <c r="I4" s="2">
        <v>1.5236729E-5</v>
      </c>
      <c r="J4" s="2">
        <v>-1.9561843000000001E-4</v>
      </c>
      <c r="K4" s="3"/>
      <c r="L4" s="3">
        <f t="shared" ref="L4:L33" si="0">-B4/D4</f>
        <v>8.2233282839212288E-2</v>
      </c>
      <c r="M4" s="3"/>
      <c r="N4" s="2">
        <f>IF('Modell einstellen'!$B$1="Voll",H4/0.35,H4/0.35*2)</f>
        <v>2.0163920285714285E-4</v>
      </c>
      <c r="O4" s="2">
        <f>IF('Modell einstellen'!$B$1="Voll",J4/0.35,J4/0.35*2)</f>
        <v>-5.5890980000000007E-4</v>
      </c>
      <c r="P4" s="3">
        <f t="shared" ref="P4:P33" si="1">-N4/O4</f>
        <v>0.36077235156217125</v>
      </c>
      <c r="Q4" s="3"/>
      <c r="R4" s="3"/>
      <c r="S4" s="3"/>
      <c r="T4" s="3"/>
      <c r="U4" s="3"/>
      <c r="V4" s="3"/>
      <c r="W4" s="3"/>
    </row>
    <row r="5" spans="1:23" x14ac:dyDescent="0.25">
      <c r="A5" s="2">
        <v>1E-13</v>
      </c>
      <c r="B5" s="2">
        <v>3.8000000000000002E-5</v>
      </c>
      <c r="C5" s="2">
        <v>1.4990000000000001E-4</v>
      </c>
      <c r="D5" s="2">
        <v>-4.6210000000000001E-4</v>
      </c>
      <c r="E5" s="2">
        <v>0</v>
      </c>
      <c r="F5" s="2">
        <v>0</v>
      </c>
      <c r="G5" s="2">
        <v>0</v>
      </c>
      <c r="H5" s="2">
        <v>7.0574096999999998E-5</v>
      </c>
      <c r="I5" s="2">
        <v>1.5236904000000001E-5</v>
      </c>
      <c r="J5" s="2">
        <v>-1.9561943999999999E-4</v>
      </c>
      <c r="K5" s="3"/>
      <c r="L5" s="3">
        <f t="shared" si="0"/>
        <v>8.2233282839212288E-2</v>
      </c>
      <c r="M5" s="3"/>
      <c r="N5" s="2">
        <f>IF('Modell einstellen'!$B$1="Voll",H5/0.35,H5/0.35*2)</f>
        <v>2.0164027714285714E-4</v>
      </c>
      <c r="O5" s="2">
        <f>IF('Modell einstellen'!$B$1="Voll",J5/0.35,J5/0.35*2)</f>
        <v>-5.5891268571428576E-4</v>
      </c>
      <c r="P5" s="3">
        <f t="shared" si="1"/>
        <v>0.3607724109628368</v>
      </c>
      <c r="Q5" s="3"/>
      <c r="R5" s="3"/>
      <c r="S5" s="3"/>
      <c r="T5" s="3"/>
      <c r="U5" s="3"/>
      <c r="V5" s="3"/>
      <c r="W5" s="3"/>
    </row>
    <row r="6" spans="1:23" x14ac:dyDescent="0.25">
      <c r="A6" s="2">
        <v>9.9999999999999998E-13</v>
      </c>
      <c r="B6" s="2">
        <v>3.8000000000000002E-5</v>
      </c>
      <c r="C6" s="2">
        <v>1.4990000000000001E-4</v>
      </c>
      <c r="D6" s="2">
        <v>-4.6210000000000001E-4</v>
      </c>
      <c r="E6" s="2">
        <v>0</v>
      </c>
      <c r="F6" s="2">
        <v>0</v>
      </c>
      <c r="G6" s="2">
        <v>0</v>
      </c>
      <c r="H6" s="2">
        <v>7.0574212999999995E-5</v>
      </c>
      <c r="I6" s="2">
        <v>1.5236953E-5</v>
      </c>
      <c r="J6" s="2">
        <v>-1.9561974000000001E-4</v>
      </c>
      <c r="K6" s="3"/>
      <c r="L6" s="3">
        <f t="shared" si="0"/>
        <v>8.2233282839212288E-2</v>
      </c>
      <c r="M6" s="3"/>
      <c r="N6" s="2">
        <f>IF('Modell einstellen'!$B$1="Voll",H6/0.35,H6/0.35*2)</f>
        <v>2.0164060857142858E-4</v>
      </c>
      <c r="O6" s="2">
        <f>IF('Modell einstellen'!$B$1="Voll",J6/0.35,J6/0.35*2)</f>
        <v>-5.5891354285714288E-4</v>
      </c>
      <c r="P6" s="3">
        <f t="shared" si="1"/>
        <v>0.36077245067394526</v>
      </c>
      <c r="Q6" s="3"/>
      <c r="R6" s="3"/>
      <c r="S6" s="3"/>
      <c r="T6" s="3"/>
      <c r="U6" s="3"/>
      <c r="V6" s="3"/>
      <c r="W6" s="3"/>
    </row>
    <row r="7" spans="1:23" x14ac:dyDescent="0.25">
      <c r="A7" s="2">
        <v>9.9999999999999994E-12</v>
      </c>
      <c r="B7" s="2">
        <v>3.8000000000000002E-5</v>
      </c>
      <c r="C7" s="2">
        <v>1.4990000000000001E-4</v>
      </c>
      <c r="D7" s="2">
        <v>-4.6210000000000001E-4</v>
      </c>
      <c r="E7" s="2">
        <v>0</v>
      </c>
      <c r="F7" s="2">
        <v>0</v>
      </c>
      <c r="G7" s="2">
        <v>0</v>
      </c>
      <c r="H7" s="2">
        <v>7.0574252000000002E-5</v>
      </c>
      <c r="I7" s="2">
        <v>1.5236967E-5</v>
      </c>
      <c r="J7" s="2">
        <v>-1.9561983E-4</v>
      </c>
      <c r="K7" s="3"/>
      <c r="L7" s="3">
        <f t="shared" si="0"/>
        <v>8.2233282839212288E-2</v>
      </c>
      <c r="M7" s="3"/>
      <c r="N7" s="2">
        <f>IF('Modell einstellen'!$B$1="Voll",H7/0.35,H7/0.35*2)</f>
        <v>2.0164072000000002E-4</v>
      </c>
      <c r="O7" s="2">
        <f>IF('Modell einstellen'!$B$1="Voll",J7/0.35,J7/0.35*2)</f>
        <v>-5.5891380000000002E-4</v>
      </c>
      <c r="P7" s="3">
        <f t="shared" si="1"/>
        <v>0.36077248405747009</v>
      </c>
      <c r="Q7" s="3"/>
      <c r="R7" s="3"/>
      <c r="S7" s="3"/>
      <c r="T7" s="3"/>
      <c r="U7" s="3"/>
      <c r="V7" s="3"/>
      <c r="W7" s="3"/>
    </row>
    <row r="8" spans="1:23" x14ac:dyDescent="0.25">
      <c r="A8" s="2">
        <v>1E-10</v>
      </c>
      <c r="B8" s="2">
        <v>3.8000000000000002E-5</v>
      </c>
      <c r="C8" s="2">
        <v>1.4990000000000001E-4</v>
      </c>
      <c r="D8" s="2">
        <v>-4.6210000000000001E-4</v>
      </c>
      <c r="E8" s="2">
        <v>0</v>
      </c>
      <c r="F8" s="2">
        <v>0</v>
      </c>
      <c r="G8" s="2">
        <v>0</v>
      </c>
      <c r="H8" s="2">
        <v>7.0574265000000004E-5</v>
      </c>
      <c r="I8" s="2">
        <v>1.5236972E-5</v>
      </c>
      <c r="J8" s="2">
        <v>-1.9561985999999999E-4</v>
      </c>
      <c r="K8" s="3"/>
      <c r="L8" s="3">
        <f t="shared" si="0"/>
        <v>8.2233282839212288E-2</v>
      </c>
      <c r="M8" s="3"/>
      <c r="N8" s="2">
        <f>IF('Modell einstellen'!$B$1="Voll",H8/0.35,H8/0.35*2)</f>
        <v>2.0164075714285717E-4</v>
      </c>
      <c r="O8" s="2">
        <f>IF('Modell einstellen'!$B$1="Voll",J8/0.35,J8/0.35*2)</f>
        <v>-5.5891388571428573E-4</v>
      </c>
      <c r="P8" s="3">
        <f t="shared" si="1"/>
        <v>0.36077249518530485</v>
      </c>
      <c r="Q8" s="3"/>
      <c r="R8" s="3"/>
      <c r="S8" s="3"/>
      <c r="T8" s="3"/>
      <c r="U8" s="3"/>
      <c r="V8" s="3"/>
      <c r="W8" s="3"/>
    </row>
    <row r="9" spans="1:23" x14ac:dyDescent="0.25">
      <c r="A9" s="2">
        <v>1.0000000000000001E-9</v>
      </c>
      <c r="B9" s="2">
        <v>3.8000000000000002E-5</v>
      </c>
      <c r="C9" s="2">
        <v>1.4990000000000001E-4</v>
      </c>
      <c r="D9" s="2">
        <v>-4.6210000000000001E-4</v>
      </c>
      <c r="E9" s="2">
        <v>0</v>
      </c>
      <c r="F9" s="2">
        <v>0</v>
      </c>
      <c r="G9" s="2">
        <v>0</v>
      </c>
      <c r="H9" s="2">
        <v>7.0574269000000001E-5</v>
      </c>
      <c r="I9" s="2">
        <v>1.5236972999999999E-5</v>
      </c>
      <c r="J9" s="2">
        <v>-1.9561987000000001E-4</v>
      </c>
      <c r="K9" s="3"/>
      <c r="L9" s="3">
        <f t="shared" si="0"/>
        <v>8.2233282839212288E-2</v>
      </c>
      <c r="M9" s="3"/>
      <c r="N9" s="2">
        <f>IF('Modell einstellen'!$B$1="Voll",H9/0.35,H9/0.35*2)</f>
        <v>2.0164076857142859E-4</v>
      </c>
      <c r="O9" s="2">
        <f>IF('Modell einstellen'!$B$1="Voll",J9/0.35,J9/0.35*2)</f>
        <v>-5.5891391428571438E-4</v>
      </c>
      <c r="P9" s="3">
        <f t="shared" si="1"/>
        <v>0.36077249719059723</v>
      </c>
      <c r="Q9" s="3"/>
      <c r="R9" s="3"/>
      <c r="S9" s="3"/>
      <c r="T9" s="3"/>
      <c r="U9" s="3"/>
      <c r="V9" s="3"/>
      <c r="W9" s="3"/>
    </row>
    <row r="10" spans="1:23" x14ac:dyDescent="0.25">
      <c r="A10" s="2">
        <v>1E-8</v>
      </c>
      <c r="B10" s="2">
        <v>3.8000000000000002E-5</v>
      </c>
      <c r="C10" s="2">
        <v>1.4990000000000001E-4</v>
      </c>
      <c r="D10" s="2">
        <v>-4.6210000000000001E-4</v>
      </c>
      <c r="E10" s="2">
        <v>0</v>
      </c>
      <c r="F10" s="2">
        <v>0</v>
      </c>
      <c r="G10" s="2">
        <v>0</v>
      </c>
      <c r="H10" s="2">
        <v>7.0574270999999993E-5</v>
      </c>
      <c r="I10" s="2">
        <v>1.5236974000000001E-5</v>
      </c>
      <c r="J10" s="2">
        <v>-1.9561987000000001E-4</v>
      </c>
      <c r="K10" s="3"/>
      <c r="L10" s="3">
        <f t="shared" si="0"/>
        <v>8.2233282839212288E-2</v>
      </c>
      <c r="M10" s="3"/>
      <c r="N10" s="2">
        <f>IF('Modell einstellen'!$B$1="Voll",H10/0.35,H10/0.35*2)</f>
        <v>2.0164077428571427E-4</v>
      </c>
      <c r="O10" s="2">
        <f>IF('Modell einstellen'!$B$1="Voll",J10/0.35,J10/0.35*2)</f>
        <v>-5.5891391428571438E-4</v>
      </c>
      <c r="P10" s="3">
        <f t="shared" si="1"/>
        <v>0.36077250741450745</v>
      </c>
      <c r="Q10" s="3"/>
      <c r="R10" s="3"/>
      <c r="S10" s="3"/>
      <c r="T10" s="3"/>
      <c r="U10" s="3"/>
      <c r="V10" s="3"/>
      <c r="W10" s="3"/>
    </row>
    <row r="11" spans="1:23" x14ac:dyDescent="0.25">
      <c r="A11" s="2">
        <v>9.9999999999999995E-8</v>
      </c>
      <c r="B11" s="2">
        <v>3.8000000000000002E-5</v>
      </c>
      <c r="C11" s="2">
        <v>1.4990000000000001E-4</v>
      </c>
      <c r="D11" s="2">
        <v>-4.6210000000000001E-4</v>
      </c>
      <c r="E11" s="2">
        <v>0</v>
      </c>
      <c r="F11" s="2">
        <v>0</v>
      </c>
      <c r="G11" s="2">
        <v>0</v>
      </c>
      <c r="H11" s="2">
        <v>7.0574270999999993E-5</v>
      </c>
      <c r="I11" s="2">
        <v>1.5236974000000001E-5</v>
      </c>
      <c r="J11" s="2">
        <v>-1.9561987000000001E-4</v>
      </c>
      <c r="K11" s="3"/>
      <c r="L11" s="3">
        <f t="shared" si="0"/>
        <v>8.2233282839212288E-2</v>
      </c>
      <c r="M11" s="3"/>
      <c r="N11" s="2">
        <f>IF('Modell einstellen'!$B$1="Voll",H11/0.35,H11/0.35*2)</f>
        <v>2.0164077428571427E-4</v>
      </c>
      <c r="O11" s="2">
        <f>IF('Modell einstellen'!$B$1="Voll",J11/0.35,J11/0.35*2)</f>
        <v>-5.5891391428571438E-4</v>
      </c>
      <c r="P11" s="3">
        <f t="shared" si="1"/>
        <v>0.36077250741450745</v>
      </c>
      <c r="Q11" s="3"/>
      <c r="R11" s="3"/>
      <c r="S11" s="3"/>
      <c r="T11" s="3"/>
      <c r="U11" s="3"/>
      <c r="V11" s="3"/>
      <c r="W11" s="3"/>
    </row>
    <row r="12" spans="1:23" x14ac:dyDescent="0.25">
      <c r="A12" s="2">
        <v>9.9999999999999995E-7</v>
      </c>
      <c r="B12" s="2">
        <v>3.8000000000000002E-5</v>
      </c>
      <c r="C12" s="2">
        <v>1.4990000000000001E-4</v>
      </c>
      <c r="D12" s="2">
        <v>-4.6210000000000001E-4</v>
      </c>
      <c r="E12" s="2">
        <v>0</v>
      </c>
      <c r="F12" s="2">
        <v>0</v>
      </c>
      <c r="G12" s="2">
        <v>0</v>
      </c>
      <c r="H12" s="2">
        <v>7.0574270999999993E-5</v>
      </c>
      <c r="I12" s="2">
        <v>1.5236974000000001E-5</v>
      </c>
      <c r="J12" s="2">
        <v>-1.9561987000000001E-4</v>
      </c>
      <c r="K12" s="3"/>
      <c r="L12" s="3">
        <f t="shared" si="0"/>
        <v>8.2233282839212288E-2</v>
      </c>
      <c r="M12" s="3"/>
      <c r="N12" s="2">
        <f>IF('Modell einstellen'!$B$1="Voll",H12/0.35,H12/0.35*2)</f>
        <v>2.0164077428571427E-4</v>
      </c>
      <c r="O12" s="2">
        <f>IF('Modell einstellen'!$B$1="Voll",J12/0.35,J12/0.35*2)</f>
        <v>-5.5891391428571438E-4</v>
      </c>
      <c r="P12" s="3">
        <f t="shared" si="1"/>
        <v>0.36077250741450745</v>
      </c>
      <c r="Q12" s="3"/>
      <c r="R12" s="3"/>
      <c r="S12" s="3"/>
      <c r="T12" s="3"/>
      <c r="U12" s="3"/>
      <c r="V12" s="3"/>
      <c r="W12" s="3"/>
    </row>
    <row r="13" spans="1:23" x14ac:dyDescent="0.25">
      <c r="A13" s="2">
        <v>1.0000000000000001E-5</v>
      </c>
      <c r="B13" s="2">
        <v>3.8000000000000002E-5</v>
      </c>
      <c r="C13" s="2">
        <v>1.4990000000000001E-4</v>
      </c>
      <c r="D13" s="2">
        <v>-4.6210000000000001E-4</v>
      </c>
      <c r="E13" s="2">
        <v>0</v>
      </c>
      <c r="F13" s="2">
        <v>0</v>
      </c>
      <c r="G13" s="2">
        <v>0</v>
      </c>
      <c r="H13" s="2">
        <v>7.0574272000000003E-5</v>
      </c>
      <c r="I13" s="2">
        <v>1.5236974000000001E-5</v>
      </c>
      <c r="J13" s="2">
        <v>-1.9561987000000001E-4</v>
      </c>
      <c r="K13" s="3"/>
      <c r="L13" s="3">
        <f t="shared" si="0"/>
        <v>8.2233282839212288E-2</v>
      </c>
      <c r="M13" s="3"/>
      <c r="N13" s="2">
        <f>IF('Modell einstellen'!$B$1="Voll",H13/0.35,H13/0.35*2)</f>
        <v>2.0164077714285717E-4</v>
      </c>
      <c r="O13" s="2">
        <f>IF('Modell einstellen'!$B$1="Voll",J13/0.35,J13/0.35*2)</f>
        <v>-5.5891391428571438E-4</v>
      </c>
      <c r="P13" s="3">
        <f t="shared" si="1"/>
        <v>0.3607725125264627</v>
      </c>
      <c r="Q13" s="3"/>
      <c r="R13" s="3"/>
      <c r="S13" s="3"/>
      <c r="T13" s="3"/>
      <c r="U13" s="3"/>
      <c r="V13" s="3"/>
      <c r="W13" s="3"/>
    </row>
    <row r="14" spans="1:23" x14ac:dyDescent="0.25">
      <c r="A14" s="2">
        <v>1E-4</v>
      </c>
      <c r="B14" s="2">
        <v>3.8000000000000002E-5</v>
      </c>
      <c r="C14" s="2">
        <v>1.4990000000000001E-4</v>
      </c>
      <c r="D14" s="2">
        <v>-4.6210000000000001E-4</v>
      </c>
      <c r="E14" s="2">
        <v>0</v>
      </c>
      <c r="F14" s="2">
        <v>0</v>
      </c>
      <c r="G14" s="2">
        <v>0</v>
      </c>
      <c r="H14" s="2">
        <v>7.0574272999999999E-5</v>
      </c>
      <c r="I14" s="2">
        <v>1.5236974000000001E-5</v>
      </c>
      <c r="J14" s="2">
        <v>-1.9561987999999999E-4</v>
      </c>
      <c r="K14" s="3"/>
      <c r="L14" s="3">
        <f t="shared" si="0"/>
        <v>8.2233282839212288E-2</v>
      </c>
      <c r="M14" s="3"/>
      <c r="N14" s="2">
        <f>IF('Modell einstellen'!$B$1="Voll",H14/0.35,H14/0.35*2)</f>
        <v>2.0164078E-4</v>
      </c>
      <c r="O14" s="2">
        <f>IF('Modell einstellen'!$B$1="Voll",J14/0.35,J14/0.35*2)</f>
        <v>-5.5891394285714291E-4</v>
      </c>
      <c r="P14" s="3">
        <f t="shared" si="1"/>
        <v>0.36077249919588944</v>
      </c>
      <c r="Q14" s="3"/>
      <c r="R14" s="3"/>
      <c r="S14" s="3"/>
      <c r="T14" s="3"/>
      <c r="U14" s="3"/>
      <c r="V14" s="3"/>
      <c r="W14" s="3"/>
    </row>
    <row r="15" spans="1:23" x14ac:dyDescent="0.25">
      <c r="A15" s="2">
        <v>1E-3</v>
      </c>
      <c r="B15" s="2">
        <v>3.8000000000000002E-5</v>
      </c>
      <c r="C15" s="2">
        <v>1.4990000000000001E-4</v>
      </c>
      <c r="D15" s="2">
        <v>-4.6210000000000001E-4</v>
      </c>
      <c r="E15" s="2">
        <v>0</v>
      </c>
      <c r="F15" s="2">
        <v>0</v>
      </c>
      <c r="G15" s="2">
        <v>0</v>
      </c>
      <c r="H15" s="2">
        <v>7.0574283999999996E-5</v>
      </c>
      <c r="I15" s="2">
        <v>1.5236975999999999E-5</v>
      </c>
      <c r="J15" s="2">
        <v>-1.9561989000000001E-4</v>
      </c>
      <c r="K15" s="3"/>
      <c r="L15" s="3">
        <f t="shared" si="0"/>
        <v>8.2233282839212288E-2</v>
      </c>
      <c r="M15" s="3"/>
      <c r="N15" s="2">
        <f>IF('Modell einstellen'!$B$1="Voll",H15/0.35,H15/0.35*2)</f>
        <v>2.0164081142857142E-4</v>
      </c>
      <c r="O15" s="2">
        <f>IF('Modell einstellen'!$B$1="Voll",J15/0.35,J15/0.35*2)</f>
        <v>-5.5891397142857145E-4</v>
      </c>
      <c r="P15" s="3">
        <f t="shared" si="1"/>
        <v>0.36077253698486383</v>
      </c>
      <c r="Q15" s="3"/>
      <c r="R15" s="3"/>
      <c r="S15" s="3"/>
      <c r="T15" s="3"/>
      <c r="U15" s="3"/>
      <c r="V15" s="3"/>
      <c r="W15" s="3"/>
    </row>
    <row r="16" spans="1:23" x14ac:dyDescent="0.25">
      <c r="A16" s="2">
        <v>0.01</v>
      </c>
      <c r="B16" s="2">
        <v>3.8000000000000002E-5</v>
      </c>
      <c r="C16" s="2">
        <v>1.4990000000000001E-4</v>
      </c>
      <c r="D16" s="2">
        <v>-4.6210000000000001E-4</v>
      </c>
      <c r="E16" s="2">
        <v>0</v>
      </c>
      <c r="F16" s="2">
        <v>0</v>
      </c>
      <c r="G16" s="2">
        <v>0</v>
      </c>
      <c r="H16" s="2">
        <v>7.0574398999999997E-5</v>
      </c>
      <c r="I16" s="2">
        <v>1.5236988E-5</v>
      </c>
      <c r="J16" s="2">
        <v>-1.9562006999999999E-4</v>
      </c>
      <c r="K16" s="3"/>
      <c r="L16" s="3">
        <f t="shared" si="0"/>
        <v>8.2233282839212288E-2</v>
      </c>
      <c r="M16" s="3"/>
      <c r="N16" s="2">
        <f>IF('Modell einstellen'!$B$1="Voll",H16/0.35,H16/0.35*2)</f>
        <v>2.0164114E-4</v>
      </c>
      <c r="O16" s="2">
        <f>IF('Modell einstellen'!$B$1="Voll",J16/0.35,J16/0.35*2)</f>
        <v>-5.5891448571428572E-4</v>
      </c>
      <c r="P16" s="3">
        <f t="shared" si="1"/>
        <v>0.36077279289389885</v>
      </c>
      <c r="Q16" s="3"/>
      <c r="R16" s="3"/>
      <c r="S16" s="3"/>
      <c r="T16" s="3"/>
      <c r="U16" s="3"/>
      <c r="V16" s="3"/>
      <c r="W16" s="3"/>
    </row>
    <row r="17" spans="1:23" x14ac:dyDescent="0.25">
      <c r="A17" s="2">
        <v>0.1</v>
      </c>
      <c r="B17" s="2">
        <v>3.8000000000000002E-5</v>
      </c>
      <c r="C17" s="2">
        <v>1.4990000000000001E-4</v>
      </c>
      <c r="D17" s="2">
        <v>-4.6210000000000001E-4</v>
      </c>
      <c r="E17" s="2">
        <v>0</v>
      </c>
      <c r="F17" s="2">
        <v>0</v>
      </c>
      <c r="G17" s="2">
        <v>0</v>
      </c>
      <c r="H17" s="2">
        <v>7.0575541999999997E-5</v>
      </c>
      <c r="I17" s="2">
        <v>1.5237115E-5</v>
      </c>
      <c r="J17" s="2">
        <v>-1.9562188E-4</v>
      </c>
      <c r="K17" s="3"/>
      <c r="L17" s="3">
        <f t="shared" si="0"/>
        <v>8.2233282839212288E-2</v>
      </c>
      <c r="M17" s="3"/>
      <c r="N17" s="2">
        <f>IF('Modell einstellen'!$B$1="Voll",H17/0.35,H17/0.35*2)</f>
        <v>2.0164440571428572E-4</v>
      </c>
      <c r="O17" s="2">
        <f>IF('Modell einstellen'!$B$1="Voll",J17/0.35,J17/0.35*2)</f>
        <v>-5.5891965714285712E-4</v>
      </c>
      <c r="P17" s="3">
        <f t="shared" si="1"/>
        <v>0.36077529773254408</v>
      </c>
      <c r="Q17" s="3"/>
      <c r="R17" s="3"/>
      <c r="S17" s="3"/>
      <c r="T17" s="3"/>
      <c r="U17" s="3"/>
      <c r="V17" s="3"/>
      <c r="W17" s="3"/>
    </row>
    <row r="18" spans="1:23" x14ac:dyDescent="0.25">
      <c r="A18" s="2">
        <v>1</v>
      </c>
      <c r="B18" s="2">
        <v>3.799E-5</v>
      </c>
      <c r="C18" s="2">
        <v>1.4990000000000001E-4</v>
      </c>
      <c r="D18" s="2">
        <v>-4.6220000000000001E-4</v>
      </c>
      <c r="E18" s="2">
        <v>0</v>
      </c>
      <c r="F18" s="2">
        <v>0</v>
      </c>
      <c r="G18" s="2">
        <v>0</v>
      </c>
      <c r="H18" s="2">
        <v>7.0586947999999998E-5</v>
      </c>
      <c r="I18" s="2">
        <v>1.523838E-5</v>
      </c>
      <c r="J18" s="2">
        <v>-1.9563986000000001E-4</v>
      </c>
      <c r="K18" s="3"/>
      <c r="L18" s="3">
        <f t="shared" si="0"/>
        <v>8.2193855473820854E-2</v>
      </c>
      <c r="M18" s="3"/>
      <c r="N18" s="2">
        <f>IF('Modell einstellen'!$B$1="Voll",H18/0.35,H18/0.35*2)</f>
        <v>2.0167699428571428E-4</v>
      </c>
      <c r="O18" s="2">
        <f>IF('Modell einstellen'!$B$1="Voll",J18/0.35,J18/0.35*2)</f>
        <v>-5.5897102857142866E-4</v>
      </c>
      <c r="P18" s="3">
        <f t="shared" si="1"/>
        <v>0.36080044220027546</v>
      </c>
      <c r="Q18" s="3"/>
      <c r="R18" s="3"/>
      <c r="S18" s="3"/>
      <c r="T18" s="3"/>
      <c r="U18" s="3"/>
      <c r="V18" s="3"/>
      <c r="W18" s="3"/>
    </row>
    <row r="19" spans="1:23" x14ac:dyDescent="0.25">
      <c r="A19" s="2">
        <v>10</v>
      </c>
      <c r="B19" s="2">
        <v>3.786E-5</v>
      </c>
      <c r="C19" s="2">
        <v>1.4999999999999999E-4</v>
      </c>
      <c r="D19" s="2">
        <v>-4.6220000000000001E-4</v>
      </c>
      <c r="E19" s="2">
        <v>0</v>
      </c>
      <c r="F19" s="2">
        <v>0</v>
      </c>
      <c r="G19" s="2">
        <v>0</v>
      </c>
      <c r="H19" s="2">
        <v>7.0698582999999994E-5</v>
      </c>
      <c r="I19" s="2">
        <v>1.5250763E-5</v>
      </c>
      <c r="J19" s="2">
        <v>-1.9581582000000001E-4</v>
      </c>
      <c r="K19" s="3"/>
      <c r="L19" s="3">
        <f t="shared" si="0"/>
        <v>8.1912591951536134E-2</v>
      </c>
      <c r="M19" s="3"/>
      <c r="N19" s="2">
        <f>IF('Modell einstellen'!$B$1="Voll",H19/0.35,H19/0.35*2)</f>
        <v>2.0199595142857143E-4</v>
      </c>
      <c r="O19" s="2">
        <f>IF('Modell einstellen'!$B$1="Voll",J19/0.35,J19/0.35*2)</f>
        <v>-5.5947377142857152E-4</v>
      </c>
      <c r="P19" s="3">
        <f t="shared" si="1"/>
        <v>0.36104632914746104</v>
      </c>
      <c r="Q19" s="3"/>
      <c r="R19" s="3"/>
      <c r="S19" s="3"/>
      <c r="T19" s="3"/>
      <c r="U19" s="3"/>
      <c r="V19" s="3"/>
      <c r="W19" s="3"/>
    </row>
    <row r="20" spans="1:23" x14ac:dyDescent="0.25">
      <c r="A20" s="2">
        <v>100</v>
      </c>
      <c r="B20" s="2">
        <v>3.6820000000000003E-5</v>
      </c>
      <c r="C20" s="2">
        <v>1.5090000000000001E-4</v>
      </c>
      <c r="D20" s="2">
        <v>-4.6289999999999998E-4</v>
      </c>
      <c r="E20" s="2">
        <v>0</v>
      </c>
      <c r="F20" s="2">
        <v>0</v>
      </c>
      <c r="G20" s="2">
        <v>0</v>
      </c>
      <c r="H20" s="2">
        <v>7.1605658000000003E-5</v>
      </c>
      <c r="I20" s="2">
        <v>1.5351167999999999E-5</v>
      </c>
      <c r="J20" s="2">
        <v>-1.9724388999999999E-4</v>
      </c>
      <c r="K20" s="3"/>
      <c r="L20" s="3">
        <f t="shared" si="0"/>
        <v>7.9542017714409177E-2</v>
      </c>
      <c r="M20" s="3"/>
      <c r="N20" s="2">
        <f>IF('Modell einstellen'!$B$1="Voll",H20/0.35,H20/0.35*2)</f>
        <v>2.0458759428571431E-4</v>
      </c>
      <c r="O20" s="2">
        <f>IF('Modell einstellen'!$B$1="Voll",J20/0.35,J20/0.35*2)</f>
        <v>-5.6355397142857143E-4</v>
      </c>
      <c r="P20" s="3">
        <f t="shared" si="1"/>
        <v>0.36303105764137994</v>
      </c>
      <c r="Q20" s="3"/>
      <c r="R20" s="3"/>
      <c r="S20" s="3"/>
      <c r="T20" s="3"/>
      <c r="U20" s="3"/>
      <c r="V20" s="3"/>
      <c r="W20" s="3"/>
    </row>
    <row r="21" spans="1:23" x14ac:dyDescent="0.25">
      <c r="A21" s="2">
        <v>1000</v>
      </c>
      <c r="B21" s="2">
        <v>3.4539999999999998E-5</v>
      </c>
      <c r="C21" s="2">
        <v>1.5359999999999999E-4</v>
      </c>
      <c r="D21" s="2">
        <v>-4.6529999999999998E-4</v>
      </c>
      <c r="E21" s="2">
        <v>0</v>
      </c>
      <c r="F21" s="2">
        <v>0</v>
      </c>
      <c r="G21" s="2">
        <v>0</v>
      </c>
      <c r="H21" s="2">
        <v>7.4043992000000003E-5</v>
      </c>
      <c r="I21" s="2">
        <v>1.5652086E-5</v>
      </c>
      <c r="J21" s="2">
        <v>-2.011618E-4</v>
      </c>
      <c r="K21" s="3"/>
      <c r="L21" s="3">
        <f t="shared" si="0"/>
        <v>7.4231678486997632E-2</v>
      </c>
      <c r="M21" s="3"/>
      <c r="N21" s="2">
        <f>IF('Modell einstellen'!$B$1="Voll",H21/0.35,H21/0.35*2)</f>
        <v>2.1155426285714287E-4</v>
      </c>
      <c r="O21" s="2">
        <f>IF('Modell einstellen'!$B$1="Voll",J21/0.35,J21/0.35*2)</f>
        <v>-5.7474800000000003E-4</v>
      </c>
      <c r="P21" s="3">
        <f t="shared" si="1"/>
        <v>0.36808177298075478</v>
      </c>
      <c r="Q21" s="3"/>
      <c r="R21" s="3"/>
      <c r="S21" s="3"/>
      <c r="T21" s="3"/>
      <c r="U21" s="3"/>
      <c r="V21" s="3"/>
      <c r="W21" s="3"/>
    </row>
    <row r="22" spans="1:23" x14ac:dyDescent="0.25">
      <c r="A22" s="2">
        <v>10000</v>
      </c>
      <c r="B22" s="2">
        <v>3.222E-5</v>
      </c>
      <c r="C22" s="2">
        <v>1.5689999999999999E-4</v>
      </c>
      <c r="D22" s="2">
        <v>-4.682E-4</v>
      </c>
      <c r="E22" s="2">
        <v>0</v>
      </c>
      <c r="F22" s="2">
        <v>0</v>
      </c>
      <c r="G22" s="2">
        <v>0</v>
      </c>
      <c r="H22" s="2">
        <v>7.6758646000000007E-5</v>
      </c>
      <c r="I22" s="2">
        <v>1.6019991000000001E-5</v>
      </c>
      <c r="J22" s="2">
        <v>-2.0558295E-4</v>
      </c>
      <c r="K22" s="3"/>
      <c r="L22" s="3">
        <f t="shared" si="0"/>
        <v>6.8816744980777445E-2</v>
      </c>
      <c r="M22" s="3"/>
      <c r="N22" s="2">
        <f>IF('Modell einstellen'!$B$1="Voll",H22/0.35,H22/0.35*2)</f>
        <v>2.1931041714285719E-4</v>
      </c>
      <c r="O22" s="2">
        <f>IF('Modell einstellen'!$B$1="Voll",J22/0.35,J22/0.35*2)</f>
        <v>-5.8737985714285719E-4</v>
      </c>
      <c r="P22" s="3">
        <f t="shared" si="1"/>
        <v>0.37337068078846036</v>
      </c>
      <c r="Q22" s="3"/>
      <c r="R22" s="3"/>
      <c r="S22" s="3"/>
      <c r="T22" s="3"/>
      <c r="U22" s="3"/>
      <c r="V22" s="3"/>
      <c r="W22" s="3"/>
    </row>
    <row r="23" spans="1:23" x14ac:dyDescent="0.25">
      <c r="A23" s="2">
        <v>100000</v>
      </c>
      <c r="B23" s="2">
        <v>3.3930000000000002E-5</v>
      </c>
      <c r="C23" s="2">
        <v>1.652E-4</v>
      </c>
      <c r="D23" s="2">
        <v>-4.7919999999999999E-4</v>
      </c>
      <c r="E23" s="2">
        <v>0</v>
      </c>
      <c r="F23" s="2">
        <v>0</v>
      </c>
      <c r="G23" s="2">
        <v>0</v>
      </c>
      <c r="H23" s="2">
        <v>8.0551175999999996E-5</v>
      </c>
      <c r="I23" s="2">
        <v>1.6932984000000002E-5</v>
      </c>
      <c r="J23" s="2">
        <v>-2.1281621E-4</v>
      </c>
      <c r="K23" s="3"/>
      <c r="L23" s="3">
        <f t="shared" si="0"/>
        <v>7.0805509181969956E-2</v>
      </c>
      <c r="M23" s="3"/>
      <c r="N23" s="2">
        <f>IF('Modell einstellen'!$B$1="Voll",H23/0.35,H23/0.35*2)</f>
        <v>2.3014621714285714E-4</v>
      </c>
      <c r="O23" s="2">
        <f>IF('Modell einstellen'!$B$1="Voll",J23/0.35,J23/0.35*2)</f>
        <v>-6.0804631428571431E-4</v>
      </c>
      <c r="P23" s="3">
        <f t="shared" si="1"/>
        <v>0.3785011301535724</v>
      </c>
      <c r="Q23" s="3"/>
      <c r="R23" s="3"/>
      <c r="S23" s="3"/>
      <c r="T23" s="3"/>
      <c r="U23" s="3"/>
      <c r="V23" s="3"/>
      <c r="W23" s="3"/>
    </row>
    <row r="24" spans="1:23" x14ac:dyDescent="0.25">
      <c r="A24" s="2">
        <v>1000000</v>
      </c>
      <c r="B24" s="2">
        <v>5.1549999999999999E-5</v>
      </c>
      <c r="C24" s="2">
        <v>1.886E-4</v>
      </c>
      <c r="D24" s="2">
        <v>-5.1730000000000005E-4</v>
      </c>
      <c r="E24" s="2">
        <v>0</v>
      </c>
      <c r="F24" s="2">
        <v>0</v>
      </c>
      <c r="G24" s="2">
        <v>0</v>
      </c>
      <c r="H24" s="2">
        <v>8.6782694999999998E-5</v>
      </c>
      <c r="I24" s="2">
        <v>1.9571083E-5</v>
      </c>
      <c r="J24" s="2">
        <v>-2.2780095000000001E-4</v>
      </c>
      <c r="K24" s="3"/>
      <c r="L24" s="3">
        <f t="shared" si="0"/>
        <v>9.9652039435530623E-2</v>
      </c>
      <c r="M24" s="3"/>
      <c r="N24" s="2">
        <f>IF('Modell einstellen'!$B$1="Voll",H24/0.35,H24/0.35*2)</f>
        <v>2.4795055714285717E-4</v>
      </c>
      <c r="O24" s="2">
        <f>IF('Modell einstellen'!$B$1="Voll",J24/0.35,J24/0.35*2)</f>
        <v>-6.5085985714285718E-4</v>
      </c>
      <c r="P24" s="3">
        <f t="shared" si="1"/>
        <v>0.3809584420082533</v>
      </c>
      <c r="Q24" s="3"/>
      <c r="R24" s="3"/>
      <c r="S24" s="3"/>
      <c r="T24" s="3"/>
      <c r="U24" s="3"/>
      <c r="V24" s="3"/>
      <c r="W24" s="3"/>
    </row>
    <row r="25" spans="1:23" x14ac:dyDescent="0.25">
      <c r="A25" s="2">
        <v>10000000</v>
      </c>
      <c r="B25" s="2">
        <v>8.6429999999999997E-5</v>
      </c>
      <c r="C25" s="2">
        <v>2.2599999999999999E-4</v>
      </c>
      <c r="D25" s="2">
        <v>-5.8290000000000002E-4</v>
      </c>
      <c r="E25" s="2">
        <v>0</v>
      </c>
      <c r="F25" s="2">
        <v>0</v>
      </c>
      <c r="G25" s="2">
        <v>0</v>
      </c>
      <c r="H25" s="2">
        <v>9.5096234999999995E-5</v>
      </c>
      <c r="I25" s="2">
        <v>2.3913036000000001E-5</v>
      </c>
      <c r="J25" s="2">
        <v>-2.5016577000000001E-4</v>
      </c>
      <c r="K25" s="3"/>
      <c r="L25" s="3">
        <f t="shared" si="0"/>
        <v>0.14827586206896551</v>
      </c>
      <c r="M25" s="3"/>
      <c r="N25" s="2">
        <f>IF('Modell einstellen'!$B$1="Voll",H25/0.35,H25/0.35*2)</f>
        <v>2.7170352857142858E-4</v>
      </c>
      <c r="O25" s="2">
        <f>IF('Modell einstellen'!$B$1="Voll",J25/0.35,J25/0.35*2)</f>
        <v>-7.1475934285714299E-4</v>
      </c>
      <c r="P25" s="3">
        <f t="shared" si="1"/>
        <v>0.38013288148894225</v>
      </c>
      <c r="Q25" s="3"/>
      <c r="R25" s="3"/>
      <c r="S25" s="3"/>
      <c r="T25" s="3"/>
      <c r="U25" s="3"/>
      <c r="V25" s="3"/>
      <c r="W25" s="3"/>
    </row>
    <row r="26" spans="1:23" x14ac:dyDescent="0.25">
      <c r="A26" s="2">
        <v>100000000</v>
      </c>
      <c r="B26" s="2">
        <v>1.2239999999999999E-4</v>
      </c>
      <c r="C26" s="2">
        <v>2.6810000000000001E-4</v>
      </c>
      <c r="D26" s="2">
        <v>-6.5490000000000004E-4</v>
      </c>
      <c r="E26" s="2">
        <v>0</v>
      </c>
      <c r="F26" s="2">
        <v>0</v>
      </c>
      <c r="G26" s="2">
        <v>0</v>
      </c>
      <c r="H26" s="2">
        <v>1.0505922E-4</v>
      </c>
      <c r="I26" s="2">
        <v>2.8941176000000001E-5</v>
      </c>
      <c r="J26" s="2">
        <v>-2.7677771000000001E-4</v>
      </c>
      <c r="K26" s="3"/>
      <c r="L26" s="3">
        <f t="shared" si="0"/>
        <v>0.18689876316994958</v>
      </c>
      <c r="M26" s="3"/>
      <c r="N26" s="2">
        <f>IF('Modell einstellen'!$B$1="Voll",H26/0.35,H26/0.35*2)</f>
        <v>3.0016919999999999E-4</v>
      </c>
      <c r="O26" s="2">
        <f>IF('Modell einstellen'!$B$1="Voll",J26/0.35,J26/0.35*2)</f>
        <v>-7.9079345714285724E-4</v>
      </c>
      <c r="P26" s="3">
        <f t="shared" si="1"/>
        <v>0.37957977179592961</v>
      </c>
      <c r="Q26" s="3"/>
      <c r="R26" s="3"/>
      <c r="S26" s="3"/>
      <c r="T26" s="3"/>
      <c r="U26" s="3"/>
      <c r="V26" s="3"/>
      <c r="W26" s="3"/>
    </row>
    <row r="27" spans="1:23" x14ac:dyDescent="0.25">
      <c r="A27" s="2">
        <v>1000000000</v>
      </c>
      <c r="B27" s="2">
        <v>1.5320000000000001E-4</v>
      </c>
      <c r="C27" s="2">
        <v>3.0880000000000002E-4</v>
      </c>
      <c r="D27" s="2">
        <v>-7.224E-4</v>
      </c>
      <c r="E27" s="2">
        <v>0</v>
      </c>
      <c r="F27" s="2">
        <v>0</v>
      </c>
      <c r="G27" s="2">
        <v>0</v>
      </c>
      <c r="H27" s="2">
        <v>1.1559988E-4</v>
      </c>
      <c r="I27" s="2">
        <v>3.3982442000000003E-5</v>
      </c>
      <c r="J27" s="2">
        <v>-3.0446972999999998E-4</v>
      </c>
      <c r="K27" s="3"/>
      <c r="L27" s="3">
        <f t="shared" si="0"/>
        <v>0.21207087486157256</v>
      </c>
      <c r="M27" s="3"/>
      <c r="N27" s="2">
        <f>IF('Modell einstellen'!$B$1="Voll",H27/0.35,H27/0.35*2)</f>
        <v>3.3028537142857143E-4</v>
      </c>
      <c r="O27" s="2">
        <f>IF('Modell einstellen'!$B$1="Voll",J27/0.35,J27/0.35*2)</f>
        <v>-8.6991351428571432E-4</v>
      </c>
      <c r="P27" s="3">
        <f t="shared" si="1"/>
        <v>0.37967610113491412</v>
      </c>
      <c r="Q27" s="3"/>
      <c r="R27" s="3"/>
      <c r="S27" s="3"/>
      <c r="T27" s="3"/>
      <c r="U27" s="3"/>
      <c r="V27" s="3"/>
      <c r="W27" s="3"/>
    </row>
    <row r="28" spans="1:23" x14ac:dyDescent="0.25">
      <c r="A28" s="2">
        <v>10000000000</v>
      </c>
      <c r="B28" s="2">
        <v>1.771E-4</v>
      </c>
      <c r="C28" s="2">
        <v>3.4620000000000001E-4</v>
      </c>
      <c r="D28" s="2">
        <v>-7.8149999999999997E-4</v>
      </c>
      <c r="E28" s="2">
        <v>0</v>
      </c>
      <c r="F28" s="2">
        <v>0</v>
      </c>
      <c r="G28" s="2">
        <v>0</v>
      </c>
      <c r="H28" s="2">
        <v>1.2604727000000001E-4</v>
      </c>
      <c r="I28" s="2">
        <v>3.8786586000000001E-5</v>
      </c>
      <c r="J28" s="2">
        <v>-3.3164030000000001E-4</v>
      </c>
      <c r="K28" s="3"/>
      <c r="L28" s="3">
        <f t="shared" si="0"/>
        <v>0.22661548304542548</v>
      </c>
      <c r="M28" s="3"/>
      <c r="N28" s="2">
        <f>IF('Modell einstellen'!$B$1="Voll",H28/0.35,H28/0.35*2)</f>
        <v>3.6013505714285721E-4</v>
      </c>
      <c r="O28" s="2">
        <f>IF('Modell einstellen'!$B$1="Voll",J28/0.35,J28/0.35*2)</f>
        <v>-9.4754371428571436E-4</v>
      </c>
      <c r="P28" s="3">
        <f t="shared" si="1"/>
        <v>0.38007223488822078</v>
      </c>
      <c r="Q28" s="3"/>
      <c r="R28" s="3"/>
      <c r="S28" s="3"/>
      <c r="T28" s="3"/>
      <c r="U28" s="3"/>
      <c r="V28" s="3"/>
      <c r="W28" s="3"/>
    </row>
    <row r="29" spans="1:23" x14ac:dyDescent="0.25">
      <c r="A29" s="2">
        <v>100000000000</v>
      </c>
      <c r="B29" s="2">
        <v>1.9340000000000001E-4</v>
      </c>
      <c r="C29" s="2">
        <v>3.834E-4</v>
      </c>
      <c r="D29" s="2">
        <v>-8.3469999999999996E-4</v>
      </c>
      <c r="E29" s="2">
        <v>0</v>
      </c>
      <c r="F29" s="2">
        <v>0</v>
      </c>
      <c r="G29" s="2">
        <v>0</v>
      </c>
      <c r="H29" s="2">
        <v>1.3764195E-4</v>
      </c>
      <c r="I29" s="2">
        <v>4.3714880000000003E-5</v>
      </c>
      <c r="J29" s="2">
        <v>-3.6085418000000001E-4</v>
      </c>
      <c r="K29" s="3"/>
      <c r="L29" s="3">
        <f t="shared" si="0"/>
        <v>0.23170001198035226</v>
      </c>
      <c r="M29" s="3"/>
      <c r="N29" s="2">
        <f>IF('Modell einstellen'!$B$1="Voll",H29/0.35,H29/0.35*2)</f>
        <v>3.9326271428571431E-4</v>
      </c>
      <c r="O29" s="2">
        <f>IF('Modell einstellen'!$B$1="Voll",J29/0.35,J29/0.35*2)</f>
        <v>-1.0310119428571429E-3</v>
      </c>
      <c r="P29" s="3">
        <f t="shared" si="1"/>
        <v>0.38143371375107804</v>
      </c>
      <c r="Q29" s="3"/>
      <c r="R29" s="3"/>
      <c r="S29" s="3"/>
      <c r="T29" s="3"/>
      <c r="U29" s="3"/>
      <c r="V29" s="3"/>
      <c r="W29" s="3"/>
    </row>
    <row r="30" spans="1:23" x14ac:dyDescent="0.25">
      <c r="A30" s="2">
        <v>1000000000000</v>
      </c>
      <c r="B30" s="2">
        <v>2.018E-4</v>
      </c>
      <c r="C30" s="2">
        <v>4.2240000000000002E-4</v>
      </c>
      <c r="D30" s="2">
        <v>-8.8340000000000001E-4</v>
      </c>
      <c r="E30" s="2">
        <v>0</v>
      </c>
      <c r="F30" s="2">
        <v>0</v>
      </c>
      <c r="G30" s="2">
        <v>0</v>
      </c>
      <c r="H30" s="2">
        <v>1.5079275E-4</v>
      </c>
      <c r="I30" s="2">
        <v>4.9058842E-5</v>
      </c>
      <c r="J30" s="2">
        <v>-3.9345111000000001E-4</v>
      </c>
      <c r="K30" s="3"/>
      <c r="L30" s="3">
        <f t="shared" si="0"/>
        <v>0.22843558976681005</v>
      </c>
      <c r="M30" s="3"/>
      <c r="N30" s="2">
        <f>IF('Modell einstellen'!$B$1="Voll",H30/0.35,H30/0.35*2)</f>
        <v>4.308364285714286E-4</v>
      </c>
      <c r="O30" s="2">
        <f>IF('Modell einstellen'!$B$1="Voll",J30/0.35,J30/0.35*2)</f>
        <v>-1.1241460285714286E-3</v>
      </c>
      <c r="P30" s="3">
        <f t="shared" si="1"/>
        <v>0.3832566389252276</v>
      </c>
      <c r="Q30" s="3"/>
      <c r="R30" s="3"/>
      <c r="S30" s="3"/>
      <c r="T30" s="3"/>
      <c r="U30" s="3"/>
      <c r="V30" s="3"/>
      <c r="W30" s="3"/>
    </row>
    <row r="31" spans="1:23" x14ac:dyDescent="0.25">
      <c r="A31" s="2">
        <v>10000000000000</v>
      </c>
      <c r="B31" s="2">
        <v>1.9689999999999999E-4</v>
      </c>
      <c r="C31" s="2">
        <v>4.7429999999999998E-4</v>
      </c>
      <c r="D31" s="2">
        <v>-9.3380000000000004E-4</v>
      </c>
      <c r="E31" s="2">
        <v>0</v>
      </c>
      <c r="F31" s="2">
        <v>0</v>
      </c>
      <c r="G31" s="2">
        <v>0</v>
      </c>
      <c r="H31" s="2">
        <v>1.7001620000000001E-4</v>
      </c>
      <c r="I31" s="2">
        <v>5.6363604000000001E-5</v>
      </c>
      <c r="J31" s="2">
        <v>-4.3969864000000002E-4</v>
      </c>
      <c r="K31" s="3"/>
      <c r="L31" s="3">
        <f t="shared" si="0"/>
        <v>0.21085885628614262</v>
      </c>
      <c r="M31" s="3"/>
      <c r="N31" s="2">
        <f>IF('Modell einstellen'!$B$1="Voll",H31/0.35,H31/0.35*2)</f>
        <v>4.8576057142857146E-4</v>
      </c>
      <c r="O31" s="2">
        <f>IF('Modell einstellen'!$B$1="Voll",J31/0.35,J31/0.35*2)</f>
        <v>-1.2562818285714286E-3</v>
      </c>
      <c r="P31" s="3">
        <f t="shared" si="1"/>
        <v>0.38666528511436832</v>
      </c>
      <c r="Q31" s="3"/>
      <c r="R31" s="3"/>
      <c r="S31" s="3"/>
      <c r="T31" s="3"/>
      <c r="U31" s="3"/>
      <c r="V31" s="3"/>
      <c r="W31" s="3"/>
    </row>
    <row r="32" spans="1:23" x14ac:dyDescent="0.25">
      <c r="A32" s="2">
        <v>100000000000000</v>
      </c>
      <c r="B32" s="2">
        <v>1.6589999999999999E-4</v>
      </c>
      <c r="C32" s="2">
        <v>5.5060000000000005E-4</v>
      </c>
      <c r="D32" s="2">
        <v>-9.8489999999999992E-4</v>
      </c>
      <c r="E32" s="2">
        <v>0</v>
      </c>
      <c r="F32" s="2">
        <v>0</v>
      </c>
      <c r="G32" s="2">
        <v>0</v>
      </c>
      <c r="H32" s="2">
        <v>2.0030227E-4</v>
      </c>
      <c r="I32" s="2">
        <v>6.7535314999999998E-5</v>
      </c>
      <c r="J32" s="2">
        <v>-5.1150855999999997E-4</v>
      </c>
      <c r="K32" s="3"/>
      <c r="L32" s="3">
        <f t="shared" si="0"/>
        <v>0.16844349680170576</v>
      </c>
      <c r="M32" s="3"/>
      <c r="N32" s="2">
        <f>IF('Modell einstellen'!$B$1="Voll",H32/0.35,H32/0.35*2)</f>
        <v>5.7229220000000003E-4</v>
      </c>
      <c r="O32" s="2">
        <f>IF('Modell einstellen'!$B$1="Voll",J32/0.35,J32/0.35*2)</f>
        <v>-1.4614530285714286E-3</v>
      </c>
      <c r="P32" s="3">
        <f t="shared" si="1"/>
        <v>0.39159123749561497</v>
      </c>
      <c r="Q32" s="3"/>
      <c r="R32" s="3"/>
      <c r="S32" s="3"/>
      <c r="T32" s="3"/>
      <c r="U32" s="3"/>
      <c r="V32" s="3"/>
      <c r="W32" s="3"/>
    </row>
    <row r="33" spans="1:23" x14ac:dyDescent="0.25">
      <c r="A33" s="2">
        <v>1000000000000000</v>
      </c>
      <c r="B33" s="2">
        <v>7.6569999999999994E-5</v>
      </c>
      <c r="C33" s="2">
        <v>6.7009999999999997E-4</v>
      </c>
      <c r="D33" s="2">
        <v>-1.023E-3</v>
      </c>
      <c r="E33" s="2">
        <v>0</v>
      </c>
      <c r="F33" s="2">
        <v>0</v>
      </c>
      <c r="G33" s="2">
        <v>0</v>
      </c>
      <c r="H33" s="2">
        <v>2.5166108999999999E-4</v>
      </c>
      <c r="I33" s="2">
        <v>8.5884998000000003E-5</v>
      </c>
      <c r="J33" s="2">
        <v>-6.3097520000000005E-4</v>
      </c>
      <c r="K33" s="3"/>
      <c r="L33" s="3">
        <f t="shared" si="0"/>
        <v>7.4848484848484845E-2</v>
      </c>
      <c r="M33" s="3"/>
      <c r="N33" s="2">
        <f>IF('Modell einstellen'!$B$1="Voll",H33/0.35,H33/0.35*2)</f>
        <v>7.1903168571428578E-4</v>
      </c>
      <c r="O33" s="2">
        <f>IF('Modell einstellen'!$B$1="Voll",J33/0.35,J33/0.35*2)</f>
        <v>-1.802786285714286E-3</v>
      </c>
      <c r="P33" s="3">
        <f t="shared" si="1"/>
        <v>0.39884466140666064</v>
      </c>
      <c r="Q33" s="3"/>
      <c r="R33" s="3"/>
      <c r="S33" s="3"/>
      <c r="T33" s="3"/>
      <c r="U33" s="3"/>
      <c r="V33" s="3"/>
      <c r="W33" s="3"/>
    </row>
    <row r="34" spans="1:23" x14ac:dyDescent="0.25">
      <c r="K34" s="3"/>
      <c r="L34" s="3"/>
      <c r="M34" s="3"/>
      <c r="O34" s="3"/>
      <c r="P34" s="3"/>
      <c r="Q34" s="3"/>
      <c r="R34" s="3"/>
      <c r="S34" s="3"/>
      <c r="T34" s="3"/>
      <c r="U34" s="3"/>
      <c r="V34" s="3"/>
      <c r="W34" s="3"/>
    </row>
    <row r="35" spans="1:23" x14ac:dyDescent="0.25">
      <c r="K35" s="3"/>
      <c r="L35" s="3"/>
      <c r="M35" s="3"/>
      <c r="O35" s="3"/>
      <c r="P35" s="3"/>
      <c r="Q35" s="3"/>
      <c r="R35" s="3"/>
      <c r="S35" s="3"/>
      <c r="T35" s="3"/>
      <c r="U35" s="3"/>
      <c r="V35" s="3"/>
      <c r="W35" s="3"/>
    </row>
    <row r="36" spans="1:23" x14ac:dyDescent="0.25">
      <c r="K36" s="3"/>
      <c r="L36" s="3"/>
      <c r="M36" s="3"/>
      <c r="O36" s="3"/>
      <c r="P36" s="3"/>
      <c r="Q36" s="3"/>
      <c r="R36" s="3"/>
      <c r="S36" s="3"/>
      <c r="T36" s="3"/>
      <c r="U36" s="3"/>
      <c r="V36" s="3"/>
      <c r="W36" s="3"/>
    </row>
    <row r="37" spans="1:23" x14ac:dyDescent="0.25">
      <c r="K37" s="3"/>
      <c r="L37" s="3"/>
      <c r="M37" s="3"/>
      <c r="O37" s="3"/>
      <c r="P37" s="3"/>
      <c r="Q37" s="3"/>
      <c r="R37" s="3"/>
      <c r="S37" s="3"/>
      <c r="T37" s="3"/>
      <c r="U37" s="3"/>
      <c r="V37" s="3"/>
      <c r="W37" s="3"/>
    </row>
    <row r="38" spans="1:23" x14ac:dyDescent="0.25">
      <c r="K38" s="3"/>
      <c r="L38" s="3"/>
      <c r="M38" s="3"/>
      <c r="O38" s="3"/>
      <c r="P38" s="3"/>
      <c r="Q38" s="3"/>
      <c r="R38" s="3"/>
      <c r="S38" s="3"/>
      <c r="T38" s="3"/>
      <c r="U38" s="3"/>
      <c r="V38" s="3"/>
      <c r="W38" s="3"/>
    </row>
    <row r="39" spans="1:23" x14ac:dyDescent="0.25">
      <c r="K39" s="3"/>
      <c r="L39" s="3"/>
      <c r="M39" s="3"/>
      <c r="O39" s="3"/>
      <c r="P39" s="3"/>
      <c r="Q39" s="3"/>
      <c r="R39" s="3"/>
      <c r="S39" s="3"/>
      <c r="T39" s="3"/>
      <c r="U39" s="3"/>
      <c r="V39" s="3"/>
      <c r="W39" s="3"/>
    </row>
    <row r="40" spans="1:23" x14ac:dyDescent="0.25">
      <c r="K40" s="3"/>
      <c r="L40" s="3"/>
      <c r="M40" s="3"/>
      <c r="O40" s="3"/>
      <c r="P40" s="3"/>
      <c r="Q40" s="3"/>
      <c r="R40" s="3"/>
      <c r="S40" s="3"/>
      <c r="T40" s="3"/>
      <c r="U40" s="3"/>
      <c r="V40" s="3"/>
      <c r="W40" s="3"/>
    </row>
    <row r="41" spans="1:23" x14ac:dyDescent="0.25">
      <c r="K41" s="3"/>
      <c r="L41" s="3"/>
      <c r="M41" s="3"/>
      <c r="O41" s="3"/>
      <c r="P41" s="3"/>
      <c r="Q41" s="3"/>
      <c r="R41" s="3"/>
      <c r="S41" s="3"/>
      <c r="T41" s="3"/>
      <c r="U41" s="3"/>
      <c r="V41" s="3"/>
      <c r="W41" s="3"/>
    </row>
    <row r="42" spans="1:23" x14ac:dyDescent="0.25">
      <c r="K42" s="3"/>
      <c r="L42" s="3"/>
      <c r="M42" s="3"/>
      <c r="O42" s="3"/>
      <c r="P42" s="3"/>
      <c r="Q42" s="3"/>
      <c r="R42" s="3"/>
      <c r="S42" s="3"/>
      <c r="T42" s="3"/>
      <c r="U42" s="3"/>
      <c r="V42" s="3"/>
      <c r="W42" s="3"/>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10"/>
  <dimension ref="A1:P42"/>
  <sheetViews>
    <sheetView workbookViewId="0">
      <selection activeCell="J33" sqref="J33"/>
    </sheetView>
  </sheetViews>
  <sheetFormatPr baseColWidth="10" defaultRowHeight="15" x14ac:dyDescent="0.25"/>
  <cols>
    <col min="1" max="1" width="8.5703125" bestFit="1" customWidth="1"/>
    <col min="2" max="2" width="9" bestFit="1" customWidth="1"/>
    <col min="3" max="3" width="8.28515625" customWidth="1"/>
    <col min="4" max="4" width="9" bestFit="1" customWidth="1"/>
    <col min="5" max="7" width="8.5703125" bestFit="1" customWidth="1"/>
    <col min="8" max="8" width="8.28515625" bestFit="1" customWidth="1"/>
    <col min="9" max="9" width="12.28515625" bestFit="1" customWidth="1"/>
    <col min="10" max="10" width="9" bestFit="1" customWidth="1"/>
    <col min="12" max="12" width="11.42578125" style="28"/>
  </cols>
  <sheetData>
    <row r="1" spans="1:16" x14ac:dyDescent="0.25">
      <c r="A1" t="s">
        <v>13</v>
      </c>
      <c r="L1" s="82" t="s">
        <v>117</v>
      </c>
      <c r="M1" s="82"/>
      <c r="N1" s="82" t="s">
        <v>39</v>
      </c>
      <c r="O1" s="3" t="s">
        <v>116</v>
      </c>
      <c r="P1" s="82" t="s">
        <v>117</v>
      </c>
    </row>
    <row r="2" spans="1:16" x14ac:dyDescent="0.25">
      <c r="A2" t="s">
        <v>32</v>
      </c>
      <c r="B2" t="s">
        <v>14</v>
      </c>
      <c r="C2" t="s">
        <v>15</v>
      </c>
      <c r="D2" t="s">
        <v>16</v>
      </c>
      <c r="E2" t="s">
        <v>33</v>
      </c>
      <c r="F2" t="s">
        <v>34</v>
      </c>
      <c r="G2" t="s">
        <v>35</v>
      </c>
      <c r="H2" t="s">
        <v>36</v>
      </c>
      <c r="I2" t="s">
        <v>37</v>
      </c>
      <c r="J2" t="s">
        <v>38</v>
      </c>
      <c r="L2" s="3"/>
      <c r="M2" s="3"/>
      <c r="N2" s="82"/>
      <c r="O2" s="82"/>
      <c r="P2" s="3"/>
    </row>
    <row r="3" spans="1:16" x14ac:dyDescent="0.25">
      <c r="A3" s="3">
        <v>1.0000000000000001E-15</v>
      </c>
      <c r="B3" s="3">
        <v>4.0639999999999997E-5</v>
      </c>
      <c r="C3" s="3">
        <v>1.518E-4</v>
      </c>
      <c r="D3" s="3">
        <v>-4.661E-4</v>
      </c>
      <c r="E3" s="3">
        <v>0</v>
      </c>
      <c r="F3" s="3">
        <v>0</v>
      </c>
      <c r="G3" s="3">
        <v>0</v>
      </c>
      <c r="H3" s="3">
        <v>7.0840387000000005E-5</v>
      </c>
      <c r="I3" s="3">
        <v>1.5443532E-5</v>
      </c>
      <c r="J3" s="3">
        <v>-1.9659138E-4</v>
      </c>
      <c r="L3" s="3">
        <f>-B3/D3</f>
        <v>8.7191589787599222E-2</v>
      </c>
      <c r="M3" s="3"/>
      <c r="N3" s="2">
        <f>IF('Modell einstellen'!$B$1="Voll",H3/0.35,H3/0.35*2)</f>
        <v>2.0240110571428574E-4</v>
      </c>
      <c r="O3" s="2">
        <f>IF('Modell einstellen'!$B$1="Voll",J3/0.35,J3/0.35*2)</f>
        <v>-5.6168965714285715E-4</v>
      </c>
      <c r="P3" s="3">
        <f>-N3/O3</f>
        <v>0.36034330192910802</v>
      </c>
    </row>
    <row r="4" spans="1:16" x14ac:dyDescent="0.25">
      <c r="A4" s="3">
        <v>1E-14</v>
      </c>
      <c r="B4" s="3">
        <v>4.0639999999999997E-5</v>
      </c>
      <c r="C4" s="3">
        <v>1.518E-4</v>
      </c>
      <c r="D4" s="3">
        <v>-4.661E-4</v>
      </c>
      <c r="E4" s="3">
        <v>0</v>
      </c>
      <c r="F4" s="3">
        <v>0</v>
      </c>
      <c r="G4" s="3">
        <v>0</v>
      </c>
      <c r="H4" s="3">
        <v>7.0841911E-5</v>
      </c>
      <c r="I4" s="3">
        <v>1.5444687999999999E-5</v>
      </c>
      <c r="J4" s="3">
        <v>-1.9658762000000001E-4</v>
      </c>
      <c r="L4" s="3">
        <f t="shared" ref="L4:L33" si="0">-B4/D4</f>
        <v>8.7191589787599222E-2</v>
      </c>
      <c r="M4" s="3"/>
      <c r="N4" s="2">
        <f>IF('Modell einstellen'!$B$1="Voll",H4/0.35,H4/0.35*2)</f>
        <v>2.0240546000000002E-4</v>
      </c>
      <c r="O4" s="2">
        <f>IF('Modell einstellen'!$B$1="Voll",J4/0.35,J4/0.35*2)</f>
        <v>-5.6167891428571433E-4</v>
      </c>
      <c r="P4" s="3">
        <f t="shared" ref="P4:P33" si="1">-N4/O4</f>
        <v>0.36035794624300349</v>
      </c>
    </row>
    <row r="5" spans="1:16" x14ac:dyDescent="0.25">
      <c r="A5" s="3">
        <v>1E-13</v>
      </c>
      <c r="B5" s="3">
        <v>4.0639999999999997E-5</v>
      </c>
      <c r="C5" s="3">
        <v>1.518E-4</v>
      </c>
      <c r="D5" s="3">
        <v>-4.661E-4</v>
      </c>
      <c r="E5" s="3">
        <v>0</v>
      </c>
      <c r="F5" s="3">
        <v>0</v>
      </c>
      <c r="G5" s="3">
        <v>0</v>
      </c>
      <c r="H5" s="3">
        <v>7.0842286000000006E-5</v>
      </c>
      <c r="I5" s="3">
        <v>1.5444859999999999E-5</v>
      </c>
      <c r="J5" s="3">
        <v>-1.9658862E-4</v>
      </c>
      <c r="L5" s="3">
        <f t="shared" si="0"/>
        <v>8.7191589787599222E-2</v>
      </c>
      <c r="M5" s="3"/>
      <c r="N5" s="2">
        <f>IF('Modell einstellen'!$B$1="Voll",H5/0.35,H5/0.35*2)</f>
        <v>2.0240653142857145E-4</v>
      </c>
      <c r="O5" s="2">
        <f>IF('Modell einstellen'!$B$1="Voll",J5/0.35,J5/0.35*2)</f>
        <v>-5.6168177142857149E-4</v>
      </c>
      <c r="P5" s="3">
        <f t="shared" si="1"/>
        <v>0.36035802072368178</v>
      </c>
    </row>
    <row r="6" spans="1:16" x14ac:dyDescent="0.25">
      <c r="A6" s="3">
        <v>9.9999999999999998E-13</v>
      </c>
      <c r="B6" s="3">
        <v>4.0639999999999997E-5</v>
      </c>
      <c r="C6" s="3">
        <v>1.518E-4</v>
      </c>
      <c r="D6" s="3">
        <v>-4.661E-4</v>
      </c>
      <c r="E6" s="3">
        <v>0</v>
      </c>
      <c r="F6" s="3">
        <v>0</v>
      </c>
      <c r="G6" s="3">
        <v>0</v>
      </c>
      <c r="H6" s="3">
        <v>7.0842402999999999E-5</v>
      </c>
      <c r="I6" s="3">
        <v>1.5444908E-5</v>
      </c>
      <c r="J6" s="3">
        <v>-1.9658891E-4</v>
      </c>
      <c r="L6" s="3">
        <f t="shared" si="0"/>
        <v>8.7191589787599222E-2</v>
      </c>
      <c r="M6" s="3"/>
      <c r="N6" s="2">
        <f>IF('Modell einstellen'!$B$1="Voll",H6/0.35,H6/0.35*2)</f>
        <v>2.0240686571428571E-4</v>
      </c>
      <c r="O6" s="2">
        <f>IF('Modell einstellen'!$B$1="Voll",J6/0.35,J6/0.35*2)</f>
        <v>-5.6168260000000008E-4</v>
      </c>
      <c r="P6" s="3">
        <f t="shared" si="1"/>
        <v>0.36035808428868132</v>
      </c>
    </row>
    <row r="7" spans="1:16" x14ac:dyDescent="0.25">
      <c r="A7" s="3">
        <v>9.9999999999999994E-12</v>
      </c>
      <c r="B7" s="3">
        <v>4.0639999999999997E-5</v>
      </c>
      <c r="C7" s="3">
        <v>1.518E-4</v>
      </c>
      <c r="D7" s="3">
        <v>-4.661E-4</v>
      </c>
      <c r="E7" s="3">
        <v>0</v>
      </c>
      <c r="F7" s="3">
        <v>0</v>
      </c>
      <c r="G7" s="3">
        <v>0</v>
      </c>
      <c r="H7" s="3">
        <v>7.0842440999999997E-5</v>
      </c>
      <c r="I7" s="3">
        <v>1.5444921999999999E-5</v>
      </c>
      <c r="J7" s="3">
        <v>-1.96589E-4</v>
      </c>
      <c r="L7" s="3">
        <f t="shared" si="0"/>
        <v>8.7191589787599222E-2</v>
      </c>
      <c r="M7" s="3"/>
      <c r="N7" s="2">
        <f>IF('Modell einstellen'!$B$1="Voll",H7/0.35,H7/0.35*2)</f>
        <v>2.0240697428571428E-4</v>
      </c>
      <c r="O7" s="2">
        <f>IF('Modell einstellen'!$B$1="Voll",J7/0.35,J7/0.35*2)</f>
        <v>-5.6168285714285721E-4</v>
      </c>
      <c r="P7" s="3">
        <f t="shared" si="1"/>
        <v>0.36035811261057327</v>
      </c>
    </row>
    <row r="8" spans="1:16" x14ac:dyDescent="0.25">
      <c r="A8" s="3">
        <v>1E-10</v>
      </c>
      <c r="B8" s="3">
        <v>4.0639999999999997E-5</v>
      </c>
      <c r="C8" s="3">
        <v>1.518E-4</v>
      </c>
      <c r="D8" s="3">
        <v>-4.661E-4</v>
      </c>
      <c r="E8" s="3">
        <v>0</v>
      </c>
      <c r="F8" s="3">
        <v>0</v>
      </c>
      <c r="G8" s="3">
        <v>0</v>
      </c>
      <c r="H8" s="3">
        <v>7.0842453999999999E-5</v>
      </c>
      <c r="I8" s="3">
        <v>1.5444926E-5</v>
      </c>
      <c r="J8" s="3">
        <v>-1.9658903000000001E-4</v>
      </c>
      <c r="L8" s="3">
        <f t="shared" si="0"/>
        <v>8.7191589787599222E-2</v>
      </c>
      <c r="M8" s="3"/>
      <c r="N8" s="2">
        <f>IF('Modell einstellen'!$B$1="Voll",H8/0.35,H8/0.35*2)</f>
        <v>2.0240701142857143E-4</v>
      </c>
      <c r="O8" s="2">
        <f>IF('Modell einstellen'!$B$1="Voll",J8/0.35,J8/0.35*2)</f>
        <v>-5.6168294285714293E-4</v>
      </c>
      <c r="P8" s="3">
        <f t="shared" si="1"/>
        <v>0.36035812374678278</v>
      </c>
    </row>
    <row r="9" spans="1:16" x14ac:dyDescent="0.25">
      <c r="A9" s="3">
        <v>1.0000000000000001E-9</v>
      </c>
      <c r="B9" s="3">
        <v>4.0639999999999997E-5</v>
      </c>
      <c r="C9" s="3">
        <v>1.518E-4</v>
      </c>
      <c r="D9" s="3">
        <v>-4.661E-4</v>
      </c>
      <c r="E9" s="3">
        <v>0</v>
      </c>
      <c r="F9" s="3">
        <v>0</v>
      </c>
      <c r="G9" s="3">
        <v>0</v>
      </c>
      <c r="H9" s="3">
        <v>7.0842457999999997E-5</v>
      </c>
      <c r="I9" s="3">
        <v>1.5444927999999998E-5</v>
      </c>
      <c r="J9" s="3">
        <v>-1.9658904E-4</v>
      </c>
      <c r="L9" s="3">
        <f t="shared" si="0"/>
        <v>8.7191589787599222E-2</v>
      </c>
      <c r="M9" s="3"/>
      <c r="N9" s="2">
        <f>IF('Modell einstellen'!$B$1="Voll",H9/0.35,H9/0.35*2)</f>
        <v>2.0240702285714287E-4</v>
      </c>
      <c r="O9" s="2">
        <f>IF('Modell einstellen'!$B$1="Voll",J9/0.35,J9/0.35*2)</f>
        <v>-5.6168297142857146E-4</v>
      </c>
      <c r="P9" s="3">
        <f t="shared" si="1"/>
        <v>0.36035812576326737</v>
      </c>
    </row>
    <row r="10" spans="1:16" x14ac:dyDescent="0.25">
      <c r="A10" s="3">
        <v>1E-8</v>
      </c>
      <c r="B10" s="3">
        <v>4.0639999999999997E-5</v>
      </c>
      <c r="C10" s="3">
        <v>1.518E-4</v>
      </c>
      <c r="D10" s="3">
        <v>-4.661E-4</v>
      </c>
      <c r="E10" s="3">
        <v>0</v>
      </c>
      <c r="F10" s="3">
        <v>0</v>
      </c>
      <c r="G10" s="3">
        <v>0</v>
      </c>
      <c r="H10" s="3">
        <v>7.0842460000000002E-5</v>
      </c>
      <c r="I10" s="3">
        <v>1.5444927999999998E-5</v>
      </c>
      <c r="J10" s="3">
        <v>-1.9658904E-4</v>
      </c>
      <c r="L10" s="3">
        <f t="shared" si="0"/>
        <v>8.7191589787599222E-2</v>
      </c>
      <c r="M10" s="3"/>
      <c r="N10" s="2">
        <f>IF('Modell einstellen'!$B$1="Voll",H10/0.35,H10/0.35*2)</f>
        <v>2.0240702857142858E-4</v>
      </c>
      <c r="O10" s="2">
        <f>IF('Modell einstellen'!$B$1="Voll",J10/0.35,J10/0.35*2)</f>
        <v>-5.6168297142857146E-4</v>
      </c>
      <c r="P10" s="3">
        <f t="shared" si="1"/>
        <v>0.36035813593677452</v>
      </c>
    </row>
    <row r="11" spans="1:16" x14ac:dyDescent="0.25">
      <c r="A11" s="3">
        <v>9.9999999999999995E-8</v>
      </c>
      <c r="B11" s="3">
        <v>4.0639999999999997E-5</v>
      </c>
      <c r="C11" s="3">
        <v>1.518E-4</v>
      </c>
      <c r="D11" s="3">
        <v>-4.661E-4</v>
      </c>
      <c r="E11" s="3">
        <v>0</v>
      </c>
      <c r="F11" s="3">
        <v>0</v>
      </c>
      <c r="G11" s="3">
        <v>0</v>
      </c>
      <c r="H11" s="3">
        <v>7.0842460000000002E-5</v>
      </c>
      <c r="I11" s="3">
        <v>1.5444927999999998E-5</v>
      </c>
      <c r="J11" s="3">
        <v>-1.9658904999999999E-4</v>
      </c>
      <c r="L11" s="3">
        <f t="shared" si="0"/>
        <v>8.7191589787599222E-2</v>
      </c>
      <c r="M11" s="3"/>
      <c r="N11" s="2">
        <f>IF('Modell einstellen'!$B$1="Voll",H11/0.35,H11/0.35*2)</f>
        <v>2.0240702857142858E-4</v>
      </c>
      <c r="O11" s="2">
        <f>IF('Modell einstellen'!$B$1="Voll",J11/0.35,J11/0.35*2)</f>
        <v>-5.61683E-4</v>
      </c>
      <c r="P11" s="3">
        <f t="shared" si="1"/>
        <v>0.36035811760624514</v>
      </c>
    </row>
    <row r="12" spans="1:16" x14ac:dyDescent="0.25">
      <c r="A12" s="3">
        <v>9.9999999999999995E-7</v>
      </c>
      <c r="B12" s="3">
        <v>4.0639999999999997E-5</v>
      </c>
      <c r="C12" s="3">
        <v>1.518E-4</v>
      </c>
      <c r="D12" s="3">
        <v>-4.661E-4</v>
      </c>
      <c r="E12" s="3">
        <v>0</v>
      </c>
      <c r="F12" s="3">
        <v>0</v>
      </c>
      <c r="G12" s="3">
        <v>0</v>
      </c>
      <c r="H12" s="3">
        <v>7.0842460999999998E-5</v>
      </c>
      <c r="I12" s="3">
        <v>1.5444927999999998E-5</v>
      </c>
      <c r="J12" s="3">
        <v>-1.9658904999999999E-4</v>
      </c>
      <c r="L12" s="3">
        <f t="shared" si="0"/>
        <v>8.7191589787599222E-2</v>
      </c>
      <c r="M12" s="3"/>
      <c r="N12" s="2">
        <f>IF('Modell einstellen'!$B$1="Voll",H12/0.35,H12/0.35*2)</f>
        <v>2.0240703142857143E-4</v>
      </c>
      <c r="O12" s="2">
        <f>IF('Modell einstellen'!$B$1="Voll",J12/0.35,J12/0.35*2)</f>
        <v>-5.61683E-4</v>
      </c>
      <c r="P12" s="3">
        <f t="shared" si="1"/>
        <v>0.36035812269299844</v>
      </c>
    </row>
    <row r="13" spans="1:16" x14ac:dyDescent="0.25">
      <c r="A13" s="3">
        <v>1.0000000000000001E-5</v>
      </c>
      <c r="B13" s="3">
        <v>4.0639999999999997E-5</v>
      </c>
      <c r="C13" s="3">
        <v>1.518E-4</v>
      </c>
      <c r="D13" s="3">
        <v>-4.661E-4</v>
      </c>
      <c r="E13" s="3">
        <v>0</v>
      </c>
      <c r="F13" s="3">
        <v>0</v>
      </c>
      <c r="G13" s="3">
        <v>0</v>
      </c>
      <c r="H13" s="3">
        <v>7.0842464999999996E-5</v>
      </c>
      <c r="I13" s="3">
        <v>1.5444929000000001E-5</v>
      </c>
      <c r="J13" s="3">
        <v>-1.9658904999999999E-4</v>
      </c>
      <c r="L13" s="3">
        <f t="shared" si="0"/>
        <v>8.7191589787599222E-2</v>
      </c>
      <c r="M13" s="3"/>
      <c r="N13" s="2">
        <f>IF('Modell einstellen'!$B$1="Voll",H13/0.35,H13/0.35*2)</f>
        <v>2.0240704285714284E-4</v>
      </c>
      <c r="O13" s="2">
        <f>IF('Modell einstellen'!$B$1="Voll",J13/0.35,J13/0.35*2)</f>
        <v>-5.61683E-4</v>
      </c>
      <c r="P13" s="3">
        <f t="shared" si="1"/>
        <v>0.36035814304001162</v>
      </c>
    </row>
    <row r="14" spans="1:16" x14ac:dyDescent="0.25">
      <c r="A14" s="3">
        <v>1E-4</v>
      </c>
      <c r="B14" s="3">
        <v>4.0639999999999997E-5</v>
      </c>
      <c r="C14" s="3">
        <v>1.518E-4</v>
      </c>
      <c r="D14" s="3">
        <v>-4.661E-4</v>
      </c>
      <c r="E14" s="3">
        <v>0</v>
      </c>
      <c r="F14" s="3">
        <v>0</v>
      </c>
      <c r="G14" s="3">
        <v>0</v>
      </c>
      <c r="H14" s="3">
        <v>7.0842507000000004E-5</v>
      </c>
      <c r="I14" s="3">
        <v>1.5444934000000001E-5</v>
      </c>
      <c r="J14" s="3">
        <v>-1.9658912000000001E-4</v>
      </c>
      <c r="L14" s="3">
        <f t="shared" si="0"/>
        <v>8.7191589787599222E-2</v>
      </c>
      <c r="M14" s="3"/>
      <c r="N14" s="2">
        <f>IF('Modell einstellen'!$B$1="Voll",H14/0.35,H14/0.35*2)</f>
        <v>2.0240716285714288E-4</v>
      </c>
      <c r="O14" s="2">
        <f>IF('Modell einstellen'!$B$1="Voll",J14/0.35,J14/0.35*2)</f>
        <v>-5.6168320000000006E-4</v>
      </c>
      <c r="P14" s="3">
        <f t="shared" si="1"/>
        <v>0.36035822836991183</v>
      </c>
    </row>
    <row r="15" spans="1:16" x14ac:dyDescent="0.25">
      <c r="A15" s="3">
        <v>1E-3</v>
      </c>
      <c r="B15" s="3">
        <v>4.0639999999999997E-5</v>
      </c>
      <c r="C15" s="3">
        <v>1.518E-4</v>
      </c>
      <c r="D15" s="3">
        <v>-4.661E-4</v>
      </c>
      <c r="E15" s="3">
        <v>0</v>
      </c>
      <c r="F15" s="3">
        <v>0</v>
      </c>
      <c r="G15" s="3">
        <v>0</v>
      </c>
      <c r="H15" s="3">
        <v>7.0842922999999995E-5</v>
      </c>
      <c r="I15" s="3">
        <v>1.5444981E-5</v>
      </c>
      <c r="J15" s="3">
        <v>-1.9658978E-4</v>
      </c>
      <c r="L15" s="3">
        <f t="shared" si="0"/>
        <v>8.7191589787599222E-2</v>
      </c>
      <c r="M15" s="3"/>
      <c r="N15" s="2">
        <f>IF('Modell einstellen'!$B$1="Voll",H15/0.35,H15/0.35*2)</f>
        <v>2.0240835142857141E-4</v>
      </c>
      <c r="O15" s="2">
        <f>IF('Modell einstellen'!$B$1="Voll",J15/0.35,J15/0.35*2)</f>
        <v>-5.6168508571428574E-4</v>
      </c>
      <c r="P15" s="3">
        <f t="shared" si="1"/>
        <v>0.36035913464067154</v>
      </c>
    </row>
    <row r="16" spans="1:16" x14ac:dyDescent="0.25">
      <c r="A16" s="3">
        <v>0.01</v>
      </c>
      <c r="B16" s="3">
        <v>4.0639999999999997E-5</v>
      </c>
      <c r="C16" s="3">
        <v>1.518E-4</v>
      </c>
      <c r="D16" s="3">
        <v>-4.661E-4</v>
      </c>
      <c r="E16" s="3">
        <v>0</v>
      </c>
      <c r="F16" s="3">
        <v>0</v>
      </c>
      <c r="G16" s="3">
        <v>0</v>
      </c>
      <c r="H16" s="3">
        <v>7.0847080999999996E-5</v>
      </c>
      <c r="I16" s="3">
        <v>1.5445455999999999E-5</v>
      </c>
      <c r="J16" s="3">
        <v>-1.9659637000000001E-4</v>
      </c>
      <c r="L16" s="3">
        <f t="shared" si="0"/>
        <v>8.7191589787599222E-2</v>
      </c>
      <c r="M16" s="3"/>
      <c r="N16" s="2">
        <f>IF('Modell einstellen'!$B$1="Voll",H16/0.35,H16/0.35*2)</f>
        <v>2.0242023142857143E-4</v>
      </c>
      <c r="O16" s="2">
        <f>IF('Modell einstellen'!$B$1="Voll",J16/0.35,J16/0.35*2)</f>
        <v>-5.617039142857144E-4</v>
      </c>
      <c r="P16" s="3">
        <f t="shared" si="1"/>
        <v>0.36036820517082785</v>
      </c>
    </row>
    <row r="17" spans="1:16" x14ac:dyDescent="0.25">
      <c r="A17" s="3">
        <v>0.1</v>
      </c>
      <c r="B17" s="3">
        <v>4.0590000000000003E-5</v>
      </c>
      <c r="C17" s="3">
        <v>1.518E-4</v>
      </c>
      <c r="D17" s="3">
        <v>-4.661E-4</v>
      </c>
      <c r="E17" s="3">
        <v>0</v>
      </c>
      <c r="F17" s="3">
        <v>0</v>
      </c>
      <c r="G17" s="3">
        <v>0</v>
      </c>
      <c r="H17" s="3">
        <v>7.0888340999999996E-5</v>
      </c>
      <c r="I17" s="3">
        <v>1.5450167E-5</v>
      </c>
      <c r="J17" s="3">
        <v>-1.9666181000000001E-4</v>
      </c>
      <c r="L17" s="3">
        <f t="shared" si="0"/>
        <v>8.708431667024244E-2</v>
      </c>
      <c r="M17" s="3"/>
      <c r="N17" s="2">
        <f>IF('Modell einstellen'!$B$1="Voll",H17/0.35,H17/0.35*2)</f>
        <v>2.0253811714285715E-4</v>
      </c>
      <c r="O17" s="2">
        <f>IF('Modell einstellen'!$B$1="Voll",J17/0.35,J17/0.35*2)</f>
        <v>-5.6189088571428577E-4</v>
      </c>
      <c r="P17" s="3">
        <f t="shared" si="1"/>
        <v>0.36045809300748322</v>
      </c>
    </row>
    <row r="18" spans="1:16" x14ac:dyDescent="0.25">
      <c r="A18" s="3">
        <v>1</v>
      </c>
      <c r="B18" s="3">
        <v>4.0160000000000002E-5</v>
      </c>
      <c r="C18" s="3">
        <v>1.5220000000000001E-4</v>
      </c>
      <c r="D18" s="3">
        <v>-4.6640000000000001E-4</v>
      </c>
      <c r="E18" s="3">
        <v>0</v>
      </c>
      <c r="F18" s="3">
        <v>0</v>
      </c>
      <c r="G18" s="3">
        <v>0</v>
      </c>
      <c r="H18" s="3">
        <v>7.1270091999999999E-5</v>
      </c>
      <c r="I18" s="3">
        <v>1.5493726000000002E-5</v>
      </c>
      <c r="J18" s="3">
        <v>-1.9726695999999999E-4</v>
      </c>
      <c r="L18" s="3">
        <f t="shared" si="0"/>
        <v>8.6106346483704979E-2</v>
      </c>
      <c r="M18" s="3"/>
      <c r="N18" s="2">
        <f>IF('Modell einstellen'!$B$1="Voll",H18/0.35,H18/0.35*2)</f>
        <v>2.0362883428571429E-4</v>
      </c>
      <c r="O18" s="2">
        <f>IF('Modell einstellen'!$B$1="Voll",J18/0.35,J18/0.35*2)</f>
        <v>-5.6361988571428567E-4</v>
      </c>
      <c r="P18" s="3">
        <f t="shared" si="1"/>
        <v>0.36128752630445571</v>
      </c>
    </row>
    <row r="19" spans="1:16" x14ac:dyDescent="0.25">
      <c r="A19" s="3">
        <v>10</v>
      </c>
      <c r="B19" s="3">
        <v>3.8269999999999998E-5</v>
      </c>
      <c r="C19" s="3">
        <v>1.5449999999999999E-4</v>
      </c>
      <c r="D19" s="3">
        <v>-4.685E-4</v>
      </c>
      <c r="E19" s="3">
        <v>0</v>
      </c>
      <c r="F19" s="3">
        <v>0</v>
      </c>
      <c r="G19" s="3">
        <v>0</v>
      </c>
      <c r="H19" s="3">
        <v>7.3294918999999994E-5</v>
      </c>
      <c r="I19" s="3">
        <v>1.5746303E-5</v>
      </c>
      <c r="J19" s="3">
        <v>-2.0053561000000001E-4</v>
      </c>
      <c r="L19" s="3">
        <f t="shared" si="0"/>
        <v>8.1686232657417285E-2</v>
      </c>
      <c r="M19" s="3"/>
      <c r="N19" s="2">
        <f>IF('Modell einstellen'!$B$1="Voll",H19/0.35,H19/0.35*2)</f>
        <v>2.0941405428571427E-4</v>
      </c>
      <c r="O19" s="2">
        <f>IF('Modell einstellen'!$B$1="Voll",J19/0.35,J19/0.35*2)</f>
        <v>-5.7295888571428581E-4</v>
      </c>
      <c r="P19" s="3">
        <f t="shared" si="1"/>
        <v>0.36549577902897135</v>
      </c>
    </row>
    <row r="20" spans="1:16" x14ac:dyDescent="0.25">
      <c r="A20" s="3">
        <v>100</v>
      </c>
      <c r="B20" s="3">
        <v>3.5939999999999998E-5</v>
      </c>
      <c r="C20" s="3">
        <v>1.574E-4</v>
      </c>
      <c r="D20" s="3">
        <v>-4.7100000000000001E-4</v>
      </c>
      <c r="E20" s="3">
        <v>0</v>
      </c>
      <c r="F20" s="3">
        <v>0</v>
      </c>
      <c r="G20" s="3">
        <v>0</v>
      </c>
      <c r="H20" s="3">
        <v>7.5819420000000003E-5</v>
      </c>
      <c r="I20" s="3">
        <v>1.6075078000000001E-5</v>
      </c>
      <c r="J20" s="3">
        <v>-2.0462267000000001E-4</v>
      </c>
      <c r="L20" s="3">
        <f t="shared" si="0"/>
        <v>7.6305732484076433E-2</v>
      </c>
      <c r="M20" s="3"/>
      <c r="N20" s="2">
        <f>IF('Modell einstellen'!$B$1="Voll",H20/0.35,H20/0.35*2)</f>
        <v>2.1662691428571431E-4</v>
      </c>
      <c r="O20" s="2">
        <f>IF('Modell einstellen'!$B$1="Voll",J20/0.35,J20/0.35*2)</f>
        <v>-5.846362000000001E-4</v>
      </c>
      <c r="P20" s="3">
        <f t="shared" si="1"/>
        <v>0.37053284467454167</v>
      </c>
    </row>
    <row r="21" spans="1:16" x14ac:dyDescent="0.25">
      <c r="A21" s="3">
        <v>1000</v>
      </c>
      <c r="B21" s="3">
        <v>3.5809999999999998E-5</v>
      </c>
      <c r="C21" s="3">
        <v>1.6330000000000001E-4</v>
      </c>
      <c r="D21" s="3">
        <v>-4.7820000000000002E-4</v>
      </c>
      <c r="E21" s="3">
        <v>0</v>
      </c>
      <c r="F21" s="3">
        <v>0</v>
      </c>
      <c r="G21" s="3">
        <v>0</v>
      </c>
      <c r="H21" s="3">
        <v>7.9053747999999996E-5</v>
      </c>
      <c r="I21" s="3">
        <v>1.6731359000000002E-5</v>
      </c>
      <c r="J21" s="3">
        <v>-2.1046916999999999E-4</v>
      </c>
      <c r="L21" s="3">
        <f t="shared" si="0"/>
        <v>7.4884985361773307E-2</v>
      </c>
      <c r="M21" s="3"/>
      <c r="N21" s="2">
        <f>IF('Modell einstellen'!$B$1="Voll",H21/0.35,H21/0.35*2)</f>
        <v>2.2586785142857143E-4</v>
      </c>
      <c r="O21" s="2">
        <f>IF('Modell einstellen'!$B$1="Voll",J21/0.35,J21/0.35*2)</f>
        <v>-6.0134048571428575E-4</v>
      </c>
      <c r="P21" s="3">
        <f t="shared" si="1"/>
        <v>0.37560725877333956</v>
      </c>
    </row>
    <row r="22" spans="1:16" x14ac:dyDescent="0.25">
      <c r="A22" s="3">
        <v>10000</v>
      </c>
      <c r="B22" s="3">
        <v>4.8189999999999998E-5</v>
      </c>
      <c r="C22" s="3">
        <v>1.816E-4</v>
      </c>
      <c r="D22" s="3">
        <v>-5.0719999999999997E-4</v>
      </c>
      <c r="E22" s="3">
        <v>0</v>
      </c>
      <c r="F22" s="3">
        <v>0</v>
      </c>
      <c r="G22" s="3">
        <v>0</v>
      </c>
      <c r="H22" s="3">
        <v>8.4400398E-5</v>
      </c>
      <c r="I22" s="3">
        <v>1.8779892000000001E-5</v>
      </c>
      <c r="J22" s="3">
        <v>-2.2272618000000001E-4</v>
      </c>
      <c r="L22" s="3">
        <f t="shared" si="0"/>
        <v>9.5011829652996843E-2</v>
      </c>
      <c r="M22" s="3"/>
      <c r="N22" s="2">
        <f>IF('Modell einstellen'!$B$1="Voll",H22/0.35,H22/0.35*2)</f>
        <v>2.4114399428571431E-4</v>
      </c>
      <c r="O22" s="2">
        <f>IF('Modell einstellen'!$B$1="Voll",J22/0.35,J22/0.35*2)</f>
        <v>-6.3636051428571437E-4</v>
      </c>
      <c r="P22" s="3">
        <f t="shared" si="1"/>
        <v>0.378942421586901</v>
      </c>
    </row>
    <row r="23" spans="1:16" x14ac:dyDescent="0.25">
      <c r="A23" s="3">
        <v>100000</v>
      </c>
      <c r="B23" s="3">
        <v>7.9670000000000001E-5</v>
      </c>
      <c r="C23" s="3">
        <v>2.1560000000000001E-4</v>
      </c>
      <c r="D23" s="3">
        <v>-5.666E-4</v>
      </c>
      <c r="E23" s="3">
        <v>0</v>
      </c>
      <c r="F23" s="3">
        <v>0</v>
      </c>
      <c r="G23" s="3">
        <v>0</v>
      </c>
      <c r="H23" s="3">
        <v>9.2072274999999994E-5</v>
      </c>
      <c r="I23" s="3">
        <v>2.2693725000000001E-5</v>
      </c>
      <c r="J23" s="3">
        <v>-2.4303783E-4</v>
      </c>
      <c r="L23" s="3">
        <f t="shared" si="0"/>
        <v>0.14061066007765619</v>
      </c>
      <c r="M23" s="3"/>
      <c r="N23" s="2">
        <f>IF('Modell einstellen'!$B$1="Voll",H23/0.35,H23/0.35*2)</f>
        <v>2.6306364285714286E-4</v>
      </c>
      <c r="O23" s="2">
        <f>IF('Modell einstellen'!$B$1="Voll",J23/0.35,J23/0.35*2)</f>
        <v>-6.9439380000000002E-4</v>
      </c>
      <c r="P23" s="3">
        <f t="shared" si="1"/>
        <v>0.37883927370483844</v>
      </c>
    </row>
    <row r="24" spans="1:16" x14ac:dyDescent="0.25">
      <c r="A24" s="3">
        <v>1000000</v>
      </c>
      <c r="B24" s="3">
        <v>1.16E-4</v>
      </c>
      <c r="C24" s="3">
        <v>2.5599999999999999E-4</v>
      </c>
      <c r="D24" s="3">
        <v>-6.3670000000000003E-4</v>
      </c>
      <c r="E24" s="3">
        <v>0</v>
      </c>
      <c r="F24" s="3">
        <v>0</v>
      </c>
      <c r="G24" s="3">
        <v>0</v>
      </c>
      <c r="H24" s="3">
        <v>1.0125284E-4</v>
      </c>
      <c r="I24" s="3">
        <v>2.7471817999999999E-5</v>
      </c>
      <c r="J24" s="3">
        <v>-2.678499E-4</v>
      </c>
      <c r="L24" s="3">
        <f t="shared" si="0"/>
        <v>0.18218941416679754</v>
      </c>
      <c r="M24" s="3"/>
      <c r="N24" s="2">
        <f>IF('Modell einstellen'!$B$1="Voll",H24/0.35,H24/0.35*2)</f>
        <v>2.8929382857142857E-4</v>
      </c>
      <c r="O24" s="2">
        <f>IF('Modell einstellen'!$B$1="Voll",J24/0.35,J24/0.35*2)</f>
        <v>-7.6528542857142866E-4</v>
      </c>
      <c r="P24" s="3">
        <f t="shared" si="1"/>
        <v>0.37802082434975703</v>
      </c>
    </row>
    <row r="25" spans="1:16" x14ac:dyDescent="0.25">
      <c r="A25" s="3">
        <v>10000000</v>
      </c>
      <c r="B25" s="3">
        <v>1.482E-4</v>
      </c>
      <c r="C25" s="3">
        <v>2.9609999999999999E-4</v>
      </c>
      <c r="D25" s="3">
        <v>-7.0450000000000005E-4</v>
      </c>
      <c r="E25" s="3">
        <v>0</v>
      </c>
      <c r="F25" s="3">
        <v>0</v>
      </c>
      <c r="G25" s="3">
        <v>0</v>
      </c>
      <c r="H25" s="3">
        <v>1.1137828E-4</v>
      </c>
      <c r="I25" s="3">
        <v>3.2387022E-5</v>
      </c>
      <c r="J25" s="3">
        <v>-2.9454394999999997E-4</v>
      </c>
      <c r="L25" s="3">
        <f t="shared" si="0"/>
        <v>0.21036195883605391</v>
      </c>
      <c r="M25" s="3"/>
      <c r="N25" s="2">
        <f>IF('Modell einstellen'!$B$1="Voll",H25/0.35,H25/0.35*2)</f>
        <v>3.1822365714285713E-4</v>
      </c>
      <c r="O25" s="2">
        <f>IF('Modell einstellen'!$B$1="Voll",J25/0.35,J25/0.35*2)</f>
        <v>-8.4155414285714278E-4</v>
      </c>
      <c r="P25" s="3">
        <f t="shared" si="1"/>
        <v>0.37813806734105387</v>
      </c>
    </row>
    <row r="26" spans="1:16" x14ac:dyDescent="0.25">
      <c r="A26" s="3">
        <v>100000000</v>
      </c>
      <c r="B26" s="3">
        <v>1.739E-4</v>
      </c>
      <c r="C26" s="3">
        <v>3.3340000000000003E-4</v>
      </c>
      <c r="D26" s="3">
        <v>-7.649E-4</v>
      </c>
      <c r="E26" s="3">
        <v>0</v>
      </c>
      <c r="F26" s="3">
        <v>0</v>
      </c>
      <c r="G26" s="3">
        <v>0</v>
      </c>
      <c r="H26" s="3">
        <v>1.2162253000000001E-4</v>
      </c>
      <c r="I26" s="3">
        <v>3.7121218000000002E-5</v>
      </c>
      <c r="J26" s="3">
        <v>-3.2116217999999998E-4</v>
      </c>
      <c r="L26" s="3">
        <f t="shared" si="0"/>
        <v>0.22734998038959342</v>
      </c>
      <c r="M26" s="3"/>
      <c r="N26" s="2">
        <f>IF('Modell einstellen'!$B$1="Voll",H26/0.35,H26/0.35*2)</f>
        <v>3.4749294285714292E-4</v>
      </c>
      <c r="O26" s="2">
        <f>IF('Modell einstellen'!$B$1="Voll",J26/0.35,J26/0.35*2)</f>
        <v>-9.1760622857142856E-4</v>
      </c>
      <c r="P26" s="3">
        <f t="shared" si="1"/>
        <v>0.37869505680899296</v>
      </c>
    </row>
    <row r="27" spans="1:16" x14ac:dyDescent="0.25">
      <c r="A27" s="3">
        <v>1000000000</v>
      </c>
      <c r="B27" s="3">
        <v>1.9239999999999999E-4</v>
      </c>
      <c r="C27" s="3">
        <v>3.6900000000000002E-4</v>
      </c>
      <c r="D27" s="3">
        <v>-8.1820000000000005E-4</v>
      </c>
      <c r="E27" s="3">
        <v>0</v>
      </c>
      <c r="F27" s="3">
        <v>0</v>
      </c>
      <c r="G27" s="3">
        <v>0</v>
      </c>
      <c r="H27" s="3">
        <v>1.3237888999999999E-4</v>
      </c>
      <c r="I27" s="3">
        <v>4.1795149999999999E-5</v>
      </c>
      <c r="J27" s="3">
        <v>-3.4849375E-4</v>
      </c>
      <c r="L27" s="3">
        <f t="shared" si="0"/>
        <v>0.2351503299926668</v>
      </c>
      <c r="M27" s="3"/>
      <c r="N27" s="2">
        <f>IF('Modell einstellen'!$B$1="Voll",H27/0.35,H27/0.35*2)</f>
        <v>3.7822540000000002E-4</v>
      </c>
      <c r="O27" s="2">
        <f>IF('Modell einstellen'!$B$1="Voll",J27/0.35,J27/0.35*2)</f>
        <v>-9.9569642857142869E-4</v>
      </c>
      <c r="P27" s="3">
        <f t="shared" si="1"/>
        <v>0.37986015531125017</v>
      </c>
    </row>
    <row r="28" spans="1:16" x14ac:dyDescent="0.25">
      <c r="A28" s="3">
        <v>10000000000</v>
      </c>
      <c r="B28" s="3">
        <v>2.0340000000000001E-4</v>
      </c>
      <c r="C28" s="3">
        <v>4.059E-4</v>
      </c>
      <c r="D28" s="3">
        <v>-8.6700000000000004E-4</v>
      </c>
      <c r="E28" s="3">
        <v>0</v>
      </c>
      <c r="F28" s="3">
        <v>0</v>
      </c>
      <c r="G28" s="3">
        <v>0</v>
      </c>
      <c r="H28" s="3">
        <v>1.4451937999999999E-4</v>
      </c>
      <c r="I28" s="3">
        <v>4.6781912E-5</v>
      </c>
      <c r="J28" s="3">
        <v>-3.7869610999999997E-4</v>
      </c>
      <c r="L28" s="3">
        <f t="shared" si="0"/>
        <v>0.23460207612456749</v>
      </c>
      <c r="M28" s="3"/>
      <c r="N28" s="2">
        <f>IF('Modell einstellen'!$B$1="Voll",H28/0.35,H28/0.35*2)</f>
        <v>4.1291251428571425E-4</v>
      </c>
      <c r="O28" s="2">
        <f>IF('Modell einstellen'!$B$1="Voll",J28/0.35,J28/0.35*2)</f>
        <v>-1.0819888857142856E-3</v>
      </c>
      <c r="P28" s="3">
        <f t="shared" si="1"/>
        <v>0.38162361900152603</v>
      </c>
    </row>
    <row r="29" spans="1:16" x14ac:dyDescent="0.25">
      <c r="A29" s="3">
        <v>100000000000</v>
      </c>
      <c r="B29" s="3">
        <v>2.0489999999999999E-4</v>
      </c>
      <c r="C29" s="3">
        <v>4.4959999999999998E-4</v>
      </c>
      <c r="D29" s="3">
        <v>-9.1469999999999995E-4</v>
      </c>
      <c r="E29" s="3">
        <v>0</v>
      </c>
      <c r="F29" s="3">
        <v>0</v>
      </c>
      <c r="G29" s="3">
        <v>0</v>
      </c>
      <c r="H29" s="3">
        <v>1.6011431999999999E-4</v>
      </c>
      <c r="I29" s="3">
        <v>5.2865356999999999E-5</v>
      </c>
      <c r="J29" s="3">
        <v>-4.1667959000000001E-4</v>
      </c>
      <c r="L29" s="3">
        <f t="shared" si="0"/>
        <v>0.22400787143325682</v>
      </c>
      <c r="M29" s="3"/>
      <c r="N29" s="2">
        <f>IF('Modell einstellen'!$B$1="Voll",H29/0.35,H29/0.35*2)</f>
        <v>4.5746948571428569E-4</v>
      </c>
      <c r="O29" s="2">
        <f>IF('Modell einstellen'!$B$1="Voll",J29/0.35,J29/0.35*2)</f>
        <v>-1.1905131142857144E-3</v>
      </c>
      <c r="P29" s="3">
        <f t="shared" si="1"/>
        <v>0.38426244971585954</v>
      </c>
    </row>
    <row r="30" spans="1:16" x14ac:dyDescent="0.25">
      <c r="A30" s="3">
        <v>1000000000000</v>
      </c>
      <c r="B30" s="3">
        <v>1.874E-4</v>
      </c>
      <c r="C30" s="3">
        <v>5.1309999999999995E-4</v>
      </c>
      <c r="D30" s="3">
        <v>-9.655E-4</v>
      </c>
      <c r="E30" s="3">
        <v>0</v>
      </c>
      <c r="F30" s="3">
        <v>0</v>
      </c>
      <c r="G30" s="3">
        <v>0</v>
      </c>
      <c r="H30" s="3">
        <v>1.8452810999999999E-4</v>
      </c>
      <c r="I30" s="3">
        <v>6.1983619999999995E-5</v>
      </c>
      <c r="J30" s="3">
        <v>-4.7496307E-4</v>
      </c>
      <c r="L30" s="3">
        <f t="shared" si="0"/>
        <v>0.19409632314862765</v>
      </c>
      <c r="M30" s="3"/>
      <c r="N30" s="2">
        <f>IF('Modell einstellen'!$B$1="Voll",H30/0.35,H30/0.35*2)</f>
        <v>5.2722317142857137E-4</v>
      </c>
      <c r="O30" s="2">
        <f>IF('Modell einstellen'!$B$1="Voll",J30/0.35,J30/0.35*2)</f>
        <v>-1.357037342857143E-3</v>
      </c>
      <c r="P30" s="3">
        <f t="shared" si="1"/>
        <v>0.38851043724304701</v>
      </c>
    </row>
    <row r="31" spans="1:16" x14ac:dyDescent="0.25">
      <c r="A31" s="3">
        <v>10000000000000</v>
      </c>
      <c r="B31" s="3">
        <v>1.2980000000000001E-4</v>
      </c>
      <c r="C31" s="3">
        <v>6.1039999999999998E-4</v>
      </c>
      <c r="D31" s="3">
        <v>-1.0120000000000001E-3</v>
      </c>
      <c r="E31" s="3">
        <v>0</v>
      </c>
      <c r="F31" s="3">
        <v>0</v>
      </c>
      <c r="G31" s="3">
        <v>0</v>
      </c>
      <c r="H31" s="3">
        <v>2.2475705999999999E-4</v>
      </c>
      <c r="I31" s="3">
        <v>7.6597258999999994E-5</v>
      </c>
      <c r="J31" s="3">
        <v>-5.6949243999999998E-4</v>
      </c>
      <c r="L31" s="3">
        <f t="shared" si="0"/>
        <v>0.1282608695652174</v>
      </c>
      <c r="M31" s="3"/>
      <c r="N31" s="2">
        <f>IF('Modell einstellen'!$B$1="Voll",H31/0.35,H31/0.35*2)</f>
        <v>6.421630285714286E-4</v>
      </c>
      <c r="O31" s="2">
        <f>IF('Modell einstellen'!$B$1="Voll",J31/0.35,J31/0.35*2)</f>
        <v>-1.6271212571428572E-3</v>
      </c>
      <c r="P31" s="3">
        <f t="shared" si="1"/>
        <v>0.39466206083438088</v>
      </c>
    </row>
    <row r="32" spans="1:16" x14ac:dyDescent="0.25">
      <c r="A32" s="3">
        <v>100000000000000</v>
      </c>
      <c r="B32" s="3">
        <v>-3.1359999999999998E-5</v>
      </c>
      <c r="C32" s="3">
        <v>7.7430000000000001E-4</v>
      </c>
      <c r="D32" s="3">
        <v>-1.0250000000000001E-3</v>
      </c>
      <c r="E32" s="3">
        <v>0</v>
      </c>
      <c r="F32" s="3">
        <v>0</v>
      </c>
      <c r="G32" s="3">
        <v>0</v>
      </c>
      <c r="H32" s="3">
        <v>2.9923858999999998E-4</v>
      </c>
      <c r="I32" s="3">
        <v>1.0260775E-4</v>
      </c>
      <c r="J32" s="3">
        <v>-7.4028763000000004E-4</v>
      </c>
      <c r="L32" s="3">
        <f t="shared" si="0"/>
        <v>-3.0595121951219509E-2</v>
      </c>
      <c r="M32" s="3"/>
      <c r="N32" s="2">
        <f>IF('Modell einstellen'!$B$1="Voll",H32/0.35,H32/0.35*2)</f>
        <v>8.5496740000000002E-4</v>
      </c>
      <c r="O32" s="2">
        <f>IF('Modell einstellen'!$B$1="Voll",J32/0.35,J32/0.35*2)</f>
        <v>-2.1151075142857145E-3</v>
      </c>
      <c r="P32" s="3">
        <f t="shared" si="1"/>
        <v>0.4042193572787377</v>
      </c>
    </row>
    <row r="33" spans="1:16" x14ac:dyDescent="0.25">
      <c r="A33" s="3">
        <v>1000000000000000</v>
      </c>
      <c r="B33" s="3">
        <v>-5.0319999999999998E-4</v>
      </c>
      <c r="C33" s="3">
        <v>1.093E-3</v>
      </c>
      <c r="D33" s="3">
        <v>-8.8500000000000004E-4</v>
      </c>
      <c r="E33" s="3">
        <v>0</v>
      </c>
      <c r="F33" s="3">
        <v>0</v>
      </c>
      <c r="G33" s="3">
        <v>0</v>
      </c>
      <c r="H33" s="3">
        <v>4.6265922000000002E-4</v>
      </c>
      <c r="I33" s="3">
        <v>1.5662211999999999E-4</v>
      </c>
      <c r="J33" s="3">
        <v>-1.1024379E-3</v>
      </c>
      <c r="L33" s="3">
        <f t="shared" si="0"/>
        <v>-0.56858757062146892</v>
      </c>
      <c r="M33" s="3"/>
      <c r="N33" s="2">
        <f>IF('Modell einstellen'!$B$1="Voll",H33/0.35,H33/0.35*2)</f>
        <v>1.3218834857142859E-3</v>
      </c>
      <c r="O33" s="2">
        <f>IF('Modell einstellen'!$B$1="Voll",J33/0.35,J33/0.35*2)</f>
        <v>-3.1498225714285716E-3</v>
      </c>
      <c r="P33" s="3">
        <f t="shared" si="1"/>
        <v>0.41966918952985927</v>
      </c>
    </row>
    <row r="34" spans="1:16" x14ac:dyDescent="0.25">
      <c r="L34" s="3"/>
    </row>
    <row r="35" spans="1:16" x14ac:dyDescent="0.25">
      <c r="L35" s="3"/>
    </row>
    <row r="36" spans="1:16" x14ac:dyDescent="0.25">
      <c r="L36" s="3"/>
    </row>
    <row r="37" spans="1:16" x14ac:dyDescent="0.25">
      <c r="L37" s="3"/>
    </row>
    <row r="38" spans="1:16" x14ac:dyDescent="0.25">
      <c r="L38" s="3"/>
    </row>
    <row r="39" spans="1:16" x14ac:dyDescent="0.25">
      <c r="L39" s="3"/>
    </row>
    <row r="40" spans="1:16" x14ac:dyDescent="0.25">
      <c r="L40" s="3"/>
    </row>
    <row r="41" spans="1:16" x14ac:dyDescent="0.25">
      <c r="L41" s="3"/>
    </row>
    <row r="42" spans="1:16" x14ac:dyDescent="0.25">
      <c r="L42" s="3"/>
    </row>
  </sheetData>
  <pageMargins left="0.7" right="0.7" top="0.78740157499999996" bottom="0.78740157499999996"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11"/>
  <dimension ref="A1:Y47"/>
  <sheetViews>
    <sheetView workbookViewId="0">
      <selection activeCell="O3" sqref="O3:O33"/>
    </sheetView>
  </sheetViews>
  <sheetFormatPr baseColWidth="10" defaultColWidth="9.140625" defaultRowHeight="15" x14ac:dyDescent="0.25"/>
  <cols>
    <col min="1" max="1" width="8.5703125" style="1" customWidth="1"/>
    <col min="2" max="2" width="9" customWidth="1"/>
    <col min="3" max="3" width="8.28515625" customWidth="1"/>
    <col min="4" max="4" width="9" customWidth="1"/>
    <col min="5" max="7" width="8.5703125" customWidth="1"/>
    <col min="8" max="8" width="8.28515625" customWidth="1"/>
    <col min="9" max="9" width="12.28515625" bestFit="1" customWidth="1"/>
    <col min="10" max="10" width="9" customWidth="1"/>
    <col min="16" max="17" width="10.85546875" customWidth="1"/>
    <col min="18" max="18" width="9" customWidth="1"/>
    <col min="19" max="19" width="8.28515625" customWidth="1"/>
    <col min="20" max="22" width="8.5703125" customWidth="1"/>
    <col min="23" max="23" width="8.28515625" customWidth="1"/>
    <col min="24" max="24" width="12.28515625" bestFit="1" customWidth="1"/>
    <col min="25" max="25" width="8.28515625" customWidth="1"/>
  </cols>
  <sheetData>
    <row r="1" spans="1:21" s="1" customFormat="1" x14ac:dyDescent="0.25">
      <c r="A1" s="1" t="s">
        <v>13</v>
      </c>
      <c r="L1" s="82" t="s">
        <v>117</v>
      </c>
      <c r="M1" s="82"/>
      <c r="N1" s="82" t="s">
        <v>39</v>
      </c>
      <c r="O1" s="3" t="s">
        <v>116</v>
      </c>
      <c r="P1" s="82" t="s">
        <v>117</v>
      </c>
      <c r="Q1" s="4"/>
      <c r="R1" s="4"/>
      <c r="S1" s="4"/>
      <c r="T1" s="4"/>
      <c r="U1" s="4"/>
    </row>
    <row r="2" spans="1:21" x14ac:dyDescent="0.25">
      <c r="A2" s="3" t="s">
        <v>32</v>
      </c>
      <c r="B2" s="3" t="s">
        <v>14</v>
      </c>
      <c r="C2" s="3" t="s">
        <v>15</v>
      </c>
      <c r="D2" s="3" t="s">
        <v>16</v>
      </c>
      <c r="E2" s="3" t="s">
        <v>33</v>
      </c>
      <c r="F2" s="3" t="s">
        <v>34</v>
      </c>
      <c r="G2" s="3" t="s">
        <v>35</v>
      </c>
      <c r="H2" s="3" t="s">
        <v>36</v>
      </c>
      <c r="I2" s="3" t="s">
        <v>37</v>
      </c>
      <c r="J2" s="3" t="s">
        <v>38</v>
      </c>
      <c r="K2" s="3"/>
      <c r="L2" s="3"/>
      <c r="M2" s="3"/>
      <c r="N2" s="82"/>
      <c r="O2" s="82"/>
      <c r="P2" s="3"/>
      <c r="Q2" s="3"/>
      <c r="R2" s="3"/>
      <c r="S2" s="3"/>
      <c r="T2" s="3"/>
      <c r="U2" s="3"/>
    </row>
    <row r="3" spans="1:21" x14ac:dyDescent="0.25">
      <c r="A3" s="3">
        <v>1.0000000000000001E-15</v>
      </c>
      <c r="B3" s="3">
        <v>4.2360000000000001E-5</v>
      </c>
      <c r="C3" s="3">
        <v>1.5300000000000001E-4</v>
      </c>
      <c r="D3" s="3">
        <v>-4.6860000000000001E-4</v>
      </c>
      <c r="E3" s="3">
        <v>0</v>
      </c>
      <c r="F3" s="3">
        <v>0</v>
      </c>
      <c r="G3" s="3">
        <v>0</v>
      </c>
      <c r="H3" s="3">
        <v>7.1015355999999997E-5</v>
      </c>
      <c r="I3" s="3">
        <v>1.5578399E-5</v>
      </c>
      <c r="J3" s="3">
        <v>-1.9722127000000001E-4</v>
      </c>
      <c r="K3" s="3"/>
      <c r="L3" s="3">
        <f>-B3/D3</f>
        <v>9.0396927016645326E-2</v>
      </c>
      <c r="M3" s="3"/>
      <c r="N3" s="2">
        <f>IF('Modell einstellen'!$B$1="Voll",H3/0.35,H3/0.35*2)</f>
        <v>2.0290101714285714E-4</v>
      </c>
      <c r="O3" s="2">
        <f>IF('Modell einstellen'!$B$1="Voll",J3/0.35,J3/0.35*2)</f>
        <v>-5.6348934285714288E-4</v>
      </c>
      <c r="P3" s="3">
        <f>-N3/O3</f>
        <v>0.36007959993361766</v>
      </c>
      <c r="Q3" s="3"/>
      <c r="R3" s="3"/>
      <c r="S3" s="3"/>
      <c r="T3" s="3"/>
      <c r="U3" s="3"/>
    </row>
    <row r="4" spans="1:21" x14ac:dyDescent="0.25">
      <c r="A4" s="3">
        <v>1E-14</v>
      </c>
      <c r="B4" s="3">
        <v>4.2349999999999999E-5</v>
      </c>
      <c r="C4" s="3">
        <v>1.5300000000000001E-4</v>
      </c>
      <c r="D4" s="3">
        <v>-4.6860000000000001E-4</v>
      </c>
      <c r="E4" s="3">
        <v>0</v>
      </c>
      <c r="F4" s="3">
        <v>0</v>
      </c>
      <c r="G4" s="3">
        <v>0</v>
      </c>
      <c r="H4" s="3">
        <v>7.1016938000000005E-5</v>
      </c>
      <c r="I4" s="3">
        <v>1.5579525000000001E-5</v>
      </c>
      <c r="J4" s="3">
        <v>-1.9721747000000001E-4</v>
      </c>
      <c r="K4" s="3"/>
      <c r="L4" s="3">
        <f t="shared" ref="L4:L33" si="0">-B4/D4</f>
        <v>9.0375586854460094E-2</v>
      </c>
      <c r="M4" s="3"/>
      <c r="N4" s="2">
        <f>IF('Modell einstellen'!$B$1="Voll",H4/0.35,H4/0.35*2)</f>
        <v>2.0290553714285718E-4</v>
      </c>
      <c r="O4" s="2">
        <f>IF('Modell einstellen'!$B$1="Voll",J4/0.35,J4/0.35*2)</f>
        <v>-5.6347848571428581E-4</v>
      </c>
      <c r="P4" s="3">
        <f t="shared" ref="P4:P33" si="1">-N4/O4</f>
        <v>0.36009455957426084</v>
      </c>
      <c r="Q4" s="3"/>
      <c r="R4" s="3"/>
      <c r="S4" s="3"/>
      <c r="T4" s="3"/>
      <c r="U4" s="3"/>
    </row>
    <row r="5" spans="1:21" x14ac:dyDescent="0.25">
      <c r="A5" s="3">
        <v>1E-13</v>
      </c>
      <c r="B5" s="3">
        <v>4.2360000000000001E-5</v>
      </c>
      <c r="C5" s="3">
        <v>1.5300000000000001E-4</v>
      </c>
      <c r="D5" s="3">
        <v>-4.6860000000000001E-4</v>
      </c>
      <c r="E5" s="3">
        <v>0</v>
      </c>
      <c r="F5" s="3">
        <v>0</v>
      </c>
      <c r="G5" s="3">
        <v>0</v>
      </c>
      <c r="H5" s="3">
        <v>7.1017313999999993E-5</v>
      </c>
      <c r="I5" s="3">
        <v>1.5579694E-5</v>
      </c>
      <c r="J5" s="3">
        <v>-1.9721846000000001E-4</v>
      </c>
      <c r="K5" s="3"/>
      <c r="L5" s="3">
        <f t="shared" si="0"/>
        <v>9.0396927016645326E-2</v>
      </c>
      <c r="M5" s="3"/>
      <c r="N5" s="2">
        <f>IF('Modell einstellen'!$B$1="Voll",H5/0.35,H5/0.35*2)</f>
        <v>2.0290661142857141E-4</v>
      </c>
      <c r="O5" s="2">
        <f>IF('Modell einstellen'!$B$1="Voll",J5/0.35,J5/0.35*2)</f>
        <v>-5.6348131428571432E-4</v>
      </c>
      <c r="P5" s="3">
        <f t="shared" si="1"/>
        <v>0.36009465848176681</v>
      </c>
      <c r="Q5" s="3"/>
      <c r="R5" s="3"/>
      <c r="S5" s="3"/>
      <c r="T5" s="3"/>
      <c r="U5" s="3"/>
    </row>
    <row r="6" spans="1:21" x14ac:dyDescent="0.25">
      <c r="A6" s="3">
        <v>9.9999999999999998E-13</v>
      </c>
      <c r="B6" s="3">
        <v>4.2360000000000001E-5</v>
      </c>
      <c r="C6" s="3">
        <v>1.5300000000000001E-4</v>
      </c>
      <c r="D6" s="3">
        <v>-4.6860000000000001E-4</v>
      </c>
      <c r="E6" s="3">
        <v>0</v>
      </c>
      <c r="F6" s="3">
        <v>0</v>
      </c>
      <c r="G6" s="3">
        <v>0</v>
      </c>
      <c r="H6" s="3">
        <v>7.1017430000000004E-5</v>
      </c>
      <c r="I6" s="3">
        <v>1.5579741000000001E-5</v>
      </c>
      <c r="J6" s="3">
        <v>-1.9721874999999999E-4</v>
      </c>
      <c r="K6" s="3"/>
      <c r="L6" s="3">
        <f t="shared" si="0"/>
        <v>9.0396927016645326E-2</v>
      </c>
      <c r="M6" s="3"/>
      <c r="N6" s="2">
        <f>IF('Modell einstellen'!$B$1="Voll",H6/0.35,H6/0.35*2)</f>
        <v>2.0290694285714288E-4</v>
      </c>
      <c r="O6" s="2">
        <f>IF('Modell einstellen'!$B$1="Voll",J6/0.35,J6/0.35*2)</f>
        <v>-5.6348214285714291E-4</v>
      </c>
      <c r="P6" s="3">
        <f t="shared" si="1"/>
        <v>0.36009471716051339</v>
      </c>
      <c r="Q6" s="3"/>
      <c r="R6" s="3"/>
      <c r="S6" s="3"/>
      <c r="T6" s="3"/>
      <c r="U6" s="3"/>
    </row>
    <row r="7" spans="1:21" x14ac:dyDescent="0.25">
      <c r="A7" s="3">
        <v>9.9999999999999994E-12</v>
      </c>
      <c r="B7" s="3">
        <v>4.2360000000000001E-5</v>
      </c>
      <c r="C7" s="3">
        <v>1.5300000000000001E-4</v>
      </c>
      <c r="D7" s="3">
        <v>-4.6860000000000001E-4</v>
      </c>
      <c r="E7" s="3">
        <v>0</v>
      </c>
      <c r="F7" s="3">
        <v>0</v>
      </c>
      <c r="G7" s="3">
        <v>0</v>
      </c>
      <c r="H7" s="3">
        <v>7.1017468000000001E-5</v>
      </c>
      <c r="I7" s="3">
        <v>1.5579755E-5</v>
      </c>
      <c r="J7" s="3">
        <v>-1.9721884000000001E-4</v>
      </c>
      <c r="K7" s="3"/>
      <c r="L7" s="3">
        <f t="shared" si="0"/>
        <v>9.0396927016645326E-2</v>
      </c>
      <c r="M7" s="3"/>
      <c r="N7" s="2">
        <f>IF('Modell einstellen'!$B$1="Voll",H7/0.35,H7/0.35*2)</f>
        <v>2.0290705142857144E-4</v>
      </c>
      <c r="O7" s="2">
        <f>IF('Modell einstellen'!$B$1="Voll",J7/0.35,J7/0.35*2)</f>
        <v>-5.6348240000000005E-4</v>
      </c>
      <c r="P7" s="3">
        <f t="shared" si="1"/>
        <v>0.36009474551214277</v>
      </c>
      <c r="Q7" s="3"/>
      <c r="R7" s="3"/>
      <c r="S7" s="3"/>
      <c r="T7" s="3"/>
      <c r="U7" s="3"/>
    </row>
    <row r="8" spans="1:21" x14ac:dyDescent="0.25">
      <c r="A8" s="3">
        <v>1E-10</v>
      </c>
      <c r="B8" s="3">
        <v>4.2360000000000001E-5</v>
      </c>
      <c r="C8" s="3">
        <v>1.5300000000000001E-4</v>
      </c>
      <c r="D8" s="3">
        <v>-4.6860000000000001E-4</v>
      </c>
      <c r="E8" s="3">
        <v>0</v>
      </c>
      <c r="F8" s="3">
        <v>0</v>
      </c>
      <c r="G8" s="3">
        <v>0</v>
      </c>
      <c r="H8" s="3">
        <v>7.1017481000000004E-5</v>
      </c>
      <c r="I8" s="3">
        <v>1.5579759000000001E-5</v>
      </c>
      <c r="J8" s="3">
        <v>-1.9721887E-4</v>
      </c>
      <c r="K8" s="3"/>
      <c r="L8" s="3">
        <f t="shared" si="0"/>
        <v>9.0396927016645326E-2</v>
      </c>
      <c r="M8" s="3"/>
      <c r="N8" s="2">
        <f>IF('Modell einstellen'!$B$1="Voll",H8/0.35,H8/0.35*2)</f>
        <v>2.0290708857142859E-4</v>
      </c>
      <c r="O8" s="2">
        <f>IF('Modell einstellen'!$B$1="Voll",J8/0.35,J8/0.35*2)</f>
        <v>-5.6348248571428576E-4</v>
      </c>
      <c r="P8" s="3">
        <f t="shared" si="1"/>
        <v>0.36009475665284973</v>
      </c>
      <c r="Q8" s="3"/>
      <c r="R8" s="3"/>
      <c r="S8" s="3"/>
      <c r="T8" s="3"/>
      <c r="U8" s="3"/>
    </row>
    <row r="9" spans="1:21" x14ac:dyDescent="0.25">
      <c r="A9" s="3">
        <v>1.0000000000000001E-9</v>
      </c>
      <c r="B9" s="3">
        <v>4.2360000000000001E-5</v>
      </c>
      <c r="C9" s="3">
        <v>1.5300000000000001E-4</v>
      </c>
      <c r="D9" s="3">
        <v>-4.6860000000000001E-4</v>
      </c>
      <c r="E9" s="3">
        <v>0</v>
      </c>
      <c r="F9" s="3">
        <v>0</v>
      </c>
      <c r="G9" s="3">
        <v>0</v>
      </c>
      <c r="H9" s="3">
        <v>7.1017485000000001E-5</v>
      </c>
      <c r="I9" s="3">
        <v>1.5579760999999999E-5</v>
      </c>
      <c r="J9" s="3">
        <v>-1.9721887999999999E-4</v>
      </c>
      <c r="K9" s="3"/>
      <c r="L9" s="3">
        <f t="shared" si="0"/>
        <v>9.0396927016645326E-2</v>
      </c>
      <c r="M9" s="3"/>
      <c r="N9" s="2">
        <f>IF('Modell einstellen'!$B$1="Voll",H9/0.35,H9/0.35*2)</f>
        <v>2.0290710000000001E-4</v>
      </c>
      <c r="O9" s="2">
        <f>IF('Modell einstellen'!$B$1="Voll",J9/0.35,J9/0.35*2)</f>
        <v>-5.634825142857143E-4</v>
      </c>
      <c r="P9" s="3">
        <f t="shared" si="1"/>
        <v>0.36009475867624846</v>
      </c>
      <c r="Q9" s="3"/>
      <c r="R9" s="3"/>
      <c r="S9" s="3"/>
      <c r="T9" s="3"/>
      <c r="U9" s="3"/>
    </row>
    <row r="10" spans="1:21" x14ac:dyDescent="0.25">
      <c r="A10" s="3">
        <v>1E-8</v>
      </c>
      <c r="B10" s="3">
        <v>4.2360000000000001E-5</v>
      </c>
      <c r="C10" s="3">
        <v>1.5300000000000001E-4</v>
      </c>
      <c r="D10" s="3">
        <v>-4.6860000000000001E-4</v>
      </c>
      <c r="E10" s="3">
        <v>0</v>
      </c>
      <c r="F10" s="3">
        <v>0</v>
      </c>
      <c r="G10" s="3">
        <v>0</v>
      </c>
      <c r="H10" s="3">
        <v>7.1017486999999993E-5</v>
      </c>
      <c r="I10" s="3">
        <v>1.5579760999999999E-5</v>
      </c>
      <c r="J10" s="3">
        <v>-1.9721887999999999E-4</v>
      </c>
      <c r="K10" s="3"/>
      <c r="L10" s="3">
        <f t="shared" si="0"/>
        <v>9.0396927016645326E-2</v>
      </c>
      <c r="M10" s="3"/>
      <c r="N10" s="2">
        <f>IF('Modell einstellen'!$B$1="Voll",H10/0.35,H10/0.35*2)</f>
        <v>2.0290710571428571E-4</v>
      </c>
      <c r="O10" s="2">
        <f>IF('Modell einstellen'!$B$1="Voll",J10/0.35,J10/0.35*2)</f>
        <v>-5.634825142857143E-4</v>
      </c>
      <c r="P10" s="3">
        <f t="shared" si="1"/>
        <v>0.36009476881726538</v>
      </c>
      <c r="Q10" s="3"/>
      <c r="R10" s="3"/>
      <c r="S10" s="3"/>
      <c r="T10" s="3"/>
      <c r="U10" s="3"/>
    </row>
    <row r="11" spans="1:21" x14ac:dyDescent="0.25">
      <c r="A11" s="3">
        <v>9.9999999999999995E-8</v>
      </c>
      <c r="B11" s="3">
        <v>4.2360000000000001E-5</v>
      </c>
      <c r="C11" s="3">
        <v>1.5300000000000001E-4</v>
      </c>
      <c r="D11" s="3">
        <v>-4.6860000000000001E-4</v>
      </c>
      <c r="E11" s="3">
        <v>0</v>
      </c>
      <c r="F11" s="3">
        <v>0</v>
      </c>
      <c r="G11" s="3">
        <v>0</v>
      </c>
      <c r="H11" s="3">
        <v>7.1017491000000004E-5</v>
      </c>
      <c r="I11" s="3">
        <v>1.5579761999999999E-5</v>
      </c>
      <c r="J11" s="3">
        <v>-1.9721889E-4</v>
      </c>
      <c r="K11" s="3"/>
      <c r="L11" s="3">
        <f t="shared" si="0"/>
        <v>9.0396927016645326E-2</v>
      </c>
      <c r="M11" s="3"/>
      <c r="N11" s="2">
        <f>IF('Modell einstellen'!$B$1="Voll",H11/0.35,H11/0.35*2)</f>
        <v>2.0290711714285716E-4</v>
      </c>
      <c r="O11" s="2">
        <f>IF('Modell einstellen'!$B$1="Voll",J11/0.35,J11/0.35*2)</f>
        <v>-5.6348254285714294E-4</v>
      </c>
      <c r="P11" s="3">
        <f t="shared" si="1"/>
        <v>0.36009477084066338</v>
      </c>
      <c r="Q11" s="3"/>
      <c r="R11" s="3"/>
      <c r="S11" s="3"/>
      <c r="T11" s="3"/>
      <c r="U11" s="3"/>
    </row>
    <row r="12" spans="1:21" x14ac:dyDescent="0.25">
      <c r="A12" s="3">
        <v>9.9999999999999995E-7</v>
      </c>
      <c r="B12" s="3">
        <v>4.2360000000000001E-5</v>
      </c>
      <c r="C12" s="3">
        <v>1.5300000000000001E-4</v>
      </c>
      <c r="D12" s="3">
        <v>-4.6860000000000001E-4</v>
      </c>
      <c r="E12" s="3">
        <v>0</v>
      </c>
      <c r="F12" s="3">
        <v>0</v>
      </c>
      <c r="G12" s="3">
        <v>0</v>
      </c>
      <c r="H12" s="3">
        <v>7.1017530999999994E-5</v>
      </c>
      <c r="I12" s="3">
        <v>1.5579766E-5</v>
      </c>
      <c r="J12" s="3">
        <v>-1.9721895000000001E-4</v>
      </c>
      <c r="K12" s="3"/>
      <c r="L12" s="3">
        <f t="shared" si="0"/>
        <v>9.0396927016645326E-2</v>
      </c>
      <c r="M12" s="3"/>
      <c r="N12" s="2">
        <f>IF('Modell einstellen'!$B$1="Voll",H12/0.35,H12/0.35*2)</f>
        <v>2.0290723142857143E-4</v>
      </c>
      <c r="O12" s="2">
        <f>IF('Modell einstellen'!$B$1="Voll",J12/0.35,J12/0.35*2)</f>
        <v>-5.6348271428571437E-4</v>
      </c>
      <c r="P12" s="3">
        <f t="shared" si="1"/>
        <v>0.36009486410915376</v>
      </c>
      <c r="Q12" s="3"/>
      <c r="R12" s="3"/>
      <c r="S12" s="3"/>
      <c r="T12" s="3"/>
      <c r="U12" s="3"/>
    </row>
    <row r="13" spans="1:21" x14ac:dyDescent="0.25">
      <c r="A13" s="3">
        <v>1.0000000000000001E-5</v>
      </c>
      <c r="B13" s="3">
        <v>4.2360000000000001E-5</v>
      </c>
      <c r="C13" s="3">
        <v>1.5300000000000001E-4</v>
      </c>
      <c r="D13" s="3">
        <v>-4.6860000000000001E-4</v>
      </c>
      <c r="E13" s="3">
        <v>0</v>
      </c>
      <c r="F13" s="3">
        <v>0</v>
      </c>
      <c r="G13" s="3">
        <v>0</v>
      </c>
      <c r="H13" s="3">
        <v>7.1017919999999998E-5</v>
      </c>
      <c r="I13" s="3">
        <v>1.5579811E-5</v>
      </c>
      <c r="J13" s="3">
        <v>-1.9721957E-4</v>
      </c>
      <c r="K13" s="3"/>
      <c r="L13" s="3">
        <f t="shared" si="0"/>
        <v>9.0396927016645326E-2</v>
      </c>
      <c r="M13" s="3"/>
      <c r="N13" s="2">
        <f>IF('Modell einstellen'!$B$1="Voll",H13/0.35,H13/0.35*2)</f>
        <v>2.0290834285714287E-4</v>
      </c>
      <c r="O13" s="2">
        <f>IF('Modell einstellen'!$B$1="Voll",J13/0.35,J13/0.35*2)</f>
        <v>-5.6348448571428569E-4</v>
      </c>
      <c r="P13" s="3">
        <f t="shared" si="1"/>
        <v>0.36009570449829092</v>
      </c>
      <c r="Q13" s="3"/>
      <c r="R13" s="3"/>
      <c r="S13" s="3"/>
      <c r="T13" s="3"/>
      <c r="U13" s="3"/>
    </row>
    <row r="14" spans="1:21" x14ac:dyDescent="0.25">
      <c r="A14" s="3">
        <v>1E-4</v>
      </c>
      <c r="B14" s="3">
        <v>4.2349999999999999E-5</v>
      </c>
      <c r="C14" s="3">
        <v>1.5300000000000001E-4</v>
      </c>
      <c r="D14" s="3">
        <v>-4.6860000000000001E-4</v>
      </c>
      <c r="E14" s="3">
        <v>0</v>
      </c>
      <c r="F14" s="3">
        <v>0</v>
      </c>
      <c r="G14" s="3">
        <v>0</v>
      </c>
      <c r="H14" s="3">
        <v>7.1021809999999999E-5</v>
      </c>
      <c r="I14" s="3">
        <v>1.5580261000000001E-5</v>
      </c>
      <c r="J14" s="3">
        <v>-1.9722576000000001E-4</v>
      </c>
      <c r="K14" s="3"/>
      <c r="L14" s="3">
        <f t="shared" si="0"/>
        <v>9.0375586854460094E-2</v>
      </c>
      <c r="M14" s="3"/>
      <c r="N14" s="2">
        <f>IF('Modell einstellen'!$B$1="Voll",H14/0.35,H14/0.35*2)</f>
        <v>2.0291945714285715E-4</v>
      </c>
      <c r="O14" s="2">
        <f>IF('Modell einstellen'!$B$1="Voll",J14/0.35,J14/0.35*2)</f>
        <v>-5.6350217142857144E-4</v>
      </c>
      <c r="P14" s="3">
        <f t="shared" si="1"/>
        <v>0.36010412635753059</v>
      </c>
      <c r="Q14" s="3"/>
      <c r="R14" s="3"/>
      <c r="S14" s="3"/>
      <c r="T14" s="3"/>
      <c r="U14" s="3"/>
    </row>
    <row r="15" spans="1:21" x14ac:dyDescent="0.25">
      <c r="A15" s="3">
        <v>1E-3</v>
      </c>
      <c r="B15" s="3">
        <v>4.231E-5</v>
      </c>
      <c r="C15" s="3">
        <v>1.5300000000000001E-4</v>
      </c>
      <c r="D15" s="3">
        <v>-4.6860000000000001E-4</v>
      </c>
      <c r="E15" s="3">
        <v>0</v>
      </c>
      <c r="F15" s="3">
        <v>0</v>
      </c>
      <c r="G15" s="3">
        <v>0</v>
      </c>
      <c r="H15" s="3">
        <v>7.1060424000000001E-5</v>
      </c>
      <c r="I15" s="3">
        <v>1.5584727000000001E-5</v>
      </c>
      <c r="J15" s="3">
        <v>-1.9728717000000001E-4</v>
      </c>
      <c r="K15" s="3"/>
      <c r="L15" s="3">
        <f t="shared" si="0"/>
        <v>9.0290226205719165E-2</v>
      </c>
      <c r="M15" s="3"/>
      <c r="N15" s="2">
        <f>IF('Modell einstellen'!$B$1="Voll",H15/0.35,H15/0.35*2)</f>
        <v>2.0302978285714288E-4</v>
      </c>
      <c r="O15" s="2">
        <f>IF('Modell einstellen'!$B$1="Voll",J15/0.35,J15/0.35*2)</f>
        <v>-5.6367762857142858E-4</v>
      </c>
      <c r="P15" s="3">
        <f t="shared" si="1"/>
        <v>0.36018776081587062</v>
      </c>
      <c r="Q15" s="3"/>
      <c r="R15" s="3"/>
      <c r="S15" s="3"/>
      <c r="T15" s="3"/>
      <c r="U15" s="3"/>
    </row>
    <row r="16" spans="1:21" x14ac:dyDescent="0.25">
      <c r="A16" s="3">
        <v>0.01</v>
      </c>
      <c r="B16" s="3">
        <v>4.1900000000000002E-5</v>
      </c>
      <c r="C16" s="3">
        <v>1.5339999999999999E-4</v>
      </c>
      <c r="D16" s="3">
        <v>-4.6890000000000001E-4</v>
      </c>
      <c r="E16" s="3">
        <v>0</v>
      </c>
      <c r="F16" s="3">
        <v>0</v>
      </c>
      <c r="G16" s="3">
        <v>0</v>
      </c>
      <c r="H16" s="3">
        <v>7.1419427999999999E-5</v>
      </c>
      <c r="I16" s="3">
        <v>1.5626209000000001E-5</v>
      </c>
      <c r="J16" s="3">
        <v>-1.9785787999999999E-4</v>
      </c>
      <c r="K16" s="3"/>
      <c r="L16" s="3">
        <f t="shared" si="0"/>
        <v>8.9358072083599915E-2</v>
      </c>
      <c r="M16" s="3"/>
      <c r="N16" s="2">
        <f>IF('Modell einstellen'!$B$1="Voll",H16/0.35,H16/0.35*2)</f>
        <v>2.0405550857142859E-4</v>
      </c>
      <c r="O16" s="2">
        <f>IF('Modell einstellen'!$B$1="Voll",J16/0.35,J16/0.35*2)</f>
        <v>-5.6530822857142854E-4</v>
      </c>
      <c r="P16" s="3">
        <f t="shared" si="1"/>
        <v>0.36096327323430338</v>
      </c>
      <c r="Q16" s="3"/>
      <c r="R16" s="3"/>
      <c r="S16" s="3"/>
      <c r="T16" s="3"/>
      <c r="U16" s="3"/>
    </row>
    <row r="17" spans="1:25" x14ac:dyDescent="0.25">
      <c r="A17" s="3">
        <v>0.1</v>
      </c>
      <c r="B17" s="3">
        <v>4.0059999999999999E-5</v>
      </c>
      <c r="C17" s="3">
        <v>1.5559999999999999E-4</v>
      </c>
      <c r="D17" s="3">
        <v>-4.7090000000000001E-4</v>
      </c>
      <c r="E17" s="3">
        <v>0</v>
      </c>
      <c r="F17" s="3">
        <v>0</v>
      </c>
      <c r="G17" s="3">
        <v>0</v>
      </c>
      <c r="H17" s="3">
        <v>7.3390922000000003E-5</v>
      </c>
      <c r="I17" s="3">
        <v>1.5873325000000001E-5</v>
      </c>
      <c r="J17" s="3">
        <v>-2.0104523000000001E-4</v>
      </c>
      <c r="K17" s="3"/>
      <c r="L17" s="3">
        <f t="shared" si="0"/>
        <v>8.5071140369505194E-2</v>
      </c>
      <c r="M17" s="3"/>
      <c r="N17" s="2">
        <f>IF('Modell einstellen'!$B$1="Voll",H17/0.35,H17/0.35*2)</f>
        <v>2.0968834857142859E-4</v>
      </c>
      <c r="O17" s="2">
        <f>IF('Modell einstellen'!$B$1="Voll",J17/0.35,J17/0.35*2)</f>
        <v>-5.7441494285714293E-4</v>
      </c>
      <c r="P17" s="3">
        <f t="shared" si="1"/>
        <v>0.36504682055873694</v>
      </c>
      <c r="Q17" s="3"/>
      <c r="R17" s="3"/>
      <c r="S17" s="3"/>
      <c r="T17" s="3"/>
      <c r="U17" s="3"/>
      <c r="V17" s="3"/>
      <c r="W17" s="3"/>
      <c r="X17" s="3"/>
      <c r="Y17" s="3"/>
    </row>
    <row r="18" spans="1:25" x14ac:dyDescent="0.25">
      <c r="A18" s="3">
        <v>1</v>
      </c>
      <c r="B18" s="3">
        <v>3.7450000000000002E-5</v>
      </c>
      <c r="C18" s="3">
        <v>1.583E-4</v>
      </c>
      <c r="D18" s="3">
        <v>-4.73E-4</v>
      </c>
      <c r="E18" s="3">
        <v>0</v>
      </c>
      <c r="F18" s="3">
        <v>0</v>
      </c>
      <c r="G18" s="3">
        <v>0</v>
      </c>
      <c r="H18" s="3">
        <v>7.5874908000000003E-5</v>
      </c>
      <c r="I18" s="3">
        <v>1.6173991999999999E-5</v>
      </c>
      <c r="J18" s="3">
        <v>-2.0500756000000001E-4</v>
      </c>
      <c r="K18" s="3"/>
      <c r="L18" s="3">
        <f t="shared" si="0"/>
        <v>7.9175475687103591E-2</v>
      </c>
      <c r="M18" s="3"/>
      <c r="N18" s="2">
        <f>IF('Modell einstellen'!$B$1="Voll",H18/0.35,H18/0.35*2)</f>
        <v>2.1678545142857146E-4</v>
      </c>
      <c r="O18" s="2">
        <f>IF('Modell einstellen'!$B$1="Voll",J18/0.35,J18/0.35*2)</f>
        <v>-5.8573588571428576E-4</v>
      </c>
      <c r="P18" s="3">
        <f t="shared" si="1"/>
        <v>0.37010785358354592</v>
      </c>
      <c r="Q18" s="3"/>
      <c r="R18" s="3"/>
      <c r="S18" s="3"/>
      <c r="T18" s="3"/>
      <c r="U18" s="3"/>
      <c r="V18" s="3"/>
      <c r="W18" s="3"/>
      <c r="X18" s="3"/>
      <c r="Y18" s="3"/>
    </row>
    <row r="19" spans="1:25" x14ac:dyDescent="0.25">
      <c r="A19" s="3">
        <v>10</v>
      </c>
      <c r="B19" s="3">
        <v>3.4379999999999999E-5</v>
      </c>
      <c r="C19" s="3">
        <v>1.615E-4</v>
      </c>
      <c r="D19" s="3">
        <v>-4.7540000000000001E-4</v>
      </c>
      <c r="E19" s="3">
        <v>0</v>
      </c>
      <c r="F19" s="3">
        <v>0</v>
      </c>
      <c r="G19" s="3">
        <v>0</v>
      </c>
      <c r="H19" s="3">
        <v>7.8801469999999999E-5</v>
      </c>
      <c r="I19" s="3">
        <v>1.6538379E-5</v>
      </c>
      <c r="J19" s="3">
        <v>-2.0967678E-4</v>
      </c>
      <c r="K19" s="3"/>
      <c r="L19" s="3">
        <f t="shared" si="0"/>
        <v>7.2318047959612955E-2</v>
      </c>
      <c r="M19" s="3"/>
      <c r="N19" s="2">
        <f>IF('Modell einstellen'!$B$1="Voll",H19/0.35,H19/0.35*2)</f>
        <v>2.2514705714285716E-4</v>
      </c>
      <c r="O19" s="2">
        <f>IF('Modell einstellen'!$B$1="Voll",J19/0.35,J19/0.35*2)</f>
        <v>-5.9907651428571431E-4</v>
      </c>
      <c r="P19" s="3">
        <f t="shared" si="1"/>
        <v>0.37582354135732149</v>
      </c>
      <c r="Q19" s="3"/>
      <c r="R19" s="3"/>
      <c r="S19" s="3"/>
      <c r="T19" s="3"/>
      <c r="U19" s="3"/>
      <c r="V19" s="3"/>
      <c r="W19" s="3"/>
      <c r="X19" s="3"/>
      <c r="Y19" s="3"/>
    </row>
    <row r="20" spans="1:25" x14ac:dyDescent="0.25">
      <c r="A20" s="3">
        <v>100</v>
      </c>
      <c r="B20" s="3">
        <v>3.235E-5</v>
      </c>
      <c r="C20" s="3">
        <v>1.6750000000000001E-4</v>
      </c>
      <c r="D20" s="3">
        <v>-4.8139999999999999E-4</v>
      </c>
      <c r="E20" s="3">
        <v>0</v>
      </c>
      <c r="F20" s="3">
        <v>0</v>
      </c>
      <c r="G20" s="3">
        <v>0</v>
      </c>
      <c r="H20" s="3">
        <v>8.2716410999999996E-5</v>
      </c>
      <c r="I20" s="3">
        <v>1.7208137999999999E-5</v>
      </c>
      <c r="J20" s="3">
        <v>-2.1638798E-4</v>
      </c>
      <c r="K20" s="3"/>
      <c r="L20" s="3">
        <f t="shared" si="0"/>
        <v>6.7199833818030741E-2</v>
      </c>
      <c r="M20" s="3"/>
      <c r="N20" s="2">
        <f>IF('Modell einstellen'!$B$1="Voll",H20/0.35,H20/0.35*2)</f>
        <v>2.3633260285714285E-4</v>
      </c>
      <c r="O20" s="2">
        <f>IF('Modell einstellen'!$B$1="Voll",J20/0.35,J20/0.35*2)</f>
        <v>-6.1825137142857149E-4</v>
      </c>
      <c r="P20" s="3">
        <f t="shared" si="1"/>
        <v>0.3822597308778426</v>
      </c>
      <c r="Q20" s="3"/>
      <c r="R20" s="3"/>
      <c r="S20" s="3"/>
      <c r="T20" s="3"/>
      <c r="U20" s="3"/>
      <c r="V20" s="3"/>
      <c r="W20" s="3"/>
      <c r="X20" s="3"/>
      <c r="Y20" s="3"/>
    </row>
    <row r="21" spans="1:25" x14ac:dyDescent="0.25">
      <c r="A21" s="3">
        <v>1000</v>
      </c>
      <c r="B21" s="3">
        <v>4.1669999999999999E-5</v>
      </c>
      <c r="C21" s="3">
        <v>1.8450000000000001E-4</v>
      </c>
      <c r="D21" s="3">
        <v>-5.0690000000000002E-4</v>
      </c>
      <c r="E21" s="3">
        <v>0</v>
      </c>
      <c r="F21" s="3">
        <v>0</v>
      </c>
      <c r="G21" s="3">
        <v>0</v>
      </c>
      <c r="H21" s="3">
        <v>8.8251495000000007E-5</v>
      </c>
      <c r="I21" s="3">
        <v>1.9129532000000001E-5</v>
      </c>
      <c r="J21" s="3">
        <v>-2.2853998999999999E-4</v>
      </c>
      <c r="K21" s="3"/>
      <c r="L21" s="3">
        <f t="shared" si="0"/>
        <v>8.2205563227461032E-2</v>
      </c>
      <c r="M21" s="3"/>
      <c r="N21" s="2">
        <f>IF('Modell einstellen'!$B$1="Voll",H21/0.35,H21/0.35*2)</f>
        <v>2.5214712857142861E-4</v>
      </c>
      <c r="O21" s="2">
        <f>IF('Modell einstellen'!$B$1="Voll",J21/0.35,J21/0.35*2)</f>
        <v>-6.5297140000000005E-4</v>
      </c>
      <c r="P21" s="3">
        <f t="shared" si="1"/>
        <v>0.38615340361220812</v>
      </c>
      <c r="Q21" s="3"/>
      <c r="R21" s="3"/>
      <c r="S21" s="3"/>
      <c r="T21" s="3"/>
      <c r="U21" s="3"/>
      <c r="V21" s="3"/>
      <c r="W21" s="3"/>
      <c r="X21" s="3"/>
      <c r="Y21" s="3"/>
    </row>
    <row r="22" spans="1:25" x14ac:dyDescent="0.25">
      <c r="A22" s="3">
        <v>10000</v>
      </c>
      <c r="B22" s="3">
        <v>7.0560000000000002E-5</v>
      </c>
      <c r="C22" s="3">
        <v>2.197E-4</v>
      </c>
      <c r="D22" s="3">
        <v>-5.6579999999999998E-4</v>
      </c>
      <c r="E22" s="3">
        <v>0</v>
      </c>
      <c r="F22" s="3">
        <v>0</v>
      </c>
      <c r="G22" s="3">
        <v>0</v>
      </c>
      <c r="H22" s="3">
        <v>9.6856348000000001E-5</v>
      </c>
      <c r="I22" s="3">
        <v>2.3198132000000002E-5</v>
      </c>
      <c r="J22" s="3">
        <v>-2.5051377999999998E-4</v>
      </c>
      <c r="K22" s="3"/>
      <c r="L22" s="3">
        <f t="shared" si="0"/>
        <v>0.1247083775185578</v>
      </c>
      <c r="M22" s="3"/>
      <c r="N22" s="2">
        <f>IF('Modell einstellen'!$B$1="Voll",H22/0.35,H22/0.35*2)</f>
        <v>2.7673242285714288E-4</v>
      </c>
      <c r="O22" s="2">
        <f>IF('Modell einstellen'!$B$1="Voll",J22/0.35,J22/0.35*2)</f>
        <v>-7.1575365714285713E-4</v>
      </c>
      <c r="P22" s="3">
        <f t="shared" si="1"/>
        <v>0.38663081927070042</v>
      </c>
      <c r="Q22" s="3"/>
      <c r="R22" s="3"/>
      <c r="S22" s="3"/>
      <c r="T22" s="3"/>
      <c r="U22" s="3"/>
      <c r="V22" s="3"/>
      <c r="W22" s="3"/>
      <c r="X22" s="3"/>
      <c r="Y22" s="3"/>
    </row>
    <row r="23" spans="1:25" x14ac:dyDescent="0.25">
      <c r="A23" s="3">
        <v>100000</v>
      </c>
      <c r="B23" s="3">
        <v>1.063E-4</v>
      </c>
      <c r="C23" s="3">
        <v>2.6420000000000003E-4</v>
      </c>
      <c r="D23" s="3">
        <v>-6.399E-4</v>
      </c>
      <c r="E23" s="3">
        <v>0</v>
      </c>
      <c r="F23" s="3">
        <v>0</v>
      </c>
      <c r="G23" s="3">
        <v>0</v>
      </c>
      <c r="H23" s="3">
        <v>1.0747357000000001E-4</v>
      </c>
      <c r="I23" s="3">
        <v>2.8507005E-5</v>
      </c>
      <c r="J23" s="3">
        <v>-2.7874197000000002E-4</v>
      </c>
      <c r="K23" s="3"/>
      <c r="L23" s="3">
        <f t="shared" si="0"/>
        <v>0.16611970620409439</v>
      </c>
      <c r="M23" s="3"/>
      <c r="N23" s="2">
        <f>IF('Modell einstellen'!$B$1="Voll",H23/0.35,H23/0.35*2)</f>
        <v>3.0706734285714291E-4</v>
      </c>
      <c r="O23" s="2">
        <f>IF('Modell einstellen'!$B$1="Voll",J23/0.35,J23/0.35*2)</f>
        <v>-7.9640562857142866E-4</v>
      </c>
      <c r="P23" s="3">
        <f t="shared" si="1"/>
        <v>0.38556651515378187</v>
      </c>
      <c r="Q23" s="3"/>
      <c r="R23" s="3"/>
      <c r="S23" s="3"/>
      <c r="T23" s="3"/>
      <c r="U23" s="3"/>
      <c r="V23" s="3"/>
      <c r="W23" s="3"/>
      <c r="X23" s="3"/>
      <c r="Y23" s="3"/>
    </row>
    <row r="24" spans="1:25" x14ac:dyDescent="0.25">
      <c r="A24" s="3">
        <v>1000000</v>
      </c>
      <c r="B24" s="3">
        <v>1.3889999999999999E-4</v>
      </c>
      <c r="C24" s="3">
        <v>3.0850000000000002E-4</v>
      </c>
      <c r="D24" s="3">
        <v>-7.1199999999999996E-4</v>
      </c>
      <c r="E24" s="3">
        <v>0</v>
      </c>
      <c r="F24" s="3">
        <v>0</v>
      </c>
      <c r="G24" s="3">
        <v>0</v>
      </c>
      <c r="H24" s="3">
        <v>1.1850418E-4</v>
      </c>
      <c r="I24" s="3">
        <v>3.3981201000000002E-5</v>
      </c>
      <c r="J24" s="3">
        <v>-3.0829308999999998E-4</v>
      </c>
      <c r="K24" s="3"/>
      <c r="L24" s="3">
        <f t="shared" si="0"/>
        <v>0.19508426966292133</v>
      </c>
      <c r="M24" s="3"/>
      <c r="N24" s="2">
        <f>IF('Modell einstellen'!$B$1="Voll",H24/0.35,H24/0.35*2)</f>
        <v>3.3858337142857143E-4</v>
      </c>
      <c r="O24" s="2">
        <f>IF('Modell einstellen'!$B$1="Voll",J24/0.35,J24/0.35*2)</f>
        <v>-8.8083740000000001E-4</v>
      </c>
      <c r="P24" s="3">
        <f t="shared" si="1"/>
        <v>0.38438805099394219</v>
      </c>
      <c r="Q24" s="3"/>
      <c r="R24" s="3"/>
      <c r="S24" s="3"/>
      <c r="T24" s="3"/>
      <c r="U24" s="3"/>
      <c r="V24" s="3"/>
      <c r="W24" s="3"/>
      <c r="X24" s="3"/>
      <c r="Y24" s="3"/>
    </row>
    <row r="25" spans="1:25" x14ac:dyDescent="0.25">
      <c r="A25" s="3">
        <v>10000000</v>
      </c>
      <c r="B25" s="3">
        <v>1.6440000000000001E-4</v>
      </c>
      <c r="C25" s="3">
        <v>3.503E-4</v>
      </c>
      <c r="D25" s="3">
        <v>-7.7649999999999996E-4</v>
      </c>
      <c r="E25" s="3">
        <v>0</v>
      </c>
      <c r="F25" s="3">
        <v>0</v>
      </c>
      <c r="G25" s="3">
        <v>0</v>
      </c>
      <c r="H25" s="3">
        <v>1.2995853E-4</v>
      </c>
      <c r="I25" s="3">
        <v>3.9342389000000001E-5</v>
      </c>
      <c r="J25" s="3">
        <v>-3.3834384000000001E-4</v>
      </c>
      <c r="K25" s="3"/>
      <c r="L25" s="3">
        <f t="shared" si="0"/>
        <v>0.21171925305859629</v>
      </c>
      <c r="M25" s="3"/>
      <c r="N25" s="2">
        <f>IF('Modell einstellen'!$B$1="Voll",H25/0.35,H25/0.35*2)</f>
        <v>3.7131008571428573E-4</v>
      </c>
      <c r="O25" s="2">
        <f>IF('Modell einstellen'!$B$1="Voll",J25/0.35,J25/0.35*2)</f>
        <v>-9.6669668571428577E-4</v>
      </c>
      <c r="P25" s="3">
        <f t="shared" si="1"/>
        <v>0.38410195379942486</v>
      </c>
      <c r="Q25" s="3"/>
      <c r="R25" s="3"/>
      <c r="S25" s="3"/>
      <c r="T25" s="3"/>
      <c r="U25" s="3"/>
      <c r="V25" s="3"/>
      <c r="W25" s="3"/>
      <c r="X25" s="3"/>
      <c r="Y25" s="3"/>
    </row>
    <row r="26" spans="1:25" x14ac:dyDescent="0.25">
      <c r="A26" s="3">
        <v>100000000</v>
      </c>
      <c r="B26" s="3">
        <v>1.8129999999999999E-4</v>
      </c>
      <c r="C26" s="3">
        <v>3.9159999999999998E-4</v>
      </c>
      <c r="D26" s="3">
        <v>-8.3410000000000005E-4</v>
      </c>
      <c r="E26" s="3">
        <v>0</v>
      </c>
      <c r="F26" s="3">
        <v>0</v>
      </c>
      <c r="G26" s="3">
        <v>0</v>
      </c>
      <c r="H26" s="3">
        <v>1.4269632000000001E-4</v>
      </c>
      <c r="I26" s="3">
        <v>4.4847800000000001E-5</v>
      </c>
      <c r="J26" s="3">
        <v>-3.7068078E-4</v>
      </c>
      <c r="K26" s="3"/>
      <c r="L26" s="3">
        <f t="shared" si="0"/>
        <v>0.21736002877352834</v>
      </c>
      <c r="M26" s="3"/>
      <c r="N26" s="2">
        <f>IF('Modell einstellen'!$B$1="Voll",H26/0.35,H26/0.35*2)</f>
        <v>4.077037714285715E-4</v>
      </c>
      <c r="O26" s="2">
        <f>IF('Modell einstellen'!$B$1="Voll",J26/0.35,J26/0.35*2)</f>
        <v>-1.0590879428571428E-3</v>
      </c>
      <c r="P26" s="3">
        <f t="shared" si="1"/>
        <v>0.38495742886912027</v>
      </c>
      <c r="Q26" s="3"/>
      <c r="R26" s="3"/>
      <c r="S26" s="3"/>
      <c r="T26" s="3"/>
      <c r="U26" s="3"/>
      <c r="V26" s="3"/>
      <c r="W26" s="3"/>
      <c r="X26" s="3"/>
      <c r="Y26" s="3"/>
    </row>
    <row r="27" spans="1:25" x14ac:dyDescent="0.25">
      <c r="A27" s="3">
        <v>1000000000</v>
      </c>
      <c r="B27" s="3">
        <v>1.875E-4</v>
      </c>
      <c r="C27" s="3">
        <v>4.3770000000000001E-4</v>
      </c>
      <c r="D27" s="3">
        <v>-8.8800000000000001E-4</v>
      </c>
      <c r="E27" s="3">
        <v>0</v>
      </c>
      <c r="F27" s="3">
        <v>0</v>
      </c>
      <c r="G27" s="3">
        <v>0</v>
      </c>
      <c r="H27" s="3">
        <v>1.5867605E-4</v>
      </c>
      <c r="I27" s="3">
        <v>5.1213568E-5</v>
      </c>
      <c r="J27" s="3">
        <v>-4.0983232000000002E-4</v>
      </c>
      <c r="K27" s="3"/>
      <c r="L27" s="3">
        <f t="shared" si="0"/>
        <v>0.21114864864864866</v>
      </c>
      <c r="M27" s="3"/>
      <c r="N27" s="2">
        <f>IF('Modell einstellen'!$B$1="Voll",H27/0.35,H27/0.35*2)</f>
        <v>4.5336014285714287E-4</v>
      </c>
      <c r="O27" s="2">
        <f>IF('Modell einstellen'!$B$1="Voll",J27/0.35,J27/0.35*2)</f>
        <v>-1.1709494857142858E-3</v>
      </c>
      <c r="P27" s="3">
        <f t="shared" si="1"/>
        <v>0.38717310045239967</v>
      </c>
      <c r="Q27" s="3"/>
      <c r="R27" s="3"/>
      <c r="S27" s="3"/>
      <c r="T27" s="3"/>
      <c r="U27" s="3"/>
      <c r="V27" s="3"/>
      <c r="W27" s="3"/>
      <c r="X27" s="3"/>
      <c r="Y27" s="3"/>
    </row>
    <row r="28" spans="1:25" x14ac:dyDescent="0.25">
      <c r="A28" s="3">
        <v>10000000000</v>
      </c>
      <c r="B28" s="3">
        <v>1.738E-4</v>
      </c>
      <c r="C28" s="3">
        <v>5.0180000000000005E-4</v>
      </c>
      <c r="D28" s="3">
        <v>-9.4260000000000004E-4</v>
      </c>
      <c r="E28" s="3">
        <v>0</v>
      </c>
      <c r="F28" s="3">
        <v>0</v>
      </c>
      <c r="G28" s="3">
        <v>0</v>
      </c>
      <c r="H28" s="3">
        <v>1.8332404000000001E-4</v>
      </c>
      <c r="I28" s="3">
        <v>6.0387133E-5</v>
      </c>
      <c r="J28" s="3">
        <v>-4.6838439999999999E-4</v>
      </c>
      <c r="K28" s="3"/>
      <c r="L28" s="3">
        <f t="shared" si="0"/>
        <v>0.18438361977509016</v>
      </c>
      <c r="M28" s="3"/>
      <c r="N28" s="2">
        <f>IF('Modell einstellen'!$B$1="Voll",H28/0.35,H28/0.35*2)</f>
        <v>5.2378297142857146E-4</v>
      </c>
      <c r="O28" s="2">
        <f>IF('Modell einstellen'!$B$1="Voll",J28/0.35,J28/0.35*2)</f>
        <v>-1.338241142857143E-3</v>
      </c>
      <c r="P28" s="3">
        <f t="shared" si="1"/>
        <v>0.39139655377079169</v>
      </c>
      <c r="Q28" s="3"/>
      <c r="R28" s="3"/>
      <c r="S28" s="3"/>
      <c r="T28" s="3"/>
      <c r="U28" s="3"/>
      <c r="V28" s="3"/>
      <c r="W28" s="3"/>
      <c r="X28" s="3"/>
      <c r="Y28" s="3"/>
    </row>
    <row r="29" spans="1:25" x14ac:dyDescent="0.25">
      <c r="A29" s="3">
        <v>100000000000</v>
      </c>
      <c r="B29" s="3">
        <v>1.1900000000000001E-4</v>
      </c>
      <c r="C29" s="3">
        <v>5.9860000000000002E-4</v>
      </c>
      <c r="D29" s="3">
        <v>-9.9130000000000008E-4</v>
      </c>
      <c r="E29" s="3">
        <v>0</v>
      </c>
      <c r="F29" s="3">
        <v>0</v>
      </c>
      <c r="G29" s="3">
        <v>0</v>
      </c>
      <c r="H29" s="3">
        <v>2.2337402000000001E-4</v>
      </c>
      <c r="I29" s="3">
        <v>7.4849756999999999E-5</v>
      </c>
      <c r="J29" s="3">
        <v>-5.6205003000000002E-4</v>
      </c>
      <c r="K29" s="3"/>
      <c r="L29" s="3">
        <f t="shared" si="0"/>
        <v>0.12004438615958841</v>
      </c>
      <c r="M29" s="3"/>
      <c r="N29" s="2">
        <f>IF('Modell einstellen'!$B$1="Voll",H29/0.35,H29/0.35*2)</f>
        <v>6.3821148571428581E-4</v>
      </c>
      <c r="O29" s="2">
        <f>IF('Modell einstellen'!$B$1="Voll",J29/0.35,J29/0.35*2)</f>
        <v>-1.6058572285714287E-3</v>
      </c>
      <c r="P29" s="3">
        <f t="shared" si="1"/>
        <v>0.39742728952438633</v>
      </c>
      <c r="Q29" s="3"/>
      <c r="R29" s="3"/>
      <c r="S29" s="3"/>
      <c r="T29" s="3"/>
      <c r="U29" s="3"/>
      <c r="V29" s="3"/>
      <c r="W29" s="3"/>
      <c r="X29" s="3"/>
      <c r="Y29" s="3"/>
    </row>
    <row r="30" spans="1:25" x14ac:dyDescent="0.25">
      <c r="A30" s="3">
        <v>1000000000000</v>
      </c>
      <c r="B30" s="3">
        <v>-3.8389999999999997E-5</v>
      </c>
      <c r="C30" s="3">
        <v>7.5960000000000003E-4</v>
      </c>
      <c r="D30" s="3">
        <v>-1.005E-3</v>
      </c>
      <c r="E30" s="3">
        <v>0</v>
      </c>
      <c r="F30" s="3">
        <v>0</v>
      </c>
      <c r="G30" s="3">
        <v>0</v>
      </c>
      <c r="H30" s="3">
        <v>2.9678852000000001E-4</v>
      </c>
      <c r="I30" s="3">
        <v>1.0030274E-4</v>
      </c>
      <c r="J30" s="3">
        <v>-7.2962943999999995E-4</v>
      </c>
      <c r="K30" s="3"/>
      <c r="L30" s="3">
        <f t="shared" si="0"/>
        <v>-3.8199004975124372E-2</v>
      </c>
      <c r="M30" s="3"/>
      <c r="N30" s="2">
        <f>IF('Modell einstellen'!$B$1="Voll",H30/0.35,H30/0.35*2)</f>
        <v>8.479672000000001E-4</v>
      </c>
      <c r="O30" s="2">
        <f>IF('Modell einstellen'!$B$1="Voll",J30/0.35,J30/0.35*2)</f>
        <v>-2.0846555428571428E-3</v>
      </c>
      <c r="P30" s="3">
        <f t="shared" si="1"/>
        <v>0.40676609759606197</v>
      </c>
      <c r="Q30" s="3"/>
      <c r="R30" s="3"/>
      <c r="S30" s="3"/>
      <c r="T30" s="3"/>
      <c r="U30" s="3"/>
      <c r="V30" s="3"/>
      <c r="W30" s="3"/>
      <c r="X30" s="3"/>
      <c r="Y30" s="3"/>
    </row>
    <row r="31" spans="1:25" x14ac:dyDescent="0.25">
      <c r="A31" s="3">
        <v>10000000000000</v>
      </c>
      <c r="B31" s="3">
        <v>-4.9989999999999995E-4</v>
      </c>
      <c r="C31" s="3">
        <v>1.072E-3</v>
      </c>
      <c r="D31" s="3">
        <v>-8.6729999999999999E-4</v>
      </c>
      <c r="E31" s="3">
        <v>0</v>
      </c>
      <c r="F31" s="3">
        <v>0</v>
      </c>
      <c r="G31" s="3">
        <v>0</v>
      </c>
      <c r="H31" s="3">
        <v>4.5733916999999999E-4</v>
      </c>
      <c r="I31" s="3">
        <v>1.5295201E-4</v>
      </c>
      <c r="J31" s="3">
        <v>-1.0838454999999999E-3</v>
      </c>
      <c r="K31" s="3"/>
      <c r="L31" s="3">
        <f t="shared" si="0"/>
        <v>-0.576386486798109</v>
      </c>
      <c r="M31" s="3"/>
      <c r="N31" s="2">
        <f>IF('Modell einstellen'!$B$1="Voll",H31/0.35,H31/0.35*2)</f>
        <v>1.306683342857143E-3</v>
      </c>
      <c r="O31" s="2">
        <f>IF('Modell einstellen'!$B$1="Voll",J31/0.35,J31/0.35*2)</f>
        <v>-3.0967014285714287E-3</v>
      </c>
      <c r="P31" s="3">
        <f t="shared" si="1"/>
        <v>0.42195974426244331</v>
      </c>
      <c r="Q31" s="3"/>
      <c r="R31" s="3"/>
      <c r="S31" s="3"/>
      <c r="T31" s="3"/>
      <c r="U31" s="3"/>
      <c r="V31" s="3"/>
      <c r="W31" s="3"/>
      <c r="X31" s="3"/>
      <c r="Y31" s="3"/>
    </row>
    <row r="32" spans="1:25" x14ac:dyDescent="0.25">
      <c r="A32" s="3">
        <v>100000000000000</v>
      </c>
      <c r="B32" s="3">
        <v>-1.6310000000000001E-3</v>
      </c>
      <c r="C32" s="3">
        <v>1.6479999999999999E-3</v>
      </c>
      <c r="D32" s="3">
        <v>-3.233E-4</v>
      </c>
      <c r="E32" s="3">
        <v>0</v>
      </c>
      <c r="F32" s="3">
        <v>0</v>
      </c>
      <c r="G32" s="3">
        <v>0</v>
      </c>
      <c r="H32" s="3">
        <v>7.8587009E-4</v>
      </c>
      <c r="I32" s="3">
        <v>2.5526029000000003E-4</v>
      </c>
      <c r="J32" s="3">
        <v>-1.785729E-3</v>
      </c>
      <c r="K32" s="3"/>
      <c r="L32" s="3">
        <f t="shared" si="0"/>
        <v>-5.0448499845344887</v>
      </c>
      <c r="M32" s="3"/>
      <c r="N32" s="2">
        <f>IF('Modell einstellen'!$B$1="Voll",H32/0.35,H32/0.35*2)</f>
        <v>2.2453431142857145E-3</v>
      </c>
      <c r="O32" s="2">
        <f>IF('Modell einstellen'!$B$1="Voll",J32/0.35,J32/0.35*2)</f>
        <v>-5.1020828571428575E-3</v>
      </c>
      <c r="P32" s="3">
        <f t="shared" si="1"/>
        <v>0.44008362411093732</v>
      </c>
      <c r="Q32" s="3"/>
      <c r="R32" s="3"/>
      <c r="S32" s="3"/>
      <c r="T32" s="3"/>
      <c r="U32" s="3"/>
      <c r="V32" s="3"/>
      <c r="W32" s="3"/>
      <c r="X32" s="3"/>
      <c r="Y32" s="3"/>
    </row>
    <row r="33" spans="1:25" x14ac:dyDescent="0.25">
      <c r="A33" s="2">
        <v>1000000000000000</v>
      </c>
      <c r="B33" s="3">
        <v>-3.9459999999999999E-3</v>
      </c>
      <c r="C33" s="3">
        <v>2.6770000000000001E-3</v>
      </c>
      <c r="D33" s="3">
        <v>9.5529999999999996E-4</v>
      </c>
      <c r="E33" s="3">
        <v>0</v>
      </c>
      <c r="F33" s="3">
        <v>0</v>
      </c>
      <c r="G33" s="3">
        <v>0</v>
      </c>
      <c r="H33" s="3">
        <v>1.4097812E-3</v>
      </c>
      <c r="I33" s="3">
        <v>4.4221259000000001E-4</v>
      </c>
      <c r="J33" s="3">
        <v>-3.0850089000000001E-3</v>
      </c>
      <c r="K33" s="3"/>
      <c r="L33" s="3">
        <f t="shared" si="0"/>
        <v>4.1306395896576991</v>
      </c>
      <c r="M33" s="3"/>
      <c r="N33" s="2">
        <f>IF('Modell einstellen'!$B$1="Voll",H33/0.35,H33/0.35*2)</f>
        <v>4.0279462857142857E-3</v>
      </c>
      <c r="O33" s="2">
        <f>IF('Modell einstellen'!$B$1="Voll",J33/0.35,J33/0.35*2)</f>
        <v>-8.8143111428571428E-3</v>
      </c>
      <c r="P33" s="3">
        <f t="shared" si="1"/>
        <v>0.45697800093866831</v>
      </c>
      <c r="Q33" s="3"/>
      <c r="R33" s="3"/>
      <c r="S33" s="3"/>
      <c r="T33" s="3"/>
      <c r="U33" s="3"/>
      <c r="V33" s="3"/>
      <c r="W33" s="3"/>
      <c r="X33" s="3"/>
      <c r="Y33" s="3"/>
    </row>
    <row r="34" spans="1:25" x14ac:dyDescent="0.25">
      <c r="A34" s="2"/>
      <c r="B34" s="3"/>
      <c r="C34" s="3"/>
      <c r="D34" s="3"/>
      <c r="E34" s="3"/>
      <c r="F34" s="3"/>
      <c r="G34" s="3"/>
      <c r="H34" s="3"/>
      <c r="I34" s="3"/>
      <c r="J34" s="3"/>
      <c r="K34" s="3"/>
      <c r="L34" s="3"/>
      <c r="M34" s="3"/>
      <c r="N34" s="3"/>
      <c r="O34" s="3"/>
      <c r="P34" s="3"/>
      <c r="Q34" s="3"/>
      <c r="R34" s="3"/>
      <c r="S34" s="3"/>
      <c r="T34" s="3"/>
      <c r="U34" s="3"/>
      <c r="V34" s="3"/>
      <c r="W34" s="3"/>
      <c r="X34" s="3"/>
      <c r="Y34" s="3"/>
    </row>
    <row r="35" spans="1:25" x14ac:dyDescent="0.25">
      <c r="A35" s="2"/>
      <c r="B35" s="3"/>
      <c r="C35" s="3"/>
      <c r="D35" s="3"/>
      <c r="E35" s="3"/>
      <c r="F35" s="3"/>
      <c r="G35" s="3"/>
      <c r="H35" s="3"/>
      <c r="I35" s="3"/>
      <c r="J35" s="3"/>
      <c r="K35" s="3"/>
      <c r="L35" s="3"/>
      <c r="M35" s="3"/>
      <c r="N35" s="3"/>
      <c r="O35" s="3"/>
      <c r="P35" s="3"/>
      <c r="Q35" s="3"/>
      <c r="R35" s="3"/>
      <c r="S35" s="3"/>
      <c r="T35" s="3"/>
      <c r="U35" s="3"/>
      <c r="V35" s="3"/>
      <c r="W35" s="3"/>
      <c r="X35" s="3"/>
      <c r="Y35" s="3"/>
    </row>
    <row r="36" spans="1:25" x14ac:dyDescent="0.25">
      <c r="A36" s="2"/>
      <c r="B36" s="3"/>
      <c r="C36" s="3"/>
      <c r="D36" s="3"/>
      <c r="E36" s="3"/>
      <c r="F36" s="3"/>
      <c r="G36" s="3"/>
      <c r="H36" s="3"/>
      <c r="I36" s="3"/>
      <c r="J36" s="3"/>
      <c r="K36" s="3"/>
      <c r="L36" s="3"/>
      <c r="M36" s="3"/>
      <c r="N36" s="3"/>
      <c r="O36" s="3"/>
      <c r="P36" s="3"/>
      <c r="Q36" s="3"/>
      <c r="R36" s="3"/>
      <c r="S36" s="3"/>
      <c r="T36" s="3"/>
      <c r="U36" s="3"/>
      <c r="V36" s="3"/>
      <c r="W36" s="3"/>
      <c r="X36" s="3"/>
      <c r="Y36" s="3"/>
    </row>
    <row r="37" spans="1:25" x14ac:dyDescent="0.25">
      <c r="A37" s="2"/>
      <c r="B37" s="3"/>
      <c r="C37" s="3"/>
      <c r="D37" s="3"/>
      <c r="E37" s="3"/>
      <c r="F37" s="3"/>
      <c r="G37" s="3"/>
      <c r="H37" s="3"/>
      <c r="I37" s="3"/>
      <c r="J37" s="3"/>
      <c r="K37" s="3"/>
      <c r="L37" s="3"/>
      <c r="M37" s="3"/>
      <c r="N37" s="3"/>
      <c r="O37" s="3"/>
      <c r="P37" s="3"/>
      <c r="Q37" s="3"/>
      <c r="R37" s="3"/>
      <c r="S37" s="3"/>
      <c r="T37" s="3"/>
      <c r="U37" s="3"/>
      <c r="V37" s="3"/>
      <c r="W37" s="3"/>
      <c r="X37" s="3"/>
      <c r="Y37" s="3"/>
    </row>
    <row r="38" spans="1:25" x14ac:dyDescent="0.25">
      <c r="A38" s="2"/>
      <c r="B38" s="3"/>
      <c r="C38" s="3"/>
      <c r="D38" s="3"/>
      <c r="E38" s="3"/>
      <c r="F38" s="3"/>
      <c r="G38" s="3"/>
      <c r="H38" s="3"/>
      <c r="I38" s="3"/>
      <c r="J38" s="3"/>
      <c r="K38" s="3"/>
      <c r="L38" s="3"/>
      <c r="M38" s="3"/>
      <c r="N38" s="3"/>
      <c r="O38" s="3"/>
      <c r="P38" s="3"/>
      <c r="Q38" s="3"/>
      <c r="R38" s="3"/>
      <c r="S38" s="3"/>
      <c r="T38" s="3"/>
      <c r="U38" s="3"/>
      <c r="V38" s="3"/>
      <c r="W38" s="3"/>
      <c r="X38" s="3"/>
      <c r="Y38" s="3"/>
    </row>
    <row r="39" spans="1:25" x14ac:dyDescent="0.25">
      <c r="A39" s="2"/>
      <c r="B39" s="3"/>
      <c r="C39" s="3"/>
      <c r="D39" s="3"/>
      <c r="E39" s="3"/>
      <c r="F39" s="3"/>
      <c r="G39" s="3"/>
      <c r="H39" s="3"/>
      <c r="I39" s="3"/>
      <c r="J39" s="3"/>
      <c r="K39" s="3"/>
      <c r="L39" s="3"/>
      <c r="M39" s="3"/>
      <c r="N39" s="3"/>
      <c r="O39" s="3"/>
      <c r="P39" s="3"/>
      <c r="Q39" s="3"/>
      <c r="R39" s="3"/>
      <c r="S39" s="3"/>
      <c r="T39" s="3"/>
      <c r="U39" s="3"/>
      <c r="V39" s="3"/>
      <c r="W39" s="3"/>
      <c r="X39" s="3"/>
      <c r="Y39" s="3"/>
    </row>
    <row r="40" spans="1:25" x14ac:dyDescent="0.25">
      <c r="A40" s="2"/>
      <c r="B40" s="3"/>
      <c r="C40" s="3"/>
      <c r="D40" s="3"/>
      <c r="E40" s="3"/>
      <c r="F40" s="3"/>
      <c r="G40" s="3"/>
      <c r="H40" s="3"/>
      <c r="I40" s="3"/>
      <c r="J40" s="3"/>
      <c r="K40" s="3"/>
      <c r="L40" s="3"/>
      <c r="M40" s="3"/>
      <c r="N40" s="3"/>
      <c r="O40" s="3"/>
      <c r="P40" s="3"/>
      <c r="Q40" s="3"/>
      <c r="R40" s="3"/>
      <c r="S40" s="3"/>
      <c r="T40" s="3"/>
      <c r="U40" s="3"/>
      <c r="V40" s="3"/>
      <c r="W40" s="3"/>
      <c r="X40" s="3"/>
      <c r="Y40" s="3"/>
    </row>
    <row r="41" spans="1:25" x14ac:dyDescent="0.25">
      <c r="A41" s="2"/>
      <c r="B41" s="3"/>
      <c r="C41" s="3"/>
      <c r="D41" s="3"/>
      <c r="E41" s="3"/>
      <c r="F41" s="3"/>
      <c r="G41" s="3"/>
      <c r="H41" s="3"/>
      <c r="I41" s="3"/>
      <c r="J41" s="3"/>
      <c r="K41" s="3"/>
      <c r="L41" s="3"/>
      <c r="M41" s="3"/>
      <c r="N41" s="3"/>
      <c r="O41" s="3"/>
      <c r="P41" s="3"/>
      <c r="Q41" s="3"/>
      <c r="R41" s="3"/>
      <c r="S41" s="3"/>
      <c r="T41" s="3"/>
      <c r="U41" s="3"/>
      <c r="V41" s="3"/>
      <c r="W41" s="3"/>
      <c r="X41" s="3"/>
      <c r="Y41" s="3"/>
    </row>
    <row r="42" spans="1:25" x14ac:dyDescent="0.25">
      <c r="A42" s="2"/>
      <c r="B42" s="3"/>
      <c r="C42" s="3"/>
      <c r="D42" s="3"/>
      <c r="E42" s="3"/>
      <c r="F42" s="3"/>
      <c r="G42" s="3"/>
      <c r="H42" s="3"/>
      <c r="I42" s="3"/>
      <c r="J42" s="3"/>
      <c r="K42" s="3"/>
      <c r="L42" s="3"/>
      <c r="M42" s="3"/>
      <c r="N42" s="3"/>
      <c r="O42" s="3"/>
      <c r="P42" s="3"/>
      <c r="Q42" s="3"/>
      <c r="R42" s="3"/>
      <c r="S42" s="3"/>
      <c r="T42" s="3"/>
      <c r="U42" s="3"/>
      <c r="V42" s="3"/>
      <c r="W42" s="3"/>
      <c r="X42" s="3"/>
      <c r="Y42" s="3"/>
    </row>
    <row r="43" spans="1:25" x14ac:dyDescent="0.25">
      <c r="A43" s="2"/>
      <c r="P43" s="3"/>
      <c r="Q43" s="3"/>
      <c r="R43" s="3"/>
      <c r="S43" s="3"/>
      <c r="T43" s="3"/>
      <c r="U43" s="3"/>
      <c r="V43" s="3"/>
      <c r="W43" s="3"/>
      <c r="X43" s="3"/>
      <c r="Y43" s="3"/>
    </row>
    <row r="44" spans="1:25" x14ac:dyDescent="0.25">
      <c r="P44" s="3"/>
      <c r="Q44" s="3"/>
      <c r="R44" s="3"/>
      <c r="S44" s="3"/>
      <c r="T44" s="3"/>
      <c r="U44" s="3"/>
      <c r="V44" s="3"/>
      <c r="W44" s="3"/>
      <c r="X44" s="3"/>
      <c r="Y44" s="3"/>
    </row>
    <row r="45" spans="1:25" x14ac:dyDescent="0.25">
      <c r="P45" s="3"/>
      <c r="Q45" s="3"/>
      <c r="R45" s="3"/>
      <c r="S45" s="3"/>
      <c r="T45" s="3"/>
      <c r="U45" s="3"/>
      <c r="V45" s="3"/>
      <c r="W45" s="3"/>
      <c r="X45" s="3"/>
      <c r="Y45" s="3"/>
    </row>
    <row r="46" spans="1:25" x14ac:dyDescent="0.25">
      <c r="P46" s="3"/>
      <c r="Q46" s="3"/>
      <c r="R46" s="3"/>
      <c r="S46" s="3"/>
      <c r="T46" s="3"/>
      <c r="U46" s="3"/>
      <c r="V46" s="3"/>
      <c r="W46" s="3"/>
      <c r="X46" s="3"/>
      <c r="Y46" s="3"/>
    </row>
    <row r="47" spans="1:25" x14ac:dyDescent="0.25">
      <c r="P47" s="3"/>
      <c r="Q47" s="3"/>
      <c r="R47" s="3"/>
      <c r="S47" s="3"/>
      <c r="T47" s="3"/>
      <c r="U47" s="3"/>
      <c r="V47" s="3"/>
      <c r="W47" s="3"/>
      <c r="X47" s="3"/>
      <c r="Y47" s="3"/>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12"/>
  <dimension ref="A1:U43"/>
  <sheetViews>
    <sheetView workbookViewId="0">
      <selection activeCell="N1" sqref="N1:P33"/>
    </sheetView>
  </sheetViews>
  <sheetFormatPr baseColWidth="10" defaultColWidth="9.140625" defaultRowHeight="15" x14ac:dyDescent="0.25"/>
  <cols>
    <col min="1" max="1" width="8.5703125" style="1" customWidth="1"/>
    <col min="2" max="2" width="9" customWidth="1"/>
    <col min="3" max="3" width="8.28515625" customWidth="1"/>
    <col min="4" max="4" width="9" customWidth="1"/>
    <col min="5" max="7" width="8.5703125" customWidth="1"/>
    <col min="8" max="8" width="8.28515625" customWidth="1"/>
    <col min="9" max="9" width="12.28515625" bestFit="1" customWidth="1"/>
    <col min="10" max="10" width="9" customWidth="1"/>
  </cols>
  <sheetData>
    <row r="1" spans="1:21" s="1" customFormat="1" x14ac:dyDescent="0.25">
      <c r="A1" s="1" t="s">
        <v>13</v>
      </c>
      <c r="L1" s="82" t="s">
        <v>117</v>
      </c>
      <c r="M1" s="82"/>
      <c r="N1" s="82" t="s">
        <v>39</v>
      </c>
      <c r="O1" s="3" t="s">
        <v>116</v>
      </c>
      <c r="P1" s="82" t="s">
        <v>117</v>
      </c>
      <c r="Q1" s="4"/>
      <c r="R1" s="4"/>
      <c r="S1" s="4"/>
      <c r="T1" s="4"/>
      <c r="U1" s="4"/>
    </row>
    <row r="2" spans="1:21" x14ac:dyDescent="0.25">
      <c r="A2" s="3" t="s">
        <v>32</v>
      </c>
      <c r="B2" s="3" t="s">
        <v>14</v>
      </c>
      <c r="C2" s="3" t="s">
        <v>15</v>
      </c>
      <c r="D2" s="3" t="s">
        <v>16</v>
      </c>
      <c r="E2" s="3" t="s">
        <v>33</v>
      </c>
      <c r="F2" s="3" t="s">
        <v>34</v>
      </c>
      <c r="G2" s="3" t="s">
        <v>35</v>
      </c>
      <c r="H2" s="3" t="s">
        <v>36</v>
      </c>
      <c r="I2" s="3" t="s">
        <v>37</v>
      </c>
      <c r="J2" s="3" t="s">
        <v>38</v>
      </c>
      <c r="K2" s="3"/>
      <c r="L2" s="3"/>
      <c r="M2" s="3"/>
      <c r="N2" s="82"/>
      <c r="O2" s="82"/>
      <c r="P2" s="3"/>
      <c r="Q2" s="3"/>
      <c r="R2" s="3"/>
      <c r="S2" s="3"/>
      <c r="T2" s="3"/>
      <c r="U2" s="3"/>
    </row>
    <row r="3" spans="1:21" x14ac:dyDescent="0.25">
      <c r="A3" s="3">
        <v>1.0000000000000001E-15</v>
      </c>
      <c r="B3" s="3">
        <v>4.4129999999999999E-5</v>
      </c>
      <c r="C3" s="3">
        <v>1.5420000000000001E-4</v>
      </c>
      <c r="D3" s="3">
        <v>-4.7120000000000002E-4</v>
      </c>
      <c r="E3" s="3">
        <v>0</v>
      </c>
      <c r="F3" s="3">
        <v>0</v>
      </c>
      <c r="G3" s="3">
        <v>0</v>
      </c>
      <c r="H3" s="3">
        <v>7.1196389000000005E-5</v>
      </c>
      <c r="I3" s="3">
        <v>1.5717216999999999E-5</v>
      </c>
      <c r="J3" s="3">
        <v>-1.9787082999999999E-4</v>
      </c>
      <c r="K3" s="3"/>
      <c r="L3" s="3">
        <f>-B3/D3</f>
        <v>9.3654499151103562E-2</v>
      </c>
      <c r="M3" s="3"/>
      <c r="N3" s="2">
        <f>IF('Modell einstellen'!$B$1="Voll",H3/0.35,H3/0.35*2)</f>
        <v>2.0341825428571431E-4</v>
      </c>
      <c r="O3" s="2">
        <f>IF('Modell einstellen'!$B$1="Voll",J3/0.35,J3/0.35*2)</f>
        <v>-5.6534522857142858E-4</v>
      </c>
      <c r="P3" s="3">
        <f>-N3/O3</f>
        <v>0.35981245441786447</v>
      </c>
      <c r="Q3" s="3"/>
      <c r="R3" s="3"/>
      <c r="S3" s="3"/>
      <c r="T3" s="3"/>
      <c r="U3" s="3"/>
    </row>
    <row r="4" spans="1:21" x14ac:dyDescent="0.25">
      <c r="A4" s="3">
        <v>1E-14</v>
      </c>
      <c r="B4" s="3">
        <v>4.4129999999999999E-5</v>
      </c>
      <c r="C4" s="3">
        <v>1.5420000000000001E-4</v>
      </c>
      <c r="D4" s="3">
        <v>-4.7120000000000002E-4</v>
      </c>
      <c r="E4" s="3">
        <v>0</v>
      </c>
      <c r="F4" s="3">
        <v>0</v>
      </c>
      <c r="G4" s="3">
        <v>0</v>
      </c>
      <c r="H4" s="3">
        <v>7.1198031999999999E-5</v>
      </c>
      <c r="I4" s="3">
        <v>1.5718310999999998E-5</v>
      </c>
      <c r="J4" s="3">
        <v>-1.9786698000000001E-4</v>
      </c>
      <c r="K4" s="3"/>
      <c r="L4" s="3">
        <f t="shared" ref="L4:L33" si="0">-B4/D4</f>
        <v>9.3654499151103562E-2</v>
      </c>
      <c r="M4" s="3"/>
      <c r="N4" s="2">
        <f>IF('Modell einstellen'!$B$1="Voll",H4/0.35,H4/0.35*2)</f>
        <v>2.0342294857142858E-4</v>
      </c>
      <c r="O4" s="2">
        <f>IF('Modell einstellen'!$B$1="Voll",J4/0.35,J4/0.35*2)</f>
        <v>-5.6533422857142862E-4</v>
      </c>
      <c r="P4" s="3">
        <f t="shared" ref="P4:P33" si="1">-N4/O4</f>
        <v>0.35982775903286135</v>
      </c>
      <c r="Q4" s="3"/>
      <c r="R4" s="3"/>
      <c r="S4" s="3"/>
      <c r="T4" s="3"/>
      <c r="U4" s="3"/>
    </row>
    <row r="5" spans="1:21" x14ac:dyDescent="0.25">
      <c r="A5" s="3">
        <v>1E-13</v>
      </c>
      <c r="B5" s="3">
        <v>4.4129999999999999E-5</v>
      </c>
      <c r="C5" s="3">
        <v>1.5420000000000001E-4</v>
      </c>
      <c r="D5" s="3">
        <v>-4.7120000000000002E-4</v>
      </c>
      <c r="E5" s="3">
        <v>0</v>
      </c>
      <c r="F5" s="3">
        <v>0</v>
      </c>
      <c r="G5" s="3">
        <v>0</v>
      </c>
      <c r="H5" s="3">
        <v>7.1198407000000005E-5</v>
      </c>
      <c r="I5" s="3">
        <v>1.5718477999999998E-5</v>
      </c>
      <c r="J5" s="3">
        <v>-1.9786797000000001E-4</v>
      </c>
      <c r="K5" s="3"/>
      <c r="L5" s="3">
        <f t="shared" si="0"/>
        <v>9.3654499151103562E-2</v>
      </c>
      <c r="M5" s="3"/>
      <c r="N5" s="2">
        <f>IF('Modell einstellen'!$B$1="Voll",H5/0.35,H5/0.35*2)</f>
        <v>2.0342402000000004E-4</v>
      </c>
      <c r="O5" s="2">
        <f>IF('Modell einstellen'!$B$1="Voll",J5/0.35,J5/0.35*2)</f>
        <v>-5.6533705714285724E-4</v>
      </c>
      <c r="P5" s="3">
        <f t="shared" si="1"/>
        <v>0.35982785389671706</v>
      </c>
      <c r="Q5" s="3"/>
      <c r="R5" s="3"/>
      <c r="S5" s="3"/>
      <c r="T5" s="3"/>
      <c r="U5" s="3"/>
    </row>
    <row r="6" spans="1:21" x14ac:dyDescent="0.25">
      <c r="A6" s="3">
        <v>9.9999999999999998E-13</v>
      </c>
      <c r="B6" s="3">
        <v>4.4129999999999999E-5</v>
      </c>
      <c r="C6" s="3">
        <v>1.5420000000000001E-4</v>
      </c>
      <c r="D6" s="3">
        <v>-4.7120000000000002E-4</v>
      </c>
      <c r="E6" s="3">
        <v>0</v>
      </c>
      <c r="F6" s="3">
        <v>0</v>
      </c>
      <c r="G6" s="3">
        <v>0</v>
      </c>
      <c r="H6" s="3">
        <v>7.1198523000000002E-5</v>
      </c>
      <c r="I6" s="3">
        <v>1.5718524000000001E-5</v>
      </c>
      <c r="J6" s="3">
        <v>-1.9786825999999999E-4</v>
      </c>
      <c r="K6" s="3"/>
      <c r="L6" s="3">
        <f t="shared" si="0"/>
        <v>9.3654499151103562E-2</v>
      </c>
      <c r="M6" s="3"/>
      <c r="N6" s="2">
        <f>IF('Modell einstellen'!$B$1="Voll",H6/0.35,H6/0.35*2)</f>
        <v>2.0342435142857145E-4</v>
      </c>
      <c r="O6" s="2">
        <f>IF('Modell einstellen'!$B$1="Voll",J6/0.35,J6/0.35*2)</f>
        <v>-5.6533788571428573E-4</v>
      </c>
      <c r="P6" s="3">
        <f t="shared" si="1"/>
        <v>0.35982791277388299</v>
      </c>
      <c r="Q6" s="3"/>
      <c r="R6" s="3"/>
      <c r="S6" s="3"/>
      <c r="T6" s="3"/>
      <c r="U6" s="3"/>
    </row>
    <row r="7" spans="1:21" x14ac:dyDescent="0.25">
      <c r="A7" s="3">
        <v>9.9999999999999994E-12</v>
      </c>
      <c r="B7" s="3">
        <v>4.4129999999999999E-5</v>
      </c>
      <c r="C7" s="3">
        <v>1.5420000000000001E-4</v>
      </c>
      <c r="D7" s="3">
        <v>-4.7120000000000002E-4</v>
      </c>
      <c r="E7" s="3">
        <v>0</v>
      </c>
      <c r="F7" s="3">
        <v>0</v>
      </c>
      <c r="G7" s="3">
        <v>0</v>
      </c>
      <c r="H7" s="3">
        <v>7.1198561E-5</v>
      </c>
      <c r="I7" s="3">
        <v>1.5718537E-5</v>
      </c>
      <c r="J7" s="3">
        <v>-1.9786835000000001E-4</v>
      </c>
      <c r="K7" s="3"/>
      <c r="L7" s="3">
        <f t="shared" si="0"/>
        <v>9.3654499151103562E-2</v>
      </c>
      <c r="M7" s="3"/>
      <c r="N7" s="2">
        <f>IF('Modell einstellen'!$B$1="Voll",H7/0.35,H7/0.35*2)</f>
        <v>2.0342446000000001E-4</v>
      </c>
      <c r="O7" s="2">
        <f>IF('Modell einstellen'!$B$1="Voll",J7/0.35,J7/0.35*2)</f>
        <v>-5.6533814285714286E-4</v>
      </c>
      <c r="P7" s="3">
        <f t="shared" si="1"/>
        <v>0.35982794115380251</v>
      </c>
      <c r="Q7" s="3"/>
      <c r="R7" s="3"/>
      <c r="S7" s="3"/>
      <c r="T7" s="3"/>
      <c r="U7" s="3"/>
    </row>
    <row r="8" spans="1:21" x14ac:dyDescent="0.25">
      <c r="A8" s="3">
        <v>1E-10</v>
      </c>
      <c r="B8" s="3">
        <v>4.4129999999999999E-5</v>
      </c>
      <c r="C8" s="3">
        <v>1.5420000000000001E-4</v>
      </c>
      <c r="D8" s="3">
        <v>-4.7120000000000002E-4</v>
      </c>
      <c r="E8" s="3">
        <v>0</v>
      </c>
      <c r="F8" s="3">
        <v>0</v>
      </c>
      <c r="G8" s="3">
        <v>0</v>
      </c>
      <c r="H8" s="3">
        <v>7.1198577000000003E-5</v>
      </c>
      <c r="I8" s="3">
        <v>1.5718542E-5</v>
      </c>
      <c r="J8" s="3">
        <v>-1.9786838E-4</v>
      </c>
      <c r="K8" s="3"/>
      <c r="L8" s="3">
        <f t="shared" si="0"/>
        <v>9.3654499151103562E-2</v>
      </c>
      <c r="M8" s="3"/>
      <c r="N8" s="2">
        <f>IF('Modell einstellen'!$B$1="Voll",H8/0.35,H8/0.35*2)</f>
        <v>2.0342450571428572E-4</v>
      </c>
      <c r="O8" s="2">
        <f>IF('Modell einstellen'!$B$1="Voll",J8/0.35,J8/0.35*2)</f>
        <v>-5.6533822857142858E-4</v>
      </c>
      <c r="P8" s="3">
        <f t="shared" si="1"/>
        <v>0.3598279674599853</v>
      </c>
      <c r="Q8" s="3"/>
      <c r="R8" s="3"/>
      <c r="S8" s="3"/>
      <c r="T8" s="3"/>
      <c r="U8" s="3"/>
    </row>
    <row r="9" spans="1:21" x14ac:dyDescent="0.25">
      <c r="A9" s="3">
        <v>1.0000000000000001E-9</v>
      </c>
      <c r="B9" s="3">
        <v>4.4129999999999999E-5</v>
      </c>
      <c r="C9" s="3">
        <v>1.5420000000000001E-4</v>
      </c>
      <c r="D9" s="3">
        <v>-4.7120000000000002E-4</v>
      </c>
      <c r="E9" s="3">
        <v>0</v>
      </c>
      <c r="F9" s="3">
        <v>0</v>
      </c>
      <c r="G9" s="3">
        <v>0</v>
      </c>
      <c r="H9" s="3">
        <v>7.1198617000000006E-5</v>
      </c>
      <c r="I9" s="3">
        <v>1.5718548E-5</v>
      </c>
      <c r="J9" s="3">
        <v>-1.9786844999999999E-4</v>
      </c>
      <c r="K9" s="3"/>
      <c r="L9" s="3">
        <f t="shared" si="0"/>
        <v>9.3654499151103562E-2</v>
      </c>
      <c r="M9" s="3"/>
      <c r="N9" s="2">
        <f>IF('Modell einstellen'!$B$1="Voll",H9/0.35,H9/0.35*2)</f>
        <v>2.0342462000000003E-4</v>
      </c>
      <c r="O9" s="2">
        <f>IF('Modell einstellen'!$B$1="Voll",J9/0.35,J9/0.35*2)</f>
        <v>-5.6533842857142854E-4</v>
      </c>
      <c r="P9" s="3">
        <f t="shared" si="1"/>
        <v>0.35982804231801491</v>
      </c>
      <c r="Q9" s="3"/>
      <c r="R9" s="3"/>
      <c r="S9" s="3"/>
      <c r="T9" s="3"/>
      <c r="U9" s="3"/>
    </row>
    <row r="10" spans="1:21" x14ac:dyDescent="0.25">
      <c r="A10" s="3">
        <v>1E-8</v>
      </c>
      <c r="B10" s="3">
        <v>4.4129999999999999E-5</v>
      </c>
      <c r="C10" s="3">
        <v>1.5420000000000001E-4</v>
      </c>
      <c r="D10" s="3">
        <v>-4.7120000000000002E-4</v>
      </c>
      <c r="E10" s="3">
        <v>0</v>
      </c>
      <c r="F10" s="3">
        <v>0</v>
      </c>
      <c r="G10" s="3">
        <v>0</v>
      </c>
      <c r="H10" s="3">
        <v>7.1198967000000004E-5</v>
      </c>
      <c r="I10" s="3">
        <v>1.5718588999999999E-5</v>
      </c>
      <c r="J10" s="3">
        <v>-1.9786901E-4</v>
      </c>
      <c r="K10" s="3"/>
      <c r="L10" s="3">
        <f t="shared" si="0"/>
        <v>9.3654499151103562E-2</v>
      </c>
      <c r="M10" s="3"/>
      <c r="N10" s="2">
        <f>IF('Modell einstellen'!$B$1="Voll",H10/0.35,H10/0.35*2)</f>
        <v>2.0342562000000001E-4</v>
      </c>
      <c r="O10" s="2">
        <f>IF('Modell einstellen'!$B$1="Voll",J10/0.35,J10/0.35*2)</f>
        <v>-5.6534002857142865E-4</v>
      </c>
      <c r="P10" s="3">
        <f t="shared" si="1"/>
        <v>0.3598287927957996</v>
      </c>
      <c r="Q10" s="3"/>
      <c r="R10" s="3"/>
      <c r="S10" s="3"/>
      <c r="T10" s="3"/>
      <c r="U10" s="3"/>
    </row>
    <row r="11" spans="1:21" x14ac:dyDescent="0.25">
      <c r="A11" s="3">
        <v>9.9999999999999995E-8</v>
      </c>
      <c r="B11" s="3">
        <v>4.4129999999999999E-5</v>
      </c>
      <c r="C11" s="3">
        <v>1.5420000000000001E-4</v>
      </c>
      <c r="D11" s="3">
        <v>-4.7120000000000002E-4</v>
      </c>
      <c r="E11" s="3">
        <v>0</v>
      </c>
      <c r="F11" s="3">
        <v>0</v>
      </c>
      <c r="G11" s="3">
        <v>0</v>
      </c>
      <c r="H11" s="3">
        <v>7.1202458999999996E-5</v>
      </c>
      <c r="I11" s="3">
        <v>1.5719E-5</v>
      </c>
      <c r="J11" s="3">
        <v>-1.9787459000000001E-4</v>
      </c>
      <c r="K11" s="3"/>
      <c r="L11" s="3">
        <f t="shared" si="0"/>
        <v>9.3654499151103562E-2</v>
      </c>
      <c r="M11" s="3"/>
      <c r="N11" s="2">
        <f>IF('Modell einstellen'!$B$1="Voll",H11/0.35,H11/0.35*2)</f>
        <v>2.0343559714285715E-4</v>
      </c>
      <c r="O11" s="2">
        <f>IF('Modell einstellen'!$B$1="Voll",J11/0.35,J11/0.35*2)</f>
        <v>-5.6535597142857151E-4</v>
      </c>
      <c r="P11" s="3">
        <f t="shared" si="1"/>
        <v>0.35983629328050659</v>
      </c>
      <c r="Q11" s="3"/>
      <c r="R11" s="3"/>
      <c r="S11" s="3"/>
      <c r="T11" s="3"/>
      <c r="U11" s="3"/>
    </row>
    <row r="12" spans="1:21" x14ac:dyDescent="0.25">
      <c r="A12" s="3">
        <v>9.9999999999999995E-7</v>
      </c>
      <c r="B12" s="3">
        <v>4.409E-5</v>
      </c>
      <c r="C12" s="3">
        <v>1.5420000000000001E-4</v>
      </c>
      <c r="D12" s="3">
        <v>-4.7130000000000002E-4</v>
      </c>
      <c r="E12" s="3">
        <v>0</v>
      </c>
      <c r="F12" s="3">
        <v>0</v>
      </c>
      <c r="G12" s="3">
        <v>0</v>
      </c>
      <c r="H12" s="3">
        <v>7.1237144000000003E-5</v>
      </c>
      <c r="I12" s="3">
        <v>1.5723084000000002E-5</v>
      </c>
      <c r="J12" s="3">
        <v>-1.9792995999999999E-4</v>
      </c>
      <c r="K12" s="3"/>
      <c r="L12" s="3">
        <f t="shared" si="0"/>
        <v>9.3549755994058986E-2</v>
      </c>
      <c r="M12" s="3"/>
      <c r="N12" s="2">
        <f>IF('Modell einstellen'!$B$1="Voll",H12/0.35,H12/0.35*2)</f>
        <v>2.0353469714285717E-4</v>
      </c>
      <c r="O12" s="2">
        <f>IF('Modell einstellen'!$B$1="Voll",J12/0.35,J12/0.35*2)</f>
        <v>-5.6551417142857146E-4</v>
      </c>
      <c r="P12" s="3">
        <f t="shared" si="1"/>
        <v>0.35991086948130546</v>
      </c>
      <c r="Q12" s="3"/>
      <c r="R12" s="3"/>
      <c r="S12" s="3"/>
      <c r="T12" s="3"/>
      <c r="U12" s="3"/>
    </row>
    <row r="13" spans="1:21" x14ac:dyDescent="0.25">
      <c r="A13" s="3">
        <v>1.0000000000000001E-5</v>
      </c>
      <c r="B13" s="3">
        <v>4.3720000000000002E-5</v>
      </c>
      <c r="C13" s="3">
        <v>1.5459999999999999E-4</v>
      </c>
      <c r="D13" s="3">
        <v>-4.7150000000000002E-4</v>
      </c>
      <c r="E13" s="3">
        <v>0</v>
      </c>
      <c r="F13" s="3">
        <v>0</v>
      </c>
      <c r="G13" s="3">
        <v>0</v>
      </c>
      <c r="H13" s="3">
        <v>7.1561984999999996E-5</v>
      </c>
      <c r="I13" s="3">
        <v>1.5761291999999999E-5</v>
      </c>
      <c r="J13" s="3">
        <v>-1.9844835999999999E-4</v>
      </c>
      <c r="K13" s="3"/>
      <c r="L13" s="3">
        <f t="shared" si="0"/>
        <v>9.2725344644750796E-2</v>
      </c>
      <c r="M13" s="3"/>
      <c r="N13" s="2">
        <f>IF('Modell einstellen'!$B$1="Voll",H13/0.35,H13/0.35*2)</f>
        <v>2.0446281428571428E-4</v>
      </c>
      <c r="O13" s="2">
        <f>IF('Modell einstellen'!$B$1="Voll",J13/0.35,J13/0.35*2)</f>
        <v>-5.6699531428571425E-4</v>
      </c>
      <c r="P13" s="3">
        <f t="shared" si="1"/>
        <v>0.36060759081103017</v>
      </c>
      <c r="Q13" s="3"/>
      <c r="R13" s="3"/>
      <c r="S13" s="3"/>
      <c r="T13" s="3"/>
      <c r="U13" s="3"/>
    </row>
    <row r="14" spans="1:21" x14ac:dyDescent="0.25">
      <c r="A14" s="3">
        <v>1E-4</v>
      </c>
      <c r="B14" s="3">
        <v>4.1980000000000001E-5</v>
      </c>
      <c r="C14" s="3">
        <v>1.5669999999999999E-4</v>
      </c>
      <c r="D14" s="3">
        <v>-4.7350000000000002E-4</v>
      </c>
      <c r="E14" s="3">
        <v>0</v>
      </c>
      <c r="F14" s="3">
        <v>0</v>
      </c>
      <c r="G14" s="3">
        <v>0</v>
      </c>
      <c r="H14" s="3">
        <v>7.3446963000000002E-5</v>
      </c>
      <c r="I14" s="3">
        <v>1.6001136E-5</v>
      </c>
      <c r="J14" s="3">
        <v>-2.0150705000000001E-4</v>
      </c>
      <c r="K14" s="3"/>
      <c r="L14" s="3">
        <f t="shared" si="0"/>
        <v>8.865892291446674E-2</v>
      </c>
      <c r="M14" s="3"/>
      <c r="N14" s="2">
        <f>IF('Modell einstellen'!$B$1="Voll",H14/0.35,H14/0.35*2)</f>
        <v>2.0984846571428574E-4</v>
      </c>
      <c r="O14" s="2">
        <f>IF('Modell einstellen'!$B$1="Voll",J14/0.35,J14/0.35*2)</f>
        <v>-5.7573442857142862E-4</v>
      </c>
      <c r="P14" s="3">
        <f t="shared" si="1"/>
        <v>0.36448830450349007</v>
      </c>
      <c r="Q14" s="3"/>
      <c r="R14" s="3"/>
      <c r="S14" s="3"/>
      <c r="T14" s="3"/>
      <c r="U14" s="3"/>
    </row>
    <row r="15" spans="1:21" x14ac:dyDescent="0.25">
      <c r="A15" s="3">
        <v>1E-3</v>
      </c>
      <c r="B15" s="3">
        <v>3.9409999999999997E-5</v>
      </c>
      <c r="C15" s="3">
        <v>1.594E-4</v>
      </c>
      <c r="D15" s="3">
        <v>-4.7560000000000001E-4</v>
      </c>
      <c r="E15" s="3">
        <v>0</v>
      </c>
      <c r="F15" s="3">
        <v>0</v>
      </c>
      <c r="G15" s="3">
        <v>0</v>
      </c>
      <c r="H15" s="3">
        <v>7.5915032999999998E-5</v>
      </c>
      <c r="I15" s="3">
        <v>1.6303140999999999E-5</v>
      </c>
      <c r="J15" s="3">
        <v>-2.0545565000000001E-4</v>
      </c>
      <c r="K15" s="3"/>
      <c r="L15" s="3">
        <f t="shared" si="0"/>
        <v>8.2863751051303614E-2</v>
      </c>
      <c r="M15" s="3"/>
      <c r="N15" s="2">
        <f>IF('Modell einstellen'!$B$1="Voll",H15/0.35,H15/0.35*2)</f>
        <v>2.1690009428571429E-4</v>
      </c>
      <c r="O15" s="2">
        <f>IF('Modell einstellen'!$B$1="Voll",J15/0.35,J15/0.35*2)</f>
        <v>-5.8701614285714288E-4</v>
      </c>
      <c r="P15" s="3">
        <f t="shared" si="1"/>
        <v>0.36949596178055943</v>
      </c>
      <c r="Q15" s="3"/>
      <c r="R15" s="3"/>
      <c r="S15" s="3"/>
      <c r="T15" s="3"/>
      <c r="U15" s="3"/>
    </row>
    <row r="16" spans="1:21" x14ac:dyDescent="0.25">
      <c r="A16" s="3">
        <v>0.01</v>
      </c>
      <c r="B16" s="3">
        <v>3.6159999999999999E-5</v>
      </c>
      <c r="C16" s="3">
        <v>1.6239999999999999E-4</v>
      </c>
      <c r="D16" s="3">
        <v>-4.7770000000000001E-4</v>
      </c>
      <c r="E16" s="3">
        <v>0</v>
      </c>
      <c r="F16" s="3">
        <v>0</v>
      </c>
      <c r="G16" s="3">
        <v>0</v>
      </c>
      <c r="H16" s="3">
        <v>7.8785680000000006E-5</v>
      </c>
      <c r="I16" s="3">
        <v>1.6644215E-5</v>
      </c>
      <c r="J16" s="3">
        <v>-2.0999422000000001E-4</v>
      </c>
      <c r="K16" s="3"/>
      <c r="L16" s="3">
        <f t="shared" si="0"/>
        <v>7.5696043541971944E-2</v>
      </c>
      <c r="M16" s="3"/>
      <c r="N16" s="2">
        <f>IF('Modell einstellen'!$B$1="Voll",H16/0.35,H16/0.35*2)</f>
        <v>2.2510194285714288E-4</v>
      </c>
      <c r="O16" s="2">
        <f>IF('Modell einstellen'!$B$1="Voll",J16/0.35,J16/0.35*2)</f>
        <v>-5.9998348571428575E-4</v>
      </c>
      <c r="P16" s="3">
        <f t="shared" si="1"/>
        <v>0.37518023115112409</v>
      </c>
      <c r="Q16" s="3"/>
      <c r="R16" s="3"/>
      <c r="S16" s="3"/>
      <c r="T16" s="3"/>
      <c r="U16" s="3"/>
    </row>
    <row r="17" spans="1:21" x14ac:dyDescent="0.25">
      <c r="A17" s="3">
        <v>0.1</v>
      </c>
      <c r="B17" s="3">
        <v>3.171E-5</v>
      </c>
      <c r="C17" s="3">
        <v>1.661E-4</v>
      </c>
      <c r="D17" s="3">
        <v>-4.796E-4</v>
      </c>
      <c r="E17" s="3">
        <v>0</v>
      </c>
      <c r="F17" s="3">
        <v>0</v>
      </c>
      <c r="G17" s="3">
        <v>0</v>
      </c>
      <c r="H17" s="3">
        <v>8.2424144000000003E-5</v>
      </c>
      <c r="I17" s="3">
        <v>1.7062135E-5</v>
      </c>
      <c r="J17" s="3">
        <v>-2.1566983999999999E-4</v>
      </c>
      <c r="K17" s="3"/>
      <c r="L17" s="3">
        <f t="shared" si="0"/>
        <v>6.6117597998331945E-2</v>
      </c>
      <c r="M17" s="3"/>
      <c r="N17" s="2">
        <f>IF('Modell einstellen'!$B$1="Voll",H17/0.35,H17/0.35*2)</f>
        <v>2.3549755428571432E-4</v>
      </c>
      <c r="O17" s="2">
        <f>IF('Modell einstellen'!$B$1="Voll",J17/0.35,J17/0.35*2)</f>
        <v>-6.1619954285714292E-4</v>
      </c>
      <c r="P17" s="3">
        <f t="shared" si="1"/>
        <v>0.38217742453001313</v>
      </c>
      <c r="Q17" s="3"/>
      <c r="R17" s="3"/>
      <c r="S17" s="3"/>
      <c r="T17" s="3"/>
      <c r="U17" s="3"/>
    </row>
    <row r="18" spans="1:21" x14ac:dyDescent="0.25">
      <c r="A18" s="3">
        <v>1</v>
      </c>
      <c r="B18" s="3">
        <v>2.6299999999999999E-5</v>
      </c>
      <c r="C18" s="3">
        <v>1.7019999999999999E-4</v>
      </c>
      <c r="D18" s="3">
        <v>-4.8119999999999999E-4</v>
      </c>
      <c r="E18" s="3">
        <v>0</v>
      </c>
      <c r="F18" s="3">
        <v>0</v>
      </c>
      <c r="G18" s="3">
        <v>0</v>
      </c>
      <c r="H18" s="3">
        <v>8.6592362000000004E-5</v>
      </c>
      <c r="I18" s="3">
        <v>1.7532123000000001E-5</v>
      </c>
      <c r="J18" s="3">
        <v>-2.2209684E-4</v>
      </c>
      <c r="K18" s="3"/>
      <c r="L18" s="3">
        <f t="shared" si="0"/>
        <v>5.4655029093931835E-2</v>
      </c>
      <c r="M18" s="3"/>
      <c r="N18" s="2">
        <f>IF('Modell einstellen'!$B$1="Voll",H18/0.35,H18/0.35*2)</f>
        <v>2.4740674857142862E-4</v>
      </c>
      <c r="O18" s="2">
        <f>IF('Modell einstellen'!$B$1="Voll",J18/0.35,J18/0.35*2)</f>
        <v>-6.345624E-4</v>
      </c>
      <c r="P18" s="3">
        <f t="shared" si="1"/>
        <v>0.38988561025902041</v>
      </c>
      <c r="Q18" s="3"/>
      <c r="R18" s="3"/>
      <c r="S18" s="3"/>
      <c r="T18" s="3"/>
      <c r="U18" s="3"/>
    </row>
    <row r="19" spans="1:21" x14ac:dyDescent="0.25">
      <c r="A19" s="3">
        <v>10</v>
      </c>
      <c r="B19" s="3">
        <v>2.0299999999999999E-5</v>
      </c>
      <c r="C19" s="3">
        <v>1.7650000000000001E-4</v>
      </c>
      <c r="D19" s="3">
        <v>-4.8460000000000002E-4</v>
      </c>
      <c r="E19" s="3">
        <v>0</v>
      </c>
      <c r="F19" s="3">
        <v>0</v>
      </c>
      <c r="G19" s="3">
        <v>0</v>
      </c>
      <c r="H19" s="3">
        <v>9.1992653000000002E-5</v>
      </c>
      <c r="I19" s="3">
        <v>1.8252865E-5</v>
      </c>
      <c r="J19" s="3">
        <v>-2.3068123E-4</v>
      </c>
      <c r="K19" s="3"/>
      <c r="L19" s="3">
        <f t="shared" si="0"/>
        <v>4.1890218737102761E-2</v>
      </c>
      <c r="M19" s="3"/>
      <c r="N19" s="2">
        <f>IF('Modell einstellen'!$B$1="Voll",H19/0.35,H19/0.35*2)</f>
        <v>2.6283615142857147E-4</v>
      </c>
      <c r="O19" s="2">
        <f>IF('Modell einstellen'!$B$1="Voll",J19/0.35,J19/0.35*2)</f>
        <v>-6.5908922857142857E-4</v>
      </c>
      <c r="P19" s="3">
        <f t="shared" si="1"/>
        <v>0.3987869017344845</v>
      </c>
      <c r="Q19" s="3"/>
      <c r="R19" s="3"/>
      <c r="S19" s="3"/>
      <c r="T19" s="3"/>
      <c r="U19" s="3"/>
    </row>
    <row r="20" spans="1:21" x14ac:dyDescent="0.25">
      <c r="A20" s="3">
        <v>100</v>
      </c>
      <c r="B20" s="3">
        <v>2.1350000000000001E-5</v>
      </c>
      <c r="C20" s="3">
        <v>1.9320000000000001E-4</v>
      </c>
      <c r="D20" s="3">
        <v>-5.0379999999999999E-4</v>
      </c>
      <c r="E20" s="3">
        <v>0</v>
      </c>
      <c r="F20" s="3">
        <v>0</v>
      </c>
      <c r="G20" s="3">
        <v>0</v>
      </c>
      <c r="H20" s="3">
        <v>9.9872318999999994E-5</v>
      </c>
      <c r="I20" s="3">
        <v>2.0176715000000001E-5</v>
      </c>
      <c r="J20" s="3">
        <v>-2.4564283000000001E-4</v>
      </c>
      <c r="K20" s="3"/>
      <c r="L20" s="3">
        <f t="shared" si="0"/>
        <v>4.2377927749106793E-2</v>
      </c>
      <c r="M20" s="3"/>
      <c r="N20" s="2">
        <f>IF('Modell einstellen'!$B$1="Voll",H20/0.35,H20/0.35*2)</f>
        <v>2.8534948285714284E-4</v>
      </c>
      <c r="O20" s="2">
        <f>IF('Modell einstellen'!$B$1="Voll",J20/0.35,J20/0.35*2)</f>
        <v>-7.0183665714285723E-4</v>
      </c>
      <c r="P20" s="3">
        <f t="shared" si="1"/>
        <v>0.40657534762972719</v>
      </c>
      <c r="Q20" s="3"/>
      <c r="R20" s="3"/>
      <c r="S20" s="3"/>
      <c r="T20" s="3"/>
      <c r="U20" s="3"/>
    </row>
    <row r="21" spans="1:21" x14ac:dyDescent="0.25">
      <c r="A21" s="3">
        <v>1000</v>
      </c>
      <c r="B21" s="3">
        <v>4.3770000000000003E-5</v>
      </c>
      <c r="C21" s="3">
        <v>2.3110000000000001E-4</v>
      </c>
      <c r="D21" s="3">
        <v>-5.6030000000000001E-4</v>
      </c>
      <c r="E21" s="3">
        <v>0</v>
      </c>
      <c r="F21" s="3">
        <v>0</v>
      </c>
      <c r="G21" s="3">
        <v>0</v>
      </c>
      <c r="H21" s="3">
        <v>1.1064323999999999E-4</v>
      </c>
      <c r="I21" s="3">
        <v>2.4620198E-5</v>
      </c>
      <c r="J21" s="3">
        <v>-2.7143738999999998E-4</v>
      </c>
      <c r="K21" s="3"/>
      <c r="L21" s="3">
        <f t="shared" si="0"/>
        <v>7.8118864893806886E-2</v>
      </c>
      <c r="M21" s="3"/>
      <c r="N21" s="2">
        <f>IF('Modell einstellen'!$B$1="Voll",H21/0.35,H21/0.35*2)</f>
        <v>3.1612354285714289E-4</v>
      </c>
      <c r="O21" s="2">
        <f>IF('Modell einstellen'!$B$1="Voll",J21/0.35,J21/0.35*2)</f>
        <v>-7.7553539999999997E-4</v>
      </c>
      <c r="P21" s="3">
        <f t="shared" si="1"/>
        <v>0.40761974612266944</v>
      </c>
      <c r="Q21" s="3"/>
      <c r="R21" s="3"/>
      <c r="S21" s="3"/>
      <c r="T21" s="3"/>
      <c r="U21" s="3"/>
    </row>
    <row r="22" spans="1:21" x14ac:dyDescent="0.25">
      <c r="A22" s="3">
        <v>10000</v>
      </c>
      <c r="B22" s="3">
        <v>7.7529999999999998E-5</v>
      </c>
      <c r="C22" s="3">
        <v>2.8269999999999999E-4</v>
      </c>
      <c r="D22" s="3">
        <v>-6.3969999999999999E-4</v>
      </c>
      <c r="E22" s="3">
        <v>0</v>
      </c>
      <c r="F22" s="3">
        <v>0</v>
      </c>
      <c r="G22" s="3">
        <v>0</v>
      </c>
      <c r="H22" s="3">
        <v>1.2323548E-4</v>
      </c>
      <c r="I22" s="3">
        <v>3.0881842999999997E-5</v>
      </c>
      <c r="J22" s="3">
        <v>-3.0507026E-4</v>
      </c>
      <c r="K22" s="3"/>
      <c r="L22" s="3">
        <f t="shared" si="0"/>
        <v>0.12119743629826481</v>
      </c>
      <c r="M22" s="3"/>
      <c r="N22" s="2">
        <f>IF('Modell einstellen'!$B$1="Voll",H22/0.35,H22/0.35*2)</f>
        <v>3.5210137142857145E-4</v>
      </c>
      <c r="O22" s="2">
        <f>IF('Modell einstellen'!$B$1="Voll",J22/0.35,J22/0.35*2)</f>
        <v>-8.7162931428571438E-4</v>
      </c>
      <c r="P22" s="3">
        <f t="shared" si="1"/>
        <v>0.40395769813812726</v>
      </c>
      <c r="Q22" s="3"/>
      <c r="R22" s="3"/>
      <c r="S22" s="3"/>
      <c r="T22" s="3"/>
      <c r="U22" s="3"/>
    </row>
    <row r="23" spans="1:21" x14ac:dyDescent="0.25">
      <c r="A23" s="3">
        <v>100000</v>
      </c>
      <c r="B23" s="3">
        <v>1.081E-4</v>
      </c>
      <c r="C23" s="3">
        <v>3.3780000000000003E-4</v>
      </c>
      <c r="D23" s="3">
        <v>-7.205E-4</v>
      </c>
      <c r="E23" s="3">
        <v>0</v>
      </c>
      <c r="F23" s="3">
        <v>0</v>
      </c>
      <c r="G23" s="3">
        <v>0</v>
      </c>
      <c r="H23" s="3">
        <v>1.3742002E-4</v>
      </c>
      <c r="I23" s="3">
        <v>3.7848795999999998E-5</v>
      </c>
      <c r="J23" s="3">
        <v>-3.4312448000000002E-4</v>
      </c>
      <c r="K23" s="3"/>
      <c r="L23" s="3">
        <f t="shared" si="0"/>
        <v>0.15003469812630119</v>
      </c>
      <c r="M23" s="3"/>
      <c r="N23" s="2">
        <f>IF('Modell einstellen'!$B$1="Voll",H23/0.35,H23/0.35*2)</f>
        <v>3.9262862857142859E-4</v>
      </c>
      <c r="O23" s="2">
        <f>IF('Modell einstellen'!$B$1="Voll",J23/0.35,J23/0.35*2)</f>
        <v>-9.803556571428573E-4</v>
      </c>
      <c r="P23" s="3">
        <f t="shared" si="1"/>
        <v>0.40049611149866071</v>
      </c>
      <c r="Q23" s="3"/>
      <c r="R23" s="3"/>
      <c r="S23" s="3"/>
      <c r="T23" s="3"/>
      <c r="U23" s="3"/>
    </row>
    <row r="24" spans="1:21" x14ac:dyDescent="0.25">
      <c r="A24" s="3">
        <v>1000000</v>
      </c>
      <c r="B24" s="3">
        <v>1.2769999999999999E-4</v>
      </c>
      <c r="C24" s="3">
        <v>3.948E-4</v>
      </c>
      <c r="D24" s="3">
        <v>-7.9500000000000003E-4</v>
      </c>
      <c r="E24" s="3">
        <v>0</v>
      </c>
      <c r="F24" s="3">
        <v>0</v>
      </c>
      <c r="G24" s="3">
        <v>0</v>
      </c>
      <c r="H24" s="3">
        <v>1.5458875999999999E-4</v>
      </c>
      <c r="I24" s="3">
        <v>4.5409998999999998E-5</v>
      </c>
      <c r="J24" s="3">
        <v>-3.8692875000000002E-4</v>
      </c>
      <c r="K24" s="3"/>
      <c r="L24" s="3">
        <f t="shared" si="0"/>
        <v>0.16062893081761004</v>
      </c>
      <c r="M24" s="3"/>
      <c r="N24" s="2">
        <f>IF('Modell einstellen'!$B$1="Voll",H24/0.35,H24/0.35*2)</f>
        <v>4.4168217142857142E-4</v>
      </c>
      <c r="O24" s="2">
        <f>IF('Modell einstellen'!$B$1="Voll",J24/0.35,J24/0.35*2)</f>
        <v>-1.1055107142857144E-3</v>
      </c>
      <c r="P24" s="3">
        <f t="shared" si="1"/>
        <v>0.39952771666618203</v>
      </c>
      <c r="Q24" s="3"/>
      <c r="R24" s="3"/>
      <c r="S24" s="3"/>
      <c r="T24" s="3"/>
      <c r="U24" s="3"/>
    </row>
    <row r="25" spans="1:21" x14ac:dyDescent="0.25">
      <c r="A25" s="3">
        <v>10000000</v>
      </c>
      <c r="B25" s="3">
        <v>1.247E-4</v>
      </c>
      <c r="C25" s="3">
        <v>4.6440000000000001E-4</v>
      </c>
      <c r="D25" s="3">
        <v>-8.633E-4</v>
      </c>
      <c r="E25" s="3">
        <v>0</v>
      </c>
      <c r="F25" s="3">
        <v>0</v>
      </c>
      <c r="G25" s="3">
        <v>0</v>
      </c>
      <c r="H25" s="3">
        <v>1.8028515E-4</v>
      </c>
      <c r="I25" s="3">
        <v>5.5134611999999998E-5</v>
      </c>
      <c r="J25" s="3">
        <v>-4.4791862000000002E-4</v>
      </c>
      <c r="K25" s="3"/>
      <c r="L25" s="3">
        <f t="shared" si="0"/>
        <v>0.14444573149542453</v>
      </c>
      <c r="M25" s="3"/>
      <c r="N25" s="2">
        <f>IF('Modell einstellen'!$B$1="Voll",H25/0.35,H25/0.35*2)</f>
        <v>5.1510042857142856E-4</v>
      </c>
      <c r="O25" s="2">
        <f>IF('Modell einstellen'!$B$1="Voll",J25/0.35,J25/0.35*2)</f>
        <v>-1.2797674857142859E-3</v>
      </c>
      <c r="P25" s="3">
        <f t="shared" si="1"/>
        <v>0.40249532381574127</v>
      </c>
      <c r="Q25" s="3"/>
      <c r="R25" s="3"/>
      <c r="S25" s="3"/>
      <c r="T25" s="3"/>
      <c r="U25" s="3"/>
    </row>
    <row r="26" spans="1:21" x14ac:dyDescent="0.25">
      <c r="A26" s="3">
        <v>100000000</v>
      </c>
      <c r="B26" s="3">
        <v>7.9010000000000004E-5</v>
      </c>
      <c r="C26" s="3">
        <v>5.6150000000000004E-4</v>
      </c>
      <c r="D26" s="3">
        <v>-9.1980000000000002E-4</v>
      </c>
      <c r="E26" s="3">
        <v>0</v>
      </c>
      <c r="F26" s="3">
        <v>0</v>
      </c>
      <c r="G26" s="3">
        <v>0</v>
      </c>
      <c r="H26" s="3">
        <v>2.2108277000000001E-4</v>
      </c>
      <c r="I26" s="3">
        <v>6.9456720000000003E-5</v>
      </c>
      <c r="J26" s="3">
        <v>-5.4139352999999998E-4</v>
      </c>
      <c r="K26" s="3"/>
      <c r="L26" s="3">
        <f t="shared" si="0"/>
        <v>8.5899108501848231E-2</v>
      </c>
      <c r="M26" s="3"/>
      <c r="N26" s="2">
        <f>IF('Modell einstellen'!$B$1="Voll",H26/0.35,H26/0.35*2)</f>
        <v>6.3166505714285718E-4</v>
      </c>
      <c r="O26" s="2">
        <f>IF('Modell einstellen'!$B$1="Voll",J26/0.35,J26/0.35*2)</f>
        <v>-1.5468386571428571E-3</v>
      </c>
      <c r="P26" s="3">
        <f t="shared" si="1"/>
        <v>0.40835872198177181</v>
      </c>
      <c r="Q26" s="3"/>
      <c r="R26" s="3"/>
      <c r="S26" s="3"/>
      <c r="T26" s="3"/>
      <c r="U26" s="3"/>
    </row>
    <row r="27" spans="1:21" x14ac:dyDescent="0.25">
      <c r="A27" s="3">
        <v>1000000000</v>
      </c>
      <c r="B27" s="3">
        <v>-7.1299999999999998E-5</v>
      </c>
      <c r="C27" s="3">
        <v>7.1659999999999996E-4</v>
      </c>
      <c r="D27" s="3">
        <v>-9.3300000000000002E-4</v>
      </c>
      <c r="E27" s="3">
        <v>0</v>
      </c>
      <c r="F27" s="3">
        <v>0</v>
      </c>
      <c r="G27" s="3">
        <v>0</v>
      </c>
      <c r="H27" s="3">
        <v>2.9380897999999999E-4</v>
      </c>
      <c r="I27" s="3">
        <v>9.3722209E-5</v>
      </c>
      <c r="J27" s="3">
        <v>-7.0361765000000003E-4</v>
      </c>
      <c r="K27" s="3"/>
      <c r="L27" s="3">
        <f t="shared" si="0"/>
        <v>-7.6420150053590569E-2</v>
      </c>
      <c r="M27" s="3"/>
      <c r="N27" s="2">
        <f>IF('Modell einstellen'!$B$1="Voll",H27/0.35,H27/0.35*2)</f>
        <v>8.3945422857142861E-4</v>
      </c>
      <c r="O27" s="2">
        <f>IF('Modell einstellen'!$B$1="Voll",J27/0.35,J27/0.35*2)</f>
        <v>-2.0103361428571429E-3</v>
      </c>
      <c r="P27" s="3">
        <f t="shared" si="1"/>
        <v>0.41756908741558713</v>
      </c>
      <c r="Q27" s="3"/>
      <c r="R27" s="3"/>
      <c r="S27" s="3"/>
      <c r="T27" s="3"/>
      <c r="U27" s="3"/>
    </row>
    <row r="28" spans="1:21" x14ac:dyDescent="0.25">
      <c r="A28" s="3">
        <v>10000000000</v>
      </c>
      <c r="B28" s="3">
        <v>-5.2079999999999997E-4</v>
      </c>
      <c r="C28" s="3">
        <v>1.013E-3</v>
      </c>
      <c r="D28" s="3">
        <v>-7.9069999999999997E-4</v>
      </c>
      <c r="E28" s="3">
        <v>0</v>
      </c>
      <c r="F28" s="3">
        <v>0</v>
      </c>
      <c r="G28" s="3">
        <v>0</v>
      </c>
      <c r="H28" s="3">
        <v>4.5070971999999998E-4</v>
      </c>
      <c r="I28" s="3">
        <v>1.4327417000000001E-4</v>
      </c>
      <c r="J28" s="3">
        <v>-1.0426226E-3</v>
      </c>
      <c r="K28" s="3"/>
      <c r="L28" s="3">
        <f t="shared" si="0"/>
        <v>-0.65865688630327557</v>
      </c>
      <c r="M28" s="3"/>
      <c r="N28" s="2">
        <f>IF('Modell einstellen'!$B$1="Voll",H28/0.35,H28/0.35*2)</f>
        <v>1.2877420571428572E-3</v>
      </c>
      <c r="O28" s="2">
        <f>IF('Modell einstellen'!$B$1="Voll",J28/0.35,J28/0.35*2)</f>
        <v>-2.9789217142857146E-3</v>
      </c>
      <c r="P28" s="3">
        <f t="shared" si="1"/>
        <v>0.43228462532847456</v>
      </c>
      <c r="Q28" s="3"/>
      <c r="R28" s="3"/>
      <c r="S28" s="3"/>
      <c r="T28" s="3"/>
      <c r="U28" s="3"/>
    </row>
    <row r="29" spans="1:21" x14ac:dyDescent="0.25">
      <c r="A29" s="3">
        <v>100000000000</v>
      </c>
      <c r="B29" s="3">
        <v>-1.6260000000000001E-3</v>
      </c>
      <c r="C29" s="3">
        <v>1.5590000000000001E-3</v>
      </c>
      <c r="D29" s="3">
        <v>-2.4130000000000001E-4</v>
      </c>
      <c r="E29" s="3">
        <v>0</v>
      </c>
      <c r="F29" s="3">
        <v>0</v>
      </c>
      <c r="G29" s="3">
        <v>0</v>
      </c>
      <c r="H29" s="3">
        <v>7.7029338999999998E-4</v>
      </c>
      <c r="I29" s="3">
        <v>2.3965552999999999E-4</v>
      </c>
      <c r="J29" s="3">
        <v>-1.7138715E-3</v>
      </c>
      <c r="K29" s="3"/>
      <c r="L29" s="3">
        <f t="shared" si="0"/>
        <v>-6.7384997927890593</v>
      </c>
      <c r="M29" s="3"/>
      <c r="N29" s="2">
        <f>IF('Modell einstellen'!$B$1="Voll",H29/0.35,H29/0.35*2)</f>
        <v>2.200838257142857E-3</v>
      </c>
      <c r="O29" s="2">
        <f>IF('Modell einstellen'!$B$1="Voll",J29/0.35,J29/0.35*2)</f>
        <v>-4.8967757142857147E-3</v>
      </c>
      <c r="P29" s="3">
        <f t="shared" si="1"/>
        <v>0.44944640832174404</v>
      </c>
      <c r="Q29" s="3"/>
      <c r="R29" s="3"/>
      <c r="S29" s="3"/>
      <c r="T29" s="3"/>
      <c r="U29" s="3"/>
    </row>
    <row r="30" spans="1:21" x14ac:dyDescent="0.25">
      <c r="A30" s="3">
        <v>1000000000000</v>
      </c>
      <c r="B30" s="3">
        <v>-3.8960000000000002E-3</v>
      </c>
      <c r="C30" s="3">
        <v>2.539E-3</v>
      </c>
      <c r="D30" s="3">
        <v>1.041E-3</v>
      </c>
      <c r="E30" s="3">
        <v>0</v>
      </c>
      <c r="F30" s="3">
        <v>0</v>
      </c>
      <c r="G30" s="3">
        <v>0</v>
      </c>
      <c r="H30" s="3">
        <v>1.3771527E-3</v>
      </c>
      <c r="I30" s="3">
        <v>4.1724421999999998E-4</v>
      </c>
      <c r="J30" s="3">
        <v>-2.9625049999999998E-3</v>
      </c>
      <c r="K30" s="3"/>
      <c r="L30" s="3">
        <f t="shared" si="0"/>
        <v>3.7425552353506246</v>
      </c>
      <c r="M30" s="3"/>
      <c r="N30" s="2">
        <f>IF('Modell einstellen'!$B$1="Voll",H30/0.35,H30/0.35*2)</f>
        <v>3.9347219999999999E-3</v>
      </c>
      <c r="O30" s="2">
        <f>IF('Modell einstellen'!$B$1="Voll",J30/0.35,J30/0.35*2)</f>
        <v>-8.4642999999999993E-3</v>
      </c>
      <c r="P30" s="3">
        <f t="shared" si="1"/>
        <v>0.46486088631074041</v>
      </c>
      <c r="Q30" s="3"/>
      <c r="R30" s="3"/>
      <c r="S30" s="3"/>
      <c r="T30" s="3"/>
      <c r="U30" s="3"/>
    </row>
    <row r="31" spans="1:21" x14ac:dyDescent="0.25">
      <c r="A31" s="3">
        <v>10000000000000</v>
      </c>
      <c r="B31" s="3">
        <v>-8.1429999999999992E-3</v>
      </c>
      <c r="C31" s="3">
        <v>4.267E-3</v>
      </c>
      <c r="D31" s="3">
        <v>3.5539999999999999E-3</v>
      </c>
      <c r="E31" s="3">
        <v>0</v>
      </c>
      <c r="F31" s="3">
        <v>0</v>
      </c>
      <c r="G31" s="3">
        <v>0</v>
      </c>
      <c r="H31" s="3">
        <v>2.4894317000000001E-3</v>
      </c>
      <c r="I31" s="3">
        <v>7.3721020000000004E-4</v>
      </c>
      <c r="J31" s="3">
        <v>-5.2133461000000002E-3</v>
      </c>
      <c r="K31" s="3"/>
      <c r="L31" s="3">
        <f t="shared" si="0"/>
        <v>2.2912211592571747</v>
      </c>
      <c r="M31" s="3"/>
      <c r="N31" s="2">
        <f>IF('Modell einstellen'!$B$1="Voll",H31/0.35,H31/0.35*2)</f>
        <v>7.1126620000000005E-3</v>
      </c>
      <c r="O31" s="2">
        <f>IF('Modell einstellen'!$B$1="Voll",J31/0.35,J31/0.35*2)</f>
        <v>-1.4895274571428573E-2</v>
      </c>
      <c r="P31" s="3">
        <f t="shared" si="1"/>
        <v>0.47751130507142042</v>
      </c>
      <c r="Q31" s="3"/>
      <c r="R31" s="3"/>
      <c r="S31" s="3"/>
      <c r="T31" s="3"/>
      <c r="U31" s="3"/>
    </row>
    <row r="32" spans="1:21" x14ac:dyDescent="0.25">
      <c r="A32" s="3">
        <v>100000000000000</v>
      </c>
      <c r="B32" s="3">
        <v>-1.244E-2</v>
      </c>
      <c r="C32" s="3">
        <v>5.9930000000000001E-3</v>
      </c>
      <c r="D32" s="3">
        <v>6.1180000000000002E-3</v>
      </c>
      <c r="E32" s="3">
        <v>0</v>
      </c>
      <c r="F32" s="3">
        <v>0</v>
      </c>
      <c r="G32" s="3">
        <v>0</v>
      </c>
      <c r="H32" s="3">
        <v>3.6301923000000001E-3</v>
      </c>
      <c r="I32" s="3">
        <v>1.0699716000000001E-3</v>
      </c>
      <c r="J32" s="3">
        <v>-7.5153310999999997E-3</v>
      </c>
      <c r="K32" s="3"/>
      <c r="L32" s="3">
        <f t="shared" si="0"/>
        <v>2.0333442301405689</v>
      </c>
      <c r="M32" s="3"/>
      <c r="N32" s="2">
        <f>IF('Modell einstellen'!$B$1="Voll",H32/0.35,H32/0.35*2)</f>
        <v>1.0371978E-2</v>
      </c>
      <c r="O32" s="2">
        <f>IF('Modell einstellen'!$B$1="Voll",J32/0.35,J32/0.35*2)</f>
        <v>-2.1472374571428574E-2</v>
      </c>
      <c r="P32" s="3">
        <f t="shared" si="1"/>
        <v>0.48303823899388809</v>
      </c>
      <c r="Q32" s="3"/>
      <c r="R32" s="3"/>
      <c r="S32" s="3"/>
      <c r="T32" s="3"/>
      <c r="U32" s="3"/>
    </row>
    <row r="33" spans="1:21" x14ac:dyDescent="0.25">
      <c r="A33" s="2">
        <v>1000000000000000</v>
      </c>
      <c r="B33" s="3">
        <v>-1.436E-2</v>
      </c>
      <c r="C33" s="3">
        <v>6.8149999999999999E-3</v>
      </c>
      <c r="D33" s="3">
        <v>7.2150000000000001E-3</v>
      </c>
      <c r="E33" s="3">
        <v>0</v>
      </c>
      <c r="F33" s="3">
        <v>0</v>
      </c>
      <c r="G33" s="3">
        <v>0</v>
      </c>
      <c r="H33" s="3">
        <v>4.1610880999999999E-3</v>
      </c>
      <c r="I33" s="3">
        <v>1.2351806E-3</v>
      </c>
      <c r="J33" s="3">
        <v>-8.6153549000000003E-3</v>
      </c>
      <c r="K33" s="3"/>
      <c r="L33" s="3">
        <f t="shared" si="0"/>
        <v>1.9902979902979903</v>
      </c>
      <c r="M33" s="3"/>
      <c r="N33" s="2">
        <f>IF('Modell einstellen'!$B$1="Voll",H33/0.35,H33/0.35*2)</f>
        <v>1.1888823142857143E-2</v>
      </c>
      <c r="O33" s="2">
        <f>IF('Modell einstellen'!$B$1="Voll",J33/0.35,J33/0.35*2)</f>
        <v>-2.4615299714285718E-2</v>
      </c>
      <c r="P33" s="3">
        <f t="shared" si="1"/>
        <v>0.48298510604595052</v>
      </c>
      <c r="Q33" s="3"/>
      <c r="R33" s="3"/>
      <c r="S33" s="3"/>
      <c r="T33" s="3"/>
      <c r="U33" s="3"/>
    </row>
    <row r="34" spans="1:21" x14ac:dyDescent="0.25">
      <c r="A34" s="2"/>
      <c r="B34" s="3"/>
      <c r="C34" s="3"/>
      <c r="D34" s="3"/>
      <c r="E34" s="3"/>
      <c r="F34" s="3"/>
      <c r="G34" s="3"/>
      <c r="H34" s="3"/>
      <c r="I34" s="3"/>
      <c r="J34" s="3"/>
      <c r="K34" s="3"/>
      <c r="M34" s="3"/>
      <c r="N34" s="3"/>
      <c r="O34" s="3"/>
      <c r="P34" s="3"/>
      <c r="Q34" s="3"/>
      <c r="R34" s="3"/>
      <c r="S34" s="3"/>
      <c r="T34" s="3"/>
      <c r="U34" s="3"/>
    </row>
    <row r="35" spans="1:21" x14ac:dyDescent="0.25">
      <c r="A35" s="2"/>
      <c r="B35" s="3"/>
      <c r="C35" s="3"/>
      <c r="D35" s="3"/>
      <c r="E35" s="3"/>
      <c r="F35" s="3"/>
      <c r="G35" s="3"/>
      <c r="H35" s="3"/>
      <c r="I35" s="3"/>
      <c r="J35" s="3"/>
      <c r="K35" s="3"/>
      <c r="M35" s="3"/>
      <c r="N35" s="3"/>
      <c r="O35" s="3"/>
      <c r="P35" s="3"/>
      <c r="Q35" s="3"/>
      <c r="R35" s="3"/>
      <c r="S35" s="3"/>
      <c r="T35" s="3"/>
      <c r="U35" s="3"/>
    </row>
    <row r="36" spans="1:21" x14ac:dyDescent="0.25">
      <c r="A36" s="2"/>
      <c r="B36" s="3"/>
      <c r="C36" s="3"/>
      <c r="D36" s="3"/>
      <c r="E36" s="3"/>
      <c r="F36" s="3"/>
      <c r="G36" s="3"/>
      <c r="H36" s="3"/>
      <c r="I36" s="3"/>
      <c r="J36" s="3"/>
      <c r="K36" s="3"/>
      <c r="M36" s="3"/>
      <c r="N36" s="3"/>
      <c r="O36" s="3"/>
      <c r="P36" s="3"/>
      <c r="Q36" s="3"/>
      <c r="R36" s="3"/>
      <c r="S36" s="3"/>
      <c r="T36" s="3"/>
      <c r="U36" s="3"/>
    </row>
    <row r="37" spans="1:21" x14ac:dyDescent="0.25">
      <c r="A37" s="2"/>
      <c r="B37" s="3"/>
      <c r="C37" s="3"/>
      <c r="D37" s="3"/>
      <c r="E37" s="3"/>
      <c r="F37" s="3"/>
      <c r="G37" s="3"/>
      <c r="H37" s="3"/>
      <c r="I37" s="3"/>
      <c r="J37" s="3"/>
      <c r="K37" s="3"/>
      <c r="M37" s="3"/>
      <c r="N37" s="3"/>
      <c r="O37" s="3"/>
      <c r="P37" s="3"/>
      <c r="Q37" s="3"/>
      <c r="R37" s="3"/>
      <c r="S37" s="3"/>
      <c r="T37" s="3"/>
      <c r="U37" s="3"/>
    </row>
    <row r="38" spans="1:21" x14ac:dyDescent="0.25">
      <c r="A38" s="2"/>
      <c r="B38" s="3"/>
      <c r="C38" s="3"/>
      <c r="D38" s="3"/>
      <c r="E38" s="3"/>
      <c r="F38" s="3"/>
      <c r="G38" s="3"/>
      <c r="H38" s="3"/>
      <c r="I38" s="3"/>
      <c r="J38" s="3"/>
      <c r="K38" s="3"/>
      <c r="M38" s="3"/>
      <c r="N38" s="3"/>
      <c r="O38" s="3"/>
      <c r="P38" s="3"/>
      <c r="Q38" s="3"/>
      <c r="R38" s="3"/>
      <c r="S38" s="3"/>
      <c r="T38" s="3"/>
      <c r="U38" s="3"/>
    </row>
    <row r="39" spans="1:21" x14ac:dyDescent="0.25">
      <c r="A39" s="2"/>
      <c r="B39" s="3"/>
      <c r="C39" s="3"/>
      <c r="D39" s="3"/>
      <c r="E39" s="3"/>
      <c r="F39" s="3"/>
      <c r="G39" s="3"/>
      <c r="H39" s="3"/>
      <c r="I39" s="3"/>
      <c r="J39" s="3"/>
      <c r="K39" s="3"/>
      <c r="M39" s="3"/>
      <c r="N39" s="3"/>
      <c r="O39" s="3"/>
      <c r="P39" s="3"/>
      <c r="Q39" s="3"/>
      <c r="R39" s="3"/>
      <c r="S39" s="3"/>
      <c r="T39" s="3"/>
      <c r="U39" s="3"/>
    </row>
    <row r="40" spans="1:21" x14ac:dyDescent="0.25">
      <c r="A40" s="2"/>
      <c r="B40" s="3"/>
      <c r="C40" s="3"/>
      <c r="D40" s="3"/>
      <c r="E40" s="3"/>
      <c r="F40" s="3"/>
      <c r="G40" s="3"/>
      <c r="H40" s="3"/>
      <c r="I40" s="3"/>
      <c r="J40" s="3"/>
      <c r="K40" s="3"/>
      <c r="M40" s="3"/>
      <c r="N40" s="3"/>
      <c r="O40" s="3"/>
      <c r="P40" s="3"/>
      <c r="Q40" s="3"/>
      <c r="R40" s="3"/>
      <c r="S40" s="3"/>
      <c r="T40" s="3"/>
      <c r="U40" s="3"/>
    </row>
    <row r="41" spans="1:21" x14ac:dyDescent="0.25">
      <c r="A41" s="2"/>
      <c r="B41" s="3"/>
      <c r="C41" s="3"/>
      <c r="D41" s="3"/>
      <c r="E41" s="3"/>
      <c r="F41" s="3"/>
      <c r="G41" s="3"/>
      <c r="H41" s="3"/>
      <c r="I41" s="3"/>
      <c r="J41" s="3"/>
      <c r="K41" s="3"/>
      <c r="M41" s="3"/>
      <c r="N41" s="3"/>
      <c r="O41" s="3"/>
      <c r="P41" s="3"/>
      <c r="Q41" s="3"/>
      <c r="R41" s="3"/>
      <c r="S41" s="3"/>
      <c r="T41" s="3"/>
      <c r="U41" s="3"/>
    </row>
    <row r="42" spans="1:21" x14ac:dyDescent="0.25">
      <c r="A42" s="2"/>
      <c r="B42" s="3"/>
      <c r="C42" s="3"/>
      <c r="D42" s="3"/>
      <c r="E42" s="3"/>
      <c r="F42" s="3"/>
      <c r="G42" s="3"/>
      <c r="H42" s="3"/>
      <c r="I42" s="3"/>
      <c r="J42" s="3"/>
      <c r="K42" s="3"/>
      <c r="M42" s="3"/>
      <c r="N42" s="3"/>
      <c r="O42" s="3"/>
      <c r="P42" s="3"/>
      <c r="Q42" s="3"/>
      <c r="R42" s="3"/>
      <c r="S42" s="3"/>
      <c r="T42" s="3"/>
      <c r="U42" s="3"/>
    </row>
    <row r="43" spans="1:21" x14ac:dyDescent="0.25">
      <c r="A43" s="2"/>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13"/>
  <dimension ref="A1:U42"/>
  <sheetViews>
    <sheetView workbookViewId="0">
      <selection activeCell="U18" sqref="U18"/>
    </sheetView>
  </sheetViews>
  <sheetFormatPr baseColWidth="10" defaultColWidth="9.140625" defaultRowHeight="15" x14ac:dyDescent="0.25"/>
  <cols>
    <col min="1" max="1" width="8.5703125" customWidth="1"/>
    <col min="2" max="2" width="9" customWidth="1"/>
    <col min="3" max="3" width="8.28515625" customWidth="1"/>
    <col min="4" max="4" width="9" customWidth="1"/>
    <col min="5" max="7" width="8.5703125" customWidth="1"/>
    <col min="8" max="8" width="8.28515625" customWidth="1"/>
    <col min="9" max="9" width="12.28515625" bestFit="1" customWidth="1"/>
    <col min="10" max="10" width="9" customWidth="1"/>
    <col min="11" max="11" width="9.140625" style="1"/>
  </cols>
  <sheetData>
    <row r="1" spans="1:21" x14ac:dyDescent="0.25">
      <c r="A1" s="1" t="s">
        <v>13</v>
      </c>
      <c r="B1" s="1"/>
      <c r="C1" s="1"/>
      <c r="D1" s="1"/>
      <c r="E1" s="1"/>
      <c r="F1" s="1"/>
      <c r="G1" s="1"/>
      <c r="H1" s="1"/>
      <c r="J1" s="1"/>
      <c r="L1" s="82"/>
      <c r="M1" s="82"/>
      <c r="N1" s="100" t="s">
        <v>39</v>
      </c>
      <c r="O1" s="3" t="s">
        <v>116</v>
      </c>
      <c r="P1" s="100" t="s">
        <v>117</v>
      </c>
      <c r="Q1" s="4"/>
      <c r="R1" s="4"/>
      <c r="S1" s="4"/>
      <c r="U1" s="4"/>
    </row>
    <row r="2" spans="1:21" x14ac:dyDescent="0.25">
      <c r="A2" s="3" t="s">
        <v>32</v>
      </c>
      <c r="B2" s="3" t="s">
        <v>14</v>
      </c>
      <c r="C2" s="3" t="s">
        <v>15</v>
      </c>
      <c r="D2" s="3" t="s">
        <v>16</v>
      </c>
      <c r="E2" s="3" t="s">
        <v>33</v>
      </c>
      <c r="F2" s="3" t="s">
        <v>34</v>
      </c>
      <c r="G2" s="3" t="s">
        <v>35</v>
      </c>
      <c r="H2" s="3" t="s">
        <v>36</v>
      </c>
      <c r="I2" s="3" t="s">
        <v>37</v>
      </c>
      <c r="J2" s="3" t="s">
        <v>38</v>
      </c>
      <c r="K2" s="2"/>
      <c r="L2" s="3"/>
      <c r="M2" s="3"/>
      <c r="N2" s="100"/>
      <c r="O2" s="100"/>
      <c r="P2" s="3"/>
      <c r="Q2" s="3"/>
      <c r="R2" s="3"/>
      <c r="S2" s="3"/>
      <c r="T2" s="3"/>
      <c r="U2" s="3"/>
    </row>
    <row r="3" spans="1:21" x14ac:dyDescent="0.25">
      <c r="A3" s="3">
        <v>1.0000000000000001E-15</v>
      </c>
      <c r="B3" s="3">
        <v>4.634E-5</v>
      </c>
      <c r="C3" s="3">
        <v>1.5569999999999999E-4</v>
      </c>
      <c r="D3" s="3">
        <v>-4.7449999999999999E-4</v>
      </c>
      <c r="E3" s="3">
        <v>0</v>
      </c>
      <c r="F3" s="3">
        <v>0</v>
      </c>
      <c r="G3" s="3">
        <v>0</v>
      </c>
      <c r="H3" s="3">
        <v>7.1422107999999997E-5</v>
      </c>
      <c r="I3" s="3">
        <v>1.5889279999999999E-5</v>
      </c>
      <c r="J3" s="3">
        <v>-1.9867771999999999E-4</v>
      </c>
      <c r="K3" s="2"/>
      <c r="L3" s="3"/>
      <c r="M3" s="3"/>
      <c r="N3" s="2">
        <f>IF('Modell einstellen'!$B$1="Voll",H3/0.35,H3/0.35*2)</f>
        <v>2.0406316571428571E-4</v>
      </c>
      <c r="O3" s="2">
        <f>IF('Modell einstellen'!$B$1="Voll",J3/0.35,J3/0.35*2)</f>
        <v>-5.6765062857142858E-4</v>
      </c>
      <c r="P3" s="3">
        <f>-N3/O3</f>
        <v>0.35948725403130255</v>
      </c>
      <c r="Q3" s="3"/>
      <c r="R3" s="3"/>
      <c r="S3" s="3"/>
      <c r="T3" s="3"/>
      <c r="U3" s="3"/>
    </row>
    <row r="4" spans="1:21" x14ac:dyDescent="0.25">
      <c r="A4" s="3">
        <v>1E-14</v>
      </c>
      <c r="B4" s="3">
        <v>4.634E-5</v>
      </c>
      <c r="C4" s="3">
        <v>1.5569999999999999E-4</v>
      </c>
      <c r="D4" s="3">
        <v>-4.7449999999999999E-4</v>
      </c>
      <c r="E4" s="3">
        <v>0</v>
      </c>
      <c r="F4" s="3">
        <v>0</v>
      </c>
      <c r="G4" s="3">
        <v>0</v>
      </c>
      <c r="H4" s="3">
        <v>7.1423918000000002E-5</v>
      </c>
      <c r="I4" s="3">
        <v>1.5890344999999999E-5</v>
      </c>
      <c r="J4" s="3">
        <v>-1.9867396999999999E-4</v>
      </c>
      <c r="K4" s="2"/>
      <c r="L4" s="3"/>
      <c r="M4" s="3"/>
      <c r="N4" s="2">
        <f>IF('Modell einstellen'!$B$1="Voll",H4/0.35,H4/0.35*2)</f>
        <v>2.0406833714285716E-4</v>
      </c>
      <c r="O4" s="2">
        <f>IF('Modell einstellen'!$B$1="Voll",J4/0.35,J4/0.35*2)</f>
        <v>-5.6763991428571429E-4</v>
      </c>
      <c r="P4" s="3">
        <f t="shared" ref="P4:P33" si="0">-N4/O4</f>
        <v>0.35950314980870418</v>
      </c>
      <c r="Q4" s="3"/>
      <c r="R4" s="3"/>
      <c r="S4" s="3"/>
      <c r="T4" s="3"/>
      <c r="U4" s="3"/>
    </row>
    <row r="5" spans="1:21" x14ac:dyDescent="0.25">
      <c r="A5" s="3">
        <v>1E-13</v>
      </c>
      <c r="B5" s="3">
        <v>4.634E-5</v>
      </c>
      <c r="C5" s="3">
        <v>1.5569999999999999E-4</v>
      </c>
      <c r="D5" s="3">
        <v>-4.7449999999999999E-4</v>
      </c>
      <c r="E5" s="3">
        <v>0</v>
      </c>
      <c r="F5" s="3">
        <v>0</v>
      </c>
      <c r="G5" s="3">
        <v>0</v>
      </c>
      <c r="H5" s="3">
        <v>7.1425220999999999E-5</v>
      </c>
      <c r="I5" s="3">
        <v>1.5890621000000001E-5</v>
      </c>
      <c r="J5" s="3">
        <v>-1.9867644000000001E-4</v>
      </c>
      <c r="K5" s="2"/>
      <c r="L5" s="3"/>
      <c r="M5" s="3"/>
      <c r="N5" s="2">
        <f>IF('Modell einstellen'!$B$1="Voll",H5/0.35,H5/0.35*2)</f>
        <v>2.0407206E-4</v>
      </c>
      <c r="O5" s="2">
        <f>IF('Modell einstellen'!$B$1="Voll",J5/0.35,J5/0.35*2)</f>
        <v>-5.6764697142857147E-4</v>
      </c>
      <c r="P5" s="3">
        <f t="shared" si="0"/>
        <v>0.35950523876912627</v>
      </c>
      <c r="Q5" s="3"/>
      <c r="R5" s="3"/>
      <c r="S5" s="3"/>
      <c r="T5" s="3"/>
      <c r="U5" s="3"/>
    </row>
    <row r="6" spans="1:21" x14ac:dyDescent="0.25">
      <c r="A6" s="3">
        <v>9.9999999999999998E-13</v>
      </c>
      <c r="B6" s="3">
        <v>4.6329999999999999E-5</v>
      </c>
      <c r="C6" s="3">
        <v>1.5569999999999999E-4</v>
      </c>
      <c r="D6" s="3">
        <v>-4.7449999999999999E-4</v>
      </c>
      <c r="E6" s="3">
        <v>0</v>
      </c>
      <c r="F6" s="3">
        <v>0</v>
      </c>
      <c r="G6" s="3">
        <v>0</v>
      </c>
      <c r="H6" s="3">
        <v>7.1434596999999994E-5</v>
      </c>
      <c r="I6" s="3">
        <v>1.5891780000000001E-5</v>
      </c>
      <c r="J6" s="3">
        <v>-1.9869158000000001E-4</v>
      </c>
      <c r="K6" s="2"/>
      <c r="L6" s="3"/>
      <c r="M6" s="3"/>
      <c r="N6" s="2">
        <f>IF('Modell einstellen'!$B$1="Voll",H6/0.35,H6/0.35*2)</f>
        <v>2.0409884857142856E-4</v>
      </c>
      <c r="O6" s="2">
        <f>IF('Modell einstellen'!$B$1="Voll",J6/0.35,J6/0.35*2)</f>
        <v>-5.6769022857142864E-4</v>
      </c>
      <c r="P6" s="3">
        <f t="shared" si="0"/>
        <v>0.35952503372311995</v>
      </c>
      <c r="Q6" s="3"/>
      <c r="R6" s="3"/>
      <c r="S6" s="3"/>
      <c r="T6" s="3"/>
      <c r="U6" s="3"/>
    </row>
    <row r="7" spans="1:21" x14ac:dyDescent="0.25">
      <c r="A7" s="3">
        <v>9.9999999999999994E-12</v>
      </c>
      <c r="B7" s="3">
        <v>4.6230000000000003E-5</v>
      </c>
      <c r="C7" s="3">
        <v>1.5579999999999999E-4</v>
      </c>
      <c r="D7" s="3">
        <v>-4.7459999999999999E-4</v>
      </c>
      <c r="E7" s="3">
        <v>0</v>
      </c>
      <c r="F7" s="3">
        <v>0</v>
      </c>
      <c r="G7" s="3">
        <v>0</v>
      </c>
      <c r="H7" s="3">
        <v>7.1525632999999995E-5</v>
      </c>
      <c r="I7" s="3">
        <v>1.5902747000000001E-5</v>
      </c>
      <c r="J7" s="3">
        <v>-1.9883764000000001E-4</v>
      </c>
      <c r="K7" s="2"/>
      <c r="L7" s="3"/>
      <c r="M7" s="3"/>
      <c r="N7" s="2">
        <f>IF('Modell einstellen'!$B$1="Voll",H7/0.35,H7/0.35*2)</f>
        <v>2.0435895142857142E-4</v>
      </c>
      <c r="O7" s="2">
        <f>IF('Modell einstellen'!$B$1="Voll",J7/0.35,J7/0.35*2)</f>
        <v>-5.6810754285714291E-4</v>
      </c>
      <c r="P7" s="3">
        <f t="shared" si="0"/>
        <v>0.35971877859745266</v>
      </c>
      <c r="Q7" s="3"/>
      <c r="R7" s="3"/>
      <c r="S7" s="3"/>
      <c r="T7" s="3"/>
      <c r="U7" s="3"/>
    </row>
    <row r="8" spans="1:21" x14ac:dyDescent="0.25">
      <c r="A8" s="3">
        <v>1E-10</v>
      </c>
      <c r="B8" s="3">
        <v>4.5370000000000001E-5</v>
      </c>
      <c r="C8" s="3">
        <v>1.5660000000000001E-4</v>
      </c>
      <c r="D8" s="3">
        <v>-4.752E-4</v>
      </c>
      <c r="E8" s="3">
        <v>0</v>
      </c>
      <c r="F8" s="3">
        <v>0</v>
      </c>
      <c r="G8" s="3">
        <v>0</v>
      </c>
      <c r="H8" s="3">
        <v>7.2292843999999994E-5</v>
      </c>
      <c r="I8" s="3">
        <v>1.5994869E-5</v>
      </c>
      <c r="J8" s="3">
        <v>-2.0006703E-4</v>
      </c>
      <c r="K8" s="2"/>
      <c r="L8" s="3"/>
      <c r="M8" s="3"/>
      <c r="N8" s="2">
        <f>IF('Modell einstellen'!$B$1="Voll",H8/0.35,H8/0.35*2)</f>
        <v>2.0655098285714285E-4</v>
      </c>
      <c r="O8" s="2">
        <f>IF('Modell einstellen'!$B$1="Voll",J8/0.35,J8/0.35*2)</f>
        <v>-5.7162008571428572E-4</v>
      </c>
      <c r="P8" s="3">
        <f t="shared" si="0"/>
        <v>0.36134311585472129</v>
      </c>
      <c r="Q8" s="3"/>
      <c r="R8" s="3"/>
      <c r="S8" s="3"/>
      <c r="T8" s="3"/>
      <c r="U8" s="3"/>
    </row>
    <row r="9" spans="1:21" x14ac:dyDescent="0.25">
      <c r="A9" s="3">
        <v>1.0000000000000001E-9</v>
      </c>
      <c r="B9" s="3">
        <v>4.32E-5</v>
      </c>
      <c r="C9" s="3">
        <v>1.594E-4</v>
      </c>
      <c r="D9" s="3">
        <v>-4.7780000000000001E-4</v>
      </c>
      <c r="E9" s="3">
        <v>0</v>
      </c>
      <c r="F9" s="3">
        <v>0</v>
      </c>
      <c r="G9" s="3">
        <v>0</v>
      </c>
      <c r="H9" s="3">
        <v>7.4688289999999994E-5</v>
      </c>
      <c r="I9" s="3">
        <v>1.6306532000000001E-5</v>
      </c>
      <c r="J9" s="3">
        <v>-2.0396804000000001E-4</v>
      </c>
      <c r="K9" s="2"/>
      <c r="L9" s="3"/>
      <c r="M9" s="3"/>
      <c r="N9" s="2">
        <f>IF('Modell einstellen'!$B$1="Voll",H9/0.35,H9/0.35*2)</f>
        <v>2.1339511428571429E-4</v>
      </c>
      <c r="O9" s="2">
        <f>IF('Modell einstellen'!$B$1="Voll",J9/0.35,J9/0.35*2)</f>
        <v>-5.8276582857142865E-4</v>
      </c>
      <c r="P9" s="3">
        <f t="shared" si="0"/>
        <v>0.3661764362691331</v>
      </c>
      <c r="Q9" s="3"/>
      <c r="R9" s="3"/>
      <c r="S9" s="3"/>
      <c r="T9" s="3"/>
      <c r="U9" s="3"/>
    </row>
    <row r="10" spans="1:21" x14ac:dyDescent="0.25">
      <c r="A10" s="3">
        <v>1E-8</v>
      </c>
      <c r="B10" s="3">
        <v>4.0410000000000001E-5</v>
      </c>
      <c r="C10" s="3">
        <v>1.6229999999999999E-4</v>
      </c>
      <c r="D10" s="3">
        <v>-4.7990000000000001E-4</v>
      </c>
      <c r="E10" s="3">
        <v>0</v>
      </c>
      <c r="F10" s="3">
        <v>0</v>
      </c>
      <c r="G10" s="3">
        <v>0</v>
      </c>
      <c r="H10" s="3">
        <v>7.7300443E-5</v>
      </c>
      <c r="I10" s="3">
        <v>1.6628824000000001E-5</v>
      </c>
      <c r="J10" s="3">
        <v>-2.0814609999999999E-4</v>
      </c>
      <c r="K10" s="2"/>
      <c r="L10" s="3"/>
      <c r="M10" s="3"/>
      <c r="N10" s="2">
        <f>IF('Modell einstellen'!$B$1="Voll",H10/0.35,H10/0.35*2)</f>
        <v>2.2085840857142858E-4</v>
      </c>
      <c r="O10" s="2">
        <f>IF('Modell einstellen'!$B$1="Voll",J10/0.35,J10/0.35*2)</f>
        <v>-5.9470314285714281E-4</v>
      </c>
      <c r="P10" s="3">
        <f t="shared" si="0"/>
        <v>0.37137588933926702</v>
      </c>
      <c r="Q10" s="3"/>
      <c r="R10" s="3"/>
      <c r="S10" s="3"/>
      <c r="T10" s="3"/>
      <c r="U10" s="3"/>
    </row>
    <row r="11" spans="1:21" x14ac:dyDescent="0.25">
      <c r="A11" s="3">
        <v>9.9999999999999995E-8</v>
      </c>
      <c r="B11" s="3">
        <v>3.6730000000000002E-5</v>
      </c>
      <c r="C11" s="3">
        <v>1.6559999999999999E-4</v>
      </c>
      <c r="D11" s="3">
        <v>-4.8210000000000001E-4</v>
      </c>
      <c r="E11" s="3">
        <v>0</v>
      </c>
      <c r="F11" s="3">
        <v>0</v>
      </c>
      <c r="G11" s="3">
        <v>0</v>
      </c>
      <c r="H11" s="3">
        <v>8.0480961999999993E-5</v>
      </c>
      <c r="I11" s="3">
        <v>1.7008900999999998E-5</v>
      </c>
      <c r="J11" s="3">
        <v>-2.1316980999999999E-4</v>
      </c>
      <c r="K11" s="2"/>
      <c r="L11" s="3"/>
      <c r="M11" s="3"/>
      <c r="N11" s="2">
        <f>IF('Modell einstellen'!$B$1="Voll",H11/0.35,H11/0.35*2)</f>
        <v>2.299456057142857E-4</v>
      </c>
      <c r="O11" s="2">
        <f>IF('Modell einstellen'!$B$1="Voll",J11/0.35,J11/0.35*2)</f>
        <v>-6.0905660000000006E-4</v>
      </c>
      <c r="P11" s="3">
        <f t="shared" si="0"/>
        <v>0.37754390267552423</v>
      </c>
      <c r="Q11" s="3"/>
      <c r="R11" s="3"/>
      <c r="S11" s="3"/>
      <c r="T11" s="3"/>
      <c r="U11" s="3"/>
    </row>
    <row r="12" spans="1:21" x14ac:dyDescent="0.25">
      <c r="A12" s="3">
        <v>9.9999999999999995E-7</v>
      </c>
      <c r="B12" s="3">
        <v>3.167E-5</v>
      </c>
      <c r="C12" s="3">
        <v>1.696E-4</v>
      </c>
      <c r="D12" s="3">
        <v>-4.84E-4</v>
      </c>
      <c r="E12" s="3">
        <v>0</v>
      </c>
      <c r="F12" s="3">
        <v>0</v>
      </c>
      <c r="G12" s="3">
        <v>0</v>
      </c>
      <c r="H12" s="3">
        <v>8.4489036000000002E-5</v>
      </c>
      <c r="I12" s="3">
        <v>1.7468550000000001E-5</v>
      </c>
      <c r="J12" s="3">
        <v>-2.1940258000000001E-4</v>
      </c>
      <c r="K12" s="2"/>
      <c r="L12" s="3"/>
      <c r="M12" s="3"/>
      <c r="N12" s="2">
        <f>IF('Modell einstellen'!$B$1="Voll",H12/0.35,H12/0.35*2)</f>
        <v>2.4139724571428574E-4</v>
      </c>
      <c r="O12" s="2">
        <f>IF('Modell einstellen'!$B$1="Voll",J12/0.35,J12/0.35*2)</f>
        <v>-6.2686451428571436E-4</v>
      </c>
      <c r="P12" s="3">
        <f t="shared" si="0"/>
        <v>0.38508679341874646</v>
      </c>
      <c r="Q12" s="3"/>
      <c r="R12" s="3"/>
      <c r="S12" s="3"/>
      <c r="T12" s="3"/>
      <c r="U12" s="3"/>
    </row>
    <row r="13" spans="1:21" x14ac:dyDescent="0.25">
      <c r="A13" s="3">
        <v>1.0000000000000001E-5</v>
      </c>
      <c r="B13" s="3">
        <v>2.5539999999999999E-5</v>
      </c>
      <c r="C13" s="3">
        <v>1.738E-4</v>
      </c>
      <c r="D13" s="3">
        <v>-4.8509999999999997E-4</v>
      </c>
      <c r="E13" s="3">
        <v>0</v>
      </c>
      <c r="F13" s="3">
        <v>0</v>
      </c>
      <c r="G13" s="3">
        <v>0</v>
      </c>
      <c r="H13" s="3">
        <v>8.8926304E-5</v>
      </c>
      <c r="I13" s="3">
        <v>1.7952660999999998E-5</v>
      </c>
      <c r="J13" s="3">
        <v>-2.2617833000000001E-4</v>
      </c>
      <c r="K13" s="2"/>
      <c r="L13" s="3"/>
      <c r="M13" s="3"/>
      <c r="N13" s="2">
        <f>IF('Modell einstellen'!$B$1="Voll",H13/0.35,H13/0.35*2)</f>
        <v>2.5407515428571429E-4</v>
      </c>
      <c r="O13" s="2">
        <f>IF('Modell einstellen'!$B$1="Voll",J13/0.35,J13/0.35*2)</f>
        <v>-6.4622380000000008E-4</v>
      </c>
      <c r="P13" s="3">
        <f t="shared" si="0"/>
        <v>0.39316898307631853</v>
      </c>
      <c r="Q13" s="3"/>
      <c r="R13" s="3"/>
      <c r="S13" s="3"/>
      <c r="T13" s="3"/>
      <c r="U13" s="3"/>
    </row>
    <row r="14" spans="1:21" x14ac:dyDescent="0.25">
      <c r="A14" s="3">
        <v>1E-4</v>
      </c>
      <c r="B14" s="3">
        <v>1.6310000000000001E-5</v>
      </c>
      <c r="C14" s="3">
        <v>1.7919999999999999E-4</v>
      </c>
      <c r="D14" s="3">
        <v>-4.8529999999999998E-4</v>
      </c>
      <c r="E14" s="3">
        <v>0</v>
      </c>
      <c r="F14" s="3">
        <v>0</v>
      </c>
      <c r="G14" s="3">
        <v>0</v>
      </c>
      <c r="H14" s="3">
        <v>9.5062217000000006E-5</v>
      </c>
      <c r="I14" s="3">
        <v>1.8584547E-5</v>
      </c>
      <c r="J14" s="3">
        <v>-2.3536237000000001E-4</v>
      </c>
      <c r="K14" s="2"/>
      <c r="L14" s="3"/>
      <c r="M14" s="3"/>
      <c r="N14" s="2">
        <f>IF('Modell einstellen'!$B$1="Voll",H14/0.35,H14/0.35*2)</f>
        <v>2.7160633428571432E-4</v>
      </c>
      <c r="O14" s="2">
        <f>IF('Modell einstellen'!$B$1="Voll",J14/0.35,J14/0.35*2)</f>
        <v>-6.724639142857144E-4</v>
      </c>
      <c r="P14" s="3">
        <f t="shared" si="0"/>
        <v>0.40389726276124766</v>
      </c>
      <c r="Q14" s="3"/>
      <c r="R14" s="3"/>
      <c r="S14" s="3"/>
      <c r="T14" s="3"/>
      <c r="U14" s="3"/>
    </row>
    <row r="15" spans="1:21" x14ac:dyDescent="0.25">
      <c r="A15" s="3">
        <v>1E-3</v>
      </c>
      <c r="B15" s="3">
        <v>3.7290000000000002E-6</v>
      </c>
      <c r="C15" s="3">
        <v>1.853E-4</v>
      </c>
      <c r="D15" s="3">
        <v>-4.8319999999999998E-4</v>
      </c>
      <c r="E15" s="3">
        <v>0</v>
      </c>
      <c r="F15" s="3">
        <v>0</v>
      </c>
      <c r="G15" s="3">
        <v>0</v>
      </c>
      <c r="H15" s="3">
        <v>1.0261869999999999E-4</v>
      </c>
      <c r="I15" s="3">
        <v>1.9303414000000001E-5</v>
      </c>
      <c r="J15" s="3">
        <v>-2.4637964000000001E-4</v>
      </c>
      <c r="K15" s="2"/>
      <c r="L15" s="3"/>
      <c r="M15" s="3"/>
      <c r="N15" s="2">
        <f>IF('Modell einstellen'!$B$1="Voll",H15/0.35,H15/0.35*2)</f>
        <v>2.9319628571428569E-4</v>
      </c>
      <c r="O15" s="2">
        <f>IF('Modell einstellen'!$B$1="Voll",J15/0.35,J15/0.35*2)</f>
        <v>-7.0394182857142862E-4</v>
      </c>
      <c r="P15" s="3">
        <f t="shared" si="0"/>
        <v>0.4165064126240301</v>
      </c>
      <c r="Q15" s="3"/>
      <c r="R15" s="3"/>
      <c r="S15" s="3"/>
      <c r="T15" s="3"/>
      <c r="U15" s="3"/>
    </row>
    <row r="16" spans="1:21" x14ac:dyDescent="0.25">
      <c r="A16" s="3">
        <v>0.01</v>
      </c>
      <c r="B16" s="3">
        <v>-1.169E-5</v>
      </c>
      <c r="C16" s="3">
        <v>1.9139999999999999E-4</v>
      </c>
      <c r="D16" s="3">
        <v>-4.7839999999999997E-4</v>
      </c>
      <c r="E16" s="3">
        <v>0</v>
      </c>
      <c r="F16" s="3">
        <v>0</v>
      </c>
      <c r="G16" s="3">
        <v>0</v>
      </c>
      <c r="H16" s="3">
        <v>1.1104581999999999E-4</v>
      </c>
      <c r="I16" s="3">
        <v>2.0037308000000001E-5</v>
      </c>
      <c r="J16" s="3">
        <v>-2.5833106999999998E-4</v>
      </c>
      <c r="K16" s="2"/>
      <c r="L16" s="3"/>
      <c r="M16" s="3"/>
      <c r="N16" s="2">
        <f>IF('Modell einstellen'!$B$1="Voll",H16/0.35,H16/0.35*2)</f>
        <v>3.1727377142857144E-4</v>
      </c>
      <c r="O16" s="2">
        <f>IF('Modell einstellen'!$B$1="Voll",J16/0.35,J16/0.35*2)</f>
        <v>-7.3808877142857144E-4</v>
      </c>
      <c r="P16" s="3">
        <f t="shared" si="0"/>
        <v>0.42985855321235655</v>
      </c>
      <c r="Q16" s="3"/>
      <c r="R16" s="3"/>
      <c r="S16" s="3"/>
      <c r="T16" s="3"/>
      <c r="U16" s="3"/>
    </row>
    <row r="17" spans="1:21" x14ac:dyDescent="0.25">
      <c r="A17" s="3">
        <v>0.1</v>
      </c>
      <c r="B17" s="3">
        <v>-3.2299999999999999E-5</v>
      </c>
      <c r="C17" s="3">
        <v>1.9819999999999999E-4</v>
      </c>
      <c r="D17" s="3">
        <v>-4.6969999999999998E-4</v>
      </c>
      <c r="E17" s="3">
        <v>0</v>
      </c>
      <c r="F17" s="3">
        <v>0</v>
      </c>
      <c r="G17" s="3">
        <v>0</v>
      </c>
      <c r="H17" s="3">
        <v>1.2148573E-4</v>
      </c>
      <c r="I17" s="3">
        <v>2.0879131E-5</v>
      </c>
      <c r="J17" s="3">
        <v>-2.727804E-4</v>
      </c>
      <c r="K17" s="2"/>
      <c r="L17" s="3"/>
      <c r="M17" s="3"/>
      <c r="N17" s="2">
        <f>IF('Modell einstellen'!$B$1="Voll",H17/0.35,H17/0.35*2)</f>
        <v>3.4710208571428572E-4</v>
      </c>
      <c r="O17" s="2">
        <f>IF('Modell einstellen'!$B$1="Voll",J17/0.35,J17/0.35*2)</f>
        <v>-7.7937257142857153E-4</v>
      </c>
      <c r="P17" s="3">
        <f t="shared" si="0"/>
        <v>0.44536092035938063</v>
      </c>
      <c r="Q17" s="3"/>
      <c r="R17" s="3"/>
      <c r="S17" s="3"/>
      <c r="T17" s="3"/>
      <c r="U17" s="3"/>
    </row>
    <row r="18" spans="1:21" x14ac:dyDescent="0.25">
      <c r="A18" s="3">
        <v>1</v>
      </c>
      <c r="B18" s="3">
        <v>-5.8440000000000003E-5</v>
      </c>
      <c r="C18" s="3">
        <v>2.0719999999999999E-4</v>
      </c>
      <c r="D18" s="3">
        <v>-4.5770000000000001E-4</v>
      </c>
      <c r="E18" s="3">
        <v>0</v>
      </c>
      <c r="F18" s="3">
        <v>0</v>
      </c>
      <c r="G18" s="3">
        <v>0</v>
      </c>
      <c r="H18" s="3">
        <v>1.3446599000000001E-4</v>
      </c>
      <c r="I18" s="3">
        <v>2.1996543999999999E-5</v>
      </c>
      <c r="J18" s="3">
        <v>-2.9076988999999999E-4</v>
      </c>
      <c r="K18" s="2"/>
      <c r="L18" s="3"/>
      <c r="M18" s="3"/>
      <c r="N18" s="2">
        <f>IF('Modell einstellen'!$B$1="Voll",H18/0.35,H18/0.35*2)</f>
        <v>3.8418854285714291E-4</v>
      </c>
      <c r="O18" s="2">
        <f>IF('Modell einstellen'!$B$1="Voll",J18/0.35,J18/0.35*2)</f>
        <v>-8.3077111428571425E-4</v>
      </c>
      <c r="P18" s="3">
        <f t="shared" si="0"/>
        <v>0.4624481234972439</v>
      </c>
      <c r="Q18" s="3"/>
      <c r="R18" s="3"/>
      <c r="S18" s="3"/>
      <c r="T18" s="3"/>
      <c r="U18" s="3"/>
    </row>
    <row r="19" spans="1:21" x14ac:dyDescent="0.25">
      <c r="A19" s="3">
        <v>10</v>
      </c>
      <c r="B19" s="3">
        <v>-9.0669999999999998E-5</v>
      </c>
      <c r="C19" s="3">
        <v>2.3120000000000001E-4</v>
      </c>
      <c r="D19" s="3">
        <v>-4.5399999999999998E-4</v>
      </c>
      <c r="E19" s="3">
        <v>0</v>
      </c>
      <c r="F19" s="3">
        <v>0</v>
      </c>
      <c r="G19" s="3">
        <v>0</v>
      </c>
      <c r="H19" s="3">
        <v>1.5504871999999999E-4</v>
      </c>
      <c r="I19" s="3">
        <v>2.4951475000000002E-5</v>
      </c>
      <c r="J19" s="3">
        <v>-3.2275541999999998E-4</v>
      </c>
      <c r="K19" s="2"/>
      <c r="L19" s="3"/>
      <c r="M19" s="3"/>
      <c r="N19" s="2">
        <f>IF('Modell einstellen'!$B$1="Voll",H19/0.35,H19/0.35*2)</f>
        <v>4.4299634285714288E-4</v>
      </c>
      <c r="O19" s="2">
        <f>IF('Modell einstellen'!$B$1="Voll",J19/0.35,J19/0.35*2)</f>
        <v>-9.2215834285714292E-4</v>
      </c>
      <c r="P19" s="3">
        <f t="shared" si="0"/>
        <v>0.48039075532798176</v>
      </c>
      <c r="Q19" s="3"/>
      <c r="R19" s="3"/>
      <c r="S19" s="3"/>
      <c r="T19" s="3"/>
      <c r="U19" s="3"/>
    </row>
    <row r="20" spans="1:21" x14ac:dyDescent="0.25">
      <c r="A20" s="3">
        <v>100</v>
      </c>
      <c r="B20" s="3">
        <v>-1.261E-4</v>
      </c>
      <c r="C20" s="3">
        <v>2.943E-4</v>
      </c>
      <c r="D20" s="3">
        <v>-4.8289999999999997E-4</v>
      </c>
      <c r="E20" s="3">
        <v>0</v>
      </c>
      <c r="F20" s="3">
        <v>0</v>
      </c>
      <c r="G20" s="3">
        <v>0</v>
      </c>
      <c r="H20" s="3">
        <v>1.8963494999999999E-4</v>
      </c>
      <c r="I20" s="3">
        <v>3.2943091999999998E-5</v>
      </c>
      <c r="J20" s="3">
        <v>-3.8606619000000001E-4</v>
      </c>
      <c r="K20" s="2"/>
      <c r="L20" s="3"/>
      <c r="M20" s="3"/>
      <c r="N20" s="2">
        <f>IF('Modell einstellen'!$B$1="Voll",H20/0.35,H20/0.35*2)</f>
        <v>5.4181414285714284E-4</v>
      </c>
      <c r="O20" s="2">
        <f>IF('Modell einstellen'!$B$1="Voll",J20/0.35,J20/0.35*2)</f>
        <v>-1.1030462571428572E-3</v>
      </c>
      <c r="P20" s="3">
        <f t="shared" si="0"/>
        <v>0.49119802487754749</v>
      </c>
      <c r="Q20" s="3"/>
      <c r="R20" s="3"/>
      <c r="S20" s="3"/>
      <c r="T20" s="3"/>
      <c r="U20" s="3"/>
    </row>
    <row r="21" spans="1:21" x14ac:dyDescent="0.25">
      <c r="A21" s="3">
        <v>1000</v>
      </c>
      <c r="B21" s="3">
        <v>-2.0770000000000001E-4</v>
      </c>
      <c r="C21" s="3">
        <v>4.0269999999999998E-4</v>
      </c>
      <c r="D21" s="3">
        <v>-5.1029999999999999E-4</v>
      </c>
      <c r="E21" s="3">
        <v>0</v>
      </c>
      <c r="F21" s="3">
        <v>0</v>
      </c>
      <c r="G21" s="3">
        <v>0</v>
      </c>
      <c r="H21" s="3">
        <v>2.4670156999999999E-4</v>
      </c>
      <c r="I21" s="3">
        <v>4.7645570000000001E-5</v>
      </c>
      <c r="J21" s="3">
        <v>-4.9591957000000005E-4</v>
      </c>
      <c r="K21" s="2"/>
      <c r="L21" s="3"/>
      <c r="M21" s="3"/>
      <c r="N21" s="2">
        <f>IF('Modell einstellen'!$B$1="Voll",H21/0.35,H21/0.35*2)</f>
        <v>7.0486162857142862E-4</v>
      </c>
      <c r="O21" s="2">
        <f>IF('Modell einstellen'!$B$1="Voll",J21/0.35,J21/0.35*2)</f>
        <v>-1.4169130571428574E-3</v>
      </c>
      <c r="P21" s="3">
        <f t="shared" si="0"/>
        <v>0.49746286479478913</v>
      </c>
      <c r="Q21" s="3"/>
      <c r="R21" s="3"/>
      <c r="S21" s="3"/>
      <c r="T21" s="3"/>
      <c r="U21" s="3"/>
    </row>
    <row r="22" spans="1:21" x14ac:dyDescent="0.25">
      <c r="A22" s="3">
        <v>10000</v>
      </c>
      <c r="B22" s="3">
        <v>-4.595E-4</v>
      </c>
      <c r="C22" s="3">
        <v>5.71E-4</v>
      </c>
      <c r="D22" s="3">
        <v>-4.3110000000000002E-4</v>
      </c>
      <c r="E22" s="3">
        <v>0</v>
      </c>
      <c r="F22" s="3">
        <v>0</v>
      </c>
      <c r="G22" s="3">
        <v>0</v>
      </c>
      <c r="H22" s="3">
        <v>3.5507052000000001E-4</v>
      </c>
      <c r="I22" s="3">
        <v>7.2934597999999999E-5</v>
      </c>
      <c r="J22" s="3">
        <v>-6.9622724000000002E-4</v>
      </c>
      <c r="K22" s="2"/>
      <c r="L22" s="3"/>
      <c r="M22" s="3"/>
      <c r="N22" s="2">
        <f>IF('Modell einstellen'!$B$1="Voll",H22/0.35,H22/0.35*2)</f>
        <v>1.0144872000000002E-3</v>
      </c>
      <c r="O22" s="2">
        <f>IF('Modell einstellen'!$B$1="Voll",J22/0.35,J22/0.35*2)</f>
        <v>-1.989220685714286E-3</v>
      </c>
      <c r="P22" s="3">
        <f t="shared" si="0"/>
        <v>0.50999228355385806</v>
      </c>
      <c r="Q22" s="3"/>
      <c r="R22" s="3"/>
      <c r="S22" s="3"/>
      <c r="T22" s="3"/>
      <c r="U22" s="3"/>
    </row>
    <row r="23" spans="1:21" x14ac:dyDescent="0.25">
      <c r="A23" s="3">
        <v>100000</v>
      </c>
      <c r="B23" s="3">
        <v>-1.1670000000000001E-3</v>
      </c>
      <c r="C23" s="3">
        <v>8.5959999999999997E-4</v>
      </c>
      <c r="D23" s="3">
        <v>-1.906E-5</v>
      </c>
      <c r="E23" s="3">
        <v>0</v>
      </c>
      <c r="F23" s="3">
        <v>0</v>
      </c>
      <c r="G23" s="3">
        <v>0</v>
      </c>
      <c r="H23" s="3">
        <v>5.8302310000000004E-4</v>
      </c>
      <c r="I23" s="3">
        <v>1.2111107E-4</v>
      </c>
      <c r="J23" s="3">
        <v>-1.0997963E-3</v>
      </c>
      <c r="K23" s="2"/>
      <c r="L23" s="3"/>
      <c r="M23" s="3"/>
      <c r="N23" s="2">
        <f>IF('Modell einstellen'!$B$1="Voll",H23/0.35,H23/0.35*2)</f>
        <v>1.6657802857142859E-3</v>
      </c>
      <c r="O23" s="2">
        <f>IF('Modell einstellen'!$B$1="Voll",J23/0.35,J23/0.35*2)</f>
        <v>-3.1422751428571431E-3</v>
      </c>
      <c r="P23" s="3">
        <f t="shared" si="0"/>
        <v>0.53011916843146323</v>
      </c>
      <c r="Q23" s="3"/>
      <c r="R23" s="3"/>
      <c r="S23" s="3"/>
      <c r="T23" s="3"/>
      <c r="U23" s="3"/>
    </row>
    <row r="24" spans="1:21" x14ac:dyDescent="0.25">
      <c r="A24" s="3">
        <v>1000000</v>
      </c>
      <c r="B24" s="3">
        <v>-2.7959999999999999E-3</v>
      </c>
      <c r="C24" s="3">
        <v>1.41E-3</v>
      </c>
      <c r="D24" s="3">
        <v>1.0549999999999999E-3</v>
      </c>
      <c r="E24" s="3">
        <v>0</v>
      </c>
      <c r="F24" s="3">
        <v>0</v>
      </c>
      <c r="G24" s="3">
        <v>0</v>
      </c>
      <c r="H24" s="3">
        <v>1.0345126E-3</v>
      </c>
      <c r="I24" s="3">
        <v>2.1798738E-4</v>
      </c>
      <c r="J24" s="3">
        <v>-1.9022453E-3</v>
      </c>
      <c r="K24" s="2"/>
      <c r="L24" s="3"/>
      <c r="M24" s="3"/>
      <c r="N24" s="2">
        <f>IF('Modell einstellen'!$B$1="Voll",H24/0.35,H24/0.35*2)</f>
        <v>2.955750285714286E-3</v>
      </c>
      <c r="O24" s="2">
        <f>IF('Modell einstellen'!$B$1="Voll",J24/0.35,J24/0.35*2)</f>
        <v>-5.4349865714285722E-3</v>
      </c>
      <c r="P24" s="3">
        <f t="shared" si="0"/>
        <v>0.54383764281084046</v>
      </c>
      <c r="Q24" s="3"/>
      <c r="R24" s="3"/>
      <c r="S24" s="3"/>
      <c r="T24" s="3"/>
      <c r="U24" s="3"/>
    </row>
    <row r="25" spans="1:21" x14ac:dyDescent="0.25">
      <c r="A25" s="3">
        <v>10000000</v>
      </c>
      <c r="B25" s="3">
        <v>-6.0039999999999998E-3</v>
      </c>
      <c r="C25" s="3">
        <v>2.4729999999999999E-3</v>
      </c>
      <c r="D25" s="3">
        <v>3.1979999999999999E-3</v>
      </c>
      <c r="E25" s="3">
        <v>0</v>
      </c>
      <c r="F25" s="3">
        <v>0</v>
      </c>
      <c r="G25" s="3">
        <v>0</v>
      </c>
      <c r="H25" s="3">
        <v>1.8615423E-3</v>
      </c>
      <c r="I25" s="3">
        <v>4.0890441999999998E-4</v>
      </c>
      <c r="J25" s="3">
        <v>-3.4140388000000002E-3</v>
      </c>
      <c r="K25" s="2"/>
      <c r="L25" s="3"/>
      <c r="M25" s="3"/>
      <c r="N25" s="2">
        <f>IF('Modell einstellen'!$B$1="Voll",H25/0.35,H25/0.35*2)</f>
        <v>5.3186922857142863E-3</v>
      </c>
      <c r="O25" s="2">
        <f>IF('Modell einstellen'!$B$1="Voll",J25/0.35,J25/0.35*2)</f>
        <v>-9.7543965714285731E-3</v>
      </c>
      <c r="P25" s="3">
        <f t="shared" si="0"/>
        <v>0.54526102632459827</v>
      </c>
      <c r="Q25" s="3"/>
      <c r="R25" s="3"/>
      <c r="S25" s="3"/>
      <c r="T25" s="3"/>
      <c r="U25" s="3"/>
    </row>
    <row r="26" spans="1:21" x14ac:dyDescent="0.25">
      <c r="A26" s="3">
        <v>100000000</v>
      </c>
      <c r="B26" s="3">
        <v>-1.1209999999999999E-2</v>
      </c>
      <c r="C26" s="3">
        <v>4.2770000000000004E-3</v>
      </c>
      <c r="D26" s="3">
        <v>6.5970000000000004E-3</v>
      </c>
      <c r="E26" s="3">
        <v>0</v>
      </c>
      <c r="F26" s="3">
        <v>0</v>
      </c>
      <c r="G26" s="3">
        <v>0</v>
      </c>
      <c r="H26" s="3">
        <v>3.1772236000000001E-3</v>
      </c>
      <c r="I26" s="3">
        <v>7.4146759999999998E-4</v>
      </c>
      <c r="J26" s="3">
        <v>-5.9029757000000002E-3</v>
      </c>
      <c r="K26" s="2"/>
      <c r="L26" s="3"/>
      <c r="M26" s="3"/>
      <c r="N26" s="2">
        <f>IF('Modell einstellen'!$B$1="Voll",H26/0.35,H26/0.35*2)</f>
        <v>9.0777817142857157E-3</v>
      </c>
      <c r="O26" s="2">
        <f>IF('Modell einstellen'!$B$1="Voll",J26/0.35,J26/0.35*2)</f>
        <v>-1.6865644857142859E-2</v>
      </c>
      <c r="P26" s="3">
        <f t="shared" si="0"/>
        <v>0.53824100953015952</v>
      </c>
      <c r="Q26" s="3"/>
      <c r="R26" s="3"/>
      <c r="S26" s="3"/>
      <c r="T26" s="3"/>
      <c r="U26" s="3"/>
    </row>
    <row r="27" spans="1:21" x14ac:dyDescent="0.25">
      <c r="A27" s="3">
        <v>1000000000</v>
      </c>
      <c r="B27" s="3">
        <v>-1.4489999999999999E-2</v>
      </c>
      <c r="C27" s="3">
        <v>5.7590000000000002E-3</v>
      </c>
      <c r="D27" s="3">
        <v>8.4010000000000005E-3</v>
      </c>
      <c r="E27" s="3">
        <v>0</v>
      </c>
      <c r="F27" s="3">
        <v>0</v>
      </c>
      <c r="G27" s="3">
        <v>0</v>
      </c>
      <c r="H27" s="3">
        <v>4.0207708000000002E-3</v>
      </c>
      <c r="I27" s="3">
        <v>1.0243871999999999E-3</v>
      </c>
      <c r="J27" s="3">
        <v>-7.7326360999999998E-3</v>
      </c>
      <c r="K27" s="2"/>
      <c r="L27" s="3"/>
      <c r="M27" s="3"/>
      <c r="N27" s="2">
        <f>IF('Modell einstellen'!$B$1="Voll",H27/0.35,H27/0.35*2)</f>
        <v>1.1487916571428572E-2</v>
      </c>
      <c r="O27" s="2">
        <f>IF('Modell einstellen'!$B$1="Voll",J27/0.35,J27/0.35*2)</f>
        <v>-2.2093246E-2</v>
      </c>
      <c r="P27" s="3">
        <f t="shared" si="0"/>
        <v>0.51997413922012958</v>
      </c>
      <c r="Q27" s="3"/>
      <c r="R27" s="3"/>
      <c r="S27" s="3"/>
      <c r="T27" s="3"/>
      <c r="U27" s="3"/>
    </row>
    <row r="28" spans="1:21" x14ac:dyDescent="0.25">
      <c r="A28" s="3">
        <v>10000000000</v>
      </c>
      <c r="B28" s="3">
        <v>-1.5800000000000002E-2</v>
      </c>
      <c r="C28" s="3">
        <v>6.6140000000000001E-3</v>
      </c>
      <c r="D28" s="3">
        <v>8.8529999999999998E-3</v>
      </c>
      <c r="E28" s="3">
        <v>0</v>
      </c>
      <c r="F28" s="3">
        <v>0</v>
      </c>
      <c r="G28" s="3">
        <v>0</v>
      </c>
      <c r="H28" s="3">
        <v>4.3751425999999996E-3</v>
      </c>
      <c r="I28" s="3">
        <v>1.1929093999999999E-3</v>
      </c>
      <c r="J28" s="3">
        <v>-8.6727476000000008E-3</v>
      </c>
      <c r="K28" s="2"/>
      <c r="L28" s="3"/>
      <c r="M28" s="3"/>
      <c r="N28" s="2">
        <f>IF('Modell einstellen'!$B$1="Voll",H28/0.35,H28/0.35*2)</f>
        <v>1.2500407428571428E-2</v>
      </c>
      <c r="O28" s="2">
        <f>IF('Modell einstellen'!$B$1="Voll",J28/0.35,J28/0.35*2)</f>
        <v>-2.4779278857142862E-2</v>
      </c>
      <c r="P28" s="3">
        <f t="shared" si="0"/>
        <v>0.50447018658769671</v>
      </c>
      <c r="Q28" s="3"/>
      <c r="R28" s="3"/>
      <c r="S28" s="3"/>
      <c r="T28" s="3"/>
      <c r="U28" s="3"/>
    </row>
    <row r="29" spans="1:21" x14ac:dyDescent="0.25">
      <c r="A29" s="3">
        <v>100000000000</v>
      </c>
      <c r="B29" s="3">
        <v>-1.6709999999999999E-2</v>
      </c>
      <c r="C29" s="3">
        <v>7.2259999999999998E-3</v>
      </c>
      <c r="D29" s="3">
        <v>9.1529999999999997E-3</v>
      </c>
      <c r="E29" s="3">
        <v>0</v>
      </c>
      <c r="F29" s="3">
        <v>0</v>
      </c>
      <c r="G29" s="3">
        <v>0</v>
      </c>
      <c r="H29" s="3">
        <v>4.6427061000000004E-3</v>
      </c>
      <c r="I29" s="3">
        <v>1.3168068000000001E-3</v>
      </c>
      <c r="J29" s="3">
        <v>-9.3682716999999999E-3</v>
      </c>
      <c r="K29" s="2"/>
      <c r="L29" s="3"/>
      <c r="M29" s="3"/>
      <c r="N29" s="2">
        <f>IF('Modell einstellen'!$B$1="Voll",H29/0.35,H29/0.35*2)</f>
        <v>1.3264874571428574E-2</v>
      </c>
      <c r="O29" s="2">
        <f>IF('Modell einstellen'!$B$1="Voll",J29/0.35,J29/0.35*2)</f>
        <v>-2.6766490571428572E-2</v>
      </c>
      <c r="P29" s="3">
        <f t="shared" si="0"/>
        <v>0.49557765281295169</v>
      </c>
      <c r="Q29" s="3"/>
      <c r="R29" s="3"/>
      <c r="S29" s="3"/>
      <c r="T29" s="3"/>
      <c r="U29" s="3"/>
    </row>
    <row r="30" spans="1:21" x14ac:dyDescent="0.25">
      <c r="A30" s="3">
        <v>1000000000000</v>
      </c>
      <c r="B30" s="3">
        <v>-1.6670000000000001E-2</v>
      </c>
      <c r="C30" s="3">
        <v>7.2830000000000004E-3</v>
      </c>
      <c r="D30" s="3">
        <v>9.0600000000000003E-3</v>
      </c>
      <c r="E30" s="3">
        <v>0</v>
      </c>
      <c r="F30" s="3">
        <v>0</v>
      </c>
      <c r="G30" s="3">
        <v>0</v>
      </c>
      <c r="H30" s="3">
        <v>4.6364841000000002E-3</v>
      </c>
      <c r="I30" s="3">
        <v>1.328638E-3</v>
      </c>
      <c r="J30" s="3">
        <v>-9.4039443999999993E-3</v>
      </c>
      <c r="K30" s="2"/>
      <c r="L30" s="3"/>
      <c r="M30" s="3"/>
      <c r="N30" s="2">
        <f>IF('Modell einstellen'!$B$1="Voll",H30/0.35,H30/0.35*2)</f>
        <v>1.3247097428571429E-2</v>
      </c>
      <c r="O30" s="2">
        <f>IF('Modell einstellen'!$B$1="Voll",J30/0.35,J30/0.35*2)</f>
        <v>-2.6868412571428572E-2</v>
      </c>
      <c r="P30" s="3">
        <f t="shared" si="0"/>
        <v>0.49303610302077072</v>
      </c>
      <c r="Q30" s="3"/>
      <c r="R30" s="3"/>
      <c r="S30" s="3"/>
      <c r="T30" s="3"/>
      <c r="U30" s="3"/>
    </row>
    <row r="31" spans="1:21" x14ac:dyDescent="0.25">
      <c r="A31" s="3">
        <v>10000000000000</v>
      </c>
      <c r="B31" s="3">
        <v>-1.634E-2</v>
      </c>
      <c r="C31" s="3">
        <v>7.4749999999999999E-3</v>
      </c>
      <c r="D31" s="3">
        <v>8.5400000000000007E-3</v>
      </c>
      <c r="E31" s="3">
        <v>0</v>
      </c>
      <c r="F31" s="3">
        <v>0</v>
      </c>
      <c r="G31" s="3">
        <v>0</v>
      </c>
      <c r="H31" s="3">
        <v>4.6079310999999996E-3</v>
      </c>
      <c r="I31" s="3">
        <v>1.3685167E-3</v>
      </c>
      <c r="J31" s="3">
        <v>-9.5169318999999992E-3</v>
      </c>
      <c r="K31" s="2"/>
      <c r="L31" s="3"/>
      <c r="M31" s="3"/>
      <c r="N31" s="2">
        <f>IF('Modell einstellen'!$B$1="Voll",H31/0.35,H31/0.35*2)</f>
        <v>1.3165517428571428E-2</v>
      </c>
      <c r="O31" s="2">
        <f>IF('Modell einstellen'!$B$1="Voll",J31/0.35,J31/0.35*2)</f>
        <v>-2.7191233999999998E-2</v>
      </c>
      <c r="P31" s="3">
        <f t="shared" si="0"/>
        <v>0.48418241807530432</v>
      </c>
      <c r="Q31" s="3"/>
      <c r="R31" s="3"/>
      <c r="S31" s="3"/>
      <c r="T31" s="3"/>
      <c r="U31" s="3"/>
    </row>
    <row r="32" spans="1:21" x14ac:dyDescent="0.25">
      <c r="A32" s="3">
        <v>100000000000000</v>
      </c>
      <c r="B32" s="3">
        <v>-1.634E-2</v>
      </c>
      <c r="C32" s="3">
        <v>7.4780000000000003E-3</v>
      </c>
      <c r="D32" s="3">
        <v>8.5319999999999997E-3</v>
      </c>
      <c r="E32" s="3">
        <v>0</v>
      </c>
      <c r="F32" s="3">
        <v>0</v>
      </c>
      <c r="G32" s="3">
        <v>0</v>
      </c>
      <c r="H32" s="3">
        <v>4.6076093E-3</v>
      </c>
      <c r="I32" s="3">
        <v>1.3690834E-3</v>
      </c>
      <c r="J32" s="3">
        <v>-9.5185996999999998E-3</v>
      </c>
      <c r="K32" s="2"/>
      <c r="L32" s="3"/>
      <c r="M32" s="3"/>
      <c r="N32" s="2">
        <f>IF('Modell einstellen'!$B$1="Voll",H32/0.35,H32/0.35*2)</f>
        <v>1.3164598000000001E-2</v>
      </c>
      <c r="O32" s="2">
        <f>IF('Modell einstellen'!$B$1="Voll",J32/0.35,J32/0.35*2)</f>
        <v>-2.7195999142857145E-2</v>
      </c>
      <c r="P32" s="3">
        <f t="shared" si="0"/>
        <v>0.48406377463273303</v>
      </c>
      <c r="Q32" s="3"/>
      <c r="R32" s="3"/>
      <c r="S32" s="3"/>
      <c r="T32" s="3"/>
      <c r="U32" s="3"/>
    </row>
    <row r="33" spans="1:21" x14ac:dyDescent="0.25">
      <c r="A33" s="2">
        <v>1000000000000000</v>
      </c>
      <c r="B33" s="3">
        <v>-1.6129999999999999E-2</v>
      </c>
      <c r="C33" s="3">
        <v>7.5440000000000004E-3</v>
      </c>
      <c r="D33" s="3">
        <v>8.2559999999999995E-3</v>
      </c>
      <c r="E33" s="3">
        <v>0</v>
      </c>
      <c r="F33" s="3">
        <v>0</v>
      </c>
      <c r="G33" s="3">
        <v>0</v>
      </c>
      <c r="H33" s="3">
        <v>4.6053161000000004E-3</v>
      </c>
      <c r="I33" s="3">
        <v>1.3836384000000001E-3</v>
      </c>
      <c r="J33" s="3">
        <v>-9.5676252000000007E-3</v>
      </c>
      <c r="K33" s="2"/>
      <c r="L33" s="3"/>
      <c r="M33" s="3"/>
      <c r="N33" s="2">
        <f>IF('Modell einstellen'!$B$1="Voll",H33/0.35,H33/0.35*2)</f>
        <v>1.3158046000000001E-2</v>
      </c>
      <c r="O33" s="2">
        <f>IF('Modell einstellen'!$B$1="Voll",J33/0.35,J33/0.35*2)</f>
        <v>-2.7336072000000003E-2</v>
      </c>
      <c r="P33" s="3">
        <f t="shared" si="0"/>
        <v>0.48134369853869274</v>
      </c>
      <c r="Q33" s="3"/>
      <c r="R33" s="3"/>
      <c r="S33" s="3"/>
      <c r="T33" s="3"/>
      <c r="U33" s="3"/>
    </row>
    <row r="34" spans="1:21" x14ac:dyDescent="0.25">
      <c r="A34" s="2"/>
      <c r="B34" s="3"/>
      <c r="C34" s="3"/>
      <c r="D34" s="3"/>
      <c r="E34" s="3"/>
      <c r="F34" s="3"/>
      <c r="G34" s="3"/>
      <c r="H34" s="3"/>
      <c r="I34" s="3"/>
      <c r="J34" s="3"/>
      <c r="K34" s="2"/>
      <c r="M34" s="3"/>
      <c r="N34" s="3"/>
      <c r="O34" s="3"/>
      <c r="P34" s="3"/>
      <c r="Q34" s="3"/>
      <c r="R34" s="3"/>
      <c r="S34" s="3"/>
      <c r="T34" s="3"/>
      <c r="U34" s="3"/>
    </row>
    <row r="35" spans="1:21" x14ac:dyDescent="0.25">
      <c r="A35" s="2"/>
      <c r="B35" s="3"/>
      <c r="C35" s="3"/>
      <c r="D35" s="3"/>
      <c r="E35" s="3"/>
      <c r="F35" s="3"/>
      <c r="G35" s="3"/>
      <c r="H35" s="3"/>
      <c r="I35" s="3"/>
      <c r="J35" s="3"/>
      <c r="K35" s="2"/>
      <c r="M35" s="3"/>
      <c r="N35" s="3"/>
      <c r="O35" s="3"/>
      <c r="P35" s="3"/>
      <c r="Q35" s="3"/>
      <c r="R35" s="3"/>
      <c r="S35" s="3"/>
      <c r="T35" s="3"/>
      <c r="U35" s="3"/>
    </row>
    <row r="36" spans="1:21" x14ac:dyDescent="0.25">
      <c r="A36" s="2"/>
      <c r="B36" s="3"/>
      <c r="C36" s="3"/>
      <c r="D36" s="3"/>
      <c r="E36" s="3"/>
      <c r="F36" s="3"/>
      <c r="G36" s="3"/>
      <c r="H36" s="3"/>
      <c r="I36" s="3"/>
      <c r="J36" s="3"/>
      <c r="K36" s="2"/>
      <c r="M36" s="3"/>
      <c r="N36" s="3"/>
      <c r="O36" s="3"/>
      <c r="P36" s="3"/>
      <c r="Q36" s="3"/>
      <c r="R36" s="3"/>
      <c r="S36" s="3"/>
      <c r="T36" s="3"/>
      <c r="U36" s="3"/>
    </row>
    <row r="37" spans="1:21" x14ac:dyDescent="0.25">
      <c r="A37" s="2"/>
      <c r="B37" s="3"/>
      <c r="C37" s="3"/>
      <c r="D37" s="3"/>
      <c r="E37" s="3"/>
      <c r="F37" s="3"/>
      <c r="G37" s="3"/>
      <c r="H37" s="3"/>
      <c r="I37" s="3"/>
      <c r="J37" s="3"/>
      <c r="K37" s="2"/>
      <c r="M37" s="3"/>
      <c r="N37" s="3"/>
      <c r="O37" s="3"/>
      <c r="P37" s="3"/>
      <c r="Q37" s="3"/>
      <c r="R37" s="3"/>
      <c r="S37" s="3"/>
      <c r="T37" s="3"/>
      <c r="U37" s="3"/>
    </row>
    <row r="38" spans="1:21" x14ac:dyDescent="0.25">
      <c r="A38" s="2"/>
      <c r="B38" s="3"/>
      <c r="C38" s="3"/>
      <c r="D38" s="3"/>
      <c r="E38" s="3"/>
      <c r="F38" s="3"/>
      <c r="G38" s="3"/>
      <c r="H38" s="3"/>
      <c r="I38" s="3"/>
      <c r="J38" s="3"/>
      <c r="K38" s="2"/>
      <c r="M38" s="3"/>
      <c r="N38" s="3"/>
      <c r="O38" s="3"/>
      <c r="P38" s="3"/>
      <c r="Q38" s="3"/>
      <c r="R38" s="3"/>
      <c r="S38" s="3"/>
      <c r="T38" s="3"/>
      <c r="U38" s="3"/>
    </row>
    <row r="39" spans="1:21" x14ac:dyDescent="0.25">
      <c r="A39" s="2"/>
      <c r="B39" s="3"/>
      <c r="C39" s="3"/>
      <c r="D39" s="3"/>
      <c r="E39" s="3"/>
      <c r="F39" s="3"/>
      <c r="G39" s="3"/>
      <c r="H39" s="3"/>
      <c r="I39" s="3"/>
      <c r="J39" s="3"/>
      <c r="K39" s="2"/>
      <c r="M39" s="3"/>
      <c r="N39" s="3"/>
      <c r="O39" s="3"/>
      <c r="P39" s="3"/>
      <c r="Q39" s="3"/>
      <c r="R39" s="3"/>
      <c r="S39" s="3"/>
      <c r="T39" s="3"/>
      <c r="U39" s="3"/>
    </row>
    <row r="40" spans="1:21" x14ac:dyDescent="0.25">
      <c r="A40" s="2"/>
      <c r="B40" s="3"/>
      <c r="C40" s="3"/>
      <c r="D40" s="3"/>
      <c r="E40" s="3"/>
      <c r="F40" s="3"/>
      <c r="G40" s="3"/>
      <c r="H40" s="3"/>
      <c r="I40" s="3"/>
      <c r="J40" s="3"/>
      <c r="K40" s="2"/>
      <c r="M40" s="3"/>
      <c r="N40" s="3"/>
      <c r="O40" s="3"/>
      <c r="P40" s="3"/>
      <c r="Q40" s="3"/>
      <c r="R40" s="3"/>
      <c r="S40" s="3"/>
      <c r="T40" s="3"/>
      <c r="U40" s="3"/>
    </row>
    <row r="41" spans="1:21" x14ac:dyDescent="0.25">
      <c r="A41" s="2"/>
      <c r="B41" s="3"/>
      <c r="C41" s="3"/>
      <c r="D41" s="3"/>
      <c r="E41" s="3"/>
      <c r="F41" s="3"/>
      <c r="G41" s="3"/>
      <c r="H41" s="3"/>
      <c r="I41" s="3"/>
      <c r="J41" s="3"/>
      <c r="K41" s="2"/>
      <c r="M41" s="3"/>
      <c r="N41" s="3"/>
      <c r="O41" s="3"/>
      <c r="P41" s="3"/>
      <c r="Q41" s="3"/>
      <c r="R41" s="3"/>
      <c r="S41" s="3"/>
      <c r="T41" s="3"/>
      <c r="U41" s="3"/>
    </row>
    <row r="42" spans="1:21" x14ac:dyDescent="0.25">
      <c r="A42" s="2"/>
      <c r="B42" s="3"/>
      <c r="C42" s="3"/>
      <c r="D42" s="3"/>
      <c r="E42" s="3"/>
      <c r="F42" s="3"/>
      <c r="G42" s="3"/>
      <c r="H42" s="3"/>
      <c r="I42" s="3"/>
      <c r="J42" s="3"/>
      <c r="K42" s="2"/>
      <c r="M42" s="3"/>
      <c r="N42" s="3"/>
      <c r="O42" s="3"/>
      <c r="P42" s="3"/>
      <c r="Q42" s="3"/>
      <c r="R42" s="3"/>
      <c r="S42" s="3"/>
      <c r="T42" s="3"/>
      <c r="U42" s="3"/>
    </row>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17"/>
  <dimension ref="A1:P33"/>
  <sheetViews>
    <sheetView workbookViewId="0">
      <selection activeCell="O3" sqref="O3:O33"/>
    </sheetView>
  </sheetViews>
  <sheetFormatPr baseColWidth="10" defaultRowHeight="15" x14ac:dyDescent="0.25"/>
  <cols>
    <col min="1" max="1" width="8.5703125" bestFit="1" customWidth="1"/>
    <col min="2" max="2" width="9" bestFit="1" customWidth="1"/>
    <col min="3" max="3" width="8.28515625" bestFit="1" customWidth="1"/>
    <col min="4" max="4" width="9" bestFit="1" customWidth="1"/>
    <col min="5" max="7" width="8.5703125" bestFit="1" customWidth="1"/>
    <col min="8" max="8" width="8.28515625" bestFit="1" customWidth="1"/>
    <col min="9" max="9" width="12.28515625" bestFit="1" customWidth="1"/>
    <col min="10" max="10" width="9" bestFit="1" customWidth="1"/>
  </cols>
  <sheetData>
    <row r="1" spans="1:16" x14ac:dyDescent="0.25">
      <c r="A1" t="s">
        <v>13</v>
      </c>
      <c r="L1" s="82" t="s">
        <v>117</v>
      </c>
      <c r="M1" s="82"/>
      <c r="N1" s="82" t="s">
        <v>39</v>
      </c>
      <c r="O1" s="3" t="s">
        <v>116</v>
      </c>
      <c r="P1" s="82" t="s">
        <v>117</v>
      </c>
    </row>
    <row r="2" spans="1:16" x14ac:dyDescent="0.25">
      <c r="A2" t="s">
        <v>32</v>
      </c>
      <c r="B2" t="s">
        <v>14</v>
      </c>
      <c r="C2" t="s">
        <v>15</v>
      </c>
      <c r="D2" t="s">
        <v>16</v>
      </c>
      <c r="E2" t="s">
        <v>33</v>
      </c>
      <c r="F2" t="s">
        <v>34</v>
      </c>
      <c r="G2" t="s">
        <v>35</v>
      </c>
      <c r="H2" t="s">
        <v>36</v>
      </c>
      <c r="I2" t="s">
        <v>37</v>
      </c>
      <c r="J2" t="s">
        <v>38</v>
      </c>
      <c r="L2" s="3"/>
      <c r="M2" s="3"/>
      <c r="N2" s="82"/>
      <c r="O2" s="82"/>
      <c r="P2" s="3"/>
    </row>
    <row r="3" spans="1:16" x14ac:dyDescent="0.25">
      <c r="A3" s="3">
        <v>1.0000000000000001E-15</v>
      </c>
      <c r="B3" s="3">
        <v>3.8630000000000001E-5</v>
      </c>
      <c r="C3" s="3">
        <v>1.696E-4</v>
      </c>
      <c r="D3" s="3">
        <v>-4.8799999999999999E-4</v>
      </c>
      <c r="E3" s="3">
        <v>0</v>
      </c>
      <c r="F3" s="3">
        <v>0</v>
      </c>
      <c r="G3" s="3">
        <v>0</v>
      </c>
      <c r="H3" s="3">
        <v>8.2006550999999994E-5</v>
      </c>
      <c r="I3" s="3">
        <v>1.7469031999999999E-5</v>
      </c>
      <c r="J3" s="3">
        <v>-2.1644068999999999E-4</v>
      </c>
      <c r="L3" s="3">
        <f>-B3/D3</f>
        <v>7.915983606557378E-2</v>
      </c>
      <c r="M3" s="3"/>
      <c r="N3" s="2">
        <f>IF('Modell einstellen'!$B$1="Voll",H3/0.35,H3/0.35*2)</f>
        <v>2.3430443142857143E-4</v>
      </c>
      <c r="O3" s="2">
        <f>IF('Modell einstellen'!$B$1="Voll",J3/0.35,J3/0.35*2)</f>
        <v>-6.1840197142857146E-4</v>
      </c>
      <c r="P3" s="3">
        <f>-N3/O3</f>
        <v>0.37888694126783645</v>
      </c>
    </row>
    <row r="4" spans="1:16" x14ac:dyDescent="0.25">
      <c r="A4" s="3">
        <v>1E-14</v>
      </c>
      <c r="B4" s="3">
        <v>3.1919999999999999E-5</v>
      </c>
      <c r="C4" s="3">
        <v>1.749E-4</v>
      </c>
      <c r="D4" s="3">
        <v>-4.9050000000000005E-4</v>
      </c>
      <c r="E4" s="3">
        <v>0</v>
      </c>
      <c r="F4" s="3">
        <v>0</v>
      </c>
      <c r="G4" s="3">
        <v>0</v>
      </c>
      <c r="H4" s="3">
        <v>8.7314182000000002E-5</v>
      </c>
      <c r="I4" s="3">
        <v>1.8080686999999999E-5</v>
      </c>
      <c r="J4" s="3">
        <v>-2.2467367E-4</v>
      </c>
      <c r="L4" s="3">
        <f t="shared" ref="L4:L33" si="0">-B4/D4</f>
        <v>6.5076452599388365E-2</v>
      </c>
      <c r="M4" s="3"/>
      <c r="N4" s="2">
        <f>IF('Modell einstellen'!$B$1="Voll",H4/0.35,H4/0.35*2)</f>
        <v>2.4946909142857147E-4</v>
      </c>
      <c r="O4" s="2">
        <f>IF('Modell einstellen'!$B$1="Voll",J4/0.35,J4/0.35*2)</f>
        <v>-6.4192477142857151E-4</v>
      </c>
      <c r="P4" s="3">
        <f t="shared" ref="P4:P33" si="1">-N4/O4</f>
        <v>0.38862667797254569</v>
      </c>
    </row>
    <row r="5" spans="1:16" x14ac:dyDescent="0.25">
      <c r="A5" s="3">
        <v>1E-13</v>
      </c>
      <c r="B5" s="3">
        <v>2.4090000000000001E-5</v>
      </c>
      <c r="C5" s="3">
        <v>1.8009999999999999E-4</v>
      </c>
      <c r="D5" s="3">
        <v>-4.9140000000000002E-4</v>
      </c>
      <c r="E5" s="3">
        <v>0</v>
      </c>
      <c r="F5" s="3">
        <v>0</v>
      </c>
      <c r="G5" s="3">
        <v>0</v>
      </c>
      <c r="H5" s="3">
        <v>9.2814993999999995E-5</v>
      </c>
      <c r="I5" s="3">
        <v>1.8677027000000001E-5</v>
      </c>
      <c r="J5" s="3">
        <v>-2.3302498000000001E-4</v>
      </c>
      <c r="L5" s="3">
        <f t="shared" si="0"/>
        <v>4.9023199023199023E-2</v>
      </c>
      <c r="M5" s="3"/>
      <c r="N5" s="2">
        <f>IF('Modell einstellen'!$B$1="Voll",H5/0.35,H5/0.35*2)</f>
        <v>2.6518569714285714E-4</v>
      </c>
      <c r="O5" s="2">
        <f>IF('Modell einstellen'!$B$1="Voll",J5/0.35,J5/0.35*2)</f>
        <v>-6.6578565714285718E-4</v>
      </c>
      <c r="P5" s="3">
        <f t="shared" si="1"/>
        <v>0.39830491134469787</v>
      </c>
    </row>
    <row r="6" spans="1:16" x14ac:dyDescent="0.25">
      <c r="A6" s="3">
        <v>9.9999999999999998E-13</v>
      </c>
      <c r="B6" s="3">
        <v>1.3010000000000001E-5</v>
      </c>
      <c r="C6" s="3">
        <v>1.861E-4</v>
      </c>
      <c r="D6" s="3">
        <v>-4.9069999999999995E-4</v>
      </c>
      <c r="E6" s="3">
        <v>0</v>
      </c>
      <c r="F6" s="3">
        <v>0</v>
      </c>
      <c r="G6" s="3">
        <v>0</v>
      </c>
      <c r="H6" s="3">
        <v>9.9837783000000002E-5</v>
      </c>
      <c r="I6" s="3">
        <v>1.9387842999999999E-5</v>
      </c>
      <c r="J6" s="3">
        <v>-2.4343722000000001E-4</v>
      </c>
      <c r="L6" s="3">
        <f t="shared" si="0"/>
        <v>2.6513144487466889E-2</v>
      </c>
      <c r="M6" s="3"/>
      <c r="N6" s="2">
        <f>IF('Modell einstellen'!$B$1="Voll",H6/0.35,H6/0.35*2)</f>
        <v>2.8525080857142858E-4</v>
      </c>
      <c r="O6" s="2">
        <f>IF('Modell einstellen'!$B$1="Voll",J6/0.35,J6/0.35*2)</f>
        <v>-6.9553491428571434E-4</v>
      </c>
      <c r="P6" s="3">
        <f t="shared" si="1"/>
        <v>0.41011716696403283</v>
      </c>
    </row>
    <row r="7" spans="1:16" x14ac:dyDescent="0.25">
      <c r="A7" s="3">
        <v>9.9999999999999994E-12</v>
      </c>
      <c r="B7" s="3">
        <v>-1.11E-6</v>
      </c>
      <c r="C7" s="3">
        <v>1.9230000000000001E-4</v>
      </c>
      <c r="D7" s="3">
        <v>-4.8730000000000003E-4</v>
      </c>
      <c r="E7" s="3">
        <v>0</v>
      </c>
      <c r="F7" s="3">
        <v>0</v>
      </c>
      <c r="G7" s="3">
        <v>0</v>
      </c>
      <c r="H7" s="3">
        <v>1.0790886E-4</v>
      </c>
      <c r="I7" s="3">
        <v>2.0139274000000001E-5</v>
      </c>
      <c r="J7" s="3">
        <v>-2.5508288000000002E-4</v>
      </c>
      <c r="L7" s="3">
        <f t="shared" si="0"/>
        <v>-2.2778575825979888E-3</v>
      </c>
      <c r="M7" s="3"/>
      <c r="N7" s="2">
        <f>IF('Modell einstellen'!$B$1="Voll",H7/0.35,H7/0.35*2)</f>
        <v>3.0831102857142861E-4</v>
      </c>
      <c r="O7" s="2">
        <f>IF('Modell einstellen'!$B$1="Voll",J7/0.35,J7/0.35*2)</f>
        <v>-7.2880822857142866E-4</v>
      </c>
      <c r="P7" s="3">
        <f t="shared" si="1"/>
        <v>0.42303450549092125</v>
      </c>
    </row>
    <row r="8" spans="1:16" x14ac:dyDescent="0.25">
      <c r="A8" s="3">
        <v>1E-10</v>
      </c>
      <c r="B8" s="3">
        <v>-1.931E-5</v>
      </c>
      <c r="C8" s="3">
        <v>1.9900000000000001E-4</v>
      </c>
      <c r="D8" s="3">
        <v>-4.8060000000000003E-4</v>
      </c>
      <c r="E8" s="3">
        <v>0</v>
      </c>
      <c r="F8" s="3">
        <v>0</v>
      </c>
      <c r="G8" s="3">
        <v>0</v>
      </c>
      <c r="H8" s="3">
        <v>1.1742024E-4</v>
      </c>
      <c r="I8" s="3">
        <v>2.0948769E-5</v>
      </c>
      <c r="J8" s="3">
        <v>-2.6843792999999998E-4</v>
      </c>
      <c r="L8" s="3">
        <f t="shared" si="0"/>
        <v>-4.0178942987931753E-2</v>
      </c>
      <c r="M8" s="3"/>
      <c r="N8" s="2">
        <f>IF('Modell einstellen'!$B$1="Voll",H8/0.35,H8/0.35*2)</f>
        <v>3.3548640000000005E-4</v>
      </c>
      <c r="O8" s="2">
        <f>IF('Modell einstellen'!$B$1="Voll",J8/0.35,J8/0.35*2)</f>
        <v>-7.6696551428571426E-4</v>
      </c>
      <c r="P8" s="3">
        <f t="shared" si="1"/>
        <v>0.4374204494871497</v>
      </c>
    </row>
    <row r="9" spans="1:16" x14ac:dyDescent="0.25">
      <c r="A9" s="3">
        <v>1.0000000000000001E-9</v>
      </c>
      <c r="B9" s="3">
        <v>-4.409E-5</v>
      </c>
      <c r="C9" s="3">
        <v>2.062E-4</v>
      </c>
      <c r="D9" s="3">
        <v>-4.684E-4</v>
      </c>
      <c r="E9" s="3">
        <v>0</v>
      </c>
      <c r="F9" s="3">
        <v>0</v>
      </c>
      <c r="G9" s="3">
        <v>0</v>
      </c>
      <c r="H9" s="3">
        <v>1.2927351999999999E-4</v>
      </c>
      <c r="I9" s="3">
        <v>2.1854801999999998E-5</v>
      </c>
      <c r="J9" s="3">
        <v>-2.8458550999999998E-4</v>
      </c>
      <c r="L9" s="3">
        <f t="shared" si="0"/>
        <v>-9.4128949615713067E-2</v>
      </c>
      <c r="M9" s="3"/>
      <c r="N9" s="2">
        <f>IF('Modell einstellen'!$B$1="Voll",H9/0.35,H9/0.35*2)</f>
        <v>3.6935291428571429E-4</v>
      </c>
      <c r="O9" s="2">
        <f>IF('Modell einstellen'!$B$1="Voll",J9/0.35,J9/0.35*2)</f>
        <v>-8.1310145714285709E-4</v>
      </c>
      <c r="P9" s="3">
        <f t="shared" si="1"/>
        <v>0.45425193995295127</v>
      </c>
    </row>
    <row r="10" spans="1:16" x14ac:dyDescent="0.25">
      <c r="A10" s="3">
        <v>1E-8</v>
      </c>
      <c r="B10" s="3">
        <v>-8.1630000000000003E-5</v>
      </c>
      <c r="C10" s="3">
        <v>2.1479999999999999E-4</v>
      </c>
      <c r="D10" s="3">
        <v>-4.46E-4</v>
      </c>
      <c r="E10" s="3">
        <v>0</v>
      </c>
      <c r="F10" s="3">
        <v>0</v>
      </c>
      <c r="G10" s="3">
        <v>0</v>
      </c>
      <c r="H10" s="3">
        <v>1.4575826E-4</v>
      </c>
      <c r="I10" s="3">
        <v>2.2964623E-5</v>
      </c>
      <c r="J10" s="3">
        <v>-3.0632062999999998E-4</v>
      </c>
      <c r="L10" s="3">
        <f t="shared" si="0"/>
        <v>-0.18302690582959641</v>
      </c>
      <c r="M10" s="3"/>
      <c r="N10" s="2">
        <f>IF('Modell einstellen'!$B$1="Voll",H10/0.35,H10/0.35*2)</f>
        <v>4.1645217142857147E-4</v>
      </c>
      <c r="O10" s="2">
        <f>IF('Modell einstellen'!$B$1="Voll",J10/0.35,J10/0.35*2)</f>
        <v>-8.7520179999999999E-4</v>
      </c>
      <c r="P10" s="3">
        <f t="shared" si="1"/>
        <v>0.47583559749142595</v>
      </c>
    </row>
    <row r="11" spans="1:16" x14ac:dyDescent="0.25">
      <c r="A11" s="3">
        <v>9.9999999999999995E-8</v>
      </c>
      <c r="B11" s="3">
        <v>-1.5090000000000001E-4</v>
      </c>
      <c r="C11" s="3">
        <v>2.264E-4</v>
      </c>
      <c r="D11" s="3">
        <v>-3.9720000000000001E-4</v>
      </c>
      <c r="E11" s="3">
        <v>0</v>
      </c>
      <c r="F11" s="3">
        <v>0</v>
      </c>
      <c r="G11" s="3">
        <v>0</v>
      </c>
      <c r="H11" s="3">
        <v>1.7330551999999999E-4</v>
      </c>
      <c r="I11" s="3">
        <v>2.4504752000000002E-5</v>
      </c>
      <c r="J11" s="3">
        <v>-3.4113465E-4</v>
      </c>
      <c r="L11" s="3">
        <f t="shared" si="0"/>
        <v>-0.37990936555891242</v>
      </c>
      <c r="M11" s="3"/>
      <c r="N11" s="2">
        <f>IF('Modell einstellen'!$B$1="Voll",H11/0.35,H11/0.35*2)</f>
        <v>4.9515862857142862E-4</v>
      </c>
      <c r="O11" s="2">
        <f>IF('Modell einstellen'!$B$1="Voll",J11/0.35,J11/0.35*2)</f>
        <v>-9.7467042857142863E-4</v>
      </c>
      <c r="P11" s="3">
        <f t="shared" si="1"/>
        <v>0.50802672786244374</v>
      </c>
    </row>
    <row r="12" spans="1:16" x14ac:dyDescent="0.25">
      <c r="A12" s="3">
        <v>9.9999999999999995E-7</v>
      </c>
      <c r="B12" s="3">
        <v>-2.8459999999999998E-4</v>
      </c>
      <c r="C12" s="3">
        <v>2.4039999999999999E-4</v>
      </c>
      <c r="D12" s="3">
        <v>-2.8889999999999997E-4</v>
      </c>
      <c r="E12" s="3">
        <v>0</v>
      </c>
      <c r="F12" s="3">
        <v>0</v>
      </c>
      <c r="G12" s="3">
        <v>0</v>
      </c>
      <c r="H12" s="3">
        <v>2.2088927E-4</v>
      </c>
      <c r="I12" s="3">
        <v>2.6508899E-5</v>
      </c>
      <c r="J12" s="3">
        <v>-3.9812992000000001E-4</v>
      </c>
      <c r="L12" s="3">
        <f t="shared" si="0"/>
        <v>-0.98511595707857391</v>
      </c>
      <c r="M12" s="3"/>
      <c r="N12" s="2">
        <f>IF('Modell einstellen'!$B$1="Voll",H12/0.35,H12/0.35*2)</f>
        <v>6.3111220000000004E-4</v>
      </c>
      <c r="O12" s="2">
        <f>IF('Modell einstellen'!$B$1="Voll",J12/0.35,J12/0.35*2)</f>
        <v>-1.1375140571428571E-3</v>
      </c>
      <c r="P12" s="3">
        <f t="shared" si="1"/>
        <v>0.55481705569880313</v>
      </c>
    </row>
    <row r="13" spans="1:16" x14ac:dyDescent="0.25">
      <c r="A13" s="3">
        <v>1.0000000000000001E-5</v>
      </c>
      <c r="B13" s="3">
        <v>-5.7090000000000005E-4</v>
      </c>
      <c r="C13" s="3">
        <v>2.5619999999999999E-4</v>
      </c>
      <c r="D13" s="3">
        <v>-3.2110000000000003E-5</v>
      </c>
      <c r="E13" s="3">
        <v>0</v>
      </c>
      <c r="F13" s="3">
        <v>0</v>
      </c>
      <c r="G13" s="3">
        <v>0</v>
      </c>
      <c r="H13" s="3">
        <v>3.1236333E-4</v>
      </c>
      <c r="I13" s="3">
        <v>2.9021910000000001E-5</v>
      </c>
      <c r="J13" s="3">
        <v>-5.0128924000000005E-4</v>
      </c>
      <c r="L13" s="3">
        <f t="shared" si="0"/>
        <v>-17.779507941451261</v>
      </c>
      <c r="M13" s="3"/>
      <c r="N13" s="2">
        <f>IF('Modell einstellen'!$B$1="Voll",H13/0.35,H13/0.35*2)</f>
        <v>8.9246665714285724E-4</v>
      </c>
      <c r="O13" s="2">
        <f>IF('Modell einstellen'!$B$1="Voll",J13/0.35,J13/0.35*2)</f>
        <v>-1.4322549714285717E-3</v>
      </c>
      <c r="P13" s="3">
        <f t="shared" si="1"/>
        <v>0.62311995765159445</v>
      </c>
    </row>
    <row r="14" spans="1:16" x14ac:dyDescent="0.25">
      <c r="A14" s="3">
        <v>1E-4</v>
      </c>
      <c r="B14" s="3">
        <v>-1.2830000000000001E-3</v>
      </c>
      <c r="C14" s="3">
        <v>2.7119999999999998E-4</v>
      </c>
      <c r="D14" s="3">
        <v>6.5039999999999998E-4</v>
      </c>
      <c r="E14" s="3">
        <v>0</v>
      </c>
      <c r="F14" s="3">
        <v>0</v>
      </c>
      <c r="G14" s="3">
        <v>0</v>
      </c>
      <c r="H14" s="3">
        <v>5.1945691E-4</v>
      </c>
      <c r="I14" s="3">
        <v>3.1877664999999999E-5</v>
      </c>
      <c r="J14" s="3">
        <v>-7.2122037E-4</v>
      </c>
      <c r="L14" s="3">
        <f t="shared" si="0"/>
        <v>1.9726322263222633</v>
      </c>
      <c r="M14" s="3"/>
      <c r="N14" s="2">
        <f>IF('Modell einstellen'!$B$1="Voll",H14/0.35,H14/0.35*2)</f>
        <v>1.4841626E-3</v>
      </c>
      <c r="O14" s="2">
        <f>IF('Modell einstellen'!$B$1="Voll",J14/0.35,J14/0.35*2)</f>
        <v>-2.0606296285714289E-3</v>
      </c>
      <c r="P14" s="3">
        <f t="shared" si="1"/>
        <v>0.72024714166073811</v>
      </c>
    </row>
    <row r="15" spans="1:16" x14ac:dyDescent="0.25">
      <c r="A15" s="3">
        <v>1E-3</v>
      </c>
      <c r="B15" s="3">
        <v>-2.862E-3</v>
      </c>
      <c r="C15" s="3">
        <v>2.8069999999999999E-4</v>
      </c>
      <c r="D15" s="3">
        <v>2.209E-3</v>
      </c>
      <c r="E15" s="3">
        <v>0</v>
      </c>
      <c r="F15" s="3">
        <v>0</v>
      </c>
      <c r="G15" s="3">
        <v>0</v>
      </c>
      <c r="H15" s="3">
        <v>9.5341641999999996E-4</v>
      </c>
      <c r="I15" s="3">
        <v>3.4106410999999999E-5</v>
      </c>
      <c r="J15" s="3">
        <v>-1.1634855999999999E-3</v>
      </c>
      <c r="L15" s="3">
        <f t="shared" si="0"/>
        <v>1.295608872793119</v>
      </c>
      <c r="M15" s="3"/>
      <c r="N15" s="2">
        <f>IF('Modell einstellen'!$B$1="Voll",H15/0.35,H15/0.35*2)</f>
        <v>2.7240469142857143E-3</v>
      </c>
      <c r="O15" s="2">
        <f>IF('Modell einstellen'!$B$1="Voll",J15/0.35,J15/0.35*2)</f>
        <v>-3.3242445714285712E-3</v>
      </c>
      <c r="P15" s="3">
        <f t="shared" si="1"/>
        <v>0.81944840572156641</v>
      </c>
    </row>
    <row r="16" spans="1:16" x14ac:dyDescent="0.25">
      <c r="A16" s="3">
        <v>0.01</v>
      </c>
      <c r="B16" s="3">
        <v>-5.9490000000000003E-3</v>
      </c>
      <c r="C16" s="3">
        <v>2.9050000000000001E-4</v>
      </c>
      <c r="D16" s="3">
        <v>5.2820000000000002E-3</v>
      </c>
      <c r="E16" s="3">
        <v>0</v>
      </c>
      <c r="F16" s="3">
        <v>0</v>
      </c>
      <c r="G16" s="3">
        <v>0</v>
      </c>
      <c r="H16" s="3">
        <v>1.7844221E-3</v>
      </c>
      <c r="I16" s="3">
        <v>3.5670718E-5</v>
      </c>
      <c r="J16" s="3">
        <v>-1.9943846999999999E-3</v>
      </c>
      <c r="L16" s="3">
        <f t="shared" si="0"/>
        <v>1.1262779250283983</v>
      </c>
      <c r="M16" s="3"/>
      <c r="N16" s="2">
        <f>IF('Modell einstellen'!$B$1="Voll",H16/0.35,H16/0.35*2)</f>
        <v>5.0983488571428575E-3</v>
      </c>
      <c r="O16" s="2">
        <f>IF('Modell einstellen'!$B$1="Voll",J16/0.35,J16/0.35*2)</f>
        <v>-5.6982420000000001E-3</v>
      </c>
      <c r="P16" s="3">
        <f t="shared" si="1"/>
        <v>0.89472311936608828</v>
      </c>
    </row>
    <row r="17" spans="1:16" x14ac:dyDescent="0.25">
      <c r="A17" s="3">
        <v>0.1</v>
      </c>
      <c r="B17" s="3">
        <v>-1.1599999999999999E-2</v>
      </c>
      <c r="C17" s="3">
        <v>3.2519999999999999E-4</v>
      </c>
      <c r="D17" s="3">
        <v>1.09E-2</v>
      </c>
      <c r="E17" s="3">
        <v>0</v>
      </c>
      <c r="F17" s="3">
        <v>0</v>
      </c>
      <c r="G17" s="3">
        <v>0</v>
      </c>
      <c r="H17" s="3">
        <v>3.3019172999999998E-3</v>
      </c>
      <c r="I17" s="3">
        <v>3.8662180999999999E-5</v>
      </c>
      <c r="J17" s="3">
        <v>-3.5001774999999999E-3</v>
      </c>
      <c r="L17" s="3">
        <f t="shared" si="0"/>
        <v>1.0642201834862384</v>
      </c>
      <c r="M17" s="3"/>
      <c r="N17" s="2">
        <f>IF('Modell einstellen'!$B$1="Voll",H17/0.35,H17/0.35*2)</f>
        <v>9.4340494285714283E-3</v>
      </c>
      <c r="O17" s="2">
        <f>IF('Modell einstellen'!$B$1="Voll",J17/0.35,J17/0.35*2)</f>
        <v>-1.0000507142857143E-2</v>
      </c>
      <c r="P17" s="3">
        <f t="shared" si="1"/>
        <v>0.94335710117558313</v>
      </c>
    </row>
    <row r="18" spans="1:16" x14ac:dyDescent="0.25">
      <c r="A18" s="3">
        <v>1</v>
      </c>
      <c r="B18" s="3">
        <v>-1.6979999999999999E-2</v>
      </c>
      <c r="C18" s="3">
        <v>4.2860000000000001E-4</v>
      </c>
      <c r="D18" s="3">
        <v>1.618E-2</v>
      </c>
      <c r="E18" s="3">
        <v>0</v>
      </c>
      <c r="F18" s="3">
        <v>0</v>
      </c>
      <c r="G18" s="3">
        <v>0</v>
      </c>
      <c r="H18" s="3">
        <v>4.7583382E-3</v>
      </c>
      <c r="I18" s="3">
        <v>5.0548772000000003E-5</v>
      </c>
      <c r="J18" s="3">
        <v>-4.9649228000000004E-3</v>
      </c>
      <c r="L18" s="3">
        <f t="shared" si="0"/>
        <v>1.0494437577255871</v>
      </c>
      <c r="M18" s="3"/>
      <c r="N18" s="2">
        <f>IF('Modell einstellen'!$B$1="Voll",H18/0.35,H18/0.35*2)</f>
        <v>1.3595252E-2</v>
      </c>
      <c r="O18" s="2">
        <f>IF('Modell einstellen'!$B$1="Voll",J18/0.35,J18/0.35*2)</f>
        <v>-1.4185493714285716E-2</v>
      </c>
      <c r="P18" s="3">
        <f t="shared" si="1"/>
        <v>0.9583911757902861</v>
      </c>
    </row>
    <row r="19" spans="1:16" x14ac:dyDescent="0.25">
      <c r="A19" s="3">
        <v>10</v>
      </c>
      <c r="B19" s="3">
        <v>-1.9310000000000001E-2</v>
      </c>
      <c r="C19" s="3">
        <v>6.4199999999999999E-4</v>
      </c>
      <c r="D19" s="3">
        <v>1.8290000000000001E-2</v>
      </c>
      <c r="E19" s="3">
        <v>0</v>
      </c>
      <c r="F19" s="3">
        <v>0</v>
      </c>
      <c r="G19" s="3">
        <v>0</v>
      </c>
      <c r="H19" s="3">
        <v>5.4005772999999998E-3</v>
      </c>
      <c r="I19" s="3">
        <v>8.3572263999999994E-5</v>
      </c>
      <c r="J19" s="3">
        <v>-5.7064085999999998E-3</v>
      </c>
      <c r="L19" s="3">
        <f t="shared" si="0"/>
        <v>1.0557681793329687</v>
      </c>
      <c r="M19" s="3"/>
      <c r="N19" s="2">
        <f>IF('Modell einstellen'!$B$1="Voll",H19/0.35,H19/0.35*2)</f>
        <v>1.5430220857142858E-2</v>
      </c>
      <c r="O19" s="2">
        <f>IF('Modell einstellen'!$B$1="Voll",J19/0.35,J19/0.35*2)</f>
        <v>-1.6304024571428571E-2</v>
      </c>
      <c r="P19" s="3">
        <f t="shared" si="1"/>
        <v>0.94640564294677398</v>
      </c>
    </row>
    <row r="20" spans="1:16" x14ac:dyDescent="0.25">
      <c r="A20" s="3">
        <v>100</v>
      </c>
      <c r="B20" s="3">
        <v>-2.0930000000000001E-2</v>
      </c>
      <c r="C20" s="3">
        <v>1.0690000000000001E-3</v>
      </c>
      <c r="D20" s="3">
        <v>1.949E-2</v>
      </c>
      <c r="E20" s="3">
        <v>0</v>
      </c>
      <c r="F20" s="3">
        <v>0</v>
      </c>
      <c r="G20" s="3">
        <v>0</v>
      </c>
      <c r="H20" s="3">
        <v>5.8350820999999997E-3</v>
      </c>
      <c r="I20" s="3">
        <v>1.5745679000000001E-4</v>
      </c>
      <c r="J20" s="3">
        <v>-6.3915326999999999E-3</v>
      </c>
      <c r="L20" s="3">
        <f t="shared" si="0"/>
        <v>1.0738840430990251</v>
      </c>
      <c r="M20" s="3"/>
      <c r="N20" s="2">
        <f>IF('Modell einstellen'!$B$1="Voll",H20/0.35,H20/0.35*2)</f>
        <v>1.6671663142857143E-2</v>
      </c>
      <c r="O20" s="2">
        <f>IF('Modell einstellen'!$B$1="Voll",J20/0.35,J20/0.35*2)</f>
        <v>-1.8261522000000002E-2</v>
      </c>
      <c r="P20" s="3">
        <f t="shared" si="1"/>
        <v>0.91293941123073641</v>
      </c>
    </row>
    <row r="21" spans="1:16" x14ac:dyDescent="0.25">
      <c r="A21" s="3">
        <v>1000</v>
      </c>
      <c r="B21" s="3">
        <v>-2.0709999999999999E-2</v>
      </c>
      <c r="C21" s="3">
        <v>1.952E-3</v>
      </c>
      <c r="D21" s="3">
        <v>1.839E-2</v>
      </c>
      <c r="E21" s="3">
        <v>0</v>
      </c>
      <c r="F21" s="3">
        <v>0</v>
      </c>
      <c r="G21" s="3">
        <v>0</v>
      </c>
      <c r="H21" s="3">
        <v>5.7256420000000004E-3</v>
      </c>
      <c r="I21" s="3">
        <v>3.177856E-4</v>
      </c>
      <c r="J21" s="3">
        <v>-6.8607281000000004E-3</v>
      </c>
      <c r="L21" s="3">
        <f t="shared" si="0"/>
        <v>1.1261555193039694</v>
      </c>
      <c r="M21" s="3"/>
      <c r="N21" s="2">
        <f>IF('Modell einstellen'!$B$1="Voll",H21/0.35,H21/0.35*2)</f>
        <v>1.6358977142857146E-2</v>
      </c>
      <c r="O21" s="2">
        <f>IF('Modell einstellen'!$B$1="Voll",J21/0.35,J21/0.35*2)</f>
        <v>-1.960208028571429E-2</v>
      </c>
      <c r="P21" s="3">
        <f t="shared" si="1"/>
        <v>0.83455311397634313</v>
      </c>
    </row>
    <row r="22" spans="1:16" x14ac:dyDescent="0.25">
      <c r="A22" s="3">
        <v>10000</v>
      </c>
      <c r="B22" s="3">
        <v>-1.9970000000000002E-2</v>
      </c>
      <c r="C22" s="3">
        <v>3.297E-3</v>
      </c>
      <c r="D22" s="3">
        <v>1.6320000000000001E-2</v>
      </c>
      <c r="E22" s="3">
        <v>0</v>
      </c>
      <c r="F22" s="3">
        <v>0</v>
      </c>
      <c r="G22" s="3">
        <v>0</v>
      </c>
      <c r="H22" s="3">
        <v>5.4393910999999996E-3</v>
      </c>
      <c r="I22" s="3">
        <v>5.6414085000000005E-4</v>
      </c>
      <c r="J22" s="3">
        <v>-7.4656122999999996E-3</v>
      </c>
      <c r="L22" s="3">
        <f t="shared" si="0"/>
        <v>1.2236519607843137</v>
      </c>
      <c r="M22" s="3"/>
      <c r="N22" s="2">
        <f>IF('Modell einstellen'!$B$1="Voll",H22/0.35,H22/0.35*2)</f>
        <v>1.5541117428571428E-2</v>
      </c>
      <c r="O22" s="2">
        <f>IF('Modell einstellen'!$B$1="Voll",J22/0.35,J22/0.35*2)</f>
        <v>-2.1330320857142857E-2</v>
      </c>
      <c r="P22" s="3">
        <f t="shared" si="1"/>
        <v>0.7285927639183728</v>
      </c>
    </row>
    <row r="23" spans="1:16" x14ac:dyDescent="0.25">
      <c r="A23" s="3">
        <v>100000</v>
      </c>
      <c r="B23" s="3">
        <v>-1.917E-2</v>
      </c>
      <c r="C23" s="3">
        <v>4.6189999999999998E-3</v>
      </c>
      <c r="D23" s="3">
        <v>1.4200000000000001E-2</v>
      </c>
      <c r="E23" s="3">
        <v>0</v>
      </c>
      <c r="F23" s="3">
        <v>0</v>
      </c>
      <c r="G23" s="3">
        <v>0</v>
      </c>
      <c r="H23" s="3">
        <v>5.1606600999999997E-3</v>
      </c>
      <c r="I23" s="3">
        <v>8.1033110999999996E-4</v>
      </c>
      <c r="J23" s="3">
        <v>-8.0739181000000007E-3</v>
      </c>
      <c r="L23" s="3">
        <f t="shared" si="0"/>
        <v>1.3499999999999999</v>
      </c>
      <c r="M23" s="3"/>
      <c r="N23" s="2">
        <f>IF('Modell einstellen'!$B$1="Voll",H23/0.35,H23/0.35*2)</f>
        <v>1.4744743142857142E-2</v>
      </c>
      <c r="O23" s="2">
        <f>IF('Modell einstellen'!$B$1="Voll",J23/0.35,J23/0.35*2)</f>
        <v>-2.3068337428571433E-2</v>
      </c>
      <c r="P23" s="3">
        <f t="shared" si="1"/>
        <v>0.63917667185650529</v>
      </c>
    </row>
    <row r="24" spans="1:16" x14ac:dyDescent="0.25">
      <c r="A24" s="3">
        <v>1000000</v>
      </c>
      <c r="B24" s="3">
        <v>-1.8460000000000001E-2</v>
      </c>
      <c r="C24" s="3">
        <v>5.6449999999999998E-3</v>
      </c>
      <c r="D24" s="3">
        <v>1.248E-2</v>
      </c>
      <c r="E24" s="3">
        <v>0</v>
      </c>
      <c r="F24" s="3">
        <v>0</v>
      </c>
      <c r="G24" s="3">
        <v>0</v>
      </c>
      <c r="H24" s="3">
        <v>4.9459591000000002E-3</v>
      </c>
      <c r="I24" s="3">
        <v>1.0051057999999999E-3</v>
      </c>
      <c r="J24" s="3">
        <v>-8.558398E-3</v>
      </c>
      <c r="L24" s="3">
        <f t="shared" si="0"/>
        <v>1.4791666666666667</v>
      </c>
      <c r="M24" s="3"/>
      <c r="N24" s="2">
        <f>IF('Modell einstellen'!$B$1="Voll",H24/0.35,H24/0.35*2)</f>
        <v>1.4131311714285716E-2</v>
      </c>
      <c r="O24" s="2">
        <f>IF('Modell einstellen'!$B$1="Voll",J24/0.35,J24/0.35*2)</f>
        <v>-2.4452565714285716E-2</v>
      </c>
      <c r="P24" s="3">
        <f t="shared" si="1"/>
        <v>0.57790711532695727</v>
      </c>
    </row>
    <row r="25" spans="1:16" x14ac:dyDescent="0.25">
      <c r="A25" s="3">
        <v>10000000</v>
      </c>
      <c r="B25" s="3">
        <v>-1.7899999999999999E-2</v>
      </c>
      <c r="C25" s="3">
        <v>6.3619999999999996E-3</v>
      </c>
      <c r="D25" s="3">
        <v>1.12E-2</v>
      </c>
      <c r="E25" s="3">
        <v>0</v>
      </c>
      <c r="F25" s="3">
        <v>0</v>
      </c>
      <c r="G25" s="3">
        <v>0</v>
      </c>
      <c r="H25" s="3">
        <v>4.7967645E-3</v>
      </c>
      <c r="I25" s="3">
        <v>1.1438411999999999E-3</v>
      </c>
      <c r="J25" s="3">
        <v>-8.9057734000000006E-3</v>
      </c>
      <c r="L25" s="3">
        <f t="shared" si="0"/>
        <v>1.5982142857142856</v>
      </c>
      <c r="M25" s="3"/>
      <c r="N25" s="2">
        <f>IF('Modell einstellen'!$B$1="Voll",H25/0.35,H25/0.35*2)</f>
        <v>1.3705041428571429E-2</v>
      </c>
      <c r="O25" s="2">
        <f>IF('Modell einstellen'!$B$1="Voll",J25/0.35,J25/0.35*2)</f>
        <v>-2.5445066857142859E-2</v>
      </c>
      <c r="P25" s="3">
        <f t="shared" si="1"/>
        <v>0.5386129069935689</v>
      </c>
    </row>
    <row r="26" spans="1:16" x14ac:dyDescent="0.25">
      <c r="A26" s="3">
        <v>100000000</v>
      </c>
      <c r="B26" s="3">
        <v>-1.7479999999999999E-2</v>
      </c>
      <c r="C26" s="3">
        <v>6.8380000000000003E-3</v>
      </c>
      <c r="D26" s="3">
        <v>1.031E-2</v>
      </c>
      <c r="E26" s="3">
        <v>0</v>
      </c>
      <c r="F26" s="3">
        <v>0</v>
      </c>
      <c r="G26" s="3">
        <v>0</v>
      </c>
      <c r="H26" s="3">
        <v>4.6988378999999999E-3</v>
      </c>
      <c r="I26" s="3">
        <v>1.2374249999999999E-3</v>
      </c>
      <c r="J26" s="3">
        <v>-9.1420766999999997E-3</v>
      </c>
      <c r="L26" s="3">
        <f t="shared" si="0"/>
        <v>1.6954413191076625</v>
      </c>
      <c r="M26" s="3"/>
      <c r="N26" s="2">
        <f>IF('Modell einstellen'!$B$1="Voll",H26/0.35,H26/0.35*2)</f>
        <v>1.3425251142857144E-2</v>
      </c>
      <c r="O26" s="2">
        <f>IF('Modell einstellen'!$B$1="Voll",J26/0.35,J26/0.35*2)</f>
        <v>-2.6120219142857143E-2</v>
      </c>
      <c r="P26" s="3">
        <f t="shared" si="1"/>
        <v>0.51397926906476299</v>
      </c>
    </row>
    <row r="27" spans="1:16" x14ac:dyDescent="0.25">
      <c r="A27" s="3">
        <v>1000000000</v>
      </c>
      <c r="B27" s="3">
        <v>-1.7149999999999999E-2</v>
      </c>
      <c r="C27" s="3">
        <v>7.1510000000000002E-3</v>
      </c>
      <c r="D27" s="3">
        <v>9.6699999999999998E-3</v>
      </c>
      <c r="E27" s="3">
        <v>0</v>
      </c>
      <c r="F27" s="3">
        <v>0</v>
      </c>
      <c r="G27" s="3">
        <v>0</v>
      </c>
      <c r="H27" s="3">
        <v>4.6372510999999998E-3</v>
      </c>
      <c r="I27" s="3">
        <v>1.3000408E-3</v>
      </c>
      <c r="J27" s="3">
        <v>-9.3036834999999998E-3</v>
      </c>
      <c r="L27" s="3">
        <f t="shared" si="0"/>
        <v>1.7735263702171664</v>
      </c>
      <c r="M27" s="3"/>
      <c r="N27" s="2">
        <f>IF('Modell einstellen'!$B$1="Voll",H27/0.35,H27/0.35*2)</f>
        <v>1.3249288857142858E-2</v>
      </c>
      <c r="O27" s="2">
        <f>IF('Modell einstellen'!$B$1="Voll",J27/0.35,J27/0.35*2)</f>
        <v>-2.6581952857142859E-2</v>
      </c>
      <c r="P27" s="3">
        <f t="shared" si="1"/>
        <v>0.49843173405458169</v>
      </c>
    </row>
    <row r="28" spans="1:16" x14ac:dyDescent="0.25">
      <c r="A28" s="3">
        <v>10000000000</v>
      </c>
      <c r="B28" s="3">
        <v>-1.686E-2</v>
      </c>
      <c r="C28" s="3">
        <v>7.3460000000000001E-3</v>
      </c>
      <c r="D28" s="3">
        <v>9.188E-3</v>
      </c>
      <c r="E28" s="3">
        <v>0</v>
      </c>
      <c r="F28" s="3">
        <v>0</v>
      </c>
      <c r="G28" s="3">
        <v>0</v>
      </c>
      <c r="H28" s="3">
        <v>4.6044768999999996E-3</v>
      </c>
      <c r="I28" s="3">
        <v>1.3401654000000001E-3</v>
      </c>
      <c r="J28" s="3">
        <v>-9.4135470999999991E-3</v>
      </c>
      <c r="L28" s="3">
        <f t="shared" si="0"/>
        <v>1.8350021767522855</v>
      </c>
      <c r="M28" s="3"/>
      <c r="N28" s="2">
        <f>IF('Modell einstellen'!$B$1="Voll",H28/0.35,H28/0.35*2)</f>
        <v>1.3155648285714285E-2</v>
      </c>
      <c r="O28" s="2">
        <f>IF('Modell einstellen'!$B$1="Voll",J28/0.35,J28/0.35*2)</f>
        <v>-2.6895848857142857E-2</v>
      </c>
      <c r="P28" s="3">
        <f t="shared" si="1"/>
        <v>0.48913303891579824</v>
      </c>
    </row>
    <row r="29" spans="1:16" x14ac:dyDescent="0.25">
      <c r="A29" s="3">
        <v>100000000000</v>
      </c>
      <c r="B29" s="3">
        <v>-1.6799999999999999E-2</v>
      </c>
      <c r="C29" s="3">
        <v>7.3810000000000004E-3</v>
      </c>
      <c r="D29" s="3">
        <v>9.0950000000000007E-3</v>
      </c>
      <c r="E29" s="3">
        <v>0</v>
      </c>
      <c r="F29" s="3">
        <v>0</v>
      </c>
      <c r="G29" s="3">
        <v>0</v>
      </c>
      <c r="H29" s="3">
        <v>4.5991373999999998E-3</v>
      </c>
      <c r="I29" s="3">
        <v>1.3474572999999999E-3</v>
      </c>
      <c r="J29" s="3">
        <v>-9.4340731000000008E-3</v>
      </c>
      <c r="L29" s="3">
        <f t="shared" si="0"/>
        <v>1.8471687740516765</v>
      </c>
      <c r="M29" s="3"/>
      <c r="N29" s="2">
        <f>IF('Modell einstellen'!$B$1="Voll",H29/0.35,H29/0.35*2)</f>
        <v>1.3140392571428572E-2</v>
      </c>
      <c r="O29" s="2">
        <f>IF('Modell einstellen'!$B$1="Voll",J29/0.35,J29/0.35*2)</f>
        <v>-2.6954494571428574E-2</v>
      </c>
      <c r="P29" s="3">
        <f t="shared" si="1"/>
        <v>0.48750283692417007</v>
      </c>
    </row>
    <row r="30" spans="1:16" x14ac:dyDescent="0.25">
      <c r="A30" s="3">
        <v>1000000000000</v>
      </c>
      <c r="B30" s="3">
        <v>-1.6410000000000001E-2</v>
      </c>
      <c r="C30" s="3">
        <v>7.5059999999999997E-3</v>
      </c>
      <c r="D30" s="3">
        <v>8.5730000000000008E-3</v>
      </c>
      <c r="E30" s="3">
        <v>0</v>
      </c>
      <c r="F30" s="3">
        <v>0</v>
      </c>
      <c r="G30" s="3">
        <v>0</v>
      </c>
      <c r="H30" s="3">
        <v>4.5951357999999996E-3</v>
      </c>
      <c r="I30" s="3">
        <v>1.3747103E-3</v>
      </c>
      <c r="J30" s="3">
        <v>-9.5261902999999992E-3</v>
      </c>
      <c r="L30" s="3">
        <f t="shared" si="0"/>
        <v>1.9141490726700103</v>
      </c>
      <c r="M30" s="3"/>
      <c r="N30" s="2">
        <f>IF('Modell einstellen'!$B$1="Voll",H30/0.35,H30/0.35*2)</f>
        <v>1.3128959428571427E-2</v>
      </c>
      <c r="O30" s="2">
        <f>IF('Modell einstellen'!$B$1="Voll",J30/0.35,J30/0.35*2)</f>
        <v>-2.7217686571428569E-2</v>
      </c>
      <c r="P30" s="3">
        <f t="shared" si="1"/>
        <v>0.48236867575488179</v>
      </c>
    </row>
    <row r="31" spans="1:16" x14ac:dyDescent="0.25">
      <c r="A31" s="3">
        <v>10000000000000</v>
      </c>
      <c r="B31" s="3">
        <v>-1.6400000000000001E-2</v>
      </c>
      <c r="C31" s="3">
        <v>7.5079999999999999E-3</v>
      </c>
      <c r="D31" s="3">
        <v>8.5649999999999997E-3</v>
      </c>
      <c r="E31" s="3">
        <v>0</v>
      </c>
      <c r="F31" s="3">
        <v>0</v>
      </c>
      <c r="G31" s="3">
        <v>0</v>
      </c>
      <c r="H31" s="3">
        <v>4.595142E-3</v>
      </c>
      <c r="I31" s="3">
        <v>1.3751137000000001E-3</v>
      </c>
      <c r="J31" s="3">
        <v>-9.5276032999999996E-3</v>
      </c>
      <c r="L31" s="3">
        <f t="shared" si="0"/>
        <v>1.9147694103911268</v>
      </c>
      <c r="M31" s="3"/>
      <c r="N31" s="2">
        <f>IF('Modell einstellen'!$B$1="Voll",H31/0.35,H31/0.35*2)</f>
        <v>1.3128977142857143E-2</v>
      </c>
      <c r="O31" s="2">
        <f>IF('Modell einstellen'!$B$1="Voll",J31/0.35,J31/0.35*2)</f>
        <v>-2.7221723714285714E-2</v>
      </c>
      <c r="P31" s="3">
        <f t="shared" si="1"/>
        <v>0.48229778836404746</v>
      </c>
    </row>
    <row r="32" spans="1:16" x14ac:dyDescent="0.25">
      <c r="A32" s="3">
        <v>100000000000000</v>
      </c>
      <c r="B32" s="3">
        <v>-1.626E-2</v>
      </c>
      <c r="C32" s="3">
        <v>7.5440000000000004E-3</v>
      </c>
      <c r="D32" s="3">
        <v>8.3899999999999999E-3</v>
      </c>
      <c r="E32" s="3">
        <v>0</v>
      </c>
      <c r="F32" s="3">
        <v>0</v>
      </c>
      <c r="G32" s="3">
        <v>0</v>
      </c>
      <c r="H32" s="3">
        <v>4.5952611999999999E-3</v>
      </c>
      <c r="I32" s="3">
        <v>1.38345E-3</v>
      </c>
      <c r="J32" s="3">
        <v>-9.5570550999999997E-3</v>
      </c>
      <c r="L32" s="3">
        <f t="shared" si="0"/>
        <v>1.9380214541120382</v>
      </c>
      <c r="M32" s="3"/>
      <c r="N32" s="2">
        <f>IF('Modell einstellen'!$B$1="Voll",H32/0.35,H32/0.35*2)</f>
        <v>1.3129317714285715E-2</v>
      </c>
      <c r="O32" s="2">
        <f>IF('Modell einstellen'!$B$1="Voll",J32/0.35,J32/0.35*2)</f>
        <v>-2.7305871714285716E-2</v>
      </c>
      <c r="P32" s="3">
        <f t="shared" si="1"/>
        <v>0.48082397264822718</v>
      </c>
    </row>
    <row r="33" spans="1:16" x14ac:dyDescent="0.25">
      <c r="A33" s="3">
        <v>1000000000000000</v>
      </c>
      <c r="B33" s="3">
        <v>-1.6250000000000001E-2</v>
      </c>
      <c r="C33" s="3">
        <v>7.5459999999999998E-3</v>
      </c>
      <c r="D33" s="3">
        <v>8.3820000000000006E-3</v>
      </c>
      <c r="E33" s="3">
        <v>0</v>
      </c>
      <c r="F33" s="3">
        <v>0</v>
      </c>
      <c r="G33" s="3">
        <v>0</v>
      </c>
      <c r="H33" s="3">
        <v>4.5955003999999999E-3</v>
      </c>
      <c r="I33" s="3">
        <v>1.3837652E-3</v>
      </c>
      <c r="J33" s="3">
        <v>-9.5583870999999994E-3</v>
      </c>
      <c r="L33" s="3">
        <f t="shared" si="0"/>
        <v>1.9386781197804819</v>
      </c>
      <c r="M33" s="3"/>
      <c r="N33" s="2">
        <f>IF('Modell einstellen'!$B$1="Voll",H33/0.35,H33/0.35*2)</f>
        <v>1.3130001142857143E-2</v>
      </c>
      <c r="O33" s="2">
        <f>IF('Modell einstellen'!$B$1="Voll",J33/0.35,J33/0.35*2)</f>
        <v>-2.7309677428571429E-2</v>
      </c>
      <c r="P33" s="3">
        <f t="shared" si="1"/>
        <v>0.48078199302055891</v>
      </c>
    </row>
  </sheetData>
  <pageMargins left="0.7" right="0.7" top="0.78740157499999996" bottom="0.78740157499999996"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16"/>
  <dimension ref="A1:P33"/>
  <sheetViews>
    <sheetView workbookViewId="0">
      <selection activeCell="O3" sqref="O3:O33"/>
    </sheetView>
  </sheetViews>
  <sheetFormatPr baseColWidth="10" defaultRowHeight="15" x14ac:dyDescent="0.25"/>
  <cols>
    <col min="1" max="1" width="8.5703125" bestFit="1" customWidth="1"/>
    <col min="2" max="2" width="9" bestFit="1" customWidth="1"/>
    <col min="3" max="3" width="8.28515625" bestFit="1" customWidth="1"/>
    <col min="4" max="4" width="9" bestFit="1" customWidth="1"/>
    <col min="5" max="7" width="8.5703125" bestFit="1" customWidth="1"/>
    <col min="8" max="8" width="8.28515625" bestFit="1" customWidth="1"/>
    <col min="9" max="9" width="12.28515625" bestFit="1" customWidth="1"/>
    <col min="10" max="10" width="9" bestFit="1" customWidth="1"/>
  </cols>
  <sheetData>
    <row r="1" spans="1:16" x14ac:dyDescent="0.25">
      <c r="A1" t="s">
        <v>13</v>
      </c>
      <c r="L1" s="82" t="s">
        <v>117</v>
      </c>
      <c r="M1" s="82"/>
      <c r="N1" s="82" t="s">
        <v>39</v>
      </c>
      <c r="O1" s="3" t="s">
        <v>116</v>
      </c>
      <c r="P1" s="82" t="s">
        <v>117</v>
      </c>
    </row>
    <row r="2" spans="1:16" x14ac:dyDescent="0.25">
      <c r="A2" t="s">
        <v>32</v>
      </c>
      <c r="B2" t="s">
        <v>14</v>
      </c>
      <c r="C2" t="s">
        <v>15</v>
      </c>
      <c r="D2" t="s">
        <v>16</v>
      </c>
      <c r="E2" t="s">
        <v>33</v>
      </c>
      <c r="F2" t="s">
        <v>34</v>
      </c>
      <c r="G2" t="s">
        <v>35</v>
      </c>
      <c r="H2" t="s">
        <v>36</v>
      </c>
      <c r="I2" t="s">
        <v>37</v>
      </c>
      <c r="J2" t="s">
        <v>38</v>
      </c>
      <c r="L2" s="3"/>
      <c r="M2" s="3"/>
      <c r="N2" s="82"/>
      <c r="O2" s="82"/>
      <c r="P2" s="3"/>
    </row>
    <row r="3" spans="1:16" x14ac:dyDescent="0.25">
      <c r="A3" s="3">
        <v>1.0000000000000001E-15</v>
      </c>
      <c r="B3" s="3">
        <v>3.1189999999999998E-5</v>
      </c>
      <c r="C3" s="3">
        <v>1.7980000000000001E-4</v>
      </c>
      <c r="D3" s="3">
        <v>-4.9560000000000001E-4</v>
      </c>
      <c r="E3" s="3">
        <v>0</v>
      </c>
      <c r="F3" s="3">
        <v>0</v>
      </c>
      <c r="G3" s="3">
        <v>0</v>
      </c>
      <c r="H3" s="3">
        <v>9.0164786999999999E-5</v>
      </c>
      <c r="I3" s="3">
        <v>1.8647970999999999E-5</v>
      </c>
      <c r="J3" s="3">
        <v>-2.2981839E-4</v>
      </c>
      <c r="L3" s="3">
        <f>-B3/D3</f>
        <v>6.2933817594834532E-2</v>
      </c>
      <c r="M3" s="3"/>
      <c r="N3" s="2">
        <f>IF('Modell einstellen'!$B$1="Voll",H3/0.35,H3/0.35*2)</f>
        <v>2.5761367714285716E-4</v>
      </c>
      <c r="O3" s="2">
        <f>IF('Modell einstellen'!$B$1="Voll",J3/0.35,J3/0.35*2)</f>
        <v>-6.5662397142857143E-4</v>
      </c>
      <c r="P3" s="3">
        <f>-N3/O3</f>
        <v>0.39233060069735937</v>
      </c>
    </row>
    <row r="4" spans="1:16" x14ac:dyDescent="0.25">
      <c r="A4" s="3">
        <v>1E-14</v>
      </c>
      <c r="B4" s="3">
        <v>1.925E-5</v>
      </c>
      <c r="C4" s="3">
        <v>1.872E-4</v>
      </c>
      <c r="D4" s="3">
        <v>-4.9620000000000003E-4</v>
      </c>
      <c r="E4" s="3">
        <v>0</v>
      </c>
      <c r="F4" s="3">
        <v>0</v>
      </c>
      <c r="G4" s="3">
        <v>0</v>
      </c>
      <c r="H4" s="3">
        <v>9.8224922999999998E-5</v>
      </c>
      <c r="I4" s="3">
        <v>1.9508681E-5</v>
      </c>
      <c r="J4" s="3">
        <v>-2.4194911999999999E-4</v>
      </c>
      <c r="L4" s="3">
        <f t="shared" ref="L4:L33" si="0">-B4/D4</f>
        <v>3.8794840790004032E-2</v>
      </c>
      <c r="M4" s="3"/>
      <c r="N4" s="2">
        <f>IF('Modell einstellen'!$B$1="Voll",H4/0.35,H4/0.35*2)</f>
        <v>2.8064263714285714E-4</v>
      </c>
      <c r="O4" s="2">
        <f>IF('Modell einstellen'!$B$1="Voll",J4/0.35,J4/0.35*2)</f>
        <v>-6.9128320000000007E-4</v>
      </c>
      <c r="P4" s="3">
        <f t="shared" ref="P4:P33" si="1">-N4/O4</f>
        <v>0.40597346665282347</v>
      </c>
    </row>
    <row r="5" spans="1:16" x14ac:dyDescent="0.25">
      <c r="A5" s="3">
        <v>1E-13</v>
      </c>
      <c r="B5" s="3">
        <v>5.541E-6</v>
      </c>
      <c r="C5" s="3">
        <v>1.9379999999999999E-4</v>
      </c>
      <c r="D5" s="3">
        <v>-4.9370000000000002E-4</v>
      </c>
      <c r="E5" s="3">
        <v>0</v>
      </c>
      <c r="F5" s="3">
        <v>0</v>
      </c>
      <c r="G5" s="3">
        <v>0</v>
      </c>
      <c r="H5" s="3">
        <v>1.0633346E-4</v>
      </c>
      <c r="I5" s="3">
        <v>2.0298851999999998E-5</v>
      </c>
      <c r="J5" s="3">
        <v>-2.5378739999999998E-4</v>
      </c>
      <c r="L5" s="3">
        <f t="shared" si="0"/>
        <v>1.1223415029370062E-2</v>
      </c>
      <c r="M5" s="3"/>
      <c r="N5" s="2">
        <f>IF('Modell einstellen'!$B$1="Voll",H5/0.35,H5/0.35*2)</f>
        <v>3.0380988571428576E-4</v>
      </c>
      <c r="O5" s="2">
        <f>IF('Modell einstellen'!$B$1="Voll",J5/0.35,J5/0.35*2)</f>
        <v>-7.2510685714285712E-4</v>
      </c>
      <c r="P5" s="3">
        <f t="shared" si="1"/>
        <v>0.41898636417726026</v>
      </c>
    </row>
    <row r="6" spans="1:16" x14ac:dyDescent="0.25">
      <c r="A6" s="3">
        <v>9.9999999999999998E-13</v>
      </c>
      <c r="B6" s="3">
        <v>-1.1430000000000001E-5</v>
      </c>
      <c r="C6" s="3">
        <v>2.0039999999999999E-4</v>
      </c>
      <c r="D6" s="3">
        <v>-4.8819999999999999E-4</v>
      </c>
      <c r="E6" s="3">
        <v>0</v>
      </c>
      <c r="F6" s="3">
        <v>0</v>
      </c>
      <c r="G6" s="3">
        <v>0</v>
      </c>
      <c r="H6" s="3">
        <v>1.1544322E-4</v>
      </c>
      <c r="I6" s="3">
        <v>2.1112590000000001E-5</v>
      </c>
      <c r="J6" s="3">
        <v>-2.6672901000000001E-4</v>
      </c>
      <c r="L6" s="3">
        <f t="shared" si="0"/>
        <v>-2.3412535845964769E-2</v>
      </c>
      <c r="M6" s="3"/>
      <c r="N6" s="2">
        <f>IF('Modell einstellen'!$B$1="Voll",H6/0.35,H6/0.35*2)</f>
        <v>3.2983777142857145E-4</v>
      </c>
      <c r="O6" s="2">
        <f>IF('Modell einstellen'!$B$1="Voll",J6/0.35,J6/0.35*2)</f>
        <v>-7.6208288571428585E-4</v>
      </c>
      <c r="P6" s="3">
        <f t="shared" si="1"/>
        <v>0.43281088922423544</v>
      </c>
    </row>
    <row r="7" spans="1:16" x14ac:dyDescent="0.25">
      <c r="A7" s="3">
        <v>9.9999999999999994E-12</v>
      </c>
      <c r="B7" s="3">
        <v>-3.4770000000000001E-5</v>
      </c>
      <c r="C7" s="3">
        <v>2.0790000000000001E-4</v>
      </c>
      <c r="D7" s="3">
        <v>-4.7760000000000001E-4</v>
      </c>
      <c r="E7" s="3">
        <v>0</v>
      </c>
      <c r="F7" s="3">
        <v>0</v>
      </c>
      <c r="G7" s="3">
        <v>0</v>
      </c>
      <c r="H7" s="3">
        <v>1.2688257000000001E-4</v>
      </c>
      <c r="I7" s="3">
        <v>2.2036383000000001E-5</v>
      </c>
      <c r="J7" s="3">
        <v>-2.8250971E-4</v>
      </c>
      <c r="L7" s="3">
        <f t="shared" si="0"/>
        <v>-7.2801507537688437E-2</v>
      </c>
      <c r="M7" s="3"/>
      <c r="N7" s="2">
        <f>IF('Modell einstellen'!$B$1="Voll",H7/0.35,H7/0.35*2)</f>
        <v>3.6252162857142861E-4</v>
      </c>
      <c r="O7" s="2">
        <f>IF('Modell einstellen'!$B$1="Voll",J7/0.35,J7/0.35*2)</f>
        <v>-8.0717060000000005E-4</v>
      </c>
      <c r="P7" s="3">
        <f t="shared" si="1"/>
        <v>0.44912640347830879</v>
      </c>
    </row>
    <row r="8" spans="1:16" x14ac:dyDescent="0.25">
      <c r="A8" s="3">
        <v>1E-10</v>
      </c>
      <c r="B8" s="3">
        <v>-6.8150000000000003E-5</v>
      </c>
      <c r="C8" s="3">
        <v>2.163E-4</v>
      </c>
      <c r="D8" s="3">
        <v>-4.5869999999999998E-4</v>
      </c>
      <c r="E8" s="3">
        <v>0</v>
      </c>
      <c r="F8" s="3">
        <v>0</v>
      </c>
      <c r="G8" s="3">
        <v>0</v>
      </c>
      <c r="H8" s="3">
        <v>1.4185841000000001E-4</v>
      </c>
      <c r="I8" s="3">
        <v>2.310815E-5</v>
      </c>
      <c r="J8" s="3">
        <v>-3.0251200000000001E-4</v>
      </c>
      <c r="L8" s="3">
        <f t="shared" si="0"/>
        <v>-0.1485720514497493</v>
      </c>
      <c r="M8" s="3"/>
      <c r="N8" s="2">
        <f>IF('Modell einstellen'!$B$1="Voll",H8/0.35,H8/0.35*2)</f>
        <v>4.053097428571429E-4</v>
      </c>
      <c r="O8" s="2">
        <f>IF('Modell einstellen'!$B$1="Voll",J8/0.35,J8/0.35*2)</f>
        <v>-8.6432000000000013E-4</v>
      </c>
      <c r="P8" s="3">
        <f t="shared" si="1"/>
        <v>0.4689348191146136</v>
      </c>
    </row>
    <row r="9" spans="1:16" x14ac:dyDescent="0.25">
      <c r="A9" s="3">
        <v>1.0000000000000001E-9</v>
      </c>
      <c r="B9" s="3">
        <v>-1.292E-4</v>
      </c>
      <c r="C9" s="3">
        <v>2.2770000000000001E-4</v>
      </c>
      <c r="D9" s="3">
        <v>-4.1750000000000001E-4</v>
      </c>
      <c r="E9" s="3">
        <v>0</v>
      </c>
      <c r="F9" s="3">
        <v>0</v>
      </c>
      <c r="G9" s="3">
        <v>0</v>
      </c>
      <c r="H9" s="3">
        <v>1.6674733E-4</v>
      </c>
      <c r="I9" s="3">
        <v>2.4616183E-5</v>
      </c>
      <c r="J9" s="3">
        <v>-3.3445662999999999E-4</v>
      </c>
      <c r="L9" s="3">
        <f t="shared" si="0"/>
        <v>-0.30946107784431137</v>
      </c>
      <c r="M9" s="3"/>
      <c r="N9" s="2">
        <f>IF('Modell einstellen'!$B$1="Voll",H9/0.35,H9/0.35*2)</f>
        <v>4.7642094285714291E-4</v>
      </c>
      <c r="O9" s="2">
        <f>IF('Modell einstellen'!$B$1="Voll",J9/0.35,J9/0.35*2)</f>
        <v>-9.5559037142857147E-4</v>
      </c>
      <c r="P9" s="3">
        <f t="shared" si="1"/>
        <v>0.49856189126823414</v>
      </c>
    </row>
    <row r="10" spans="1:16" x14ac:dyDescent="0.25">
      <c r="A10" s="3">
        <v>1E-8</v>
      </c>
      <c r="B10" s="3">
        <v>-2.455E-4</v>
      </c>
      <c r="C10" s="3">
        <v>2.418E-4</v>
      </c>
      <c r="D10" s="3">
        <v>-3.2630000000000002E-4</v>
      </c>
      <c r="E10" s="3">
        <v>0</v>
      </c>
      <c r="F10" s="3">
        <v>0</v>
      </c>
      <c r="G10" s="3">
        <v>0</v>
      </c>
      <c r="H10" s="3">
        <v>2.0918240999999999E-4</v>
      </c>
      <c r="I10" s="3">
        <v>2.6602640000000001E-5</v>
      </c>
      <c r="J10" s="3">
        <v>-3.8614733999999998E-4</v>
      </c>
      <c r="L10" s="3">
        <f t="shared" si="0"/>
        <v>-0.75237511492491571</v>
      </c>
      <c r="M10" s="3"/>
      <c r="N10" s="2">
        <f>IF('Modell einstellen'!$B$1="Voll",H10/0.35,H10/0.35*2)</f>
        <v>5.9766402857142856E-4</v>
      </c>
      <c r="O10" s="2">
        <f>IF('Modell einstellen'!$B$1="Voll",J10/0.35,J10/0.35*2)</f>
        <v>-1.1032781142857142E-3</v>
      </c>
      <c r="P10" s="3">
        <f t="shared" si="1"/>
        <v>0.54171656342369212</v>
      </c>
    </row>
    <row r="11" spans="1:16" x14ac:dyDescent="0.25">
      <c r="A11" s="3">
        <v>9.9999999999999995E-8</v>
      </c>
      <c r="B11" s="3">
        <v>-4.86E-4</v>
      </c>
      <c r="C11" s="3">
        <v>2.5799999999999998E-4</v>
      </c>
      <c r="D11" s="3">
        <v>-1.153E-4</v>
      </c>
      <c r="E11" s="3">
        <v>0</v>
      </c>
      <c r="F11" s="3">
        <v>0</v>
      </c>
      <c r="G11" s="3">
        <v>0</v>
      </c>
      <c r="H11" s="3">
        <v>2.8778586999999998E-4</v>
      </c>
      <c r="I11" s="3">
        <v>2.910098E-5</v>
      </c>
      <c r="J11" s="3">
        <v>-4.7629915000000001E-4</v>
      </c>
      <c r="L11" s="3">
        <f t="shared" si="0"/>
        <v>-4.2150910667823069</v>
      </c>
      <c r="M11" s="3"/>
      <c r="N11" s="2">
        <f>IF('Modell einstellen'!$B$1="Voll",H11/0.35,H11/0.35*2)</f>
        <v>8.2224534285714284E-4</v>
      </c>
      <c r="O11" s="2">
        <f>IF('Modell einstellen'!$B$1="Voll",J11/0.35,J11/0.35*2)</f>
        <v>-1.3608547142857144E-3</v>
      </c>
      <c r="P11" s="3">
        <f t="shared" si="1"/>
        <v>0.60421243665876778</v>
      </c>
    </row>
    <row r="12" spans="1:16" x14ac:dyDescent="0.25">
      <c r="A12" s="3">
        <v>9.9999999999999995E-7</v>
      </c>
      <c r="B12" s="3">
        <v>-1.0709999999999999E-3</v>
      </c>
      <c r="C12" s="3">
        <v>2.744E-4</v>
      </c>
      <c r="D12" s="3">
        <v>4.3790000000000002E-4</v>
      </c>
      <c r="E12" s="3">
        <v>0</v>
      </c>
      <c r="F12" s="3">
        <v>0</v>
      </c>
      <c r="G12" s="3">
        <v>0</v>
      </c>
      <c r="H12" s="3">
        <v>4.6102841999999999E-4</v>
      </c>
      <c r="I12" s="3">
        <v>3.2086821000000003E-5</v>
      </c>
      <c r="J12" s="3">
        <v>-6.6302007E-4</v>
      </c>
      <c r="L12" s="3">
        <f t="shared" si="0"/>
        <v>2.4457638730303719</v>
      </c>
      <c r="M12" s="3"/>
      <c r="N12" s="2">
        <f>IF('Modell einstellen'!$B$1="Voll",H12/0.35,H12/0.35*2)</f>
        <v>1.3172240571428572E-3</v>
      </c>
      <c r="O12" s="2">
        <f>IF('Modell einstellen'!$B$1="Voll",J12/0.35,J12/0.35*2)</f>
        <v>-1.8943430571428572E-3</v>
      </c>
      <c r="P12" s="3">
        <f t="shared" si="1"/>
        <v>0.69534610015651555</v>
      </c>
    </row>
    <row r="13" spans="1:16" x14ac:dyDescent="0.25">
      <c r="A13" s="3">
        <v>1.0000000000000001E-5</v>
      </c>
      <c r="B13" s="3">
        <v>-2.385E-3</v>
      </c>
      <c r="C13" s="3">
        <v>2.853E-4</v>
      </c>
      <c r="D13" s="3">
        <v>1.73E-3</v>
      </c>
      <c r="E13" s="3">
        <v>0</v>
      </c>
      <c r="F13" s="3">
        <v>0</v>
      </c>
      <c r="G13" s="3">
        <v>0</v>
      </c>
      <c r="H13" s="3">
        <v>8.2528720000000003E-4</v>
      </c>
      <c r="I13" s="3">
        <v>3.4553237000000001E-5</v>
      </c>
      <c r="J13" s="3">
        <v>-1.0371720000000001E-3</v>
      </c>
      <c r="L13" s="3">
        <f t="shared" si="0"/>
        <v>1.3786127167630058</v>
      </c>
      <c r="M13" s="3"/>
      <c r="N13" s="2">
        <f>IF('Modell einstellen'!$B$1="Voll",H13/0.35,H13/0.35*2)</f>
        <v>2.3579634285714286E-3</v>
      </c>
      <c r="O13" s="2">
        <f>IF('Modell einstellen'!$B$1="Voll",J13/0.35,J13/0.35*2)</f>
        <v>-2.9633485714285718E-3</v>
      </c>
      <c r="P13" s="3">
        <f t="shared" si="1"/>
        <v>0.79570910128696104</v>
      </c>
    </row>
    <row r="14" spans="1:16" x14ac:dyDescent="0.25">
      <c r="A14" s="3">
        <v>1E-4</v>
      </c>
      <c r="B14" s="3">
        <v>-5.0229999999999997E-3</v>
      </c>
      <c r="C14" s="3">
        <v>2.9300000000000002E-4</v>
      </c>
      <c r="D14" s="3">
        <v>4.3550000000000004E-3</v>
      </c>
      <c r="E14" s="3">
        <v>0</v>
      </c>
      <c r="F14" s="3">
        <v>0</v>
      </c>
      <c r="G14" s="3">
        <v>0</v>
      </c>
      <c r="H14" s="3">
        <v>1.5371814E-3</v>
      </c>
      <c r="I14" s="3">
        <v>3.6106402000000003E-5</v>
      </c>
      <c r="J14" s="3">
        <v>-1.7509035E-3</v>
      </c>
      <c r="L14" s="3">
        <f t="shared" si="0"/>
        <v>1.1533869115958666</v>
      </c>
      <c r="M14" s="3"/>
      <c r="N14" s="2">
        <f>IF('Modell einstellen'!$B$1="Voll",H14/0.35,H14/0.35*2)</f>
        <v>4.3919468571428574E-3</v>
      </c>
      <c r="O14" s="2">
        <f>IF('Modell einstellen'!$B$1="Voll",J14/0.35,J14/0.35*2)</f>
        <v>-5.0025814285714291E-3</v>
      </c>
      <c r="P14" s="3">
        <f t="shared" si="1"/>
        <v>0.87793610555921553</v>
      </c>
    </row>
    <row r="15" spans="1:16" x14ac:dyDescent="0.25">
      <c r="A15" s="3">
        <v>1E-3</v>
      </c>
      <c r="B15" s="3">
        <v>-9.9970000000000007E-3</v>
      </c>
      <c r="C15" s="3">
        <v>3.0880000000000002E-4</v>
      </c>
      <c r="D15" s="3">
        <v>9.3120000000000008E-3</v>
      </c>
      <c r="E15" s="3">
        <v>0</v>
      </c>
      <c r="F15" s="3">
        <v>0</v>
      </c>
      <c r="G15" s="3">
        <v>0</v>
      </c>
      <c r="H15" s="3">
        <v>2.8698437999999998E-3</v>
      </c>
      <c r="I15" s="3">
        <v>3.70689E-5</v>
      </c>
      <c r="J15" s="3">
        <v>-3.0701286999999999E-3</v>
      </c>
      <c r="L15" s="3">
        <f t="shared" si="0"/>
        <v>1.073560996563574</v>
      </c>
      <c r="M15" s="3"/>
      <c r="N15" s="2">
        <f>IF('Modell einstellen'!$B$1="Voll",H15/0.35,H15/0.35*2)</f>
        <v>8.199553714285714E-3</v>
      </c>
      <c r="O15" s="2">
        <f>IF('Modell einstellen'!$B$1="Voll",J15/0.35,J15/0.35*2)</f>
        <v>-8.7717962857142857E-3</v>
      </c>
      <c r="P15" s="3">
        <f t="shared" si="1"/>
        <v>0.93476335373171815</v>
      </c>
    </row>
    <row r="16" spans="1:16" x14ac:dyDescent="0.25">
      <c r="A16" s="3">
        <v>0.01</v>
      </c>
      <c r="B16" s="3">
        <v>-1.5980000000000001E-2</v>
      </c>
      <c r="C16" s="3">
        <v>3.4489999999999998E-4</v>
      </c>
      <c r="D16" s="3">
        <v>1.5259999999999999E-2</v>
      </c>
      <c r="E16" s="3">
        <v>0</v>
      </c>
      <c r="F16" s="3">
        <v>0</v>
      </c>
      <c r="G16" s="3">
        <v>0</v>
      </c>
      <c r="H16" s="3">
        <v>4.4754796999999999E-3</v>
      </c>
      <c r="I16" s="3">
        <v>3.832602E-5</v>
      </c>
      <c r="J16" s="3">
        <v>-4.6459316000000001E-3</v>
      </c>
      <c r="L16" s="3">
        <f t="shared" si="0"/>
        <v>1.0471821756225428</v>
      </c>
      <c r="M16" s="3"/>
      <c r="N16" s="2">
        <f>IF('Modell einstellen'!$B$1="Voll",H16/0.35,H16/0.35*2)</f>
        <v>1.2787084857142857E-2</v>
      </c>
      <c r="O16" s="2">
        <f>IF('Modell einstellen'!$B$1="Voll",J16/0.35,J16/0.35*2)</f>
        <v>-1.3274090285714286E-2</v>
      </c>
      <c r="P16" s="3">
        <f t="shared" si="1"/>
        <v>0.96331157781143395</v>
      </c>
    </row>
    <row r="17" spans="1:16" x14ac:dyDescent="0.25">
      <c r="A17" s="3">
        <v>0.1</v>
      </c>
      <c r="B17" s="3">
        <v>-1.9029999999999998E-2</v>
      </c>
      <c r="C17" s="3">
        <v>4.0549999999999999E-4</v>
      </c>
      <c r="D17" s="3">
        <v>1.8249999999999999E-2</v>
      </c>
      <c r="E17" s="3">
        <v>0</v>
      </c>
      <c r="F17" s="3">
        <v>0</v>
      </c>
      <c r="G17" s="3">
        <v>0</v>
      </c>
      <c r="H17" s="3">
        <v>5.3071715999999996E-3</v>
      </c>
      <c r="I17" s="3">
        <v>4.4678122999999998E-5</v>
      </c>
      <c r="J17" s="3">
        <v>-5.4767625999999998E-3</v>
      </c>
      <c r="L17" s="3">
        <f t="shared" si="0"/>
        <v>1.0427397260273972</v>
      </c>
      <c r="M17" s="3"/>
      <c r="N17" s="2">
        <f>IF('Modell einstellen'!$B$1="Voll",H17/0.35,H17/0.35*2)</f>
        <v>1.5163347428571429E-2</v>
      </c>
      <c r="O17" s="2">
        <f>IF('Modell einstellen'!$B$1="Voll",J17/0.35,J17/0.35*2)</f>
        <v>-1.5647893142857142E-2</v>
      </c>
      <c r="P17" s="3">
        <f t="shared" si="1"/>
        <v>0.96903444381540293</v>
      </c>
    </row>
    <row r="18" spans="1:16" x14ac:dyDescent="0.25">
      <c r="A18" s="3">
        <v>1</v>
      </c>
      <c r="B18" s="3">
        <v>-2.0889999999999999E-2</v>
      </c>
      <c r="C18" s="3">
        <v>5.5690000000000004E-4</v>
      </c>
      <c r="D18" s="3">
        <v>1.9959999999999999E-2</v>
      </c>
      <c r="E18" s="3">
        <v>0</v>
      </c>
      <c r="F18" s="3">
        <v>0</v>
      </c>
      <c r="G18" s="3">
        <v>0</v>
      </c>
      <c r="H18" s="3">
        <v>5.8234456000000002E-3</v>
      </c>
      <c r="I18" s="3">
        <v>6.7048406000000003E-5</v>
      </c>
      <c r="J18" s="3">
        <v>-6.0562947000000001E-3</v>
      </c>
      <c r="L18" s="3">
        <f t="shared" si="0"/>
        <v>1.0465931863727456</v>
      </c>
      <c r="M18" s="3"/>
      <c r="N18" s="2">
        <f>IF('Modell einstellen'!$B$1="Voll",H18/0.35,H18/0.35*2)</f>
        <v>1.6638416000000003E-2</v>
      </c>
      <c r="O18" s="2">
        <f>IF('Modell einstellen'!$B$1="Voll",J18/0.35,J18/0.35*2)</f>
        <v>-1.7303699142857145E-2</v>
      </c>
      <c r="P18" s="3">
        <f t="shared" si="1"/>
        <v>0.96155254796303102</v>
      </c>
    </row>
    <row r="19" spans="1:16" x14ac:dyDescent="0.25">
      <c r="A19" s="3">
        <v>10</v>
      </c>
      <c r="B19" s="3">
        <v>-2.1329999999999998E-2</v>
      </c>
      <c r="C19" s="3">
        <v>8.6729999999999999E-4</v>
      </c>
      <c r="D19" s="3">
        <v>2.01E-2</v>
      </c>
      <c r="E19" s="3">
        <v>0</v>
      </c>
      <c r="F19" s="3">
        <v>0</v>
      </c>
      <c r="G19" s="3">
        <v>0</v>
      </c>
      <c r="H19" s="3">
        <v>5.9491891000000002E-3</v>
      </c>
      <c r="I19" s="3">
        <v>1.2050900999999999E-4</v>
      </c>
      <c r="J19" s="3">
        <v>-6.3690363000000003E-3</v>
      </c>
      <c r="L19" s="3">
        <f t="shared" si="0"/>
        <v>1.0611940298507463</v>
      </c>
      <c r="M19" s="3"/>
      <c r="N19" s="2">
        <f>IF('Modell einstellen'!$B$1="Voll",H19/0.35,H19/0.35*2)</f>
        <v>1.6997683142857146E-2</v>
      </c>
      <c r="O19" s="2">
        <f>IF('Modell einstellen'!$B$1="Voll",J19/0.35,J19/0.35*2)</f>
        <v>-1.8197246571428575E-2</v>
      </c>
      <c r="P19" s="3">
        <f t="shared" si="1"/>
        <v>0.93407994864152366</v>
      </c>
    </row>
    <row r="20" spans="1:16" x14ac:dyDescent="0.25">
      <c r="A20" s="3">
        <v>100</v>
      </c>
      <c r="B20" s="3">
        <v>-2.0959999999999999E-2</v>
      </c>
      <c r="C20" s="3">
        <v>1.5E-3</v>
      </c>
      <c r="D20" s="3">
        <v>1.9089999999999999E-2</v>
      </c>
      <c r="E20" s="3">
        <v>0</v>
      </c>
      <c r="F20" s="3">
        <v>0</v>
      </c>
      <c r="G20" s="3">
        <v>0</v>
      </c>
      <c r="H20" s="3">
        <v>5.8213177000000001E-3</v>
      </c>
      <c r="I20" s="3">
        <v>2.3534715000000001E-4</v>
      </c>
      <c r="J20" s="3">
        <v>-6.6572506000000002E-3</v>
      </c>
      <c r="L20" s="3">
        <f t="shared" si="0"/>
        <v>1.0979570455735987</v>
      </c>
      <c r="M20" s="3"/>
      <c r="N20" s="2">
        <f>IF('Modell einstellen'!$B$1="Voll",H20/0.35,H20/0.35*2)</f>
        <v>1.6632336285714287E-2</v>
      </c>
      <c r="O20" s="2">
        <f>IF('Modell einstellen'!$B$1="Voll",J20/0.35,J20/0.35*2)</f>
        <v>-1.9020716E-2</v>
      </c>
      <c r="P20" s="3">
        <f t="shared" si="1"/>
        <v>0.87443271250747268</v>
      </c>
    </row>
    <row r="21" spans="1:16" x14ac:dyDescent="0.25">
      <c r="A21" s="3">
        <v>1000</v>
      </c>
      <c r="B21" s="3">
        <v>-2.0310000000000002E-2</v>
      </c>
      <c r="C21" s="3">
        <v>2.7000000000000001E-3</v>
      </c>
      <c r="D21" s="3">
        <v>1.7250000000000001E-2</v>
      </c>
      <c r="E21" s="3">
        <v>0</v>
      </c>
      <c r="F21" s="3">
        <v>0</v>
      </c>
      <c r="G21" s="3">
        <v>0</v>
      </c>
      <c r="H21" s="3">
        <v>5.5660385999999999E-3</v>
      </c>
      <c r="I21" s="3">
        <v>4.5440855999999999E-4</v>
      </c>
      <c r="J21" s="3">
        <v>-7.1954176000000002E-3</v>
      </c>
      <c r="L21" s="3">
        <f t="shared" si="0"/>
        <v>1.1773913043478261</v>
      </c>
      <c r="M21" s="3"/>
      <c r="N21" s="2">
        <f>IF('Modell einstellen'!$B$1="Voll",H21/0.35,H21/0.35*2)</f>
        <v>1.5902967428571429E-2</v>
      </c>
      <c r="O21" s="2">
        <f>IF('Modell einstellen'!$B$1="Voll",J21/0.35,J21/0.35*2)</f>
        <v>-2.0558336000000003E-2</v>
      </c>
      <c r="P21" s="3">
        <f t="shared" si="1"/>
        <v>0.77355324032895589</v>
      </c>
    </row>
    <row r="22" spans="1:16" x14ac:dyDescent="0.25">
      <c r="A22" s="3">
        <v>10000</v>
      </c>
      <c r="B22" s="3">
        <v>-1.95E-2</v>
      </c>
      <c r="C22" s="3">
        <v>4.0889999999999998E-3</v>
      </c>
      <c r="D22" s="3">
        <v>1.507E-2</v>
      </c>
      <c r="E22" s="3">
        <v>0</v>
      </c>
      <c r="F22" s="3">
        <v>0</v>
      </c>
      <c r="G22" s="3">
        <v>0</v>
      </c>
      <c r="H22" s="3">
        <v>5.2721634E-3</v>
      </c>
      <c r="I22" s="3">
        <v>7.1094514999999999E-4</v>
      </c>
      <c r="J22" s="3">
        <v>-7.8274767000000006E-3</v>
      </c>
      <c r="L22" s="3">
        <f t="shared" si="0"/>
        <v>1.2939615129396151</v>
      </c>
      <c r="M22" s="3"/>
      <c r="N22" s="2">
        <f>IF('Modell einstellen'!$B$1="Voll",H22/0.35,H22/0.35*2)</f>
        <v>1.5063324000000001E-2</v>
      </c>
      <c r="O22" s="2">
        <f>IF('Modell einstellen'!$B$1="Voll",J22/0.35,J22/0.35*2)</f>
        <v>-2.2364219142857147E-2</v>
      </c>
      <c r="P22" s="3">
        <f t="shared" si="1"/>
        <v>0.67354571620762527</v>
      </c>
    </row>
    <row r="23" spans="1:16" x14ac:dyDescent="0.25">
      <c r="A23" s="3">
        <v>100000</v>
      </c>
      <c r="B23" s="3">
        <v>-1.874E-2</v>
      </c>
      <c r="C23" s="3">
        <v>5.2519999999999997E-3</v>
      </c>
      <c r="D23" s="3">
        <v>1.315E-2</v>
      </c>
      <c r="E23" s="3">
        <v>0</v>
      </c>
      <c r="F23" s="3">
        <v>0</v>
      </c>
      <c r="G23" s="3">
        <v>0</v>
      </c>
      <c r="H23" s="3">
        <v>5.0280302999999998E-3</v>
      </c>
      <c r="I23" s="3">
        <v>9.3004781000000005E-4</v>
      </c>
      <c r="J23" s="3">
        <v>-8.3710507999999999E-3</v>
      </c>
      <c r="L23" s="3">
        <f t="shared" si="0"/>
        <v>1.4250950570342205</v>
      </c>
      <c r="M23" s="3"/>
      <c r="N23" s="2">
        <f>IF('Modell einstellen'!$B$1="Voll",H23/0.35,H23/0.35*2)</f>
        <v>1.4365800857142858E-2</v>
      </c>
      <c r="O23" s="2">
        <f>IF('Modell einstellen'!$B$1="Voll",J23/0.35,J23/0.35*2)</f>
        <v>-2.3917288000000002E-2</v>
      </c>
      <c r="P23" s="3">
        <f t="shared" si="1"/>
        <v>0.60064505880193675</v>
      </c>
    </row>
    <row r="24" spans="1:16" x14ac:dyDescent="0.25">
      <c r="A24" s="3">
        <v>1000000</v>
      </c>
      <c r="B24" s="3">
        <v>-1.8120000000000001E-2</v>
      </c>
      <c r="C24" s="3">
        <v>6.0930000000000003E-3</v>
      </c>
      <c r="D24" s="3">
        <v>1.1690000000000001E-2</v>
      </c>
      <c r="E24" s="3">
        <v>0</v>
      </c>
      <c r="F24" s="3">
        <v>0</v>
      </c>
      <c r="G24" s="3">
        <v>0</v>
      </c>
      <c r="H24" s="3">
        <v>4.8526423000000004E-3</v>
      </c>
      <c r="I24" s="3">
        <v>1.0914903E-3</v>
      </c>
      <c r="J24" s="3">
        <v>-8.7741812999999995E-3</v>
      </c>
      <c r="L24" s="3">
        <f t="shared" si="0"/>
        <v>1.5500427715996579</v>
      </c>
      <c r="M24" s="3"/>
      <c r="N24" s="2">
        <f>IF('Modell einstellen'!$B$1="Voll",H24/0.35,H24/0.35*2)</f>
        <v>1.3864692285714289E-2</v>
      </c>
      <c r="O24" s="2">
        <f>IF('Modell einstellen'!$B$1="Voll",J24/0.35,J24/0.35*2)</f>
        <v>-2.5069089428571428E-2</v>
      </c>
      <c r="P24" s="3">
        <f t="shared" si="1"/>
        <v>0.55305926947281125</v>
      </c>
    </row>
    <row r="25" spans="1:16" x14ac:dyDescent="0.25">
      <c r="A25" s="3">
        <v>10000000</v>
      </c>
      <c r="B25" s="3">
        <v>-1.7649999999999999E-2</v>
      </c>
      <c r="C25" s="3">
        <v>6.6600000000000001E-3</v>
      </c>
      <c r="D25" s="3">
        <v>1.0659999999999999E-2</v>
      </c>
      <c r="E25" s="3">
        <v>0</v>
      </c>
      <c r="F25" s="3">
        <v>0</v>
      </c>
      <c r="G25" s="3">
        <v>0</v>
      </c>
      <c r="H25" s="3">
        <v>4.7353159000000002E-3</v>
      </c>
      <c r="I25" s="3">
        <v>1.2021076E-3</v>
      </c>
      <c r="J25" s="3">
        <v>-9.0522763000000003E-3</v>
      </c>
      <c r="L25" s="3">
        <f t="shared" si="0"/>
        <v>1.6557223264540337</v>
      </c>
      <c r="M25" s="3"/>
      <c r="N25" s="2">
        <f>IF('Modell einstellen'!$B$1="Voll",H25/0.35,H25/0.35*2)</f>
        <v>1.3529474000000001E-2</v>
      </c>
      <c r="O25" s="2">
        <f>IF('Modell einstellen'!$B$1="Voll",J25/0.35,J25/0.35*2)</f>
        <v>-2.5863646571428575E-2</v>
      </c>
      <c r="P25" s="3">
        <f t="shared" si="1"/>
        <v>0.52310775136194199</v>
      </c>
    </row>
    <row r="26" spans="1:16" x14ac:dyDescent="0.25">
      <c r="A26" s="3">
        <v>100000000</v>
      </c>
      <c r="B26" s="3">
        <v>-1.728E-2</v>
      </c>
      <c r="C26" s="3">
        <v>7.0359999999999997E-3</v>
      </c>
      <c r="D26" s="3">
        <v>9.9170000000000005E-3</v>
      </c>
      <c r="E26" s="3">
        <v>0</v>
      </c>
      <c r="F26" s="3">
        <v>0</v>
      </c>
      <c r="G26" s="3">
        <v>0</v>
      </c>
      <c r="H26" s="3">
        <v>4.6592912000000004E-3</v>
      </c>
      <c r="I26" s="3">
        <v>1.2768641E-3</v>
      </c>
      <c r="J26" s="3">
        <v>-9.2429578999999994E-3</v>
      </c>
      <c r="L26" s="3">
        <f t="shared" si="0"/>
        <v>1.7424624382373701</v>
      </c>
      <c r="M26" s="3"/>
      <c r="N26" s="2">
        <f>IF('Modell einstellen'!$B$1="Voll",H26/0.35,H26/0.35*2)</f>
        <v>1.3312260571428574E-2</v>
      </c>
      <c r="O26" s="2">
        <f>IF('Modell einstellen'!$B$1="Voll",J26/0.35,J26/0.35*2)</f>
        <v>-2.6408451142857142E-2</v>
      </c>
      <c r="P26" s="3">
        <f t="shared" si="1"/>
        <v>0.50409092526538513</v>
      </c>
    </row>
    <row r="27" spans="1:16" x14ac:dyDescent="0.25">
      <c r="A27" s="3">
        <v>1000000000</v>
      </c>
      <c r="B27" s="3">
        <v>-1.6979999999999999E-2</v>
      </c>
      <c r="C27" s="3">
        <v>7.2769999999999996E-3</v>
      </c>
      <c r="D27" s="3">
        <v>9.3760000000000007E-3</v>
      </c>
      <c r="E27" s="3">
        <v>0</v>
      </c>
      <c r="F27" s="3">
        <v>0</v>
      </c>
      <c r="G27" s="3">
        <v>0</v>
      </c>
      <c r="H27" s="3">
        <v>4.6151022999999999E-3</v>
      </c>
      <c r="I27" s="3">
        <v>1.3256622999999999E-3</v>
      </c>
      <c r="J27" s="3">
        <v>-9.3724732999999998E-3</v>
      </c>
      <c r="L27" s="3">
        <f t="shared" si="0"/>
        <v>1.8110068259385663</v>
      </c>
      <c r="M27" s="3"/>
      <c r="N27" s="2">
        <f>IF('Modell einstellen'!$B$1="Voll",H27/0.35,H27/0.35*2)</f>
        <v>1.3186006571428571E-2</v>
      </c>
      <c r="O27" s="2">
        <f>IF('Modell einstellen'!$B$1="Voll",J27/0.35,J27/0.35*2)</f>
        <v>-2.6778495142857142E-2</v>
      </c>
      <c r="P27" s="3">
        <f t="shared" si="1"/>
        <v>0.49241029046196377</v>
      </c>
    </row>
    <row r="28" spans="1:16" x14ac:dyDescent="0.25">
      <c r="A28" s="3">
        <v>10000000000</v>
      </c>
      <c r="B28" s="3">
        <v>-1.6920000000000001E-2</v>
      </c>
      <c r="C28" s="3">
        <v>7.3169999999999997E-3</v>
      </c>
      <c r="D28" s="3">
        <v>9.2779999999999998E-3</v>
      </c>
      <c r="E28" s="3">
        <v>0</v>
      </c>
      <c r="F28" s="3">
        <v>0</v>
      </c>
      <c r="G28" s="3">
        <v>0</v>
      </c>
      <c r="H28" s="3">
        <v>4.6080938E-3</v>
      </c>
      <c r="I28" s="3">
        <v>1.3340609000000001E-3</v>
      </c>
      <c r="J28" s="3">
        <v>-9.3952832999999996E-3</v>
      </c>
      <c r="L28" s="3">
        <f t="shared" si="0"/>
        <v>1.823668894158224</v>
      </c>
      <c r="M28" s="3"/>
      <c r="N28" s="2">
        <f>IF('Modell einstellen'!$B$1="Voll",H28/0.35,H28/0.35*2)</f>
        <v>1.3165982285714287E-2</v>
      </c>
      <c r="O28" s="2">
        <f>IF('Modell einstellen'!$B$1="Voll",J28/0.35,J28/0.35*2)</f>
        <v>-2.6843666571428573E-2</v>
      </c>
      <c r="P28" s="3">
        <f t="shared" si="1"/>
        <v>0.49046885047095923</v>
      </c>
    </row>
    <row r="29" spans="1:16" x14ac:dyDescent="0.25">
      <c r="A29" s="3">
        <v>100000000000</v>
      </c>
      <c r="B29" s="3">
        <v>-1.6840000000000001E-2</v>
      </c>
      <c r="C29" s="3">
        <v>7.3699999999999998E-3</v>
      </c>
      <c r="D29" s="3">
        <v>9.1420000000000008E-3</v>
      </c>
      <c r="E29" s="3">
        <v>0</v>
      </c>
      <c r="F29" s="3">
        <v>0</v>
      </c>
      <c r="G29" s="3">
        <v>0</v>
      </c>
      <c r="H29" s="3">
        <v>4.5993932000000003E-3</v>
      </c>
      <c r="I29" s="3">
        <v>1.3452367999999999E-3</v>
      </c>
      <c r="J29" s="3">
        <v>-9.4262922000000002E-3</v>
      </c>
      <c r="L29" s="3">
        <f t="shared" si="0"/>
        <v>1.8420476919711222</v>
      </c>
      <c r="M29" s="3"/>
      <c r="N29" s="2">
        <f>IF('Modell einstellen'!$B$1="Voll",H29/0.35,H29/0.35*2)</f>
        <v>1.3141123428571429E-2</v>
      </c>
      <c r="O29" s="2">
        <f>IF('Modell einstellen'!$B$1="Voll",J29/0.35,J29/0.35*2)</f>
        <v>-2.693226342857143E-2</v>
      </c>
      <c r="P29" s="3">
        <f t="shared" si="1"/>
        <v>0.48793238130258682</v>
      </c>
    </row>
    <row r="30" spans="1:16" x14ac:dyDescent="0.25">
      <c r="A30" s="3">
        <v>1000000000000</v>
      </c>
      <c r="B30" s="3">
        <v>-1.643E-2</v>
      </c>
      <c r="C30" s="3">
        <v>7.5240000000000003E-3</v>
      </c>
      <c r="D30" s="3">
        <v>8.5780000000000006E-3</v>
      </c>
      <c r="E30" s="3">
        <v>0</v>
      </c>
      <c r="F30" s="3">
        <v>0</v>
      </c>
      <c r="G30" s="3">
        <v>0</v>
      </c>
      <c r="H30" s="3">
        <v>4.5875834999999998E-3</v>
      </c>
      <c r="I30" s="3">
        <v>1.3786477E-3</v>
      </c>
      <c r="J30" s="3">
        <v>-9.5325911999999992E-3</v>
      </c>
      <c r="L30" s="3">
        <f t="shared" si="0"/>
        <v>1.9153648869200279</v>
      </c>
      <c r="M30" s="3"/>
      <c r="N30" s="2">
        <f>IF('Modell einstellen'!$B$1="Voll",H30/0.35,H30/0.35*2)</f>
        <v>1.310738142857143E-2</v>
      </c>
      <c r="O30" s="2">
        <f>IF('Modell einstellen'!$B$1="Voll",J30/0.35,J30/0.35*2)</f>
        <v>-2.7235974857142856E-2</v>
      </c>
      <c r="P30" s="3">
        <f t="shared" si="1"/>
        <v>0.48125251610496006</v>
      </c>
    </row>
    <row r="31" spans="1:16" x14ac:dyDescent="0.25">
      <c r="A31" s="3">
        <v>10000000000000</v>
      </c>
      <c r="B31" s="3">
        <v>-1.6420000000000001E-2</v>
      </c>
      <c r="C31" s="3">
        <v>7.5259999999999997E-3</v>
      </c>
      <c r="D31" s="3">
        <v>8.5699999999999995E-3</v>
      </c>
      <c r="E31" s="3">
        <v>0</v>
      </c>
      <c r="F31" s="3">
        <v>0</v>
      </c>
      <c r="G31" s="3">
        <v>0</v>
      </c>
      <c r="H31" s="3">
        <v>4.5875763999999996E-3</v>
      </c>
      <c r="I31" s="3">
        <v>1.3790854999999999E-3</v>
      </c>
      <c r="J31" s="3">
        <v>-9.5341123999999992E-3</v>
      </c>
      <c r="L31" s="3">
        <f t="shared" si="0"/>
        <v>1.9159859976662779</v>
      </c>
      <c r="M31" s="3"/>
      <c r="N31" s="2">
        <f>IF('Modell einstellen'!$B$1="Voll",H31/0.35,H31/0.35*2)</f>
        <v>1.3107361142857142E-2</v>
      </c>
      <c r="O31" s="2">
        <f>IF('Modell einstellen'!$B$1="Voll",J31/0.35,J31/0.35*2)</f>
        <v>-2.7240321142857141E-2</v>
      </c>
      <c r="P31" s="3">
        <f t="shared" si="1"/>
        <v>0.48117498593786245</v>
      </c>
    </row>
    <row r="32" spans="1:16" x14ac:dyDescent="0.25">
      <c r="A32" s="3">
        <v>100000000000000</v>
      </c>
      <c r="B32" s="3">
        <v>-1.617E-2</v>
      </c>
      <c r="C32" s="3">
        <v>7.5659999999999998E-3</v>
      </c>
      <c r="D32" s="3">
        <v>8.2749999999999994E-3</v>
      </c>
      <c r="E32" s="3">
        <v>0</v>
      </c>
      <c r="F32" s="3">
        <v>0</v>
      </c>
      <c r="G32" s="3">
        <v>0</v>
      </c>
      <c r="H32" s="3">
        <v>4.5965140999999999E-3</v>
      </c>
      <c r="I32" s="3">
        <v>1.3884939000000001E-3</v>
      </c>
      <c r="J32" s="3">
        <v>-9.5758117000000007E-3</v>
      </c>
      <c r="L32" s="3">
        <f t="shared" si="0"/>
        <v>1.9540785498489428</v>
      </c>
      <c r="M32" s="3"/>
      <c r="N32" s="2">
        <f>IF('Modell einstellen'!$B$1="Voll",H32/0.35,H32/0.35*2)</f>
        <v>1.3132897428571429E-2</v>
      </c>
      <c r="O32" s="2">
        <f>IF('Modell einstellen'!$B$1="Voll",J32/0.35,J32/0.35*2)</f>
        <v>-2.7359462000000005E-2</v>
      </c>
      <c r="P32" s="3">
        <f t="shared" si="1"/>
        <v>0.48001299983791446</v>
      </c>
    </row>
    <row r="33" spans="1:16" x14ac:dyDescent="0.25">
      <c r="A33" s="3">
        <v>1000000000000000</v>
      </c>
      <c r="B33" s="3">
        <v>-1.6160000000000001E-2</v>
      </c>
      <c r="C33" s="3">
        <v>7.5659999999999998E-3</v>
      </c>
      <c r="D33" s="3">
        <v>8.2690000000000003E-3</v>
      </c>
      <c r="E33" s="3">
        <v>0</v>
      </c>
      <c r="F33" s="3">
        <v>0</v>
      </c>
      <c r="G33" s="3">
        <v>0</v>
      </c>
      <c r="H33" s="3">
        <v>4.5968639000000004E-3</v>
      </c>
      <c r="I33" s="3">
        <v>1.3886720000000001E-3</v>
      </c>
      <c r="J33" s="3">
        <v>-9.5767743000000002E-3</v>
      </c>
      <c r="L33" s="3">
        <f t="shared" si="0"/>
        <v>1.9542870963840853</v>
      </c>
      <c r="M33" s="3"/>
      <c r="N33" s="2">
        <f>IF('Modell einstellen'!$B$1="Voll",H33/0.35,H33/0.35*2)</f>
        <v>1.3133896857142859E-2</v>
      </c>
      <c r="O33" s="2">
        <f>IF('Modell einstellen'!$B$1="Voll",J33/0.35,J33/0.35*2)</f>
        <v>-2.7362212285714289E-2</v>
      </c>
      <c r="P33" s="3">
        <f t="shared" si="1"/>
        <v>0.4800012776744671</v>
      </c>
    </row>
  </sheetData>
  <pageMargins left="0.7" right="0.7" top="0.78740157499999996" bottom="0.78740157499999996" header="0.3" footer="0.3"/>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Arbeitsblätter</vt:lpstr>
      </vt:variant>
      <vt:variant>
        <vt:i4>14</vt:i4>
      </vt:variant>
      <vt:variant>
        <vt:lpstr>Benannte Bereiche</vt:lpstr>
      </vt:variant>
      <vt:variant>
        <vt:i4>9</vt:i4>
      </vt:variant>
    </vt:vector>
  </HeadingPairs>
  <TitlesOfParts>
    <vt:vector size="23" baseType="lpstr">
      <vt:lpstr>Modell einstellen</vt:lpstr>
      <vt:lpstr>Output</vt:lpstr>
      <vt:lpstr>CTE</vt:lpstr>
      <vt:lpstr>STUTT</vt:lpstr>
      <vt:lpstr>Comparison</vt:lpstr>
      <vt:lpstr>Mastercurve bestimmen</vt:lpstr>
      <vt:lpstr>Shiftfunktion bestimmen</vt:lpstr>
      <vt:lpstr>creep_res-40</vt:lpstr>
      <vt:lpstr>creep_res0</vt:lpstr>
      <vt:lpstr>creep_res25</vt:lpstr>
      <vt:lpstr>creep_res50</vt:lpstr>
      <vt:lpstr>creep_res80</vt:lpstr>
      <vt:lpstr>creep_res125</vt:lpstr>
      <vt:lpstr>creep_res160</vt:lpstr>
      <vt:lpstr>'creep_res-40'!creep_res_25</vt:lpstr>
      <vt:lpstr>creep_res160!creep_res110</vt:lpstr>
      <vt:lpstr>creep_res125!creep_res120</vt:lpstr>
      <vt:lpstr>creep_res0!creep_res50</vt:lpstr>
      <vt:lpstr>creep_res25!creep_res75_1</vt:lpstr>
      <vt:lpstr>creep_res50!creep_res80</vt:lpstr>
      <vt:lpstr>CTE!CTE_res100</vt:lpstr>
      <vt:lpstr>creep_res80!res_z80</vt:lpstr>
      <vt:lpstr>STUTT!STUTT</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2006-09-16T00:00:00Z</dcterms:created>
  <dcterms:modified xsi:type="dcterms:W3CDTF">2022-01-08T09:49:54Z</dcterms:modified>
</cp:coreProperties>
</file>